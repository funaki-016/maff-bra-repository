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2.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312\Desktop\Yo\64ビット対応_小髙くん担当\"/>
    </mc:Choice>
  </mc:AlternateContent>
  <xr:revisionPtr revIDLastSave="0" documentId="13_ncr:1_{4F689544-4DBB-40DE-B377-35E0F45F0414}" xr6:coauthVersionLast="47" xr6:coauthVersionMax="47" xr10:uidLastSave="{00000000-0000-0000-0000-000000000000}"/>
  <bookViews>
    <workbookView xWindow="-120" yWindow="480" windowWidth="29040" windowHeight="15840" tabRatio="885" xr2:uid="{00000000-000D-0000-FFFF-FFFF00000000}"/>
  </bookViews>
  <sheets>
    <sheet name="表紙" sheetId="192" r:id="rId1"/>
    <sheet name="説明" sheetId="96" r:id="rId2"/>
    <sheet name="【１】経営概要" sheetId="175" r:id="rId3"/>
    <sheet name="【２】生産物" sheetId="195" r:id="rId4"/>
    <sheet name="【３】１購入飼料～８その他の資材等" sheetId="180" r:id="rId5"/>
    <sheet name="【４】物件税～【７】出荷に要した経費" sheetId="181" r:id="rId6"/>
    <sheet name="減価償却費" sheetId="182" r:id="rId7"/>
    <sheet name="【８】建物" sheetId="196" r:id="rId8"/>
    <sheet name="【９】自動車" sheetId="197" r:id="rId9"/>
    <sheet name="【10】農業機械" sheetId="198" r:id="rId10"/>
    <sheet name="【11】農具購入費" sheetId="183" r:id="rId11"/>
    <sheet name="【12】労働時間" sheetId="200" r:id="rId12"/>
    <sheet name="【13】地代" sheetId="188" r:id="rId13"/>
    <sheet name="リスト" sheetId="133" state="hidden" r:id="rId14"/>
  </sheets>
  <functionGroups builtInGroupCount="19"/>
  <definedNames>
    <definedName name="[01]住宅">リスト!$H$5:$H$13</definedName>
    <definedName name="[02]事務所">リスト!$H$14:$H$22</definedName>
    <definedName name="[03]納屋・倉庫">リスト!$H$23:$H$31</definedName>
    <definedName name="[04]作業場">リスト!$H$32:$H$40</definedName>
    <definedName name="[05]農用トラクター">リスト!$Z$10</definedName>
    <definedName name="[06]プラウ">リスト!$Z$11</definedName>
    <definedName name="[06]畜舎">リスト!$H$41:$H$49</definedName>
    <definedName name="[07]ハロー">リスト!$Z$12</definedName>
    <definedName name="[08]マニュアスプレッダー">リスト!$Z$13</definedName>
    <definedName name="[08]車庫">リスト!$H$50:$H$58</definedName>
    <definedName name="[09]たい肥舎・たい肥盤">リスト!$H$59:$H$67</definedName>
    <definedName name="[1]貨物自動車" comment="10_建物の型式コードのうち、種類コード[1]貨物自動車に対応するもの">リスト!$Q$5:$Q$7</definedName>
    <definedName name="[10]乾牧草収納庫">リスト!$H$68:$H$76</definedName>
    <definedName name="[11]牧草は種機">リスト!$Z$14</definedName>
    <definedName name="[13]その他の建築物">リスト!$H$77:$H$85</definedName>
    <definedName name="[16]中耕除草機">リスト!$Z$15</definedName>
    <definedName name="[17]動力噴霧機">リスト!$Z$16</definedName>
    <definedName name="[18]動力散粉機">リスト!$Z$17</definedName>
    <definedName name="[2]その他の自動車" comment="10_建物の型式コードのうち、[2]その他の自動車に対応するもの">リスト!$Q$8:$Q$10</definedName>
    <definedName name="[24]飼料用タンク">リスト!$H$86:$H$88</definedName>
    <definedName name="[26]ふん尿貯留槽">リスト!$H$89:$H$93</definedName>
    <definedName name="[27]浄化処理施設">リスト!$H$94:$H$98</definedName>
    <definedName name="[28]脱臭施設">リスト!$H$99:$H$103</definedName>
    <definedName name="[29]ﾌﾟﾗｽﾁｯｸﾊｳｽ利用乾燥施設">リスト!$H$104:$H$107</definedName>
    <definedName name="[30]その他のふん乾燥施設">リスト!$H$108:$H$112</definedName>
    <definedName name="[31]その他の構築物">リスト!$H$113:$H$119</definedName>
    <definedName name="[33]モアー">リスト!$Z$18</definedName>
    <definedName name="[34]カッター">リスト!$Z$19</definedName>
    <definedName name="[35]べーラー">リスト!$Z$20</definedName>
    <definedName name="[36]集草機">リスト!$Z$21</definedName>
    <definedName name="[37]他の牧草収穫機">リスト!$Z$22</definedName>
    <definedName name="[38]積込機">リスト!$Z$23</definedName>
    <definedName name="[39]搬送・吹上機">リスト!$Z$24</definedName>
    <definedName name="[40]飼料粉砕機">リスト!$Z$25</definedName>
    <definedName name="[41]飼料配合機">リスト!$Z$26</definedName>
    <definedName name="[42]バーンクリーナー">リスト!$Z$27</definedName>
    <definedName name="[43]ミルカー・バケット">リスト!$Z$28</definedName>
    <definedName name="[44]ミルカー・パイプライン">リスト!$Z$29</definedName>
    <definedName name="[45]搾乳ロボット">リスト!$Z$30</definedName>
    <definedName name="[46]牛乳冷却器">リスト!$Z$31</definedName>
    <definedName name="[47]バルククーラー">リスト!$Z$32</definedName>
    <definedName name="[48]自動給餌機">リスト!$Z$33</definedName>
    <definedName name="[49]ローダー">リスト!$Z$34</definedName>
    <definedName name="[50]バキュームカー">リスト!$Z$35</definedName>
    <definedName name="[51]ふん尿搬出機">リスト!$Z$36</definedName>
    <definedName name="[52]固液分離機">リスト!$Z$37</definedName>
    <definedName name="[53]自動給水機">リスト!$Z$38</definedName>
    <definedName name="[54]トレーラー">リスト!$Z$39</definedName>
    <definedName name="[55]運搬用機具">リスト!$Z$40</definedName>
    <definedName name="[56]その他の農機具">リスト!$Z$5:$Z$9</definedName>
    <definedName name="[57]パソコン">リスト!$Z$41</definedName>
    <definedName name="[58]その他の生産管理機器">リスト!$Z$42</definedName>
    <definedName name="_xlnm._FilterDatabase" localSheetId="11" hidden="1">【12】労働時間!$A$10:$B$71</definedName>
    <definedName name="_xlnm.Print_Area" localSheetId="2">【１】経営概要!$A$1:$V$31</definedName>
    <definedName name="_xlnm.Print_Area" localSheetId="9">【10】農業機械!$A$1:$AS$330</definedName>
    <definedName name="_xlnm.Print_Area" localSheetId="11">【12】労働時間!$A$1:$BG$114</definedName>
    <definedName name="_xlnm.Print_Area" localSheetId="3">【２】生産物!$A$1:$P$154</definedName>
    <definedName name="_xlnm.Print_Area" localSheetId="4">'【３】１購入飼料～８その他の資材等'!$A$1:$U$261</definedName>
    <definedName name="_xlnm.Print_Area" localSheetId="7">【８】建物!$A$1:$BA$341</definedName>
    <definedName name="_xlnm.Print_Area" localSheetId="8">【９】自動車!$A$1:$AX$326</definedName>
    <definedName name="_xlnm.Print_Area" localSheetId="0">表紙!$A$1:$BS$67</definedName>
    <definedName name="_xlnm.Print_Titles" localSheetId="9">【10】農業機械!$C:$C,【10】農業機械!$11:$18</definedName>
    <definedName name="_xlnm.Print_Titles" localSheetId="7">【８】建物!$C:$C,【８】建物!$9:$16</definedName>
    <definedName name="_xlnm.Print_Titles" localSheetId="8">【９】自動車!$C:$C,【９】自動車!$9:$16</definedName>
    <definedName name="建築物">リスト!$H$5:$H$14</definedName>
    <definedName name="建築物種類コード" localSheetId="10">リスト!$E$5:$E$13</definedName>
    <definedName name="建築物種類コード" localSheetId="11">リスト!$E$5:$E$12</definedName>
    <definedName name="建築物種類コード" localSheetId="5">リスト!$E$5:$E$13</definedName>
    <definedName name="建築物種類コード">リスト!$E$5:$E$13</definedName>
    <definedName name="構築物">リスト!$H$15:$H$23</definedName>
    <definedName name="構築物種類コード">リスト!$E$14:$E$20</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9" i="196" l="1"/>
  <c r="AF20" i="196"/>
  <c r="AF21" i="196"/>
  <c r="AF22" i="196"/>
  <c r="AF23" i="196"/>
  <c r="AF24" i="196"/>
  <c r="AF25" i="196"/>
  <c r="AF26" i="196"/>
  <c r="AF27" i="196"/>
  <c r="AF28" i="196"/>
  <c r="AF29" i="196"/>
  <c r="AF30" i="196"/>
  <c r="AF31" i="196"/>
  <c r="AF32" i="196"/>
  <c r="AF33" i="196"/>
  <c r="AF34" i="196"/>
  <c r="AF35" i="196"/>
  <c r="AF36" i="196"/>
  <c r="AF37" i="196"/>
  <c r="AF38" i="196"/>
  <c r="AF39" i="196"/>
  <c r="AF40" i="196"/>
  <c r="AF41" i="196"/>
  <c r="AF42" i="196"/>
  <c r="AF43" i="196"/>
  <c r="AF44" i="196"/>
  <c r="AF45" i="196"/>
  <c r="AF46" i="196"/>
  <c r="AF47" i="196"/>
  <c r="AF48" i="196"/>
  <c r="AF49" i="196"/>
  <c r="AF50" i="196"/>
  <c r="AF51" i="196"/>
  <c r="AF52" i="196"/>
  <c r="AF53" i="196"/>
  <c r="AF54" i="196"/>
  <c r="AF55" i="196"/>
  <c r="AF56" i="196"/>
  <c r="AF57" i="196"/>
  <c r="AF58" i="196"/>
  <c r="AF59" i="196"/>
  <c r="AF60" i="196"/>
  <c r="AF61" i="196"/>
  <c r="AF62" i="196"/>
  <c r="AF63" i="196"/>
  <c r="AF64" i="196"/>
  <c r="AF65" i="196"/>
  <c r="AF66" i="196"/>
  <c r="AF67" i="196"/>
  <c r="AF68" i="196"/>
  <c r="AF69" i="196"/>
  <c r="AF70" i="196"/>
  <c r="AF71" i="196"/>
  <c r="AF72" i="196"/>
  <c r="AF73" i="196"/>
  <c r="AF74" i="196"/>
  <c r="AF75" i="196"/>
  <c r="AF76" i="196"/>
  <c r="AF77" i="196"/>
  <c r="AF78" i="196"/>
  <c r="AF79" i="196"/>
  <c r="AF80" i="196"/>
  <c r="AF81" i="196"/>
  <c r="AF82" i="196"/>
  <c r="AF83" i="196"/>
  <c r="AF84" i="196"/>
  <c r="AF85" i="196"/>
  <c r="AF86" i="196"/>
  <c r="AF87" i="196"/>
  <c r="AF88" i="196"/>
  <c r="AF89" i="196"/>
  <c r="AF90" i="196"/>
  <c r="AF91" i="196"/>
  <c r="AF92" i="196"/>
  <c r="AF93" i="196"/>
  <c r="AF94" i="196"/>
  <c r="AF95" i="196"/>
  <c r="AF96" i="196"/>
  <c r="AF97" i="196"/>
  <c r="AF98" i="196"/>
  <c r="AF99" i="196"/>
  <c r="AF100" i="196"/>
  <c r="AF101" i="196"/>
  <c r="AF102" i="196"/>
  <c r="AF103" i="196"/>
  <c r="AF104" i="196"/>
  <c r="AF105" i="196"/>
  <c r="AF106" i="196"/>
  <c r="AF107" i="196"/>
  <c r="AF108" i="196"/>
  <c r="AF109" i="196"/>
  <c r="AF110" i="196"/>
  <c r="AF111" i="196"/>
  <c r="AF112" i="196"/>
  <c r="AF113" i="196"/>
  <c r="AF114" i="196"/>
  <c r="AF115" i="196"/>
  <c r="AF116" i="196"/>
  <c r="AF117" i="196"/>
  <c r="AF118" i="196"/>
  <c r="AF119" i="196"/>
  <c r="AF120" i="196"/>
  <c r="AF121" i="196"/>
  <c r="AF122" i="196"/>
  <c r="AF123" i="196"/>
  <c r="AF124" i="196"/>
  <c r="AF125" i="196"/>
  <c r="AF126" i="196"/>
  <c r="AF127" i="196"/>
  <c r="AF128" i="196"/>
  <c r="AF129" i="196"/>
  <c r="AF130" i="196"/>
  <c r="AF131" i="196"/>
  <c r="AF132" i="196"/>
  <c r="AF133" i="196"/>
  <c r="AF134" i="196"/>
  <c r="AF135" i="196"/>
  <c r="AF136" i="196"/>
  <c r="AF137" i="196"/>
  <c r="AF138" i="196"/>
  <c r="AF139" i="196"/>
  <c r="AF140" i="196"/>
  <c r="AF141" i="196"/>
  <c r="AF142" i="196"/>
  <c r="AF143" i="196"/>
  <c r="AF144" i="196"/>
  <c r="AF145" i="196"/>
  <c r="AF146" i="196"/>
  <c r="AF147" i="196"/>
  <c r="AF148" i="196"/>
  <c r="AF149" i="196"/>
  <c r="AF150" i="196"/>
  <c r="AF151" i="196"/>
  <c r="AF152" i="196"/>
  <c r="AF153" i="196"/>
  <c r="AF154" i="196"/>
  <c r="AF155" i="196"/>
  <c r="AF156" i="196"/>
  <c r="AF157" i="196"/>
  <c r="AF158" i="196"/>
  <c r="AF159" i="196"/>
  <c r="AF160" i="196"/>
  <c r="AF161" i="196"/>
  <c r="AF162" i="196"/>
  <c r="AF163" i="196"/>
  <c r="AF164" i="196"/>
  <c r="AF165" i="196"/>
  <c r="AF166" i="196"/>
  <c r="AF167" i="196"/>
  <c r="AF168" i="196"/>
  <c r="AF169" i="196"/>
  <c r="AF170" i="196"/>
  <c r="AF171" i="196"/>
  <c r="AF172" i="196"/>
  <c r="AF173" i="196"/>
  <c r="AF174" i="196"/>
  <c r="AF175" i="196"/>
  <c r="AF176" i="196"/>
  <c r="AF177" i="196"/>
  <c r="AF178" i="196"/>
  <c r="AF179" i="196"/>
  <c r="AF180" i="196"/>
  <c r="AF181" i="196"/>
  <c r="AF182" i="196"/>
  <c r="AF183" i="196"/>
  <c r="AF184" i="196"/>
  <c r="AF185" i="196"/>
  <c r="AF186" i="196"/>
  <c r="AF187" i="196"/>
  <c r="AF188" i="196"/>
  <c r="AF189" i="196"/>
  <c r="AF190" i="196"/>
  <c r="AF191" i="196"/>
  <c r="AF192" i="196"/>
  <c r="AF193" i="196"/>
  <c r="AF194" i="196"/>
  <c r="AF195" i="196"/>
  <c r="AF196" i="196"/>
  <c r="AF197" i="196"/>
  <c r="AF198" i="196"/>
  <c r="AF199" i="196"/>
  <c r="AF200" i="196"/>
  <c r="AF201" i="196"/>
  <c r="AF202" i="196"/>
  <c r="AF203" i="196"/>
  <c r="AF204" i="196"/>
  <c r="AF205" i="196"/>
  <c r="AF206" i="196"/>
  <c r="AF207" i="196"/>
  <c r="AF208" i="196"/>
  <c r="AF209" i="196"/>
  <c r="AF210" i="196"/>
  <c r="AF211" i="196"/>
  <c r="AF212" i="196"/>
  <c r="AF213" i="196"/>
  <c r="AF214" i="196"/>
  <c r="AF215" i="196"/>
  <c r="AF216" i="196"/>
  <c r="AF217" i="196"/>
  <c r="AF218" i="196"/>
  <c r="AF219" i="196"/>
  <c r="AF220" i="196"/>
  <c r="AF221" i="196"/>
  <c r="AF222" i="196"/>
  <c r="AF223" i="196"/>
  <c r="AF224" i="196"/>
  <c r="AF225" i="196"/>
  <c r="AF226" i="196"/>
  <c r="AF227" i="196"/>
  <c r="AF228" i="196"/>
  <c r="AF229" i="196"/>
  <c r="AF230" i="196"/>
  <c r="AF231" i="196"/>
  <c r="AF232" i="196"/>
  <c r="AF233" i="196"/>
  <c r="AF234" i="196"/>
  <c r="AF235" i="196"/>
  <c r="AF236" i="196"/>
  <c r="AF237" i="196"/>
  <c r="AF238" i="196"/>
  <c r="AF239" i="196"/>
  <c r="AF240" i="196"/>
  <c r="AF241" i="196"/>
  <c r="AF242" i="196"/>
  <c r="AF243" i="196"/>
  <c r="AF244" i="196"/>
  <c r="AF245" i="196"/>
  <c r="AF246" i="196"/>
  <c r="AF247" i="196"/>
  <c r="AF248" i="196"/>
  <c r="AF249" i="196"/>
  <c r="AF250" i="196"/>
  <c r="AF251" i="196"/>
  <c r="AF252" i="196"/>
  <c r="AF253" i="196"/>
  <c r="AF254" i="196"/>
  <c r="AF255" i="196"/>
  <c r="AF256" i="196"/>
  <c r="AF257" i="196"/>
  <c r="AF258" i="196"/>
  <c r="AF259" i="196"/>
  <c r="AF260" i="196"/>
  <c r="AF261" i="196"/>
  <c r="AF262" i="196"/>
  <c r="AF263" i="196"/>
  <c r="AF264" i="196"/>
  <c r="AF265" i="196"/>
  <c r="AF266" i="196"/>
  <c r="AF267" i="196"/>
  <c r="AF268" i="196"/>
  <c r="AF269" i="196"/>
  <c r="AF270" i="196"/>
  <c r="AF271" i="196"/>
  <c r="AF272" i="196"/>
  <c r="AF273" i="196"/>
  <c r="AF274" i="196"/>
  <c r="AF275" i="196"/>
  <c r="AF276" i="196"/>
  <c r="AF277" i="196"/>
  <c r="AF278" i="196"/>
  <c r="AF279" i="196"/>
  <c r="AF280" i="196"/>
  <c r="AF281" i="196"/>
  <c r="AF282" i="196"/>
  <c r="AF283" i="196"/>
  <c r="AF284" i="196"/>
  <c r="AF285" i="196"/>
  <c r="AF286" i="196"/>
  <c r="AF287" i="196"/>
  <c r="AF288" i="196"/>
  <c r="AF289" i="196"/>
  <c r="AF290" i="196"/>
  <c r="AF291" i="196"/>
  <c r="AF292" i="196"/>
  <c r="AF293" i="196"/>
  <c r="AF294" i="196"/>
  <c r="AF295" i="196"/>
  <c r="AF296" i="196"/>
  <c r="AF297" i="196"/>
  <c r="AF298" i="196"/>
  <c r="AF299" i="196"/>
  <c r="AF300" i="196"/>
  <c r="AF301" i="196"/>
  <c r="AF302" i="196"/>
  <c r="AF303" i="196"/>
  <c r="AF304" i="196"/>
  <c r="AF305" i="196"/>
  <c r="AF306" i="196"/>
  <c r="AF307" i="196"/>
  <c r="AF308" i="196"/>
  <c r="AF309" i="196"/>
  <c r="AF310" i="196"/>
  <c r="AF311" i="196"/>
  <c r="AF312" i="196"/>
  <c r="AF313" i="196"/>
  <c r="AF314" i="196"/>
  <c r="AF315" i="196"/>
  <c r="AF316" i="196"/>
  <c r="AF18" i="196"/>
  <c r="AF17" i="196"/>
  <c r="AU19" i="198"/>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P30" i="181" l="1"/>
  <c r="P12" i="181"/>
  <c r="K42" i="195"/>
  <c r="X27" i="200" l="1"/>
  <c r="W27" i="200"/>
  <c r="W69" i="200"/>
  <c r="W15" i="200"/>
  <c r="X15" i="200"/>
  <c r="Y15" i="200"/>
  <c r="W17" i="200"/>
  <c r="X17" i="200"/>
  <c r="Y17" i="200"/>
  <c r="W19" i="200"/>
  <c r="X19" i="200"/>
  <c r="Y19" i="200"/>
  <c r="W21" i="200"/>
  <c r="X21" i="200"/>
  <c r="Y21" i="200"/>
  <c r="W23" i="200"/>
  <c r="X23" i="200"/>
  <c r="Y23" i="200"/>
  <c r="W25" i="200"/>
  <c r="X25" i="200"/>
  <c r="Y25" i="200"/>
  <c r="Y27" i="200"/>
  <c r="W29" i="200"/>
  <c r="X29" i="200"/>
  <c r="Y29" i="200"/>
  <c r="W31" i="200"/>
  <c r="X31" i="200"/>
  <c r="Y31" i="200"/>
  <c r="W33" i="200"/>
  <c r="X33" i="200"/>
  <c r="Y33" i="200"/>
  <c r="W35" i="200"/>
  <c r="X35" i="200"/>
  <c r="Y35" i="200"/>
  <c r="W37" i="200"/>
  <c r="X37" i="200"/>
  <c r="Y37" i="200"/>
  <c r="W39" i="200"/>
  <c r="X39" i="200"/>
  <c r="Y39" i="200"/>
  <c r="W41" i="200"/>
  <c r="X41" i="200"/>
  <c r="Y41" i="200"/>
  <c r="W43" i="200"/>
  <c r="X43" i="200"/>
  <c r="Y43" i="200"/>
  <c r="W45" i="200"/>
  <c r="X45" i="200"/>
  <c r="Y45" i="200"/>
  <c r="W47" i="200"/>
  <c r="X47" i="200"/>
  <c r="Y47" i="200"/>
  <c r="W49" i="200"/>
  <c r="X49" i="200"/>
  <c r="Y49" i="200"/>
  <c r="W51" i="200"/>
  <c r="X51" i="200"/>
  <c r="Y51" i="200"/>
  <c r="W53" i="200"/>
  <c r="X53" i="200"/>
  <c r="Y53" i="200"/>
  <c r="W55" i="200"/>
  <c r="X55" i="200"/>
  <c r="Y55" i="200"/>
  <c r="W57" i="200"/>
  <c r="X57" i="200"/>
  <c r="Y57" i="200"/>
  <c r="W59" i="200"/>
  <c r="X59" i="200"/>
  <c r="Y59" i="200"/>
  <c r="W61" i="200"/>
  <c r="X61" i="200"/>
  <c r="Y61" i="200"/>
  <c r="W63" i="200"/>
  <c r="X63" i="200"/>
  <c r="Y63" i="200"/>
  <c r="W65" i="200"/>
  <c r="X65" i="200"/>
  <c r="Y65" i="200"/>
  <c r="W67" i="200"/>
  <c r="X67" i="200"/>
  <c r="Y67" i="200"/>
  <c r="X69" i="200"/>
  <c r="Y69" i="200"/>
  <c r="Y13" i="200"/>
  <c r="X13" i="200"/>
  <c r="W13" i="200"/>
  <c r="X11" i="200"/>
  <c r="Y11" i="200"/>
  <c r="W11" i="200"/>
  <c r="AT21" i="198" l="1"/>
  <c r="AU21" i="198"/>
  <c r="AT22" i="198"/>
  <c r="AU22" i="198"/>
  <c r="AT23" i="198"/>
  <c r="AU23" i="198"/>
  <c r="AT24" i="198"/>
  <c r="AU24" i="198"/>
  <c r="AT25" i="198"/>
  <c r="AU25" i="198"/>
  <c r="AT26" i="198"/>
  <c r="AU26" i="198"/>
  <c r="AT27" i="198"/>
  <c r="AU27" i="198"/>
  <c r="AT28" i="198"/>
  <c r="AU28" i="198"/>
  <c r="AT29" i="198"/>
  <c r="AU29" i="198"/>
  <c r="AT30" i="198"/>
  <c r="AU30" i="198"/>
  <c r="AT31" i="198"/>
  <c r="AU31" i="198"/>
  <c r="AT32" i="198"/>
  <c r="AU32" i="198"/>
  <c r="AT33" i="198"/>
  <c r="AU33" i="198"/>
  <c r="AT34" i="198"/>
  <c r="AU34" i="198"/>
  <c r="AT35" i="198"/>
  <c r="AU35" i="198"/>
  <c r="AT36" i="198"/>
  <c r="AU36" i="198"/>
  <c r="AT37" i="198"/>
  <c r="AU37" i="198"/>
  <c r="AT38" i="198"/>
  <c r="AU38" i="198"/>
  <c r="AT39" i="198"/>
  <c r="AU39" i="198"/>
  <c r="AT40" i="198"/>
  <c r="AU40" i="198"/>
  <c r="AT41" i="198"/>
  <c r="AU41" i="198"/>
  <c r="AT42" i="198"/>
  <c r="AU42" i="198"/>
  <c r="AT43" i="198"/>
  <c r="AU43" i="198"/>
  <c r="AT44" i="198"/>
  <c r="AU44" i="198"/>
  <c r="AT45" i="198"/>
  <c r="AU45" i="198"/>
  <c r="AT46" i="198"/>
  <c r="AU46" i="198"/>
  <c r="AT47" i="198"/>
  <c r="AU47" i="198"/>
  <c r="AT48" i="198"/>
  <c r="AU48" i="198"/>
  <c r="AT49" i="198"/>
  <c r="AU49" i="198"/>
  <c r="AT50" i="198"/>
  <c r="AU50" i="198"/>
  <c r="AT51" i="198"/>
  <c r="AU51" i="198"/>
  <c r="AT52" i="198"/>
  <c r="AU52" i="198"/>
  <c r="AT53" i="198"/>
  <c r="AU53" i="198"/>
  <c r="AT54" i="198"/>
  <c r="AU54" i="198"/>
  <c r="AT55" i="198"/>
  <c r="AU55" i="198"/>
  <c r="AT56" i="198"/>
  <c r="AU56" i="198"/>
  <c r="AT57" i="198"/>
  <c r="AU57" i="198"/>
  <c r="AT58" i="198"/>
  <c r="AU58" i="198"/>
  <c r="AT59" i="198"/>
  <c r="AU59" i="198"/>
  <c r="AT60" i="198"/>
  <c r="AU60" i="198"/>
  <c r="AT61" i="198"/>
  <c r="AU61" i="198"/>
  <c r="AT62" i="198"/>
  <c r="AU62" i="198"/>
  <c r="AT63" i="198"/>
  <c r="AU63" i="198"/>
  <c r="AT64" i="198"/>
  <c r="AU64" i="198"/>
  <c r="AT65" i="198"/>
  <c r="AU65" i="198"/>
  <c r="AT66" i="198"/>
  <c r="AU66" i="198"/>
  <c r="AT67" i="198"/>
  <c r="AU67" i="198"/>
  <c r="AT68" i="198"/>
  <c r="AU68" i="198"/>
  <c r="AT69" i="198"/>
  <c r="AU69" i="198"/>
  <c r="AT70" i="198"/>
  <c r="AU70" i="198"/>
  <c r="AT71" i="198"/>
  <c r="AU71" i="198"/>
  <c r="AT72" i="198"/>
  <c r="AU72" i="198"/>
  <c r="AT73" i="198"/>
  <c r="AU73" i="198"/>
  <c r="AT74" i="198"/>
  <c r="AU74" i="198"/>
  <c r="AT75" i="198"/>
  <c r="AU75" i="198"/>
  <c r="AT76" i="198"/>
  <c r="AU76" i="198"/>
  <c r="AT77" i="198"/>
  <c r="AU77" i="198"/>
  <c r="AT78" i="198"/>
  <c r="AU78" i="198"/>
  <c r="AT79" i="198"/>
  <c r="AU79" i="198"/>
  <c r="AT80" i="198"/>
  <c r="AU80" i="198"/>
  <c r="AT81" i="198"/>
  <c r="AU81" i="198"/>
  <c r="AT82" i="198"/>
  <c r="AU82" i="198"/>
  <c r="AT83" i="198"/>
  <c r="AU83" i="198"/>
  <c r="AT84" i="198"/>
  <c r="AU84" i="198"/>
  <c r="AT85" i="198"/>
  <c r="AU85" i="198"/>
  <c r="AT86" i="198"/>
  <c r="AU86" i="198"/>
  <c r="AT87" i="198"/>
  <c r="AU87" i="198"/>
  <c r="AT88" i="198"/>
  <c r="AU88" i="198"/>
  <c r="AT89" i="198"/>
  <c r="AU89" i="198"/>
  <c r="AT90" i="198"/>
  <c r="AU90" i="198"/>
  <c r="AT91" i="198"/>
  <c r="AU91" i="198"/>
  <c r="AT92" i="198"/>
  <c r="AU92" i="198"/>
  <c r="AT93" i="198"/>
  <c r="AU93" i="198"/>
  <c r="AT94" i="198"/>
  <c r="AU94" i="198"/>
  <c r="AT95" i="198"/>
  <c r="AU95" i="198"/>
  <c r="AT96" i="198"/>
  <c r="AU96" i="198"/>
  <c r="AT97" i="198"/>
  <c r="AU97" i="198"/>
  <c r="AT98" i="198"/>
  <c r="AU98" i="198"/>
  <c r="AT99" i="198"/>
  <c r="AU99" i="198"/>
  <c r="AT100" i="198"/>
  <c r="AU100" i="198"/>
  <c r="AT101" i="198"/>
  <c r="AU101" i="198"/>
  <c r="AT102" i="198"/>
  <c r="AU102" i="198"/>
  <c r="AT103" i="198"/>
  <c r="AU103" i="198"/>
  <c r="AT104" i="198"/>
  <c r="AU104" i="198"/>
  <c r="AT105" i="198"/>
  <c r="AU105" i="198"/>
  <c r="AT106" i="198"/>
  <c r="AU106" i="198"/>
  <c r="AT107" i="198"/>
  <c r="AU107" i="198"/>
  <c r="AT108" i="198"/>
  <c r="AU108" i="198"/>
  <c r="AT109" i="198"/>
  <c r="AU109" i="198"/>
  <c r="AT110" i="198"/>
  <c r="AU110" i="198"/>
  <c r="AT111" i="198"/>
  <c r="AU111" i="198"/>
  <c r="AT112" i="198"/>
  <c r="AU112" i="198"/>
  <c r="AT113" i="198"/>
  <c r="AU113" i="198"/>
  <c r="AT114" i="198"/>
  <c r="AU114" i="198"/>
  <c r="AT115" i="198"/>
  <c r="AU115" i="198"/>
  <c r="AT116" i="198"/>
  <c r="AU116" i="198"/>
  <c r="AT117" i="198"/>
  <c r="AU117" i="198"/>
  <c r="AT118" i="198"/>
  <c r="AU118" i="198"/>
  <c r="AT119" i="198"/>
  <c r="AU119" i="198"/>
  <c r="AT120" i="198"/>
  <c r="AU120" i="198"/>
  <c r="AT121" i="198"/>
  <c r="AU121" i="198"/>
  <c r="AT122" i="198"/>
  <c r="AU122" i="198"/>
  <c r="AT123" i="198"/>
  <c r="AU123" i="198"/>
  <c r="AT124" i="198"/>
  <c r="AU124" i="198"/>
  <c r="AT125" i="198"/>
  <c r="AU125" i="198"/>
  <c r="AT126" i="198"/>
  <c r="AU126" i="198"/>
  <c r="AT127" i="198"/>
  <c r="AU127" i="198"/>
  <c r="AT128" i="198"/>
  <c r="AU128" i="198"/>
  <c r="AT129" i="198"/>
  <c r="AU129" i="198"/>
  <c r="AT130" i="198"/>
  <c r="AU130" i="198"/>
  <c r="AT131" i="198"/>
  <c r="AU131" i="198"/>
  <c r="AT132" i="198"/>
  <c r="AU132" i="198"/>
  <c r="AT133" i="198"/>
  <c r="AU133" i="198"/>
  <c r="AT134" i="198"/>
  <c r="AU134" i="198"/>
  <c r="AT135" i="198"/>
  <c r="AU135" i="198"/>
  <c r="AT136" i="198"/>
  <c r="AU136" i="198"/>
  <c r="AT137" i="198"/>
  <c r="AU137" i="198"/>
  <c r="AT138" i="198"/>
  <c r="AU138" i="198"/>
  <c r="AT139" i="198"/>
  <c r="AU139" i="198"/>
  <c r="AT140" i="198"/>
  <c r="AU140" i="198"/>
  <c r="AT141" i="198"/>
  <c r="AU141" i="198"/>
  <c r="AT142" i="198"/>
  <c r="AU142" i="198"/>
  <c r="AT143" i="198"/>
  <c r="AU143" i="198"/>
  <c r="AT144" i="198"/>
  <c r="AU144" i="198"/>
  <c r="AT145" i="198"/>
  <c r="AU145" i="198"/>
  <c r="AT146" i="198"/>
  <c r="AU146" i="198"/>
  <c r="AT147" i="198"/>
  <c r="AU147" i="198"/>
  <c r="AT148" i="198"/>
  <c r="AU148" i="198"/>
  <c r="AT149" i="198"/>
  <c r="AU149" i="198"/>
  <c r="AT150" i="198"/>
  <c r="AU150" i="198"/>
  <c r="AT151" i="198"/>
  <c r="AU151" i="198"/>
  <c r="AT152" i="198"/>
  <c r="AU152" i="198"/>
  <c r="AT153" i="198"/>
  <c r="AU153" i="198"/>
  <c r="AT154" i="198"/>
  <c r="AU154" i="198"/>
  <c r="AT155" i="198"/>
  <c r="AU155" i="198"/>
  <c r="AT156" i="198"/>
  <c r="AU156" i="198"/>
  <c r="AT157" i="198"/>
  <c r="AU157" i="198"/>
  <c r="AT158" i="198"/>
  <c r="AU158" i="198"/>
  <c r="AT159" i="198"/>
  <c r="AU159" i="198"/>
  <c r="AT160" i="198"/>
  <c r="AU160" i="198"/>
  <c r="AT161" i="198"/>
  <c r="AU161" i="198"/>
  <c r="AT162" i="198"/>
  <c r="AU162" i="198"/>
  <c r="AT163" i="198"/>
  <c r="AU163" i="198"/>
  <c r="AT164" i="198"/>
  <c r="AU164" i="198"/>
  <c r="AT165" i="198"/>
  <c r="AU165" i="198"/>
  <c r="AT166" i="198"/>
  <c r="AU166" i="198"/>
  <c r="AT167" i="198"/>
  <c r="AU167" i="198"/>
  <c r="AT168" i="198"/>
  <c r="AU168" i="198"/>
  <c r="AT169" i="198"/>
  <c r="AU169" i="198"/>
  <c r="AT170" i="198"/>
  <c r="AU170" i="198"/>
  <c r="AT171" i="198"/>
  <c r="AU171" i="198"/>
  <c r="AT172" i="198"/>
  <c r="AU172" i="198"/>
  <c r="AT173" i="198"/>
  <c r="AU173" i="198"/>
  <c r="AT174" i="198"/>
  <c r="AU174" i="198"/>
  <c r="AT175" i="198"/>
  <c r="AU175" i="198"/>
  <c r="AT176" i="198"/>
  <c r="AU176" i="198"/>
  <c r="AT177" i="198"/>
  <c r="AU177" i="198"/>
  <c r="AT178" i="198"/>
  <c r="AU178" i="198"/>
  <c r="AT179" i="198"/>
  <c r="AU179" i="198"/>
  <c r="AT180" i="198"/>
  <c r="AU180" i="198"/>
  <c r="AT181" i="198"/>
  <c r="AU181" i="198"/>
  <c r="AT182" i="198"/>
  <c r="AU182" i="198"/>
  <c r="AT183" i="198"/>
  <c r="AU183" i="198"/>
  <c r="AT184" i="198"/>
  <c r="AU184" i="198"/>
  <c r="AT185" i="198"/>
  <c r="AU185" i="198"/>
  <c r="AT186" i="198"/>
  <c r="AU186" i="198"/>
  <c r="AT187" i="198"/>
  <c r="AU187" i="198"/>
  <c r="AT188" i="198"/>
  <c r="AU188" i="198"/>
  <c r="AT189" i="198"/>
  <c r="AU189" i="198"/>
  <c r="AT190" i="198"/>
  <c r="AU190" i="198"/>
  <c r="AT191" i="198"/>
  <c r="AU191" i="198"/>
  <c r="AT192" i="198"/>
  <c r="AU192" i="198"/>
  <c r="AT193" i="198"/>
  <c r="AU193" i="198"/>
  <c r="AT194" i="198"/>
  <c r="AU194" i="198"/>
  <c r="AT195" i="198"/>
  <c r="AU195" i="198"/>
  <c r="AT196" i="198"/>
  <c r="AU196" i="198"/>
  <c r="AT197" i="198"/>
  <c r="AU197" i="198"/>
  <c r="AT198" i="198"/>
  <c r="AU198" i="198"/>
  <c r="AT199" i="198"/>
  <c r="AU199" i="198"/>
  <c r="AT200" i="198"/>
  <c r="AU200" i="198"/>
  <c r="AT201" i="198"/>
  <c r="AU201" i="198"/>
  <c r="AT202" i="198"/>
  <c r="AU202" i="198"/>
  <c r="AT203" i="198"/>
  <c r="AU203" i="198"/>
  <c r="AT204" i="198"/>
  <c r="AU204" i="198"/>
  <c r="AT205" i="198"/>
  <c r="AU205" i="198"/>
  <c r="AT206" i="198"/>
  <c r="AU206" i="198"/>
  <c r="AT207" i="198"/>
  <c r="AU207" i="198"/>
  <c r="AT208" i="198"/>
  <c r="AU208" i="198"/>
  <c r="AT209" i="198"/>
  <c r="AU209" i="198"/>
  <c r="AT210" i="198"/>
  <c r="AU210" i="198"/>
  <c r="AT211" i="198"/>
  <c r="AU211" i="198"/>
  <c r="AT212" i="198"/>
  <c r="AU212" i="198"/>
  <c r="AT213" i="198"/>
  <c r="AU213" i="198"/>
  <c r="AT214" i="198"/>
  <c r="AU214" i="198"/>
  <c r="AT215" i="198"/>
  <c r="AU215" i="198"/>
  <c r="AT216" i="198"/>
  <c r="AU216" i="198"/>
  <c r="AT217" i="198"/>
  <c r="AU217" i="198"/>
  <c r="AT218" i="198"/>
  <c r="AU218" i="198"/>
  <c r="AT219" i="198"/>
  <c r="AU219" i="198"/>
  <c r="AT220" i="198"/>
  <c r="AU220" i="198"/>
  <c r="AT221" i="198"/>
  <c r="AU221" i="198"/>
  <c r="AT222" i="198"/>
  <c r="AU222" i="198"/>
  <c r="AT223" i="198"/>
  <c r="AU223" i="198"/>
  <c r="AT224" i="198"/>
  <c r="AU224" i="198"/>
  <c r="AT225" i="198"/>
  <c r="AU225" i="198"/>
  <c r="AT226" i="198"/>
  <c r="AU226" i="198"/>
  <c r="AT227" i="198"/>
  <c r="AU227" i="198"/>
  <c r="AT228" i="198"/>
  <c r="AU228" i="198"/>
  <c r="AT229" i="198"/>
  <c r="AU229" i="198"/>
  <c r="AT230" i="198"/>
  <c r="AU230" i="198"/>
  <c r="AT231" i="198"/>
  <c r="AU231" i="198"/>
  <c r="AT232" i="198"/>
  <c r="AU232" i="198"/>
  <c r="AT233" i="198"/>
  <c r="AU233" i="198"/>
  <c r="AT234" i="198"/>
  <c r="AU234" i="198"/>
  <c r="AT235" i="198"/>
  <c r="AU235" i="198"/>
  <c r="AT236" i="198"/>
  <c r="AU236" i="198"/>
  <c r="AT237" i="198"/>
  <c r="AU237" i="198"/>
  <c r="AT238" i="198"/>
  <c r="AU238" i="198"/>
  <c r="AT239" i="198"/>
  <c r="AU239" i="198"/>
  <c r="AT240" i="198"/>
  <c r="AU240" i="198"/>
  <c r="AT241" i="198"/>
  <c r="AU241" i="198"/>
  <c r="AT242" i="198"/>
  <c r="AU242" i="198"/>
  <c r="AT243" i="198"/>
  <c r="AU243" i="198"/>
  <c r="AT244" i="198"/>
  <c r="AU244" i="198"/>
  <c r="AT245" i="198"/>
  <c r="AU245" i="198"/>
  <c r="AT246" i="198"/>
  <c r="AU246" i="198"/>
  <c r="AT247" i="198"/>
  <c r="AU247" i="198"/>
  <c r="AT248" i="198"/>
  <c r="AU248" i="198"/>
  <c r="AT249" i="198"/>
  <c r="AU249" i="198"/>
  <c r="AT250" i="198"/>
  <c r="AU250" i="198"/>
  <c r="AT251" i="198"/>
  <c r="AU251" i="198"/>
  <c r="AT252" i="198"/>
  <c r="AU252" i="198"/>
  <c r="AT253" i="198"/>
  <c r="AU253" i="198"/>
  <c r="AT254" i="198"/>
  <c r="AU254" i="198"/>
  <c r="AT255" i="198"/>
  <c r="AU255" i="198"/>
  <c r="AT256" i="198"/>
  <c r="AU256" i="198"/>
  <c r="AT257" i="198"/>
  <c r="AU257" i="198"/>
  <c r="AT258" i="198"/>
  <c r="AU258" i="198"/>
  <c r="AT259" i="198"/>
  <c r="AU259" i="198"/>
  <c r="AT260" i="198"/>
  <c r="AU260" i="198"/>
  <c r="AT261" i="198"/>
  <c r="AU261" i="198"/>
  <c r="AT262" i="198"/>
  <c r="AU262" i="198"/>
  <c r="AT263" i="198"/>
  <c r="AU263" i="198"/>
  <c r="AT264" i="198"/>
  <c r="AU264" i="198"/>
  <c r="AT265" i="198"/>
  <c r="AU265" i="198"/>
  <c r="AT266" i="198"/>
  <c r="AU266" i="198"/>
  <c r="AT267" i="198"/>
  <c r="AU267" i="198"/>
  <c r="AT268" i="198"/>
  <c r="AU268" i="198"/>
  <c r="AT269" i="198"/>
  <c r="AU269" i="198"/>
  <c r="AT270" i="198"/>
  <c r="AU270" i="198"/>
  <c r="AT271" i="198"/>
  <c r="AU271" i="198"/>
  <c r="AT272" i="198"/>
  <c r="AU272" i="198"/>
  <c r="AT273" i="198"/>
  <c r="AU273" i="198"/>
  <c r="AT274" i="198"/>
  <c r="AU274" i="198"/>
  <c r="AT275" i="198"/>
  <c r="AU275" i="198"/>
  <c r="AT276" i="198"/>
  <c r="AU276" i="198"/>
  <c r="AT277" i="198"/>
  <c r="AU277" i="198"/>
  <c r="AT278" i="198"/>
  <c r="AU278" i="198"/>
  <c r="AT279" i="198"/>
  <c r="AU279" i="198"/>
  <c r="AT280" i="198"/>
  <c r="AU280" i="198"/>
  <c r="AT281" i="198"/>
  <c r="AU281" i="198"/>
  <c r="AT282" i="198"/>
  <c r="AU282" i="198"/>
  <c r="AT283" i="198"/>
  <c r="AU283" i="198"/>
  <c r="AT284" i="198"/>
  <c r="AU284" i="198"/>
  <c r="AT285" i="198"/>
  <c r="AU285" i="198"/>
  <c r="AT286" i="198"/>
  <c r="AU286" i="198"/>
  <c r="AT287" i="198"/>
  <c r="AU287" i="198"/>
  <c r="AT288" i="198"/>
  <c r="AU288" i="198"/>
  <c r="AT289" i="198"/>
  <c r="AU289" i="198"/>
  <c r="AT290" i="198"/>
  <c r="AU290" i="198"/>
  <c r="AT291" i="198"/>
  <c r="AU291" i="198"/>
  <c r="AT292" i="198"/>
  <c r="AU292" i="198"/>
  <c r="AT293" i="198"/>
  <c r="AU293" i="198"/>
  <c r="AT294" i="198"/>
  <c r="AU294" i="198"/>
  <c r="AT295" i="198"/>
  <c r="AU295" i="198"/>
  <c r="AT296" i="198"/>
  <c r="AU296" i="198"/>
  <c r="AT297" i="198"/>
  <c r="AU297" i="198"/>
  <c r="AT298" i="198"/>
  <c r="AU298" i="198"/>
  <c r="AT299" i="198"/>
  <c r="AU299" i="198"/>
  <c r="AT300" i="198"/>
  <c r="AU300" i="198"/>
  <c r="AT301" i="198"/>
  <c r="AU301" i="198"/>
  <c r="AT302" i="198"/>
  <c r="AU302" i="198"/>
  <c r="AT303" i="198"/>
  <c r="AU303" i="198"/>
  <c r="AT304" i="198"/>
  <c r="AU304" i="198"/>
  <c r="AT305" i="198"/>
  <c r="AU305" i="198"/>
  <c r="AT306" i="198"/>
  <c r="AU306" i="198"/>
  <c r="AT307" i="198"/>
  <c r="AU307" i="198"/>
  <c r="AT308" i="198"/>
  <c r="AU308" i="198"/>
  <c r="AT309" i="198"/>
  <c r="AU309" i="198"/>
  <c r="AT310" i="198"/>
  <c r="AU310" i="198"/>
  <c r="AT311" i="198"/>
  <c r="AU311" i="198"/>
  <c r="AT312" i="198"/>
  <c r="AU312" i="198"/>
  <c r="AT313" i="198"/>
  <c r="AU313" i="198"/>
  <c r="AT314" i="198"/>
  <c r="AU314" i="198"/>
  <c r="AT315" i="198"/>
  <c r="AU315" i="198"/>
  <c r="AT316" i="198"/>
  <c r="AU316" i="198"/>
  <c r="AT317" i="198"/>
  <c r="AU317" i="198"/>
  <c r="AT318" i="198"/>
  <c r="AU318" i="198"/>
  <c r="AU20" i="198"/>
  <c r="AT20" i="198"/>
  <c r="AT19" i="198"/>
  <c r="AS19" i="198"/>
  <c r="AT18" i="198" l="1"/>
  <c r="AU18" i="198"/>
  <c r="AG19" i="196" l="1"/>
  <c r="AH19" i="196"/>
  <c r="AG20" i="196"/>
  <c r="AH20" i="196"/>
  <c r="AG21" i="196"/>
  <c r="AH21" i="196"/>
  <c r="AG22" i="196"/>
  <c r="AH22" i="196"/>
  <c r="AG23" i="196"/>
  <c r="AH23" i="196"/>
  <c r="AG24" i="196"/>
  <c r="AH24" i="196"/>
  <c r="AG25" i="196"/>
  <c r="AH25" i="196"/>
  <c r="AG26" i="196"/>
  <c r="AH26" i="196"/>
  <c r="AG27" i="196"/>
  <c r="AH27" i="196"/>
  <c r="AG28" i="196"/>
  <c r="AH28" i="196"/>
  <c r="AG29" i="196"/>
  <c r="AH29" i="196"/>
  <c r="AG30" i="196"/>
  <c r="AH30" i="196"/>
  <c r="AG31" i="196"/>
  <c r="AH31" i="196"/>
  <c r="AG32" i="196"/>
  <c r="AH32" i="196"/>
  <c r="AG33" i="196"/>
  <c r="AH33" i="196"/>
  <c r="AG34" i="196"/>
  <c r="AH34" i="196"/>
  <c r="AG35" i="196"/>
  <c r="AH35" i="196"/>
  <c r="AG36" i="196"/>
  <c r="AH36" i="196"/>
  <c r="AH18" i="196"/>
  <c r="AG18" i="196"/>
  <c r="BD202" i="133"/>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G39" i="182" l="1"/>
  <c r="AC61" i="183" l="1"/>
  <c r="G53" i="182" s="1"/>
  <c r="I53" i="182"/>
  <c r="H53" i="182" l="1"/>
  <c r="AN19" i="198" l="1"/>
  <c r="F12" i="182"/>
  <c r="I45" i="182" l="1"/>
  <c r="H45" i="182"/>
  <c r="G45" i="182"/>
  <c r="I39" i="182"/>
  <c r="H39" i="182"/>
  <c r="F39" i="182"/>
  <c r="AC18" i="183" l="1"/>
  <c r="AP27" i="200" l="1"/>
  <c r="AQ27" i="200"/>
  <c r="AK27" i="200"/>
  <c r="AJ27" i="200"/>
  <c r="H25" i="182" l="1"/>
  <c r="H24" i="182"/>
  <c r="X78" i="200" l="1"/>
  <c r="X106" i="200"/>
  <c r="X105" i="200"/>
  <c r="X104" i="200"/>
  <c r="X103" i="200"/>
  <c r="X102" i="200"/>
  <c r="X101" i="200"/>
  <c r="X100" i="200"/>
  <c r="X99" i="200"/>
  <c r="X98" i="200"/>
  <c r="X97" i="200"/>
  <c r="X96" i="200"/>
  <c r="X95" i="200"/>
  <c r="X94" i="200"/>
  <c r="X93" i="200"/>
  <c r="X92" i="200"/>
  <c r="X91" i="200"/>
  <c r="X90" i="200"/>
  <c r="X89" i="200"/>
  <c r="X88" i="200"/>
  <c r="X87" i="200"/>
  <c r="X86" i="200"/>
  <c r="X85" i="200"/>
  <c r="X84" i="200"/>
  <c r="X83" i="200"/>
  <c r="X82" i="200"/>
  <c r="X81" i="200"/>
  <c r="X80" i="200"/>
  <c r="X79" i="200"/>
  <c r="F44" i="182" l="1"/>
  <c r="F43" i="182"/>
  <c r="F42" i="182"/>
  <c r="F41" i="182"/>
  <c r="F40" i="182"/>
  <c r="F38" i="182"/>
  <c r="F37" i="182"/>
  <c r="F36" i="182"/>
  <c r="F35" i="182"/>
  <c r="G44" i="182"/>
  <c r="G43" i="182"/>
  <c r="G41" i="182"/>
  <c r="G40" i="182"/>
  <c r="G38" i="182"/>
  <c r="G37" i="182"/>
  <c r="G36" i="182"/>
  <c r="G35" i="182"/>
  <c r="F24" i="182"/>
  <c r="Y106" i="200" l="1"/>
  <c r="Y105" i="200"/>
  <c r="Y104" i="200"/>
  <c r="Y103" i="200"/>
  <c r="Y102" i="200"/>
  <c r="Y101" i="200"/>
  <c r="Y100" i="200"/>
  <c r="Y99" i="200"/>
  <c r="Y98" i="200"/>
  <c r="Y97" i="200"/>
  <c r="Y96" i="200"/>
  <c r="Y95" i="200"/>
  <c r="Y94" i="200"/>
  <c r="Y93" i="200"/>
  <c r="Y92" i="200"/>
  <c r="Y91" i="200"/>
  <c r="Y90" i="200"/>
  <c r="Y89" i="200"/>
  <c r="Y88" i="200"/>
  <c r="Y87" i="200"/>
  <c r="Y86" i="200"/>
  <c r="Y85" i="200"/>
  <c r="Y84" i="200"/>
  <c r="Y83" i="200"/>
  <c r="Y82" i="200"/>
  <c r="Y81" i="200"/>
  <c r="Y80" i="200"/>
  <c r="Y79" i="200"/>
  <c r="Y78" i="200"/>
  <c r="Y77" i="200"/>
  <c r="Z106" i="200"/>
  <c r="Z105" i="200"/>
  <c r="Z104" i="200"/>
  <c r="Z103" i="200"/>
  <c r="Z102" i="200"/>
  <c r="Z101" i="200"/>
  <c r="Z100" i="200"/>
  <c r="Z99" i="200"/>
  <c r="Z98" i="200"/>
  <c r="Z97" i="200"/>
  <c r="Z96" i="200"/>
  <c r="Z95" i="200"/>
  <c r="Z94" i="200"/>
  <c r="Z93" i="200"/>
  <c r="Z92" i="200"/>
  <c r="Z91" i="200"/>
  <c r="Z90" i="200"/>
  <c r="Z89" i="200"/>
  <c r="Z88" i="200"/>
  <c r="Z87" i="200"/>
  <c r="Z86" i="200"/>
  <c r="Z85" i="200"/>
  <c r="Z84" i="200"/>
  <c r="Z83" i="200"/>
  <c r="Z82" i="200"/>
  <c r="Z81" i="200"/>
  <c r="Z80" i="200"/>
  <c r="Z79" i="200"/>
  <c r="Z78" i="200"/>
  <c r="Z77" i="200"/>
  <c r="X77" i="200"/>
  <c r="W106" i="200"/>
  <c r="W105" i="200"/>
  <c r="W104" i="200"/>
  <c r="W103" i="200"/>
  <c r="W102" i="200"/>
  <c r="W101" i="200"/>
  <c r="W100" i="200"/>
  <c r="W99" i="200"/>
  <c r="W98" i="200"/>
  <c r="W97" i="200"/>
  <c r="W96" i="200"/>
  <c r="W95" i="200"/>
  <c r="W94" i="200"/>
  <c r="W93" i="200"/>
  <c r="W92" i="200"/>
  <c r="W91" i="200"/>
  <c r="W90" i="200"/>
  <c r="W89" i="200"/>
  <c r="W88" i="200"/>
  <c r="W87" i="200"/>
  <c r="W86" i="200"/>
  <c r="W85" i="200"/>
  <c r="W84" i="200"/>
  <c r="W83" i="200"/>
  <c r="W82" i="200"/>
  <c r="W81" i="200"/>
  <c r="W80" i="200"/>
  <c r="W79" i="200"/>
  <c r="W78" i="200"/>
  <c r="W77" i="200"/>
  <c r="P66" i="180" l="1"/>
  <c r="L42" i="195" l="1"/>
  <c r="R42" i="180" l="1"/>
  <c r="R41" i="180"/>
  <c r="R40" i="180"/>
  <c r="R39" i="180"/>
  <c r="R38" i="180"/>
  <c r="R37" i="180"/>
  <c r="R36" i="180"/>
  <c r="R35" i="180"/>
  <c r="R34" i="180"/>
  <c r="R33" i="180"/>
  <c r="L43" i="195"/>
  <c r="AU316" i="196" l="1"/>
  <c r="AU315" i="196"/>
  <c r="AU314" i="196"/>
  <c r="AU313" i="196"/>
  <c r="AU312" i="196"/>
  <c r="AU311" i="196"/>
  <c r="AU310" i="196"/>
  <c r="AU309" i="196"/>
  <c r="AU308" i="196"/>
  <c r="AU307" i="196"/>
  <c r="AU306" i="196"/>
  <c r="AU305" i="196"/>
  <c r="AU304" i="196"/>
  <c r="AU303" i="196"/>
  <c r="AU302" i="196"/>
  <c r="AU301" i="196"/>
  <c r="AU300" i="196"/>
  <c r="AU299" i="196"/>
  <c r="AU298" i="196"/>
  <c r="AU297" i="196"/>
  <c r="AU296" i="196"/>
  <c r="AU295" i="196"/>
  <c r="AU294" i="196"/>
  <c r="AU293" i="196"/>
  <c r="AU292" i="196"/>
  <c r="AU291" i="196"/>
  <c r="AU290" i="196"/>
  <c r="AU289" i="196"/>
  <c r="AU288" i="196"/>
  <c r="AU287" i="196"/>
  <c r="AU286" i="196"/>
  <c r="AU285" i="196"/>
  <c r="AU284" i="196"/>
  <c r="AU283" i="196"/>
  <c r="AU282" i="196"/>
  <c r="AU281" i="196"/>
  <c r="AU280" i="196"/>
  <c r="AU279" i="196"/>
  <c r="AU278" i="196"/>
  <c r="AU277" i="196"/>
  <c r="AU276" i="196"/>
  <c r="AU275" i="196"/>
  <c r="AU274" i="196"/>
  <c r="AU273" i="196"/>
  <c r="AU272" i="196"/>
  <c r="AU271" i="196"/>
  <c r="AU270" i="196"/>
  <c r="AU269" i="196"/>
  <c r="AU268" i="196"/>
  <c r="AU267" i="196"/>
  <c r="AU266" i="196"/>
  <c r="AU265" i="196"/>
  <c r="AU264" i="196"/>
  <c r="AU263" i="196"/>
  <c r="AU262" i="196"/>
  <c r="AU261" i="196"/>
  <c r="AU260" i="196"/>
  <c r="AU259" i="196"/>
  <c r="AU258" i="196"/>
  <c r="AU257" i="196"/>
  <c r="AU256" i="196"/>
  <c r="AU255" i="196"/>
  <c r="AU254" i="196"/>
  <c r="AU253" i="196"/>
  <c r="AU252" i="196"/>
  <c r="AU251" i="196"/>
  <c r="AU250" i="196"/>
  <c r="AU249" i="196"/>
  <c r="AU248" i="196"/>
  <c r="AU247" i="196"/>
  <c r="AU246" i="196"/>
  <c r="AU245" i="196"/>
  <c r="AU244" i="196"/>
  <c r="AU243" i="196"/>
  <c r="AU242" i="196"/>
  <c r="AU241" i="196"/>
  <c r="AU240" i="196"/>
  <c r="AU239" i="196"/>
  <c r="AU238" i="196"/>
  <c r="AU237" i="196"/>
  <c r="AU236" i="196"/>
  <c r="AU235" i="196"/>
  <c r="AU234" i="196"/>
  <c r="AU233" i="196"/>
  <c r="AU232" i="196"/>
  <c r="AU231" i="196"/>
  <c r="AU230" i="196"/>
  <c r="AU229" i="196"/>
  <c r="AU228" i="196"/>
  <c r="AU227" i="196"/>
  <c r="AU226" i="196"/>
  <c r="AU225" i="196"/>
  <c r="AU224" i="196"/>
  <c r="AU223" i="196"/>
  <c r="AU222" i="196"/>
  <c r="AU221" i="196"/>
  <c r="AU220" i="196"/>
  <c r="AU219" i="196"/>
  <c r="AU218" i="196"/>
  <c r="AU217" i="196"/>
  <c r="AU216" i="196"/>
  <c r="AU215" i="196"/>
  <c r="AU214" i="196"/>
  <c r="AU213" i="196"/>
  <c r="AU212" i="196"/>
  <c r="AU211" i="196"/>
  <c r="AU210" i="196"/>
  <c r="AU209" i="196"/>
  <c r="AU208" i="196"/>
  <c r="AU207" i="196"/>
  <c r="AU206" i="196"/>
  <c r="AU205" i="196"/>
  <c r="AU204" i="196"/>
  <c r="AU203" i="196"/>
  <c r="AU202" i="196"/>
  <c r="AU201" i="196"/>
  <c r="AU200" i="196"/>
  <c r="AU199" i="196"/>
  <c r="AU198" i="196"/>
  <c r="AU197" i="196"/>
  <c r="AU196" i="196"/>
  <c r="AU195" i="196"/>
  <c r="AU194" i="196"/>
  <c r="AU193" i="196"/>
  <c r="AU192" i="196"/>
  <c r="AU191" i="196"/>
  <c r="AU190" i="196"/>
  <c r="AU189" i="196"/>
  <c r="AU188" i="196"/>
  <c r="AU187" i="196"/>
  <c r="AU186" i="196"/>
  <c r="AU185" i="196"/>
  <c r="AU184" i="196"/>
  <c r="AU183" i="196"/>
  <c r="AU182" i="196"/>
  <c r="AU181" i="196"/>
  <c r="AU180" i="196"/>
  <c r="AU179" i="196"/>
  <c r="AU178" i="196"/>
  <c r="AU177" i="196"/>
  <c r="AU176" i="196"/>
  <c r="AU175" i="196"/>
  <c r="AU174" i="196"/>
  <c r="AU173" i="196"/>
  <c r="AU172" i="196"/>
  <c r="AU171" i="196"/>
  <c r="AU170" i="196"/>
  <c r="AU169" i="196"/>
  <c r="AU168" i="196"/>
  <c r="AU167" i="196"/>
  <c r="AU166" i="196"/>
  <c r="AU165" i="196"/>
  <c r="AU164" i="196"/>
  <c r="AU163" i="196"/>
  <c r="AU162" i="196"/>
  <c r="AU161" i="196"/>
  <c r="AU160" i="196"/>
  <c r="AU159" i="196"/>
  <c r="AU158" i="196"/>
  <c r="AU157" i="196"/>
  <c r="AU156" i="196"/>
  <c r="AU155" i="196"/>
  <c r="AU154" i="196"/>
  <c r="AU153" i="196"/>
  <c r="AU152" i="196"/>
  <c r="AU151" i="196"/>
  <c r="AU150" i="196"/>
  <c r="AU149" i="196"/>
  <c r="AU148" i="196"/>
  <c r="AU147" i="196"/>
  <c r="AU146" i="196"/>
  <c r="AU145" i="196"/>
  <c r="AU144" i="196"/>
  <c r="AU143" i="196"/>
  <c r="AU142" i="196"/>
  <c r="AU141" i="196"/>
  <c r="AU140" i="196"/>
  <c r="AU139" i="196"/>
  <c r="AU138" i="196"/>
  <c r="AU137" i="196"/>
  <c r="AU136" i="196"/>
  <c r="AU135" i="196"/>
  <c r="AU134" i="196"/>
  <c r="AU133" i="196"/>
  <c r="AU132" i="196"/>
  <c r="AU131" i="196"/>
  <c r="AU130" i="196"/>
  <c r="AU129" i="196"/>
  <c r="AU128" i="196"/>
  <c r="AU127" i="196"/>
  <c r="AU126" i="196"/>
  <c r="AU125" i="196"/>
  <c r="AU124" i="196"/>
  <c r="AU123" i="196"/>
  <c r="AU122" i="196"/>
  <c r="AU121" i="196"/>
  <c r="AU120" i="196"/>
  <c r="AU119" i="196"/>
  <c r="AU118" i="196"/>
  <c r="AU117" i="196"/>
  <c r="AU116" i="196"/>
  <c r="AU115" i="196"/>
  <c r="AU114" i="196"/>
  <c r="AU113" i="196"/>
  <c r="AU112" i="196"/>
  <c r="AU111" i="196"/>
  <c r="AU110" i="196"/>
  <c r="AU109" i="196"/>
  <c r="AU108" i="196"/>
  <c r="AU107" i="196"/>
  <c r="AU106" i="196"/>
  <c r="AU105" i="196"/>
  <c r="AU104" i="196"/>
  <c r="AU103" i="196"/>
  <c r="AU102" i="196"/>
  <c r="AU101" i="196"/>
  <c r="AU100" i="196"/>
  <c r="AU99" i="196"/>
  <c r="AU98" i="196"/>
  <c r="AU97" i="196"/>
  <c r="AU96" i="196"/>
  <c r="AU95" i="196"/>
  <c r="AU94" i="196"/>
  <c r="AU93" i="196"/>
  <c r="AU92" i="196"/>
  <c r="AU91" i="196"/>
  <c r="AU90" i="196"/>
  <c r="AU89" i="196"/>
  <c r="AU88" i="196"/>
  <c r="AU87" i="196"/>
  <c r="AU86" i="196"/>
  <c r="AU85" i="196"/>
  <c r="AU84" i="196"/>
  <c r="AU83" i="196"/>
  <c r="AU82" i="196"/>
  <c r="AU81" i="196"/>
  <c r="AU80" i="196"/>
  <c r="AU79" i="196"/>
  <c r="AU78" i="196"/>
  <c r="AU77" i="196"/>
  <c r="AU76" i="196"/>
  <c r="AU75" i="196"/>
  <c r="AU74" i="196"/>
  <c r="AU73" i="196"/>
  <c r="AU72" i="196"/>
  <c r="AU71" i="196"/>
  <c r="AU70" i="196"/>
  <c r="AU69" i="196"/>
  <c r="AU68" i="196"/>
  <c r="AU67" i="196"/>
  <c r="AU66" i="196"/>
  <c r="AU65" i="196"/>
  <c r="AU64" i="196"/>
  <c r="AU63" i="196"/>
  <c r="AU62" i="196"/>
  <c r="AU61" i="196"/>
  <c r="AU60" i="196"/>
  <c r="AU59" i="196"/>
  <c r="AU58" i="196"/>
  <c r="AU57" i="196"/>
  <c r="AU56" i="196"/>
  <c r="AU55" i="196"/>
  <c r="AU54" i="196"/>
  <c r="AU53" i="196"/>
  <c r="AU52" i="196"/>
  <c r="AU51" i="196"/>
  <c r="AU50" i="196"/>
  <c r="AU49" i="196"/>
  <c r="AU48" i="196"/>
  <c r="AU47" i="196"/>
  <c r="AU46" i="196"/>
  <c r="AU45" i="196"/>
  <c r="AU44" i="196"/>
  <c r="AU43" i="196"/>
  <c r="AU42" i="196"/>
  <c r="AU41" i="196"/>
  <c r="AU40" i="196"/>
  <c r="AU39" i="196"/>
  <c r="AU38" i="196"/>
  <c r="AU37" i="196"/>
  <c r="AU36" i="196"/>
  <c r="AU35" i="196"/>
  <c r="AU34" i="196"/>
  <c r="AU33" i="196"/>
  <c r="AU32" i="196"/>
  <c r="AU31" i="196"/>
  <c r="AU30" i="196"/>
  <c r="AU29" i="196"/>
  <c r="AU28" i="196"/>
  <c r="AU27" i="196"/>
  <c r="AU26" i="196"/>
  <c r="AU25" i="196"/>
  <c r="AU24" i="196"/>
  <c r="AU23" i="196"/>
  <c r="AU22" i="196"/>
  <c r="AU21" i="196"/>
  <c r="AU20" i="196"/>
  <c r="AU19" i="196"/>
  <c r="AU18" i="196"/>
  <c r="AU17" i="196"/>
  <c r="AT316" i="196"/>
  <c r="AT315" i="196"/>
  <c r="AT314" i="196"/>
  <c r="AT313" i="196"/>
  <c r="AT312" i="196"/>
  <c r="AT311" i="196"/>
  <c r="AT310" i="196"/>
  <c r="AT309" i="196"/>
  <c r="AT308" i="196"/>
  <c r="AT307" i="196"/>
  <c r="AT306" i="196"/>
  <c r="AT305" i="196"/>
  <c r="AT304" i="196"/>
  <c r="AT303" i="196"/>
  <c r="AT302" i="196"/>
  <c r="AT301" i="196"/>
  <c r="AT300" i="196"/>
  <c r="AT299" i="196"/>
  <c r="AT298" i="196"/>
  <c r="AT297" i="196"/>
  <c r="AT296" i="196"/>
  <c r="AT295" i="196"/>
  <c r="AT294" i="196"/>
  <c r="AT293" i="196"/>
  <c r="AT292" i="196"/>
  <c r="AT291" i="196"/>
  <c r="AT290" i="196"/>
  <c r="AT289" i="196"/>
  <c r="AT288" i="196"/>
  <c r="AT287" i="196"/>
  <c r="AT286" i="196"/>
  <c r="AT285" i="196"/>
  <c r="AT284" i="196"/>
  <c r="AT283" i="196"/>
  <c r="AT282" i="196"/>
  <c r="AT281" i="196"/>
  <c r="AT280" i="196"/>
  <c r="AT279" i="196"/>
  <c r="AT278" i="196"/>
  <c r="AT277" i="196"/>
  <c r="AT276" i="196"/>
  <c r="AT275" i="196"/>
  <c r="AT274" i="196"/>
  <c r="AT273" i="196"/>
  <c r="AT272" i="196"/>
  <c r="AT271" i="196"/>
  <c r="AT270" i="196"/>
  <c r="AT269" i="196"/>
  <c r="AT268" i="196"/>
  <c r="AT267" i="196"/>
  <c r="AT266" i="196"/>
  <c r="AT265" i="196"/>
  <c r="AT264" i="196"/>
  <c r="AT263" i="196"/>
  <c r="AT262" i="196"/>
  <c r="AT261" i="196"/>
  <c r="AT260" i="196"/>
  <c r="AT259" i="196"/>
  <c r="AT258" i="196"/>
  <c r="AT257" i="196"/>
  <c r="AT256" i="196"/>
  <c r="AT255" i="196"/>
  <c r="AT254" i="196"/>
  <c r="AT253" i="196"/>
  <c r="AT252" i="196"/>
  <c r="AT251" i="196"/>
  <c r="AT250" i="196"/>
  <c r="AT249" i="196"/>
  <c r="AT248" i="196"/>
  <c r="AT247" i="196"/>
  <c r="AT246" i="196"/>
  <c r="AT245" i="196"/>
  <c r="AT244" i="196"/>
  <c r="AT243" i="196"/>
  <c r="AT242" i="196"/>
  <c r="AT241" i="196"/>
  <c r="AT240" i="196"/>
  <c r="AT239" i="196"/>
  <c r="AT238" i="196"/>
  <c r="AT237" i="196"/>
  <c r="AT236" i="196"/>
  <c r="AT235" i="196"/>
  <c r="AT234" i="196"/>
  <c r="AT233" i="196"/>
  <c r="AT232" i="196"/>
  <c r="AT231" i="196"/>
  <c r="AT230" i="196"/>
  <c r="AT229" i="196"/>
  <c r="AT228" i="196"/>
  <c r="AT227" i="196"/>
  <c r="AT226" i="196"/>
  <c r="AT225" i="196"/>
  <c r="AT224" i="196"/>
  <c r="AT223" i="196"/>
  <c r="AT222" i="196"/>
  <c r="AT221" i="196"/>
  <c r="AT220" i="196"/>
  <c r="AT219" i="196"/>
  <c r="AT218" i="196"/>
  <c r="AT217" i="196"/>
  <c r="AT216" i="196"/>
  <c r="AT215" i="196"/>
  <c r="AT214" i="196"/>
  <c r="AT213" i="196"/>
  <c r="AT212" i="196"/>
  <c r="AT211" i="196"/>
  <c r="AT210" i="196"/>
  <c r="AT209" i="196"/>
  <c r="AT208" i="196"/>
  <c r="AT207" i="196"/>
  <c r="AT206" i="196"/>
  <c r="AT205" i="196"/>
  <c r="AT204" i="196"/>
  <c r="AT203" i="196"/>
  <c r="AT202" i="196"/>
  <c r="AT201" i="196"/>
  <c r="AT200" i="196"/>
  <c r="AT199" i="196"/>
  <c r="AT198" i="196"/>
  <c r="AT197" i="196"/>
  <c r="AT196" i="196"/>
  <c r="AT195" i="196"/>
  <c r="AT194" i="196"/>
  <c r="AT193" i="196"/>
  <c r="AT192" i="196"/>
  <c r="AT191" i="196"/>
  <c r="AT190" i="196"/>
  <c r="AT189" i="196"/>
  <c r="AT188" i="196"/>
  <c r="AT187" i="196"/>
  <c r="AT186" i="196"/>
  <c r="AT185" i="196"/>
  <c r="AT184" i="196"/>
  <c r="AT183" i="196"/>
  <c r="AT182" i="196"/>
  <c r="AT181" i="196"/>
  <c r="AT180" i="196"/>
  <c r="AT179" i="196"/>
  <c r="AT178" i="196"/>
  <c r="AT177" i="196"/>
  <c r="AT176" i="196"/>
  <c r="AT175" i="196"/>
  <c r="AT174" i="196"/>
  <c r="AT173" i="196"/>
  <c r="AT172" i="196"/>
  <c r="AT171" i="196"/>
  <c r="AT170" i="196"/>
  <c r="AT169" i="196"/>
  <c r="AT168" i="196"/>
  <c r="AT167" i="196"/>
  <c r="AT166" i="196"/>
  <c r="AT165" i="196"/>
  <c r="AT164" i="196"/>
  <c r="AT163" i="196"/>
  <c r="AT162" i="196"/>
  <c r="AT161" i="196"/>
  <c r="AT160" i="196"/>
  <c r="AT159" i="196"/>
  <c r="AT158" i="196"/>
  <c r="AT157" i="196"/>
  <c r="AT156" i="196"/>
  <c r="AT155" i="196"/>
  <c r="AT154" i="196"/>
  <c r="AT153" i="196"/>
  <c r="AT152" i="196"/>
  <c r="AT151" i="196"/>
  <c r="AT150" i="196"/>
  <c r="AT149" i="196"/>
  <c r="AT148" i="196"/>
  <c r="AT147" i="196"/>
  <c r="AT146" i="196"/>
  <c r="AT145" i="196"/>
  <c r="AT144" i="196"/>
  <c r="AT143" i="196"/>
  <c r="AT142" i="196"/>
  <c r="AT141" i="196"/>
  <c r="AT140" i="196"/>
  <c r="AT139" i="196"/>
  <c r="AT138" i="196"/>
  <c r="AT137" i="196"/>
  <c r="AT136" i="196"/>
  <c r="AT135" i="196"/>
  <c r="AT134" i="196"/>
  <c r="AT133" i="196"/>
  <c r="AT132" i="196"/>
  <c r="AT131" i="196"/>
  <c r="AT130" i="196"/>
  <c r="AT129" i="196"/>
  <c r="AT128" i="196"/>
  <c r="AT127" i="196"/>
  <c r="AT126" i="196"/>
  <c r="AT125" i="196"/>
  <c r="AT124" i="196"/>
  <c r="AT123" i="196"/>
  <c r="AT122" i="196"/>
  <c r="AT121" i="196"/>
  <c r="AT120" i="196"/>
  <c r="AT119" i="196"/>
  <c r="AT118" i="196"/>
  <c r="AT117" i="196"/>
  <c r="AT116" i="196"/>
  <c r="AT115" i="196"/>
  <c r="AT114" i="196"/>
  <c r="AT113" i="196"/>
  <c r="AT112" i="196"/>
  <c r="AT111" i="196"/>
  <c r="AT110" i="196"/>
  <c r="AT109" i="196"/>
  <c r="AT108" i="196"/>
  <c r="AT107" i="196"/>
  <c r="AT106" i="196"/>
  <c r="AT105" i="196"/>
  <c r="AT104" i="196"/>
  <c r="AT103" i="196"/>
  <c r="AT102" i="196"/>
  <c r="AT101" i="196"/>
  <c r="AT100" i="196"/>
  <c r="AT99" i="196"/>
  <c r="AT98" i="196"/>
  <c r="AT97" i="196"/>
  <c r="AT96" i="196"/>
  <c r="AT95" i="196"/>
  <c r="AT94" i="196"/>
  <c r="AT93" i="196"/>
  <c r="AT92" i="196"/>
  <c r="AT91" i="196"/>
  <c r="AT90" i="196"/>
  <c r="AT89" i="196"/>
  <c r="AT88" i="196"/>
  <c r="AT87" i="196"/>
  <c r="AT86" i="196"/>
  <c r="AT85" i="196"/>
  <c r="AT84" i="196"/>
  <c r="AT83" i="196"/>
  <c r="AT82" i="196"/>
  <c r="AT81" i="196"/>
  <c r="AT80" i="196"/>
  <c r="AT79" i="196"/>
  <c r="AT78" i="196"/>
  <c r="AT77" i="196"/>
  <c r="AT76" i="196"/>
  <c r="AT75" i="196"/>
  <c r="AT74" i="196"/>
  <c r="AT73" i="196"/>
  <c r="AT72" i="196"/>
  <c r="AT71" i="196"/>
  <c r="AT70" i="196"/>
  <c r="AT69" i="196"/>
  <c r="AT68" i="196"/>
  <c r="AT67" i="196"/>
  <c r="AT66" i="196"/>
  <c r="AT65" i="196"/>
  <c r="AT64" i="196"/>
  <c r="AT63" i="196"/>
  <c r="AT62" i="196"/>
  <c r="AT61" i="196"/>
  <c r="AT60" i="196"/>
  <c r="AT59" i="196"/>
  <c r="AT58" i="196"/>
  <c r="AT57" i="196"/>
  <c r="AT56" i="196"/>
  <c r="AT55" i="196"/>
  <c r="AT54" i="196"/>
  <c r="AT53" i="196"/>
  <c r="AT52" i="196"/>
  <c r="AT51" i="196"/>
  <c r="AT50" i="196"/>
  <c r="AT49" i="196"/>
  <c r="AT48" i="196"/>
  <c r="AT47" i="196"/>
  <c r="AT46" i="196"/>
  <c r="AT45" i="196"/>
  <c r="AT44" i="196"/>
  <c r="AT43" i="196"/>
  <c r="AT42" i="196"/>
  <c r="AT41" i="196"/>
  <c r="AT40" i="196"/>
  <c r="AT39" i="196"/>
  <c r="AT38" i="196"/>
  <c r="AT37" i="196"/>
  <c r="AT36" i="196"/>
  <c r="AT35" i="196"/>
  <c r="AT34" i="196"/>
  <c r="AT33" i="196"/>
  <c r="AT32" i="196"/>
  <c r="AT31" i="196"/>
  <c r="AT30" i="196"/>
  <c r="AT29" i="196"/>
  <c r="AT28" i="196"/>
  <c r="AT27" i="196"/>
  <c r="AT26" i="196"/>
  <c r="AT25" i="196"/>
  <c r="AT24" i="196"/>
  <c r="AT23" i="196"/>
  <c r="AT22" i="196"/>
  <c r="AT21" i="196"/>
  <c r="AT20" i="196"/>
  <c r="AT19" i="196"/>
  <c r="AT18" i="196"/>
  <c r="AT17" i="196"/>
  <c r="P169" i="180" l="1"/>
  <c r="P150" i="180"/>
  <c r="P116" i="180"/>
  <c r="P92" i="181" l="1"/>
  <c r="P188" i="180" l="1"/>
  <c r="Q58" i="181" l="1"/>
  <c r="Q57" i="181"/>
  <c r="P57" i="181"/>
  <c r="P58" i="181"/>
  <c r="K153" i="195"/>
  <c r="N258" i="180" l="1"/>
  <c r="N257" i="180"/>
  <c r="N256" i="180"/>
  <c r="N255" i="180"/>
  <c r="N254" i="180"/>
  <c r="N253" i="180"/>
  <c r="N252" i="180"/>
  <c r="N251" i="180"/>
  <c r="N250" i="180"/>
  <c r="N249" i="180"/>
  <c r="N248" i="180"/>
  <c r="N247" i="180"/>
  <c r="N246" i="180"/>
  <c r="N245" i="180"/>
  <c r="N244" i="180"/>
  <c r="N243" i="180"/>
  <c r="N242" i="180"/>
  <c r="N241" i="180"/>
  <c r="N240" i="180"/>
  <c r="N239" i="180"/>
  <c r="N238" i="180"/>
  <c r="N237" i="180"/>
  <c r="N236" i="180"/>
  <c r="N235" i="180"/>
  <c r="N234" i="180"/>
  <c r="N233" i="180"/>
  <c r="N232" i="180"/>
  <c r="N231" i="180"/>
  <c r="N230" i="180"/>
  <c r="N229" i="180"/>
  <c r="N140" i="180"/>
  <c r="N135" i="180"/>
  <c r="N139" i="180"/>
  <c r="N138" i="180"/>
  <c r="N137" i="180"/>
  <c r="N136" i="180"/>
  <c r="N134" i="180"/>
  <c r="N133" i="180"/>
  <c r="N132" i="180"/>
  <c r="N105" i="180"/>
  <c r="N103" i="180"/>
  <c r="N104" i="180"/>
  <c r="N102" i="180"/>
  <c r="N101" i="180"/>
  <c r="N100" i="180"/>
  <c r="N99" i="180"/>
  <c r="N98" i="180"/>
  <c r="N97" i="180"/>
  <c r="N77" i="180"/>
  <c r="N83" i="180"/>
  <c r="N85" i="180"/>
  <c r="N84" i="180"/>
  <c r="N82" i="180"/>
  <c r="N81" i="180"/>
  <c r="N80" i="180"/>
  <c r="N79" i="180"/>
  <c r="N78" i="180"/>
  <c r="N76" i="180"/>
  <c r="P258" i="180" l="1"/>
  <c r="P257" i="180"/>
  <c r="P256" i="180"/>
  <c r="P255" i="180"/>
  <c r="P254" i="180"/>
  <c r="P253" i="180"/>
  <c r="P252" i="180"/>
  <c r="P251" i="180"/>
  <c r="P250" i="180"/>
  <c r="P249" i="180"/>
  <c r="P248" i="180"/>
  <c r="P247" i="180"/>
  <c r="P246" i="180"/>
  <c r="P245" i="180"/>
  <c r="P244" i="180"/>
  <c r="P243" i="180"/>
  <c r="P242" i="180"/>
  <c r="P241" i="180"/>
  <c r="P240" i="180"/>
  <c r="P239" i="180"/>
  <c r="P238" i="180"/>
  <c r="P237" i="180"/>
  <c r="P236" i="180"/>
  <c r="P235" i="180"/>
  <c r="P234" i="180"/>
  <c r="P233" i="180"/>
  <c r="P232" i="180"/>
  <c r="P231" i="180"/>
  <c r="P230" i="180"/>
  <c r="P229" i="180"/>
  <c r="P259" i="180" l="1"/>
  <c r="P260" i="180"/>
  <c r="K38" i="188"/>
  <c r="J59" i="195" l="1"/>
  <c r="J60" i="195"/>
  <c r="J58" i="195"/>
  <c r="J57" i="195"/>
  <c r="J56" i="195"/>
  <c r="J55" i="195"/>
  <c r="J54" i="195"/>
  <c r="J53" i="195"/>
  <c r="J52" i="195"/>
  <c r="J51" i="195"/>
  <c r="N51" i="195"/>
  <c r="N60" i="195"/>
  <c r="N59" i="195"/>
  <c r="N58" i="195"/>
  <c r="N57" i="195"/>
  <c r="N56" i="195"/>
  <c r="N55" i="195"/>
  <c r="N54" i="195"/>
  <c r="N53" i="195"/>
  <c r="N52" i="195"/>
  <c r="L60" i="195"/>
  <c r="L59" i="195"/>
  <c r="L58" i="195"/>
  <c r="L57" i="195"/>
  <c r="L56" i="195"/>
  <c r="L55" i="195"/>
  <c r="L54" i="195"/>
  <c r="L53" i="195"/>
  <c r="L52" i="195"/>
  <c r="L51" i="195"/>
  <c r="U24" i="175"/>
  <c r="V24" i="175" s="1"/>
  <c r="L61" i="195" l="1"/>
  <c r="R79" i="180"/>
  <c r="H63" i="192" l="1"/>
  <c r="Z318" i="198" l="1"/>
  <c r="Z317" i="198"/>
  <c r="Z316" i="198"/>
  <c r="Z315" i="198"/>
  <c r="Z314" i="198"/>
  <c r="Z313" i="198"/>
  <c r="Z312" i="198"/>
  <c r="AC312" i="198" s="1"/>
  <c r="Z311" i="198"/>
  <c r="Z310" i="198"/>
  <c r="Z309" i="198"/>
  <c r="Z308" i="198"/>
  <c r="Z307" i="198"/>
  <c r="Z306" i="198"/>
  <c r="Z305" i="198"/>
  <c r="Z304" i="198"/>
  <c r="AF304" i="198" s="1"/>
  <c r="Z303" i="198"/>
  <c r="Z302" i="198"/>
  <c r="Z301" i="198"/>
  <c r="Z300" i="198"/>
  <c r="Z299" i="198"/>
  <c r="Z298" i="198"/>
  <c r="Z297" i="198"/>
  <c r="Z296" i="198"/>
  <c r="Z295" i="198"/>
  <c r="Z294" i="198"/>
  <c r="Z293" i="198"/>
  <c r="Z292" i="198"/>
  <c r="Z291" i="198"/>
  <c r="Z290" i="198"/>
  <c r="Z289" i="198"/>
  <c r="Z288" i="198"/>
  <c r="Z287" i="198"/>
  <c r="Z286" i="198"/>
  <c r="Z285" i="198"/>
  <c r="Z284" i="198"/>
  <c r="Z283" i="198"/>
  <c r="Z282" i="198"/>
  <c r="Z281" i="198"/>
  <c r="Z280" i="198"/>
  <c r="AF280" i="198" s="1"/>
  <c r="Z279" i="198"/>
  <c r="Z278" i="198"/>
  <c r="Z277" i="198"/>
  <c r="Z276" i="198"/>
  <c r="Z275" i="198"/>
  <c r="Z274" i="198"/>
  <c r="Z273" i="198"/>
  <c r="Z272" i="198"/>
  <c r="AC272" i="198" s="1"/>
  <c r="Z271" i="198"/>
  <c r="Z270" i="198"/>
  <c r="Z269" i="198"/>
  <c r="Z268" i="198"/>
  <c r="Z267" i="198"/>
  <c r="Z266" i="198"/>
  <c r="Z265" i="198"/>
  <c r="Z264" i="198"/>
  <c r="Z263" i="198"/>
  <c r="Z262" i="198"/>
  <c r="Z261" i="198"/>
  <c r="Z260" i="198"/>
  <c r="Z259" i="198"/>
  <c r="Z258" i="198"/>
  <c r="Z257" i="198"/>
  <c r="Z256" i="198"/>
  <c r="Z255" i="198"/>
  <c r="Z254" i="198"/>
  <c r="Z253" i="198"/>
  <c r="Z252" i="198"/>
  <c r="Z251" i="198"/>
  <c r="Z250" i="198"/>
  <c r="Z249" i="198"/>
  <c r="Z248" i="198"/>
  <c r="AF248" i="198" s="1"/>
  <c r="Z247" i="198"/>
  <c r="Z246" i="198"/>
  <c r="Z245" i="198"/>
  <c r="Z244" i="198"/>
  <c r="Z243" i="198"/>
  <c r="Z242" i="198"/>
  <c r="Z241" i="198"/>
  <c r="Z240" i="198"/>
  <c r="AF240" i="198" s="1"/>
  <c r="Z239" i="198"/>
  <c r="Z238" i="198"/>
  <c r="Z237" i="198"/>
  <c r="Z236" i="198"/>
  <c r="Z235" i="198"/>
  <c r="Z234" i="198"/>
  <c r="Z233" i="198"/>
  <c r="Z232" i="198"/>
  <c r="AC232" i="198" s="1"/>
  <c r="Z231" i="198"/>
  <c r="Z230" i="198"/>
  <c r="Z229" i="198"/>
  <c r="Z228" i="198"/>
  <c r="Z227" i="198"/>
  <c r="Z226" i="198"/>
  <c r="Z225" i="198"/>
  <c r="Z224" i="198"/>
  <c r="Z223" i="198"/>
  <c r="Z222" i="198"/>
  <c r="Z221" i="198"/>
  <c r="Z220" i="198"/>
  <c r="Z219" i="198"/>
  <c r="Z218" i="198"/>
  <c r="Z217" i="198"/>
  <c r="Z216" i="198"/>
  <c r="AC216" i="198" s="1"/>
  <c r="Z215" i="198"/>
  <c r="Z214" i="198"/>
  <c r="Z213" i="198"/>
  <c r="Z212" i="198"/>
  <c r="Z211" i="198"/>
  <c r="Z210" i="198"/>
  <c r="Z209" i="198"/>
  <c r="Z208" i="198"/>
  <c r="AF208" i="198" s="1"/>
  <c r="Z207" i="198"/>
  <c r="Z206" i="198"/>
  <c r="Z205" i="198"/>
  <c r="Z204" i="198"/>
  <c r="Z203" i="198"/>
  <c r="Z202" i="198"/>
  <c r="Z201" i="198"/>
  <c r="Z200" i="198"/>
  <c r="AC200" i="198" s="1"/>
  <c r="Z199" i="198"/>
  <c r="Z198" i="198"/>
  <c r="Z197" i="198"/>
  <c r="Z196" i="198"/>
  <c r="Z195" i="198"/>
  <c r="Z194" i="198"/>
  <c r="Z193" i="198"/>
  <c r="Z192" i="198"/>
  <c r="Z191" i="198"/>
  <c r="Z190" i="198"/>
  <c r="Z189" i="198"/>
  <c r="Z188" i="198"/>
  <c r="Z187" i="198"/>
  <c r="Z186" i="198"/>
  <c r="Z185" i="198"/>
  <c r="Z184" i="198"/>
  <c r="Z183" i="198"/>
  <c r="Z182" i="198"/>
  <c r="Z181" i="198"/>
  <c r="Z180" i="198"/>
  <c r="Z179" i="198"/>
  <c r="Z178" i="198"/>
  <c r="Z177" i="198"/>
  <c r="Z176" i="198"/>
  <c r="AC176" i="198" s="1"/>
  <c r="Z175" i="198"/>
  <c r="Z174" i="198"/>
  <c r="Z173" i="198"/>
  <c r="Z172" i="198"/>
  <c r="Z171" i="198"/>
  <c r="Z170" i="198"/>
  <c r="Z169" i="198"/>
  <c r="Z168" i="198"/>
  <c r="Z167" i="198"/>
  <c r="Z166" i="198"/>
  <c r="Z165" i="198"/>
  <c r="Z164" i="198"/>
  <c r="Z163" i="198"/>
  <c r="Z162" i="198"/>
  <c r="Z161" i="198"/>
  <c r="Z160" i="198"/>
  <c r="Z159" i="198"/>
  <c r="Z158" i="198"/>
  <c r="Z157" i="198"/>
  <c r="Z156" i="198"/>
  <c r="Z155" i="198"/>
  <c r="Z154" i="198"/>
  <c r="Z153" i="198"/>
  <c r="Z152" i="198"/>
  <c r="AC152" i="198" s="1"/>
  <c r="Z151" i="198"/>
  <c r="Z150" i="198"/>
  <c r="Z149" i="198"/>
  <c r="Z148" i="198"/>
  <c r="Z147" i="198"/>
  <c r="Z146" i="198"/>
  <c r="Z145" i="198"/>
  <c r="Z144" i="198"/>
  <c r="Z143" i="198"/>
  <c r="Z142" i="198"/>
  <c r="Z141" i="198"/>
  <c r="Z140" i="198"/>
  <c r="Z139" i="198"/>
  <c r="Z138" i="198"/>
  <c r="Z137" i="198"/>
  <c r="Z136" i="198"/>
  <c r="Z135" i="198"/>
  <c r="Z134" i="198"/>
  <c r="Z133" i="198"/>
  <c r="Z132" i="198"/>
  <c r="Z131" i="198"/>
  <c r="Z130" i="198"/>
  <c r="Z129" i="198"/>
  <c r="Z128" i="198"/>
  <c r="AF128" i="198" s="1"/>
  <c r="Z127" i="198"/>
  <c r="Z126" i="198"/>
  <c r="Z125" i="198"/>
  <c r="Z124" i="198"/>
  <c r="Z123" i="198"/>
  <c r="Z122" i="198"/>
  <c r="Z121" i="198"/>
  <c r="Z120" i="198"/>
  <c r="Z119" i="198"/>
  <c r="Z118" i="198"/>
  <c r="Z117" i="198"/>
  <c r="Z116" i="198"/>
  <c r="Z115" i="198"/>
  <c r="Z114" i="198"/>
  <c r="Z113" i="198"/>
  <c r="Z112" i="198"/>
  <c r="AF112" i="198" s="1"/>
  <c r="Z111" i="198"/>
  <c r="Z110" i="198"/>
  <c r="Z109" i="198"/>
  <c r="Z108" i="198"/>
  <c r="Z107" i="198"/>
  <c r="Z106" i="198"/>
  <c r="Z105" i="198"/>
  <c r="Z104" i="198"/>
  <c r="Z103" i="198"/>
  <c r="Z102" i="198"/>
  <c r="Z101" i="198"/>
  <c r="Z100" i="198"/>
  <c r="Z99" i="198"/>
  <c r="Z98" i="198"/>
  <c r="Z97" i="198"/>
  <c r="Z96" i="198"/>
  <c r="Z95" i="198"/>
  <c r="Z94" i="198"/>
  <c r="Z93" i="198"/>
  <c r="Z92" i="198"/>
  <c r="Z91" i="198"/>
  <c r="Z90" i="198"/>
  <c r="Z89" i="198"/>
  <c r="Z88" i="198"/>
  <c r="Z87" i="198"/>
  <c r="Z86" i="198"/>
  <c r="Z85" i="198"/>
  <c r="Z84" i="198"/>
  <c r="Z83" i="198"/>
  <c r="Z82" i="198"/>
  <c r="Z81" i="198"/>
  <c r="Z80" i="198"/>
  <c r="AF80" i="198" s="1"/>
  <c r="Z79" i="198"/>
  <c r="Z78" i="198"/>
  <c r="Z77" i="198"/>
  <c r="Z76" i="198"/>
  <c r="Z75" i="198"/>
  <c r="Z74" i="198"/>
  <c r="Z73" i="198"/>
  <c r="Z72" i="198"/>
  <c r="Z71" i="198"/>
  <c r="Z70" i="198"/>
  <c r="Z69" i="198"/>
  <c r="Z68" i="198"/>
  <c r="Z67" i="198"/>
  <c r="Z66" i="198"/>
  <c r="Z65" i="198"/>
  <c r="Z64" i="198"/>
  <c r="Z63" i="198"/>
  <c r="Z62" i="198"/>
  <c r="Z61" i="198"/>
  <c r="Z60" i="198"/>
  <c r="Z59" i="198"/>
  <c r="Z58" i="198"/>
  <c r="Z57" i="198"/>
  <c r="Z56" i="198"/>
  <c r="Z55" i="198"/>
  <c r="Z54" i="198"/>
  <c r="Z53" i="198"/>
  <c r="Z52" i="198"/>
  <c r="Z51" i="198"/>
  <c r="Z50" i="198"/>
  <c r="Z49" i="198"/>
  <c r="Z48" i="198"/>
  <c r="Z47" i="198"/>
  <c r="Z46" i="198"/>
  <c r="Z45" i="198"/>
  <c r="Z44" i="198"/>
  <c r="Z43" i="198"/>
  <c r="Z42" i="198"/>
  <c r="Z41" i="198"/>
  <c r="Z40" i="198"/>
  <c r="AC40" i="198" s="1"/>
  <c r="Z39" i="198"/>
  <c r="Z38" i="198"/>
  <c r="Z37" i="198"/>
  <c r="Z36" i="198"/>
  <c r="Z35" i="198"/>
  <c r="Z34" i="198"/>
  <c r="Z33" i="198"/>
  <c r="Z32" i="198"/>
  <c r="Z31" i="198"/>
  <c r="Z30" i="198"/>
  <c r="Z29" i="198"/>
  <c r="Z28" i="198"/>
  <c r="Z27" i="198"/>
  <c r="Z26" i="198"/>
  <c r="Z25" i="198"/>
  <c r="Z24" i="198"/>
  <c r="Z23" i="198"/>
  <c r="Z22" i="198"/>
  <c r="Z21" i="198"/>
  <c r="Z20" i="198"/>
  <c r="Z19" i="198"/>
  <c r="AM318" i="198"/>
  <c r="AM317" i="198"/>
  <c r="AM316" i="198"/>
  <c r="AM315" i="198"/>
  <c r="AM314" i="198"/>
  <c r="AM313" i="198"/>
  <c r="AM312" i="198"/>
  <c r="AM311" i="198"/>
  <c r="AM310" i="198"/>
  <c r="AM309" i="198"/>
  <c r="AM308" i="198"/>
  <c r="AM307" i="198"/>
  <c r="AM306" i="198"/>
  <c r="AM305" i="198"/>
  <c r="AM304" i="198"/>
  <c r="AM303" i="198"/>
  <c r="AM302" i="198"/>
  <c r="AM301" i="198"/>
  <c r="AM300" i="198"/>
  <c r="AM299" i="198"/>
  <c r="AM298" i="198"/>
  <c r="AM297" i="198"/>
  <c r="AM296" i="198"/>
  <c r="AM295" i="198"/>
  <c r="AM294" i="198"/>
  <c r="AM293" i="198"/>
  <c r="AM292" i="198"/>
  <c r="AM291" i="198"/>
  <c r="AM290" i="198"/>
  <c r="AM289" i="198"/>
  <c r="AM288" i="198"/>
  <c r="AM287" i="198"/>
  <c r="AM286" i="198"/>
  <c r="AM285" i="198"/>
  <c r="AM284" i="198"/>
  <c r="AM283" i="198"/>
  <c r="AM282" i="198"/>
  <c r="AM281" i="198"/>
  <c r="AM280" i="198"/>
  <c r="AM279" i="198"/>
  <c r="AM278" i="198"/>
  <c r="AM277" i="198"/>
  <c r="AM276" i="198"/>
  <c r="AM275" i="198"/>
  <c r="AM274" i="198"/>
  <c r="AM273" i="198"/>
  <c r="AM272" i="198"/>
  <c r="AM271" i="198"/>
  <c r="AM270" i="198"/>
  <c r="AM269" i="198"/>
  <c r="AM268" i="198"/>
  <c r="AM267" i="198"/>
  <c r="AM266" i="198"/>
  <c r="AM265" i="198"/>
  <c r="AM264" i="198"/>
  <c r="AM263" i="198"/>
  <c r="AM262" i="198"/>
  <c r="AM261" i="198"/>
  <c r="AM260" i="198"/>
  <c r="AM259" i="198"/>
  <c r="AM258" i="198"/>
  <c r="AM257" i="198"/>
  <c r="AM256" i="198"/>
  <c r="AM255" i="198"/>
  <c r="AM254" i="198"/>
  <c r="AM253" i="198"/>
  <c r="AM252" i="198"/>
  <c r="AM251" i="198"/>
  <c r="AM250" i="198"/>
  <c r="AM249" i="198"/>
  <c r="AM248" i="198"/>
  <c r="AM247" i="198"/>
  <c r="AM246" i="198"/>
  <c r="AM245" i="198"/>
  <c r="AM244" i="198"/>
  <c r="AM243" i="198"/>
  <c r="AM242" i="198"/>
  <c r="AM241" i="198"/>
  <c r="AM240" i="198"/>
  <c r="AM239" i="198"/>
  <c r="AM238" i="198"/>
  <c r="AM237" i="198"/>
  <c r="AM236" i="198"/>
  <c r="AM235" i="198"/>
  <c r="AM234" i="198"/>
  <c r="AM233" i="198"/>
  <c r="AM232" i="198"/>
  <c r="AM231" i="198"/>
  <c r="AM230" i="198"/>
  <c r="AM229" i="198"/>
  <c r="AM228" i="198"/>
  <c r="AM227" i="198"/>
  <c r="AM226" i="198"/>
  <c r="AM225" i="198"/>
  <c r="AM224" i="198"/>
  <c r="AM223" i="198"/>
  <c r="AM222" i="198"/>
  <c r="AM221" i="198"/>
  <c r="AM220" i="198"/>
  <c r="AM219" i="198"/>
  <c r="AM218" i="198"/>
  <c r="AM217" i="198"/>
  <c r="AM216" i="198"/>
  <c r="AM215" i="198"/>
  <c r="AM214" i="198"/>
  <c r="AM213" i="198"/>
  <c r="AM212" i="198"/>
  <c r="AM211" i="198"/>
  <c r="AM210" i="198"/>
  <c r="AM209" i="198"/>
  <c r="AM208" i="198"/>
  <c r="AM207" i="198"/>
  <c r="AM206" i="198"/>
  <c r="AM205" i="198"/>
  <c r="AM204" i="198"/>
  <c r="AM203" i="198"/>
  <c r="AM202" i="198"/>
  <c r="AM201" i="198"/>
  <c r="AM200" i="198"/>
  <c r="AM199" i="198"/>
  <c r="AM198" i="198"/>
  <c r="AM197" i="198"/>
  <c r="AM196" i="198"/>
  <c r="AM195" i="198"/>
  <c r="AM194" i="198"/>
  <c r="AM193" i="198"/>
  <c r="AM192" i="198"/>
  <c r="AM191" i="198"/>
  <c r="AM190" i="198"/>
  <c r="AM189" i="198"/>
  <c r="AM188" i="198"/>
  <c r="AM187" i="198"/>
  <c r="AM186" i="198"/>
  <c r="AM185" i="198"/>
  <c r="AM184" i="198"/>
  <c r="AM183" i="198"/>
  <c r="AM182" i="198"/>
  <c r="AM181" i="198"/>
  <c r="AM180" i="198"/>
  <c r="AM179" i="198"/>
  <c r="AM178" i="198"/>
  <c r="AM177" i="198"/>
  <c r="AM176" i="198"/>
  <c r="AM175" i="198"/>
  <c r="AM174" i="198"/>
  <c r="AM173" i="198"/>
  <c r="AM172" i="198"/>
  <c r="AM171" i="198"/>
  <c r="AM170" i="198"/>
  <c r="AM169" i="198"/>
  <c r="AM168" i="198"/>
  <c r="AM167" i="198"/>
  <c r="AM166" i="198"/>
  <c r="AM165" i="198"/>
  <c r="AM164" i="198"/>
  <c r="AM163" i="198"/>
  <c r="AM162" i="198"/>
  <c r="AM161" i="198"/>
  <c r="AM160" i="198"/>
  <c r="AM159" i="198"/>
  <c r="AM158" i="198"/>
  <c r="AM157" i="198"/>
  <c r="AM156" i="198"/>
  <c r="AM155" i="198"/>
  <c r="AM154" i="198"/>
  <c r="AM153" i="198"/>
  <c r="AM152" i="198"/>
  <c r="AM151" i="198"/>
  <c r="AM150" i="198"/>
  <c r="AM149" i="198"/>
  <c r="AM148" i="198"/>
  <c r="AM147" i="198"/>
  <c r="AM146" i="198"/>
  <c r="AM145" i="198"/>
  <c r="AM144" i="198"/>
  <c r="AM143" i="198"/>
  <c r="AM142" i="198"/>
  <c r="AM141" i="198"/>
  <c r="AM140" i="198"/>
  <c r="AM139" i="198"/>
  <c r="AM138" i="198"/>
  <c r="AM137" i="198"/>
  <c r="AM136" i="198"/>
  <c r="AM135" i="198"/>
  <c r="AM134" i="198"/>
  <c r="AM133" i="198"/>
  <c r="AM132" i="198"/>
  <c r="AM131" i="198"/>
  <c r="AM130" i="198"/>
  <c r="AM129" i="198"/>
  <c r="AM128" i="198"/>
  <c r="AM127" i="198"/>
  <c r="AM126" i="198"/>
  <c r="AM125" i="198"/>
  <c r="AM124" i="198"/>
  <c r="AM123" i="198"/>
  <c r="AM122" i="198"/>
  <c r="AM121" i="198"/>
  <c r="AM120" i="198"/>
  <c r="AM119" i="198"/>
  <c r="AM118" i="198"/>
  <c r="AM117" i="198"/>
  <c r="AM116" i="198"/>
  <c r="AM115" i="198"/>
  <c r="AM114" i="198"/>
  <c r="AM113" i="198"/>
  <c r="AM112" i="198"/>
  <c r="AM111" i="198"/>
  <c r="AM110" i="198"/>
  <c r="AM109" i="198"/>
  <c r="AM108" i="198"/>
  <c r="AM107" i="198"/>
  <c r="AM106" i="198"/>
  <c r="AM105" i="198"/>
  <c r="AM104" i="198"/>
  <c r="AM103" i="198"/>
  <c r="AM102" i="198"/>
  <c r="AM101" i="198"/>
  <c r="AM100" i="198"/>
  <c r="AM99" i="198"/>
  <c r="AM98" i="198"/>
  <c r="AM97" i="198"/>
  <c r="AM96" i="198"/>
  <c r="AM95" i="198"/>
  <c r="AM94" i="198"/>
  <c r="AM93" i="198"/>
  <c r="AM92" i="198"/>
  <c r="AM91" i="198"/>
  <c r="AM90" i="198"/>
  <c r="AM89" i="198"/>
  <c r="AM88" i="198"/>
  <c r="AM87" i="198"/>
  <c r="AM86" i="198"/>
  <c r="AM85" i="198"/>
  <c r="AM84" i="198"/>
  <c r="AM83" i="198"/>
  <c r="AM82" i="198"/>
  <c r="AM81" i="198"/>
  <c r="AM80" i="198"/>
  <c r="AM79" i="198"/>
  <c r="AM78" i="198"/>
  <c r="AM77" i="198"/>
  <c r="AM76" i="198"/>
  <c r="AM75" i="198"/>
  <c r="AM74" i="198"/>
  <c r="AM73" i="198"/>
  <c r="AM72" i="198"/>
  <c r="AM71" i="198"/>
  <c r="AM70" i="198"/>
  <c r="AM69" i="198"/>
  <c r="AM68" i="198"/>
  <c r="AM67" i="198"/>
  <c r="AM66" i="198"/>
  <c r="AM65" i="198"/>
  <c r="AM64" i="198"/>
  <c r="AM63" i="198"/>
  <c r="AM62" i="198"/>
  <c r="AM61" i="198"/>
  <c r="AM60" i="198"/>
  <c r="AM59" i="198"/>
  <c r="AM58" i="198"/>
  <c r="AM57" i="198"/>
  <c r="AM56" i="198"/>
  <c r="AM55" i="198"/>
  <c r="AM54" i="198"/>
  <c r="AM53" i="198"/>
  <c r="AM52" i="198"/>
  <c r="AM51" i="198"/>
  <c r="AM50" i="198"/>
  <c r="AM49" i="198"/>
  <c r="AM48" i="198"/>
  <c r="AM47" i="198"/>
  <c r="AM46" i="198"/>
  <c r="AM45" i="198"/>
  <c r="AM44" i="198"/>
  <c r="AM43" i="198"/>
  <c r="AM42" i="198"/>
  <c r="AM41" i="198"/>
  <c r="AM40" i="198"/>
  <c r="AM39" i="198"/>
  <c r="AM38" i="198"/>
  <c r="AM37" i="198"/>
  <c r="AM36" i="198"/>
  <c r="AM35" i="198"/>
  <c r="AM34" i="198"/>
  <c r="AM33" i="198"/>
  <c r="AM32" i="198"/>
  <c r="AM31" i="198"/>
  <c r="AM30" i="198"/>
  <c r="AM29" i="198"/>
  <c r="AM28" i="198"/>
  <c r="AM27" i="198"/>
  <c r="AM26" i="198"/>
  <c r="AM25" i="198"/>
  <c r="AM24" i="198"/>
  <c r="AM23" i="198"/>
  <c r="AM22" i="198"/>
  <c r="AM21" i="198"/>
  <c r="AM20" i="198"/>
  <c r="AM19" i="198"/>
  <c r="AF318" i="198"/>
  <c r="AC318" i="198"/>
  <c r="AF317" i="198"/>
  <c r="AF316" i="198"/>
  <c r="AF314" i="198"/>
  <c r="AC314" i="198"/>
  <c r="AF312" i="198"/>
  <c r="AF310" i="198"/>
  <c r="AF308" i="198"/>
  <c r="AC308" i="198"/>
  <c r="AF306" i="198"/>
  <c r="AC306" i="198"/>
  <c r="AC304" i="198"/>
  <c r="AC302" i="198"/>
  <c r="AC300" i="198"/>
  <c r="AC296" i="198"/>
  <c r="AC294" i="198"/>
  <c r="AF292" i="198"/>
  <c r="AC292" i="198"/>
  <c r="AF290" i="198"/>
  <c r="AF288" i="198"/>
  <c r="AC286" i="198"/>
  <c r="AC284" i="198"/>
  <c r="AC282" i="198"/>
  <c r="AF278" i="198"/>
  <c r="AC278" i="198"/>
  <c r="AF276" i="198"/>
  <c r="AC270" i="198"/>
  <c r="AF266" i="198"/>
  <c r="AC260" i="198"/>
  <c r="AC258" i="198"/>
  <c r="AC254" i="198"/>
  <c r="AC248" i="198"/>
  <c r="AC246" i="198"/>
  <c r="AF244" i="198"/>
  <c r="AC244" i="198"/>
  <c r="AF242" i="198"/>
  <c r="AC242" i="198"/>
  <c r="AF236" i="198"/>
  <c r="AC234" i="198"/>
  <c r="AF220" i="198"/>
  <c r="AF218" i="198"/>
  <c r="AC218" i="198"/>
  <c r="AC208" i="198"/>
  <c r="AF206" i="198"/>
  <c r="AF204" i="198"/>
  <c r="AC204" i="198"/>
  <c r="AC198" i="198"/>
  <c r="AF196" i="198"/>
  <c r="AF194" i="198"/>
  <c r="AF188" i="198"/>
  <c r="AC188" i="198"/>
  <c r="AF186" i="198"/>
  <c r="AF180" i="198"/>
  <c r="AC180" i="198"/>
  <c r="AF172" i="198"/>
  <c r="AC172" i="198"/>
  <c r="AF164" i="198"/>
  <c r="AF162" i="198"/>
  <c r="AF158" i="198"/>
  <c r="AF156" i="198"/>
  <c r="AC150" i="198"/>
  <c r="AF148" i="198"/>
  <c r="AC148" i="198"/>
  <c r="AC146" i="198"/>
  <c r="AF140" i="198"/>
  <c r="AC140" i="198"/>
  <c r="AF138" i="198"/>
  <c r="AF134" i="198"/>
  <c r="AC134" i="198"/>
  <c r="AC132" i="198"/>
  <c r="AF120" i="198"/>
  <c r="AC117" i="198"/>
  <c r="AC116" i="198"/>
  <c r="AF114" i="198"/>
  <c r="AF110" i="198"/>
  <c r="AC102" i="198"/>
  <c r="AF100" i="198"/>
  <c r="AC98" i="198"/>
  <c r="AF97" i="198"/>
  <c r="AC96" i="198"/>
  <c r="AC92" i="198"/>
  <c r="AC90" i="198"/>
  <c r="AC84" i="198"/>
  <c r="AC80" i="198"/>
  <c r="AF78" i="198"/>
  <c r="AC76" i="198"/>
  <c r="AF74" i="198"/>
  <c r="AC66" i="198"/>
  <c r="AC62" i="198"/>
  <c r="AC60" i="198"/>
  <c r="AF52" i="198"/>
  <c r="AC50" i="198"/>
  <c r="AF38" i="198"/>
  <c r="AC38" i="198"/>
  <c r="AC36" i="198"/>
  <c r="AF28" i="198"/>
  <c r="AC28" i="198"/>
  <c r="AC26" i="198"/>
  <c r="AF24" i="198"/>
  <c r="AC20" i="198"/>
  <c r="AE316" i="197"/>
  <c r="AE315" i="197"/>
  <c r="AE314" i="197"/>
  <c r="AE313" i="197"/>
  <c r="AF313" i="197" s="1"/>
  <c r="AT313" i="197" s="1"/>
  <c r="AE312" i="197"/>
  <c r="AF312" i="197" s="1"/>
  <c r="AT312" i="197" s="1"/>
  <c r="AE311" i="197"/>
  <c r="AE310" i="197"/>
  <c r="AF310" i="197" s="1"/>
  <c r="AT310" i="197" s="1"/>
  <c r="AE309" i="197"/>
  <c r="AG309" i="197" s="1"/>
  <c r="AE308" i="197"/>
  <c r="AF308" i="197" s="1"/>
  <c r="AT308" i="197" s="1"/>
  <c r="AE307" i="197"/>
  <c r="AK307" i="197" s="1"/>
  <c r="AE306" i="197"/>
  <c r="AF306" i="197" s="1"/>
  <c r="AT306" i="197" s="1"/>
  <c r="AE305" i="197"/>
  <c r="AK305" i="197" s="1"/>
  <c r="AE304" i="197"/>
  <c r="AE303" i="197"/>
  <c r="AK303" i="197" s="1"/>
  <c r="AE302" i="197"/>
  <c r="AE301" i="197"/>
  <c r="AE300" i="197"/>
  <c r="AF300" i="197" s="1"/>
  <c r="AT300" i="197" s="1"/>
  <c r="AE299" i="197"/>
  <c r="AE298" i="197"/>
  <c r="AF298" i="197" s="1"/>
  <c r="AT298" i="197" s="1"/>
  <c r="AE297" i="197"/>
  <c r="AF297" i="197" s="1"/>
  <c r="AT297" i="197" s="1"/>
  <c r="AE296" i="197"/>
  <c r="AE295" i="197"/>
  <c r="AE294" i="197"/>
  <c r="AF294" i="197" s="1"/>
  <c r="AT294" i="197" s="1"/>
  <c r="AE293" i="197"/>
  <c r="AE292" i="197"/>
  <c r="AE291" i="197"/>
  <c r="AF291" i="197" s="1"/>
  <c r="AT291" i="197" s="1"/>
  <c r="AE290" i="197"/>
  <c r="AF290" i="197" s="1"/>
  <c r="AT290" i="197" s="1"/>
  <c r="AE289" i="197"/>
  <c r="AK289" i="197" s="1"/>
  <c r="AE288" i="197"/>
  <c r="AE287" i="197"/>
  <c r="AH287" i="197" s="1"/>
  <c r="AE286" i="197"/>
  <c r="AF286" i="197" s="1"/>
  <c r="AT286" i="197" s="1"/>
  <c r="AE285" i="197"/>
  <c r="AG285" i="197" s="1"/>
  <c r="AE284" i="197"/>
  <c r="AE283" i="197"/>
  <c r="AE282" i="197"/>
  <c r="AF282" i="197" s="1"/>
  <c r="AT282" i="197" s="1"/>
  <c r="AE281" i="197"/>
  <c r="AE280" i="197"/>
  <c r="AF280" i="197" s="1"/>
  <c r="AT280" i="197" s="1"/>
  <c r="AE279" i="197"/>
  <c r="AH279" i="197" s="1"/>
  <c r="AE278" i="197"/>
  <c r="AF278" i="197" s="1"/>
  <c r="AT278" i="197" s="1"/>
  <c r="AE277" i="197"/>
  <c r="AE276" i="197"/>
  <c r="AE275" i="197"/>
  <c r="AE274" i="197"/>
  <c r="AF274" i="197" s="1"/>
  <c r="AT274" i="197" s="1"/>
  <c r="AE273" i="197"/>
  <c r="AE272" i="197"/>
  <c r="AE271" i="197"/>
  <c r="AH271" i="197" s="1"/>
  <c r="AE270" i="197"/>
  <c r="AF270" i="197" s="1"/>
  <c r="AT270" i="197" s="1"/>
  <c r="AE269" i="197"/>
  <c r="AE268" i="197"/>
  <c r="AF268" i="197" s="1"/>
  <c r="AT268" i="197" s="1"/>
  <c r="AE267" i="197"/>
  <c r="AE266" i="197"/>
  <c r="AE265" i="197"/>
  <c r="AE264" i="197"/>
  <c r="AE263" i="197"/>
  <c r="AE262" i="197"/>
  <c r="AF262" i="197" s="1"/>
  <c r="AT262" i="197" s="1"/>
  <c r="AE261" i="197"/>
  <c r="AE260" i="197"/>
  <c r="AE259" i="197"/>
  <c r="AK259" i="197" s="1"/>
  <c r="AE258" i="197"/>
  <c r="AF258" i="197" s="1"/>
  <c r="AT258" i="197" s="1"/>
  <c r="AE257" i="197"/>
  <c r="AE256" i="197"/>
  <c r="AF256" i="197" s="1"/>
  <c r="AT256" i="197" s="1"/>
  <c r="AE255" i="197"/>
  <c r="AE254" i="197"/>
  <c r="AF254" i="197" s="1"/>
  <c r="AT254" i="197" s="1"/>
  <c r="AE253" i="197"/>
  <c r="AE252" i="197"/>
  <c r="AE251" i="197"/>
  <c r="AH251" i="197" s="1"/>
  <c r="AE250" i="197"/>
  <c r="AF250" i="197" s="1"/>
  <c r="AT250" i="197" s="1"/>
  <c r="AE249" i="197"/>
  <c r="AE248" i="197"/>
  <c r="AE247" i="197"/>
  <c r="AE246" i="197"/>
  <c r="AF246" i="197" s="1"/>
  <c r="AT246" i="197" s="1"/>
  <c r="AE245" i="197"/>
  <c r="AF245" i="197" s="1"/>
  <c r="AT245" i="197" s="1"/>
  <c r="AE244" i="197"/>
  <c r="AF244" i="197" s="1"/>
  <c r="AT244" i="197" s="1"/>
  <c r="AE243" i="197"/>
  <c r="AE242" i="197"/>
  <c r="AE241" i="197"/>
  <c r="AH241" i="197" s="1"/>
  <c r="AE240" i="197"/>
  <c r="AE239" i="197"/>
  <c r="AK239" i="197" s="1"/>
  <c r="AE238" i="197"/>
  <c r="AE237" i="197"/>
  <c r="AE236" i="197"/>
  <c r="AE235" i="197"/>
  <c r="AE234" i="197"/>
  <c r="AF234" i="197" s="1"/>
  <c r="AT234" i="197" s="1"/>
  <c r="AE233" i="197"/>
  <c r="AF233" i="197" s="1"/>
  <c r="AT233" i="197" s="1"/>
  <c r="AE232" i="197"/>
  <c r="AF232" i="197" s="1"/>
  <c r="AT232" i="197" s="1"/>
  <c r="AE231" i="197"/>
  <c r="AE230" i="197"/>
  <c r="AE229" i="197"/>
  <c r="AK229" i="197" s="1"/>
  <c r="AE228" i="197"/>
  <c r="AE227" i="197"/>
  <c r="AH227" i="197" s="1"/>
  <c r="AE226" i="197"/>
  <c r="AE225" i="197"/>
  <c r="AG225" i="197" s="1"/>
  <c r="AE224" i="197"/>
  <c r="AE223" i="197"/>
  <c r="AF223" i="197" s="1"/>
  <c r="AT223" i="197" s="1"/>
  <c r="AE222" i="197"/>
  <c r="AF222" i="197" s="1"/>
  <c r="AT222" i="197" s="1"/>
  <c r="AE221" i="197"/>
  <c r="AE220" i="197"/>
  <c r="AF220" i="197" s="1"/>
  <c r="AT220" i="197" s="1"/>
  <c r="AE219" i="197"/>
  <c r="AK219" i="197" s="1"/>
  <c r="AE218" i="197"/>
  <c r="AE217" i="197"/>
  <c r="AH217" i="197" s="1"/>
  <c r="AE216" i="197"/>
  <c r="AE215" i="197"/>
  <c r="AK215" i="197" s="1"/>
  <c r="AE214" i="197"/>
  <c r="AF214" i="197" s="1"/>
  <c r="AT214" i="197" s="1"/>
  <c r="AE213" i="197"/>
  <c r="AH213" i="197" s="1"/>
  <c r="AE212" i="197"/>
  <c r="AE211" i="197"/>
  <c r="AG211" i="197" s="1"/>
  <c r="AE210" i="197"/>
  <c r="AF210" i="197" s="1"/>
  <c r="AT210" i="197" s="1"/>
  <c r="AE209" i="197"/>
  <c r="AE208" i="197"/>
  <c r="AF208" i="197" s="1"/>
  <c r="AT208" i="197" s="1"/>
  <c r="AE207" i="197"/>
  <c r="AE206" i="197"/>
  <c r="AE205" i="197"/>
  <c r="AE204" i="197"/>
  <c r="AE203" i="197"/>
  <c r="AH203" i="197" s="1"/>
  <c r="AE202" i="197"/>
  <c r="AF202" i="197" s="1"/>
  <c r="AT202" i="197" s="1"/>
  <c r="AE201" i="197"/>
  <c r="AF201" i="197" s="1"/>
  <c r="AT201" i="197" s="1"/>
  <c r="AE200" i="197"/>
  <c r="AE199" i="197"/>
  <c r="AE198" i="197"/>
  <c r="AF198" i="197" s="1"/>
  <c r="AT198" i="197" s="1"/>
  <c r="AE197" i="197"/>
  <c r="AK197" i="197" s="1"/>
  <c r="AE196" i="197"/>
  <c r="AF196" i="197" s="1"/>
  <c r="AT196" i="197" s="1"/>
  <c r="AE195" i="197"/>
  <c r="AG195" i="197" s="1"/>
  <c r="AE194" i="197"/>
  <c r="AE193" i="197"/>
  <c r="AG193" i="197" s="1"/>
  <c r="AE192" i="197"/>
  <c r="AE191" i="197"/>
  <c r="AG191" i="197" s="1"/>
  <c r="AE190" i="197"/>
  <c r="AF190" i="197" s="1"/>
  <c r="AT190" i="197" s="1"/>
  <c r="AE189" i="197"/>
  <c r="AF189" i="197" s="1"/>
  <c r="AT189" i="197" s="1"/>
  <c r="AE188" i="197"/>
  <c r="AF188" i="197" s="1"/>
  <c r="AT188" i="197" s="1"/>
  <c r="AE187" i="197"/>
  <c r="AK187" i="197" s="1"/>
  <c r="AE186" i="197"/>
  <c r="AF186" i="197" s="1"/>
  <c r="AT186" i="197" s="1"/>
  <c r="AE185" i="197"/>
  <c r="AK185" i="197" s="1"/>
  <c r="AE184" i="197"/>
  <c r="AE183" i="197"/>
  <c r="AE182" i="197"/>
  <c r="AE181" i="197"/>
  <c r="AE180" i="197"/>
  <c r="AE179" i="197"/>
  <c r="AE178" i="197"/>
  <c r="AE177" i="197"/>
  <c r="AF177" i="197" s="1"/>
  <c r="AT177" i="197" s="1"/>
  <c r="AE176" i="197"/>
  <c r="AE175" i="197"/>
  <c r="AE174" i="197"/>
  <c r="AF174" i="197" s="1"/>
  <c r="AT174" i="197" s="1"/>
  <c r="AE173" i="197"/>
  <c r="AE172" i="197"/>
  <c r="AF172" i="197" s="1"/>
  <c r="AT172" i="197" s="1"/>
  <c r="AE171" i="197"/>
  <c r="AE170" i="197"/>
  <c r="AE169" i="197"/>
  <c r="AE168" i="197"/>
  <c r="AE167" i="197"/>
  <c r="AG167" i="197" s="1"/>
  <c r="AE166" i="197"/>
  <c r="AF166" i="197" s="1"/>
  <c r="AT166" i="197" s="1"/>
  <c r="AE165" i="197"/>
  <c r="AE164" i="197"/>
  <c r="AE163" i="197"/>
  <c r="AE162" i="197"/>
  <c r="AE161" i="197"/>
  <c r="AE160" i="197"/>
  <c r="AF160" i="197" s="1"/>
  <c r="AT160" i="197" s="1"/>
  <c r="AE159" i="197"/>
  <c r="AK159" i="197" s="1"/>
  <c r="AE158" i="197"/>
  <c r="AF158" i="197" s="1"/>
  <c r="AT158" i="197" s="1"/>
  <c r="AE157" i="197"/>
  <c r="AE156" i="197"/>
  <c r="AE155" i="197"/>
  <c r="AF155" i="197" s="1"/>
  <c r="AT155" i="197" s="1"/>
  <c r="AE154" i="197"/>
  <c r="AF154" i="197" s="1"/>
  <c r="AT154" i="197" s="1"/>
  <c r="AE153" i="197"/>
  <c r="AH153" i="197" s="1"/>
  <c r="AE152" i="197"/>
  <c r="AE151" i="197"/>
  <c r="AE150" i="197"/>
  <c r="AF150" i="197" s="1"/>
  <c r="AT150" i="197" s="1"/>
  <c r="AE149" i="197"/>
  <c r="AK149" i="197" s="1"/>
  <c r="AE148" i="197"/>
  <c r="AF148" i="197" s="1"/>
  <c r="AT148" i="197" s="1"/>
  <c r="AE147" i="197"/>
  <c r="AE146" i="197"/>
  <c r="AE145" i="197"/>
  <c r="AE144" i="197"/>
  <c r="AE143" i="197"/>
  <c r="AF143" i="197" s="1"/>
  <c r="AT143" i="197" s="1"/>
  <c r="AE142" i="197"/>
  <c r="AF142" i="197" s="1"/>
  <c r="AT142" i="197" s="1"/>
  <c r="AE141" i="197"/>
  <c r="AE140" i="197"/>
  <c r="AE139" i="197"/>
  <c r="AE138" i="197"/>
  <c r="AF138" i="197" s="1"/>
  <c r="AT138" i="197" s="1"/>
  <c r="AE137" i="197"/>
  <c r="AF137" i="197" s="1"/>
  <c r="AT137" i="197" s="1"/>
  <c r="AE136" i="197"/>
  <c r="AF136" i="197" s="1"/>
  <c r="AT136" i="197" s="1"/>
  <c r="AE135" i="197"/>
  <c r="AH135" i="197" s="1"/>
  <c r="AE134" i="197"/>
  <c r="AE133" i="197"/>
  <c r="AE132" i="197"/>
  <c r="AE131" i="197"/>
  <c r="AF131" i="197" s="1"/>
  <c r="AT131" i="197" s="1"/>
  <c r="AE130" i="197"/>
  <c r="AF130" i="197" s="1"/>
  <c r="AT130" i="197" s="1"/>
  <c r="AE129" i="197"/>
  <c r="AE128" i="197"/>
  <c r="AE127" i="197"/>
  <c r="AF127" i="197" s="1"/>
  <c r="AT127" i="197" s="1"/>
  <c r="AE126" i="197"/>
  <c r="AF126" i="197" s="1"/>
  <c r="AT126" i="197" s="1"/>
  <c r="AE125" i="197"/>
  <c r="AE124" i="197"/>
  <c r="AE123" i="197"/>
  <c r="AK123" i="197" s="1"/>
  <c r="AE122" i="197"/>
  <c r="AE121" i="197"/>
  <c r="AF121" i="197" s="1"/>
  <c r="AT121" i="197" s="1"/>
  <c r="AE120" i="197"/>
  <c r="AF120" i="197" s="1"/>
  <c r="AT120" i="197" s="1"/>
  <c r="AE119" i="197"/>
  <c r="AE118" i="197"/>
  <c r="AF118" i="197" s="1"/>
  <c r="AT118" i="197" s="1"/>
  <c r="AE117" i="197"/>
  <c r="AE116" i="197"/>
  <c r="AF116" i="197" s="1"/>
  <c r="AT116" i="197" s="1"/>
  <c r="AE115" i="197"/>
  <c r="AE114" i="197"/>
  <c r="AF114" i="197" s="1"/>
  <c r="AT114" i="197" s="1"/>
  <c r="AE113" i="197"/>
  <c r="AK113" i="197" s="1"/>
  <c r="AE112" i="197"/>
  <c r="AF112" i="197" s="1"/>
  <c r="AT112" i="197" s="1"/>
  <c r="AE111" i="197"/>
  <c r="AE110" i="197"/>
  <c r="AE109" i="197"/>
  <c r="AF109" i="197" s="1"/>
  <c r="AT109" i="197" s="1"/>
  <c r="AE108" i="197"/>
  <c r="AF108" i="197" s="1"/>
  <c r="AT108" i="197" s="1"/>
  <c r="AE107" i="197"/>
  <c r="AE106" i="197"/>
  <c r="AE105" i="197"/>
  <c r="AE104" i="197"/>
  <c r="AE103" i="197"/>
  <c r="AE102" i="197"/>
  <c r="AF102" i="197" s="1"/>
  <c r="AT102" i="197" s="1"/>
  <c r="AE101" i="197"/>
  <c r="AE100" i="197"/>
  <c r="AE99" i="197"/>
  <c r="AF99" i="197" s="1"/>
  <c r="AT99" i="197" s="1"/>
  <c r="AE98" i="197"/>
  <c r="AF98" i="197" s="1"/>
  <c r="AT98" i="197" s="1"/>
  <c r="AE97" i="197"/>
  <c r="AE96" i="197"/>
  <c r="AE95" i="197"/>
  <c r="AE94" i="197"/>
  <c r="AF94" i="197" s="1"/>
  <c r="AT94" i="197" s="1"/>
  <c r="AE93" i="197"/>
  <c r="AE92" i="197"/>
  <c r="AE91" i="197"/>
  <c r="AE90" i="197"/>
  <c r="AF90" i="197" s="1"/>
  <c r="AT90" i="197" s="1"/>
  <c r="AE89" i="197"/>
  <c r="AE88" i="197"/>
  <c r="AF88" i="197" s="1"/>
  <c r="AT88" i="197" s="1"/>
  <c r="AE87" i="197"/>
  <c r="AE86" i="197"/>
  <c r="AF86" i="197" s="1"/>
  <c r="AT86" i="197" s="1"/>
  <c r="AE85" i="197"/>
  <c r="AH85" i="197" s="1"/>
  <c r="AE84" i="197"/>
  <c r="AE83" i="197"/>
  <c r="AF83" i="197" s="1"/>
  <c r="AT83" i="197" s="1"/>
  <c r="AE82" i="197"/>
  <c r="AF82" i="197" s="1"/>
  <c r="AT82" i="197" s="1"/>
  <c r="AE81" i="197"/>
  <c r="AK81" i="197" s="1"/>
  <c r="AE80" i="197"/>
  <c r="AE79" i="197"/>
  <c r="AE78" i="197"/>
  <c r="AF78" i="197" s="1"/>
  <c r="AT78" i="197" s="1"/>
  <c r="AE77" i="197"/>
  <c r="AH77" i="197" s="1"/>
  <c r="AE76" i="197"/>
  <c r="AE75" i="197"/>
  <c r="AF75" i="197" s="1"/>
  <c r="AT75" i="197" s="1"/>
  <c r="AE74" i="197"/>
  <c r="AE73" i="197"/>
  <c r="AF73" i="197" s="1"/>
  <c r="AT73" i="197" s="1"/>
  <c r="AE72" i="197"/>
  <c r="AE71" i="197"/>
  <c r="AE70" i="197"/>
  <c r="AF70" i="197" s="1"/>
  <c r="AT70" i="197" s="1"/>
  <c r="AE69" i="197"/>
  <c r="AE68" i="197"/>
  <c r="AE67" i="197"/>
  <c r="AE66" i="197"/>
  <c r="AF66" i="197" s="1"/>
  <c r="AT66" i="197" s="1"/>
  <c r="AE65" i="197"/>
  <c r="AE64" i="197"/>
  <c r="AF64" i="197" s="1"/>
  <c r="AT64" i="197" s="1"/>
  <c r="AE63" i="197"/>
  <c r="AE62" i="197"/>
  <c r="AF62" i="197" s="1"/>
  <c r="AT62" i="197" s="1"/>
  <c r="AE61" i="197"/>
  <c r="AE60" i="197"/>
  <c r="AE59" i="197"/>
  <c r="AE58" i="197"/>
  <c r="AF58" i="197" s="1"/>
  <c r="AT58" i="197" s="1"/>
  <c r="AE57" i="197"/>
  <c r="AE56" i="197"/>
  <c r="AE55" i="197"/>
  <c r="AE54" i="197"/>
  <c r="AF54" i="197" s="1"/>
  <c r="AT54" i="197" s="1"/>
  <c r="AE53" i="197"/>
  <c r="AF53" i="197" s="1"/>
  <c r="AT53" i="197" s="1"/>
  <c r="AE52" i="197"/>
  <c r="AF52" i="197" s="1"/>
  <c r="AT52" i="197" s="1"/>
  <c r="AE51" i="197"/>
  <c r="AE50" i="197"/>
  <c r="AH50" i="197" s="1"/>
  <c r="AE49" i="197"/>
  <c r="AE48" i="197"/>
  <c r="AE47" i="197"/>
  <c r="AE46" i="197"/>
  <c r="AE45" i="197"/>
  <c r="AH45" i="197" s="1"/>
  <c r="AE44" i="197"/>
  <c r="AE43" i="197"/>
  <c r="AK43" i="197" s="1"/>
  <c r="AE42" i="197"/>
  <c r="AF42" i="197" s="1"/>
  <c r="AT42" i="197" s="1"/>
  <c r="AE41" i="197"/>
  <c r="AF41" i="197" s="1"/>
  <c r="AT41" i="197" s="1"/>
  <c r="AE40" i="197"/>
  <c r="AF40" i="197" s="1"/>
  <c r="AT40" i="197" s="1"/>
  <c r="AE39" i="197"/>
  <c r="AE38" i="197"/>
  <c r="AE37" i="197"/>
  <c r="AE36" i="197"/>
  <c r="AE35" i="197"/>
  <c r="AE34" i="197"/>
  <c r="AF34" i="197" s="1"/>
  <c r="AT34" i="197" s="1"/>
  <c r="AE33" i="197"/>
  <c r="AE32" i="197"/>
  <c r="AE31" i="197"/>
  <c r="AF31" i="197" s="1"/>
  <c r="AT31" i="197" s="1"/>
  <c r="AE30" i="197"/>
  <c r="AF30" i="197" s="1"/>
  <c r="AT30" i="197" s="1"/>
  <c r="AE29" i="197"/>
  <c r="AE28" i="197"/>
  <c r="AF28" i="197" s="1"/>
  <c r="AT28" i="197" s="1"/>
  <c r="AE27" i="197"/>
  <c r="AH27" i="197" s="1"/>
  <c r="AE26" i="197"/>
  <c r="AF26" i="197" s="1"/>
  <c r="AT26" i="197" s="1"/>
  <c r="AE25" i="197"/>
  <c r="AK25" i="197" s="1"/>
  <c r="AE24" i="197"/>
  <c r="AE23" i="197"/>
  <c r="AE22" i="197"/>
  <c r="AF22" i="197" s="1"/>
  <c r="AT22" i="197" s="1"/>
  <c r="AE21" i="197"/>
  <c r="AE20" i="197"/>
  <c r="AF20" i="197" s="1"/>
  <c r="AT20" i="197" s="1"/>
  <c r="AE19" i="197"/>
  <c r="AE18" i="197"/>
  <c r="AF18" i="197" s="1"/>
  <c r="AT18" i="197" s="1"/>
  <c r="AE17" i="197"/>
  <c r="AK17" i="197" s="1"/>
  <c r="AV316" i="196"/>
  <c r="AV315" i="196"/>
  <c r="AV314" i="196"/>
  <c r="AV313" i="196"/>
  <c r="AV312" i="196"/>
  <c r="AV311" i="196"/>
  <c r="AV310" i="196"/>
  <c r="AV309" i="196"/>
  <c r="AV308" i="196"/>
  <c r="AV307" i="196"/>
  <c r="AV306" i="196"/>
  <c r="AV305" i="196"/>
  <c r="AV304" i="196"/>
  <c r="AV303" i="196"/>
  <c r="AV302" i="196"/>
  <c r="AV301" i="196"/>
  <c r="AV300" i="196"/>
  <c r="AV299" i="196"/>
  <c r="AV298" i="196"/>
  <c r="AV297" i="196"/>
  <c r="AV296" i="196"/>
  <c r="AV295" i="196"/>
  <c r="AV294" i="196"/>
  <c r="AV293" i="196"/>
  <c r="AV292" i="196"/>
  <c r="AV291" i="196"/>
  <c r="AV290" i="196"/>
  <c r="AV289" i="196"/>
  <c r="AV288" i="196"/>
  <c r="AV287" i="196"/>
  <c r="AV286" i="196"/>
  <c r="AV285" i="196"/>
  <c r="AV284" i="196"/>
  <c r="AV283" i="196"/>
  <c r="AV282" i="196"/>
  <c r="AV281" i="196"/>
  <c r="AV280" i="196"/>
  <c r="AV279" i="196"/>
  <c r="AV278" i="196"/>
  <c r="AV277" i="196"/>
  <c r="AV276" i="196"/>
  <c r="AV275" i="196"/>
  <c r="AV274" i="196"/>
  <c r="AV273" i="196"/>
  <c r="AV272" i="196"/>
  <c r="AV271" i="196"/>
  <c r="AV270" i="196"/>
  <c r="AV269" i="196"/>
  <c r="AV268" i="196"/>
  <c r="AV267" i="196"/>
  <c r="AV266" i="196"/>
  <c r="AV265" i="196"/>
  <c r="AV264" i="196"/>
  <c r="AV263" i="196"/>
  <c r="AV262" i="196"/>
  <c r="AV261" i="196"/>
  <c r="AV260" i="196"/>
  <c r="AV259" i="196"/>
  <c r="AV258" i="196"/>
  <c r="AV257" i="196"/>
  <c r="AV256" i="196"/>
  <c r="AV255" i="196"/>
  <c r="AV254" i="196"/>
  <c r="AV253" i="196"/>
  <c r="AV252" i="196"/>
  <c r="AV251" i="196"/>
  <c r="AV250" i="196"/>
  <c r="AV249" i="196"/>
  <c r="AV248" i="196"/>
  <c r="AV247" i="196"/>
  <c r="AV246" i="196"/>
  <c r="AV245" i="196"/>
  <c r="AV244" i="196"/>
  <c r="AV243" i="196"/>
  <c r="AV242" i="196"/>
  <c r="AV241" i="196"/>
  <c r="AV240" i="196"/>
  <c r="AV239" i="196"/>
  <c r="AV238" i="196"/>
  <c r="AV237" i="196"/>
  <c r="AV236" i="196"/>
  <c r="AV235" i="196"/>
  <c r="AV234" i="196"/>
  <c r="AV233" i="196"/>
  <c r="AV232" i="196"/>
  <c r="AV231" i="196"/>
  <c r="AV230" i="196"/>
  <c r="AV229" i="196"/>
  <c r="AV228" i="196"/>
  <c r="AV227" i="196"/>
  <c r="AV226" i="196"/>
  <c r="AV225" i="196"/>
  <c r="AV224" i="196"/>
  <c r="AV223" i="196"/>
  <c r="AV222" i="196"/>
  <c r="AV221" i="196"/>
  <c r="AV220" i="196"/>
  <c r="AV219" i="196"/>
  <c r="AV218" i="196"/>
  <c r="AV217" i="196"/>
  <c r="AV216" i="196"/>
  <c r="AV215" i="196"/>
  <c r="AV214" i="196"/>
  <c r="AV213" i="196"/>
  <c r="AV212" i="196"/>
  <c r="AV211" i="196"/>
  <c r="AV210" i="196"/>
  <c r="AV209" i="196"/>
  <c r="AV208" i="196"/>
  <c r="AV207" i="196"/>
  <c r="AV206" i="196"/>
  <c r="AV205" i="196"/>
  <c r="AV204" i="196"/>
  <c r="AV203" i="196"/>
  <c r="AV202" i="196"/>
  <c r="AV201" i="196"/>
  <c r="AV200" i="196"/>
  <c r="AV199" i="196"/>
  <c r="AV198" i="196"/>
  <c r="AV197" i="196"/>
  <c r="AV196" i="196"/>
  <c r="AV195" i="196"/>
  <c r="AV194" i="196"/>
  <c r="AV193" i="196"/>
  <c r="AV192" i="196"/>
  <c r="AV191" i="196"/>
  <c r="AV190" i="196"/>
  <c r="AV189" i="196"/>
  <c r="AV188" i="196"/>
  <c r="AV187" i="196"/>
  <c r="AV186" i="196"/>
  <c r="AV185" i="196"/>
  <c r="AV184" i="196"/>
  <c r="AV183" i="196"/>
  <c r="AV182" i="196"/>
  <c r="AV181" i="196"/>
  <c r="AV180" i="196"/>
  <c r="AV179" i="196"/>
  <c r="AV178" i="196"/>
  <c r="AV177" i="196"/>
  <c r="AV176" i="196"/>
  <c r="AV175" i="196"/>
  <c r="AV174" i="196"/>
  <c r="AV173" i="196"/>
  <c r="AV172" i="196"/>
  <c r="AV171" i="196"/>
  <c r="AV170" i="196"/>
  <c r="AV169" i="196"/>
  <c r="AV168" i="196"/>
  <c r="AV167" i="196"/>
  <c r="AV166" i="196"/>
  <c r="AV165" i="196"/>
  <c r="AV164" i="196"/>
  <c r="AV163" i="196"/>
  <c r="AV162" i="196"/>
  <c r="AV161" i="196"/>
  <c r="AV160" i="196"/>
  <c r="AV159" i="196"/>
  <c r="AV158" i="196"/>
  <c r="AV157" i="196"/>
  <c r="AV156" i="196"/>
  <c r="AV155" i="196"/>
  <c r="AV154" i="196"/>
  <c r="AV153" i="196"/>
  <c r="AV152" i="196"/>
  <c r="AV151" i="196"/>
  <c r="AV150" i="196"/>
  <c r="AV149" i="196"/>
  <c r="AV148" i="196"/>
  <c r="AV147" i="196"/>
  <c r="AV146" i="196"/>
  <c r="AV145" i="196"/>
  <c r="AV144" i="196"/>
  <c r="AV143" i="196"/>
  <c r="AV142" i="196"/>
  <c r="AV141" i="196"/>
  <c r="AV140" i="196"/>
  <c r="AV139" i="196"/>
  <c r="AV138" i="196"/>
  <c r="AV137" i="196"/>
  <c r="AV136" i="196"/>
  <c r="AV135" i="196"/>
  <c r="AV134" i="196"/>
  <c r="AV133" i="196"/>
  <c r="AV132" i="196"/>
  <c r="AV131" i="196"/>
  <c r="AV130" i="196"/>
  <c r="AV129" i="196"/>
  <c r="AV128" i="196"/>
  <c r="AV127" i="196"/>
  <c r="AV126" i="196"/>
  <c r="AV125" i="196"/>
  <c r="AV124" i="196"/>
  <c r="AV123" i="196"/>
  <c r="AV122" i="196"/>
  <c r="AV121" i="196"/>
  <c r="AV120" i="196"/>
  <c r="AV119" i="196"/>
  <c r="AV118" i="196"/>
  <c r="AV117" i="196"/>
  <c r="AV116" i="196"/>
  <c r="AV115" i="196"/>
  <c r="AV114" i="196"/>
  <c r="AV113" i="196"/>
  <c r="AV112" i="196"/>
  <c r="AV111" i="196"/>
  <c r="AV110" i="196"/>
  <c r="AV109" i="196"/>
  <c r="AV108" i="196"/>
  <c r="AV107" i="196"/>
  <c r="AV106" i="196"/>
  <c r="AV105" i="196"/>
  <c r="AV104" i="196"/>
  <c r="AV103" i="196"/>
  <c r="AV102" i="196"/>
  <c r="AV101" i="196"/>
  <c r="AV100" i="196"/>
  <c r="AV99" i="196"/>
  <c r="AV98" i="196"/>
  <c r="AV97" i="196"/>
  <c r="AV96" i="196"/>
  <c r="AV95" i="196"/>
  <c r="AV94" i="196"/>
  <c r="AV93" i="196"/>
  <c r="AV92" i="196"/>
  <c r="AV91" i="196"/>
  <c r="AV90" i="196"/>
  <c r="AV89" i="196"/>
  <c r="AV88" i="196"/>
  <c r="AV87" i="196"/>
  <c r="AV86" i="196"/>
  <c r="AV85" i="196"/>
  <c r="AV84" i="196"/>
  <c r="AV83" i="196"/>
  <c r="AV82" i="196"/>
  <c r="AV81" i="196"/>
  <c r="AV80" i="196"/>
  <c r="AV79" i="196"/>
  <c r="AV78" i="196"/>
  <c r="AV77" i="196"/>
  <c r="AV76" i="196"/>
  <c r="AV75" i="196"/>
  <c r="AV74" i="196"/>
  <c r="AV73" i="196"/>
  <c r="AV72" i="196"/>
  <c r="AV71" i="196"/>
  <c r="AV70" i="196"/>
  <c r="AV69" i="196"/>
  <c r="AV68" i="196"/>
  <c r="AV67" i="196"/>
  <c r="AV66" i="196"/>
  <c r="AV65" i="196"/>
  <c r="AV64" i="196"/>
  <c r="AV63" i="196"/>
  <c r="AV62" i="196"/>
  <c r="AV61" i="196"/>
  <c r="AV60" i="196"/>
  <c r="AV59" i="196"/>
  <c r="AV58" i="196"/>
  <c r="AV57" i="196"/>
  <c r="AV56" i="196"/>
  <c r="AV55" i="196"/>
  <c r="AV54" i="196"/>
  <c r="AV53" i="196"/>
  <c r="AV52" i="196"/>
  <c r="AV51" i="196"/>
  <c r="AV50" i="196"/>
  <c r="AV49" i="196"/>
  <c r="AV48" i="196"/>
  <c r="AV47" i="196"/>
  <c r="AV46" i="196"/>
  <c r="AV45" i="196"/>
  <c r="AV44" i="196"/>
  <c r="AV43" i="196"/>
  <c r="AV42" i="196"/>
  <c r="AV41" i="196"/>
  <c r="AV40" i="196"/>
  <c r="AV39" i="196"/>
  <c r="AV38" i="196"/>
  <c r="AV37" i="196"/>
  <c r="AV36" i="196"/>
  <c r="AV35" i="196"/>
  <c r="AV34" i="196"/>
  <c r="AV33" i="196"/>
  <c r="AV32" i="196"/>
  <c r="AV31" i="196"/>
  <c r="AV30" i="196"/>
  <c r="AV29" i="196"/>
  <c r="AV28" i="196"/>
  <c r="AV27" i="196"/>
  <c r="AV26" i="196"/>
  <c r="AV25" i="196"/>
  <c r="AV24" i="196"/>
  <c r="AV23" i="196"/>
  <c r="AV22" i="196"/>
  <c r="AV21" i="196"/>
  <c r="AV20" i="196"/>
  <c r="AV19" i="196"/>
  <c r="AV18" i="196"/>
  <c r="AP316" i="197"/>
  <c r="AP315" i="197"/>
  <c r="AP314" i="197"/>
  <c r="AP313" i="197"/>
  <c r="AP312" i="197"/>
  <c r="AP311" i="197"/>
  <c r="AP310" i="197"/>
  <c r="AP309" i="197"/>
  <c r="AP308" i="197"/>
  <c r="AP307" i="197"/>
  <c r="AP306" i="197"/>
  <c r="AP305" i="197"/>
  <c r="AP304" i="197"/>
  <c r="AP303" i="197"/>
  <c r="AP302" i="197"/>
  <c r="AP301" i="197"/>
  <c r="AP300" i="197"/>
  <c r="AP299" i="197"/>
  <c r="AP298" i="197"/>
  <c r="AP297" i="197"/>
  <c r="AP296" i="197"/>
  <c r="AP295" i="197"/>
  <c r="AP294" i="197"/>
  <c r="AP293" i="197"/>
  <c r="AP292" i="197"/>
  <c r="AP291" i="197"/>
  <c r="AP290" i="197"/>
  <c r="AP289" i="197"/>
  <c r="AP288" i="197"/>
  <c r="AP287" i="197"/>
  <c r="AP286" i="197"/>
  <c r="AP285" i="197"/>
  <c r="AP284" i="197"/>
  <c r="AP283" i="197"/>
  <c r="AP282" i="197"/>
  <c r="AP281" i="197"/>
  <c r="AP280" i="197"/>
  <c r="AP279" i="197"/>
  <c r="AP278" i="197"/>
  <c r="AP277" i="197"/>
  <c r="AP276" i="197"/>
  <c r="AP275" i="197"/>
  <c r="AP274" i="197"/>
  <c r="AP273" i="197"/>
  <c r="AP272" i="197"/>
  <c r="AP271" i="197"/>
  <c r="AP270" i="197"/>
  <c r="AP269" i="197"/>
  <c r="AP268" i="197"/>
  <c r="AP267" i="197"/>
  <c r="AP266" i="197"/>
  <c r="AP265" i="197"/>
  <c r="AP264" i="197"/>
  <c r="AP263" i="197"/>
  <c r="AP262" i="197"/>
  <c r="AP261" i="197"/>
  <c r="AP260" i="197"/>
  <c r="AP259" i="197"/>
  <c r="AP258" i="197"/>
  <c r="AP257" i="197"/>
  <c r="AP256" i="197"/>
  <c r="AP255" i="197"/>
  <c r="AP254" i="197"/>
  <c r="AP253" i="197"/>
  <c r="AP252" i="197"/>
  <c r="AP251" i="197"/>
  <c r="AP250" i="197"/>
  <c r="AP249" i="197"/>
  <c r="AP248" i="197"/>
  <c r="AP247" i="197"/>
  <c r="AP246" i="197"/>
  <c r="AP245" i="197"/>
  <c r="AP244" i="197"/>
  <c r="AP243" i="197"/>
  <c r="AP242" i="197"/>
  <c r="AP241" i="197"/>
  <c r="AP240" i="197"/>
  <c r="AP239" i="197"/>
  <c r="AP238" i="197"/>
  <c r="AP237" i="197"/>
  <c r="AP236" i="197"/>
  <c r="AP235" i="197"/>
  <c r="AP234" i="197"/>
  <c r="AP233" i="197"/>
  <c r="AP232" i="197"/>
  <c r="AP231" i="197"/>
  <c r="AP230" i="197"/>
  <c r="AP229" i="197"/>
  <c r="AP228" i="197"/>
  <c r="AP227" i="197"/>
  <c r="AP226" i="197"/>
  <c r="AP225" i="197"/>
  <c r="AP224" i="197"/>
  <c r="AP223" i="197"/>
  <c r="AP222" i="197"/>
  <c r="AP221" i="197"/>
  <c r="AP220" i="197"/>
  <c r="AP219" i="197"/>
  <c r="AP218" i="197"/>
  <c r="AP217" i="197"/>
  <c r="AP216" i="197"/>
  <c r="AP215" i="197"/>
  <c r="AP214" i="197"/>
  <c r="AP213" i="197"/>
  <c r="AP212" i="197"/>
  <c r="AP211" i="197"/>
  <c r="AP210" i="197"/>
  <c r="AP209" i="197"/>
  <c r="AP208" i="197"/>
  <c r="AP207" i="197"/>
  <c r="AP206" i="197"/>
  <c r="AP205" i="197"/>
  <c r="AP204" i="197"/>
  <c r="AP203" i="197"/>
  <c r="AP202" i="197"/>
  <c r="AP201" i="197"/>
  <c r="AP200" i="197"/>
  <c r="AP199" i="197"/>
  <c r="AP198" i="197"/>
  <c r="AP197" i="197"/>
  <c r="AP196" i="197"/>
  <c r="AP195" i="197"/>
  <c r="AP194" i="197"/>
  <c r="AP193" i="197"/>
  <c r="AP192" i="197"/>
  <c r="AP191" i="197"/>
  <c r="AP190" i="197"/>
  <c r="AP189" i="197"/>
  <c r="AP188" i="197"/>
  <c r="AP187" i="197"/>
  <c r="AP186" i="197"/>
  <c r="AP185" i="197"/>
  <c r="AP184" i="197"/>
  <c r="AP183" i="197"/>
  <c r="AP182" i="197"/>
  <c r="AP181" i="197"/>
  <c r="AP180" i="197"/>
  <c r="AP179" i="197"/>
  <c r="AP178" i="197"/>
  <c r="AP177" i="197"/>
  <c r="AP176" i="197"/>
  <c r="AP175" i="197"/>
  <c r="AP174" i="197"/>
  <c r="AP173" i="197"/>
  <c r="AP172" i="197"/>
  <c r="AP171" i="197"/>
  <c r="AP170" i="197"/>
  <c r="AP169" i="197"/>
  <c r="AP168" i="197"/>
  <c r="AP167" i="197"/>
  <c r="AP166" i="197"/>
  <c r="AP165" i="197"/>
  <c r="AP164" i="197"/>
  <c r="AP163" i="197"/>
  <c r="AP162" i="197"/>
  <c r="AP161" i="197"/>
  <c r="AP160" i="197"/>
  <c r="AP159" i="197"/>
  <c r="AP158" i="197"/>
  <c r="AP157" i="197"/>
  <c r="AP156" i="197"/>
  <c r="AP155" i="197"/>
  <c r="AP154" i="197"/>
  <c r="AP153" i="197"/>
  <c r="AP152" i="197"/>
  <c r="AP151" i="197"/>
  <c r="AP150" i="197"/>
  <c r="AP149" i="197"/>
  <c r="AP148" i="197"/>
  <c r="AP147" i="197"/>
  <c r="AP146" i="197"/>
  <c r="AP145" i="197"/>
  <c r="AP144" i="197"/>
  <c r="AP143" i="197"/>
  <c r="AP142" i="197"/>
  <c r="AP141" i="197"/>
  <c r="AP140" i="197"/>
  <c r="AP139" i="197"/>
  <c r="AP138" i="197"/>
  <c r="AP137" i="197"/>
  <c r="AP136" i="197"/>
  <c r="AP135" i="197"/>
  <c r="AP134" i="197"/>
  <c r="AP133" i="197"/>
  <c r="AP132" i="197"/>
  <c r="AP131" i="197"/>
  <c r="AP130" i="197"/>
  <c r="AP129" i="197"/>
  <c r="AP128" i="197"/>
  <c r="AP127" i="197"/>
  <c r="AP126" i="197"/>
  <c r="AP125" i="197"/>
  <c r="AP124" i="197"/>
  <c r="AP123" i="197"/>
  <c r="AP122" i="197"/>
  <c r="AP121" i="197"/>
  <c r="AP120" i="197"/>
  <c r="AP119" i="197"/>
  <c r="AP118" i="197"/>
  <c r="AP117" i="197"/>
  <c r="AP116" i="197"/>
  <c r="AP115" i="197"/>
  <c r="AP114" i="197"/>
  <c r="AP113" i="197"/>
  <c r="AP112" i="197"/>
  <c r="AP111" i="197"/>
  <c r="AP110" i="197"/>
  <c r="AP109" i="197"/>
  <c r="AP108" i="197"/>
  <c r="AP107" i="197"/>
  <c r="AP106" i="197"/>
  <c r="AP105" i="197"/>
  <c r="AP104" i="197"/>
  <c r="AP103" i="197"/>
  <c r="AP102" i="197"/>
  <c r="AP101" i="197"/>
  <c r="AP100" i="197"/>
  <c r="AP99" i="197"/>
  <c r="AP98" i="197"/>
  <c r="AP97" i="197"/>
  <c r="AP96" i="197"/>
  <c r="AP95" i="197"/>
  <c r="AP94" i="197"/>
  <c r="AP93" i="197"/>
  <c r="AP92" i="197"/>
  <c r="AP91" i="197"/>
  <c r="AP90" i="197"/>
  <c r="AP89" i="197"/>
  <c r="AP88" i="197"/>
  <c r="AP87" i="197"/>
  <c r="AP86" i="197"/>
  <c r="AP85" i="197"/>
  <c r="AP84" i="197"/>
  <c r="AP83" i="197"/>
  <c r="AP82" i="197"/>
  <c r="AP81" i="197"/>
  <c r="AP80" i="197"/>
  <c r="AP79" i="197"/>
  <c r="AP78" i="197"/>
  <c r="AP77" i="197"/>
  <c r="AP76" i="197"/>
  <c r="AP75" i="197"/>
  <c r="AP74" i="197"/>
  <c r="AP73" i="197"/>
  <c r="AP72" i="197"/>
  <c r="AP71" i="197"/>
  <c r="AP70" i="197"/>
  <c r="AP69" i="197"/>
  <c r="AP68" i="197"/>
  <c r="AP67" i="197"/>
  <c r="AP66" i="197"/>
  <c r="AP65" i="197"/>
  <c r="AP64" i="197"/>
  <c r="AP63" i="197"/>
  <c r="AP62" i="197"/>
  <c r="AP61" i="197"/>
  <c r="AP60" i="197"/>
  <c r="AP59" i="197"/>
  <c r="AP58" i="197"/>
  <c r="AP57" i="197"/>
  <c r="AP56" i="197"/>
  <c r="AP55" i="197"/>
  <c r="AP54" i="197"/>
  <c r="AP53" i="197"/>
  <c r="AP52" i="197"/>
  <c r="AP51" i="197"/>
  <c r="AP50" i="197"/>
  <c r="AP49" i="197"/>
  <c r="AP48" i="197"/>
  <c r="AP47" i="197"/>
  <c r="AP46" i="197"/>
  <c r="AP45" i="197"/>
  <c r="AP44" i="197"/>
  <c r="AP43" i="197"/>
  <c r="AP42" i="197"/>
  <c r="AP41" i="197"/>
  <c r="AP40" i="197"/>
  <c r="AP39" i="197"/>
  <c r="AP38" i="197"/>
  <c r="AP37" i="197"/>
  <c r="AP36" i="197"/>
  <c r="AP35" i="197"/>
  <c r="AP34" i="197"/>
  <c r="AP33" i="197"/>
  <c r="AP32" i="197"/>
  <c r="AP31" i="197"/>
  <c r="AP30" i="197"/>
  <c r="AP29" i="197"/>
  <c r="AP28" i="197"/>
  <c r="AP27" i="197"/>
  <c r="AP26" i="197"/>
  <c r="AP25" i="197"/>
  <c r="AP24" i="197"/>
  <c r="AP23" i="197"/>
  <c r="AP22" i="197"/>
  <c r="AP21" i="197"/>
  <c r="AP20" i="197"/>
  <c r="AP19" i="197"/>
  <c r="AP18" i="197"/>
  <c r="AP17" i="197"/>
  <c r="AK315" i="197"/>
  <c r="AK314" i="197"/>
  <c r="AH311" i="197"/>
  <c r="AK310" i="197"/>
  <c r="AK309" i="197"/>
  <c r="AH302" i="197"/>
  <c r="AH296" i="197"/>
  <c r="AK293" i="197"/>
  <c r="AK288" i="197"/>
  <c r="AH285" i="197"/>
  <c r="AK284" i="197"/>
  <c r="AK283" i="197"/>
  <c r="AH282" i="197"/>
  <c r="AH281" i="197"/>
  <c r="AH276" i="197"/>
  <c r="AH272" i="197"/>
  <c r="AK266" i="197"/>
  <c r="AH264" i="197"/>
  <c r="AH263" i="197"/>
  <c r="AH260" i="197"/>
  <c r="AK255" i="197"/>
  <c r="AH252" i="197"/>
  <c r="AH249" i="197"/>
  <c r="AH248" i="197"/>
  <c r="AK247" i="197"/>
  <c r="AH242" i="197"/>
  <c r="AH240" i="197"/>
  <c r="AK236" i="197"/>
  <c r="AK230" i="197"/>
  <c r="AK228" i="197"/>
  <c r="AH225" i="197"/>
  <c r="AK224" i="197"/>
  <c r="AK221" i="197"/>
  <c r="AK218" i="197"/>
  <c r="AK216" i="197"/>
  <c r="AK214" i="197"/>
  <c r="AH211" i="197"/>
  <c r="AK206" i="197"/>
  <c r="AK204" i="197"/>
  <c r="AH194" i="197"/>
  <c r="AH192" i="197"/>
  <c r="AK182" i="197"/>
  <c r="AK180" i="197"/>
  <c r="AK176" i="197"/>
  <c r="AK170" i="197"/>
  <c r="AK168" i="197"/>
  <c r="AK164" i="197"/>
  <c r="AH156" i="197"/>
  <c r="AH152" i="197"/>
  <c r="AH146" i="197"/>
  <c r="AK140" i="197"/>
  <c r="AH134" i="197"/>
  <c r="AH132" i="197"/>
  <c r="AH128" i="197"/>
  <c r="AK122" i="197"/>
  <c r="AK118" i="197"/>
  <c r="AH110" i="197"/>
  <c r="AK104" i="197"/>
  <c r="AH100" i="197"/>
  <c r="AH96" i="197"/>
  <c r="AK93" i="197"/>
  <c r="AH92" i="197"/>
  <c r="AK89" i="197"/>
  <c r="AH84" i="197"/>
  <c r="AH80" i="197"/>
  <c r="AK74" i="197"/>
  <c r="AK72" i="197"/>
  <c r="AH69" i="197"/>
  <c r="AK68" i="197"/>
  <c r="AK63" i="197"/>
  <c r="AK60" i="197"/>
  <c r="AH57" i="197"/>
  <c r="AK56" i="197"/>
  <c r="AK55" i="197"/>
  <c r="AH48" i="197"/>
  <c r="AK44" i="197"/>
  <c r="AH38" i="197"/>
  <c r="AH36" i="197"/>
  <c r="AH33" i="197"/>
  <c r="AH22" i="197"/>
  <c r="AV17" i="196"/>
  <c r="I44" i="182"/>
  <c r="H44" i="182"/>
  <c r="I43" i="182"/>
  <c r="H43" i="182"/>
  <c r="I41" i="182"/>
  <c r="H41" i="182"/>
  <c r="I38" i="182"/>
  <c r="H38" i="182"/>
  <c r="I35" i="182"/>
  <c r="H35" i="182"/>
  <c r="H13" i="182"/>
  <c r="F13" i="182"/>
  <c r="H11" i="182"/>
  <c r="F11" i="182"/>
  <c r="H10" i="182"/>
  <c r="F10" i="182"/>
  <c r="H9" i="182"/>
  <c r="F9" i="182"/>
  <c r="H8" i="182"/>
  <c r="H7" i="182"/>
  <c r="F8" i="182"/>
  <c r="F7" i="182"/>
  <c r="Q56" i="181"/>
  <c r="P56" i="181"/>
  <c r="T113" i="200"/>
  <c r="T112" i="200"/>
  <c r="V106" i="200"/>
  <c r="U106" i="200"/>
  <c r="T106" i="200"/>
  <c r="V105" i="200"/>
  <c r="U105" i="200"/>
  <c r="T105" i="200"/>
  <c r="V104" i="200"/>
  <c r="U104" i="200"/>
  <c r="T104" i="200"/>
  <c r="V103" i="200"/>
  <c r="U103" i="200"/>
  <c r="T103" i="200"/>
  <c r="V102" i="200"/>
  <c r="U102" i="200"/>
  <c r="T102" i="200"/>
  <c r="V101" i="200"/>
  <c r="U101" i="200"/>
  <c r="T101" i="200"/>
  <c r="V100" i="200"/>
  <c r="U100" i="200"/>
  <c r="T100" i="200"/>
  <c r="V99" i="200"/>
  <c r="U99" i="200"/>
  <c r="T99" i="200"/>
  <c r="V98" i="200"/>
  <c r="U98" i="200"/>
  <c r="T98" i="200"/>
  <c r="V97" i="200"/>
  <c r="U97" i="200"/>
  <c r="T97" i="200"/>
  <c r="V96" i="200"/>
  <c r="U96" i="200"/>
  <c r="T96" i="200"/>
  <c r="V95" i="200"/>
  <c r="U95" i="200"/>
  <c r="T95" i="200"/>
  <c r="V94" i="200"/>
  <c r="U94" i="200"/>
  <c r="T94" i="200"/>
  <c r="V93" i="200"/>
  <c r="U93" i="200"/>
  <c r="T93" i="200"/>
  <c r="V92" i="200"/>
  <c r="U92" i="200"/>
  <c r="T92" i="200"/>
  <c r="V91" i="200"/>
  <c r="U91" i="200"/>
  <c r="T91" i="200"/>
  <c r="V90" i="200"/>
  <c r="U90" i="200"/>
  <c r="T90" i="200"/>
  <c r="V89" i="200"/>
  <c r="U89" i="200"/>
  <c r="T89" i="200"/>
  <c r="V88" i="200"/>
  <c r="U88" i="200"/>
  <c r="T88" i="200"/>
  <c r="V87" i="200"/>
  <c r="U87" i="200"/>
  <c r="T87" i="200"/>
  <c r="V86" i="200"/>
  <c r="U86" i="200"/>
  <c r="T86" i="200"/>
  <c r="V85" i="200"/>
  <c r="U85" i="200"/>
  <c r="T85" i="200"/>
  <c r="V84" i="200"/>
  <c r="U84" i="200"/>
  <c r="T84" i="200"/>
  <c r="V83" i="200"/>
  <c r="U83" i="200"/>
  <c r="T83" i="200"/>
  <c r="V82" i="200"/>
  <c r="U82" i="200"/>
  <c r="T82" i="200"/>
  <c r="V81" i="200"/>
  <c r="U81" i="200"/>
  <c r="T81" i="200"/>
  <c r="V80" i="200"/>
  <c r="U80" i="200"/>
  <c r="T80" i="200"/>
  <c r="V79" i="200"/>
  <c r="U79" i="200"/>
  <c r="T79" i="200"/>
  <c r="V78" i="200"/>
  <c r="U78" i="200"/>
  <c r="T78" i="200"/>
  <c r="V77" i="200"/>
  <c r="U77" i="200"/>
  <c r="T77" i="200"/>
  <c r="V69" i="200"/>
  <c r="U69" i="200"/>
  <c r="T69" i="200"/>
  <c r="V67" i="200"/>
  <c r="U67" i="200"/>
  <c r="T67" i="200"/>
  <c r="V65" i="200"/>
  <c r="U65" i="200"/>
  <c r="T65" i="200"/>
  <c r="V63" i="200"/>
  <c r="U63" i="200"/>
  <c r="T63" i="200"/>
  <c r="V61" i="200"/>
  <c r="U61" i="200"/>
  <c r="T61" i="200"/>
  <c r="V59" i="200"/>
  <c r="U59" i="200"/>
  <c r="T59" i="200"/>
  <c r="V57" i="200"/>
  <c r="U57" i="200"/>
  <c r="T57" i="200"/>
  <c r="V55" i="200"/>
  <c r="U55" i="200"/>
  <c r="T55" i="200"/>
  <c r="V53" i="200"/>
  <c r="U53" i="200"/>
  <c r="T53" i="200"/>
  <c r="V51" i="200"/>
  <c r="U51" i="200"/>
  <c r="T51" i="200"/>
  <c r="V49" i="200"/>
  <c r="U49" i="200"/>
  <c r="T49" i="200"/>
  <c r="V47" i="200"/>
  <c r="U47" i="200"/>
  <c r="T47" i="200"/>
  <c r="V45" i="200"/>
  <c r="U45" i="200"/>
  <c r="T45" i="200"/>
  <c r="V43" i="200"/>
  <c r="U43" i="200"/>
  <c r="T43" i="200"/>
  <c r="AG41" i="200"/>
  <c r="AF41" i="200"/>
  <c r="V41" i="200"/>
  <c r="U41" i="200"/>
  <c r="T41" i="200"/>
  <c r="V39" i="200"/>
  <c r="U39" i="200"/>
  <c r="T39" i="200"/>
  <c r="V37" i="200"/>
  <c r="U37" i="200"/>
  <c r="T37" i="200"/>
  <c r="AS35" i="200"/>
  <c r="BF35" i="200" s="1"/>
  <c r="AR35" i="200"/>
  <c r="BE35" i="200" s="1"/>
  <c r="AI35" i="200"/>
  <c r="AG35" i="200" s="1"/>
  <c r="AZ35" i="200" s="1"/>
  <c r="AH35" i="200"/>
  <c r="AF35" i="200" s="1"/>
  <c r="AY35" i="200" s="1"/>
  <c r="V35" i="200"/>
  <c r="U35" i="200"/>
  <c r="T35" i="200"/>
  <c r="AS34" i="200"/>
  <c r="BF34" i="200" s="1"/>
  <c r="AR34" i="200"/>
  <c r="BE34" i="200" s="1"/>
  <c r="AI34" i="200"/>
  <c r="AG34" i="200" s="1"/>
  <c r="AZ34" i="200" s="1"/>
  <c r="AH34" i="200"/>
  <c r="AF34" i="200" s="1"/>
  <c r="AY34" i="200" s="1"/>
  <c r="AS33" i="200"/>
  <c r="BF33" i="200" s="1"/>
  <c r="AR33" i="200"/>
  <c r="BE33" i="200" s="1"/>
  <c r="AI33" i="200"/>
  <c r="AG33" i="200" s="1"/>
  <c r="AZ33" i="200" s="1"/>
  <c r="AH33" i="200"/>
  <c r="AF33" i="200" s="1"/>
  <c r="AY33" i="200" s="1"/>
  <c r="V33" i="200"/>
  <c r="U33" i="200"/>
  <c r="T33" i="200"/>
  <c r="AS32" i="200"/>
  <c r="AR32" i="200"/>
  <c r="AQ32" i="200"/>
  <c r="AP32" i="200"/>
  <c r="AK32" i="200"/>
  <c r="AJ32" i="200"/>
  <c r="AI32" i="200"/>
  <c r="AH32" i="200"/>
  <c r="AO31" i="200"/>
  <c r="AN31" i="200"/>
  <c r="V31" i="200"/>
  <c r="U31" i="200"/>
  <c r="T31" i="200"/>
  <c r="V29" i="200"/>
  <c r="U29" i="200"/>
  <c r="T29" i="200"/>
  <c r="V27" i="200"/>
  <c r="U27" i="200"/>
  <c r="T27" i="200"/>
  <c r="V25" i="200"/>
  <c r="U25" i="200"/>
  <c r="T25" i="200"/>
  <c r="V23" i="200"/>
  <c r="U23" i="200"/>
  <c r="T23" i="200"/>
  <c r="V21" i="200"/>
  <c r="U21" i="200"/>
  <c r="T21" i="200"/>
  <c r="AS20" i="200"/>
  <c r="V19" i="200"/>
  <c r="U19" i="200"/>
  <c r="T19" i="200"/>
  <c r="V17" i="200"/>
  <c r="U17" i="200"/>
  <c r="T17" i="200"/>
  <c r="V15" i="200"/>
  <c r="U15" i="200"/>
  <c r="T15" i="200"/>
  <c r="V13" i="200"/>
  <c r="U13" i="200"/>
  <c r="T13" i="200"/>
  <c r="V11" i="200"/>
  <c r="U11" i="200"/>
  <c r="T11" i="200"/>
  <c r="AR17" i="200"/>
  <c r="AI18" i="200"/>
  <c r="AG18" i="200" s="1"/>
  <c r="AR28" i="200"/>
  <c r="AI24" i="200"/>
  <c r="AG24" i="200" s="1"/>
  <c r="AZ19" i="200" s="1"/>
  <c r="AH19" i="200"/>
  <c r="AF19" i="200" s="1"/>
  <c r="AH23" i="200"/>
  <c r="AF23" i="200" s="1"/>
  <c r="AY18" i="200" s="1"/>
  <c r="D6" i="96"/>
  <c r="AS307" i="198"/>
  <c r="AR307" i="198"/>
  <c r="AP307" i="198"/>
  <c r="AO307" i="198"/>
  <c r="AN307" i="198"/>
  <c r="AS306" i="198"/>
  <c r="AR306" i="198"/>
  <c r="AP306" i="198"/>
  <c r="AO306" i="198"/>
  <c r="AN306" i="198"/>
  <c r="AS305" i="198"/>
  <c r="AR305" i="198"/>
  <c r="AP305" i="198"/>
  <c r="AO305" i="198"/>
  <c r="AN305" i="198"/>
  <c r="AS304" i="198"/>
  <c r="AR304" i="198"/>
  <c r="AP304" i="198"/>
  <c r="AO304" i="198"/>
  <c r="AN304" i="198"/>
  <c r="AS303" i="198"/>
  <c r="AR303" i="198"/>
  <c r="AP303" i="198"/>
  <c r="AO303" i="198"/>
  <c r="AN303" i="198"/>
  <c r="AS302" i="198"/>
  <c r="AR302" i="198"/>
  <c r="AP302" i="198"/>
  <c r="AO302" i="198"/>
  <c r="AN302" i="198"/>
  <c r="AS301" i="198"/>
  <c r="AR301" i="198"/>
  <c r="AP301" i="198"/>
  <c r="AO301" i="198"/>
  <c r="AN301" i="198"/>
  <c r="AS300" i="198"/>
  <c r="AR300" i="198"/>
  <c r="AP300" i="198"/>
  <c r="AO300" i="198"/>
  <c r="AN300" i="198"/>
  <c r="AS299" i="198"/>
  <c r="AR299" i="198"/>
  <c r="AP299" i="198"/>
  <c r="AO299" i="198"/>
  <c r="AN299" i="198"/>
  <c r="AS298" i="198"/>
  <c r="AR298" i="198"/>
  <c r="AP298" i="198"/>
  <c r="AO298" i="198"/>
  <c r="AN298" i="198"/>
  <c r="AS163" i="198"/>
  <c r="AR163" i="198"/>
  <c r="AP163" i="198"/>
  <c r="AO163" i="198"/>
  <c r="AN163" i="198"/>
  <c r="AS162" i="198"/>
  <c r="AR162" i="198"/>
  <c r="AP162" i="198"/>
  <c r="AO162" i="198"/>
  <c r="AN162" i="198"/>
  <c r="AS161" i="198"/>
  <c r="AR161" i="198"/>
  <c r="AP161" i="198"/>
  <c r="AO161" i="198"/>
  <c r="AN161" i="198"/>
  <c r="AS160" i="198"/>
  <c r="AR160" i="198"/>
  <c r="AP160" i="198"/>
  <c r="AO160" i="198"/>
  <c r="AN160" i="198"/>
  <c r="AS159" i="198"/>
  <c r="AR159" i="198"/>
  <c r="AP159" i="198"/>
  <c r="AO159" i="198"/>
  <c r="AN159" i="198"/>
  <c r="AS158" i="198"/>
  <c r="AR158" i="198"/>
  <c r="AP158" i="198"/>
  <c r="AO158" i="198"/>
  <c r="AN158" i="198"/>
  <c r="AS157" i="198"/>
  <c r="AR157" i="198"/>
  <c r="AP157" i="198"/>
  <c r="AO157" i="198"/>
  <c r="AN157" i="198"/>
  <c r="AS156" i="198"/>
  <c r="AR156" i="198"/>
  <c r="AP156" i="198"/>
  <c r="AO156" i="198"/>
  <c r="AN156" i="198"/>
  <c r="AS155" i="198"/>
  <c r="AR155" i="198"/>
  <c r="AP155" i="198"/>
  <c r="AO155" i="198"/>
  <c r="AN155" i="198"/>
  <c r="AS154" i="198"/>
  <c r="AR154" i="198"/>
  <c r="AP154" i="198"/>
  <c r="AO154" i="198"/>
  <c r="AN154" i="198"/>
  <c r="AS153" i="198"/>
  <c r="AR153" i="198"/>
  <c r="AP153" i="198"/>
  <c r="AO153" i="198"/>
  <c r="AN153" i="198"/>
  <c r="AS152" i="198"/>
  <c r="AR152" i="198"/>
  <c r="AP152" i="198"/>
  <c r="AO152" i="198"/>
  <c r="AN152" i="198"/>
  <c r="AS151" i="198"/>
  <c r="AR151" i="198"/>
  <c r="AP151" i="198"/>
  <c r="AO151" i="198"/>
  <c r="AN151" i="198"/>
  <c r="AS150" i="198"/>
  <c r="AR150" i="198"/>
  <c r="AP150" i="198"/>
  <c r="AO150" i="198"/>
  <c r="AN150" i="198"/>
  <c r="AS149" i="198"/>
  <c r="AR149" i="198"/>
  <c r="AP149" i="198"/>
  <c r="AO149" i="198"/>
  <c r="AN149" i="198"/>
  <c r="AS148" i="198"/>
  <c r="AR148" i="198"/>
  <c r="AP148" i="198"/>
  <c r="AO148" i="198"/>
  <c r="AN148" i="198"/>
  <c r="AS147" i="198"/>
  <c r="AR147" i="198"/>
  <c r="AP147" i="198"/>
  <c r="AO147" i="198"/>
  <c r="AN147" i="198"/>
  <c r="AS146" i="198"/>
  <c r="AR146" i="198"/>
  <c r="AP146" i="198"/>
  <c r="AO146" i="198"/>
  <c r="AN146" i="198"/>
  <c r="AS145" i="198"/>
  <c r="AR145" i="198"/>
  <c r="AP145" i="198"/>
  <c r="AO145" i="198"/>
  <c r="AN145" i="198"/>
  <c r="AS144" i="198"/>
  <c r="AR144" i="198"/>
  <c r="AP144" i="198"/>
  <c r="AO144" i="198"/>
  <c r="AN144" i="198"/>
  <c r="AS143" i="198"/>
  <c r="AR143" i="198"/>
  <c r="AP143" i="198"/>
  <c r="AO143" i="198"/>
  <c r="AN143" i="198"/>
  <c r="AS142" i="198"/>
  <c r="AR142" i="198"/>
  <c r="AP142" i="198"/>
  <c r="AO142" i="198"/>
  <c r="AN142" i="198"/>
  <c r="AS141" i="198"/>
  <c r="AR141" i="198"/>
  <c r="AP141" i="198"/>
  <c r="AO141" i="198"/>
  <c r="AN141" i="198"/>
  <c r="AS140" i="198"/>
  <c r="AR140" i="198"/>
  <c r="AP140" i="198"/>
  <c r="AO140" i="198"/>
  <c r="AN140" i="198"/>
  <c r="AS139" i="198"/>
  <c r="AR139" i="198"/>
  <c r="AP139" i="198"/>
  <c r="AO139" i="198"/>
  <c r="AN139" i="198"/>
  <c r="AS138" i="198"/>
  <c r="AR138" i="198"/>
  <c r="AP138" i="198"/>
  <c r="AO138" i="198"/>
  <c r="AN138" i="198"/>
  <c r="AS137" i="198"/>
  <c r="AR137" i="198"/>
  <c r="AP137" i="198"/>
  <c r="AO137" i="198"/>
  <c r="AN137" i="198"/>
  <c r="AS136" i="198"/>
  <c r="AR136" i="198"/>
  <c r="AP136" i="198"/>
  <c r="AO136" i="198"/>
  <c r="AN136" i="198"/>
  <c r="AS135" i="198"/>
  <c r="AR135" i="198"/>
  <c r="AP135" i="198"/>
  <c r="AO135" i="198"/>
  <c r="AN135" i="198"/>
  <c r="AS134" i="198"/>
  <c r="AR134" i="198"/>
  <c r="AP134" i="198"/>
  <c r="AO134" i="198"/>
  <c r="AN134" i="198"/>
  <c r="AS133" i="198"/>
  <c r="AR133" i="198"/>
  <c r="AP133" i="198"/>
  <c r="AO133" i="198"/>
  <c r="AN133" i="198"/>
  <c r="AS132" i="198"/>
  <c r="AR132" i="198"/>
  <c r="AP132" i="198"/>
  <c r="AO132" i="198"/>
  <c r="AN132" i="198"/>
  <c r="AS131" i="198"/>
  <c r="AR131" i="198"/>
  <c r="AP131" i="198"/>
  <c r="AO131" i="198"/>
  <c r="AN131" i="198"/>
  <c r="AS130" i="198"/>
  <c r="AR130" i="198"/>
  <c r="AP130" i="198"/>
  <c r="AO130" i="198"/>
  <c r="AN130" i="198"/>
  <c r="AS129" i="198"/>
  <c r="AR129" i="198"/>
  <c r="AP129" i="198"/>
  <c r="AO129" i="198"/>
  <c r="AN129" i="198"/>
  <c r="AS128" i="198"/>
  <c r="AR128" i="198"/>
  <c r="AP128" i="198"/>
  <c r="AO128" i="198"/>
  <c r="AN128" i="198"/>
  <c r="AS127" i="198"/>
  <c r="AR127" i="198"/>
  <c r="AP127" i="198"/>
  <c r="AO127" i="198"/>
  <c r="AN127" i="198"/>
  <c r="AS126" i="198"/>
  <c r="AR126" i="198"/>
  <c r="AP126" i="198"/>
  <c r="AO126" i="198"/>
  <c r="AN126" i="198"/>
  <c r="AS125" i="198"/>
  <c r="AR125" i="198"/>
  <c r="AP125" i="198"/>
  <c r="AO125" i="198"/>
  <c r="AN125" i="198"/>
  <c r="AS124" i="198"/>
  <c r="AR124" i="198"/>
  <c r="AP124" i="198"/>
  <c r="AO124" i="198"/>
  <c r="AN124" i="198"/>
  <c r="AS123" i="198"/>
  <c r="AR123" i="198"/>
  <c r="AP123" i="198"/>
  <c r="AO123" i="198"/>
  <c r="AN123" i="198"/>
  <c r="AS122" i="198"/>
  <c r="AR122" i="198"/>
  <c r="AP122" i="198"/>
  <c r="AO122" i="198"/>
  <c r="AN122" i="198"/>
  <c r="AS121" i="198"/>
  <c r="AR121" i="198"/>
  <c r="AP121" i="198"/>
  <c r="AO121" i="198"/>
  <c r="AN121" i="198"/>
  <c r="AS120" i="198"/>
  <c r="AR120" i="198"/>
  <c r="AP120" i="198"/>
  <c r="AO120" i="198"/>
  <c r="AN120" i="198"/>
  <c r="AS119" i="198"/>
  <c r="AR119" i="198"/>
  <c r="AP119" i="198"/>
  <c r="AO119" i="198"/>
  <c r="AN119" i="198"/>
  <c r="AS118" i="198"/>
  <c r="AR118" i="198"/>
  <c r="AP118" i="198"/>
  <c r="AO118" i="198"/>
  <c r="AN118" i="198"/>
  <c r="AS117" i="198"/>
  <c r="AR117" i="198"/>
  <c r="AP117" i="198"/>
  <c r="AO117" i="198"/>
  <c r="AN117" i="198"/>
  <c r="AS116" i="198"/>
  <c r="AR116" i="198"/>
  <c r="AP116" i="198"/>
  <c r="AO116" i="198"/>
  <c r="AN116" i="198"/>
  <c r="AS115" i="198"/>
  <c r="AR115" i="198"/>
  <c r="AP115" i="198"/>
  <c r="AO115" i="198"/>
  <c r="AN115" i="198"/>
  <c r="AS114" i="198"/>
  <c r="AR114" i="198"/>
  <c r="AP114" i="198"/>
  <c r="AO114" i="198"/>
  <c r="AN114" i="198"/>
  <c r="AS113" i="198"/>
  <c r="AR113" i="198"/>
  <c r="AP113" i="198"/>
  <c r="AO113" i="198"/>
  <c r="AN113" i="198"/>
  <c r="AS112" i="198"/>
  <c r="AR112" i="198"/>
  <c r="AP112" i="198"/>
  <c r="AO112" i="198"/>
  <c r="AN112" i="198"/>
  <c r="AS111" i="198"/>
  <c r="AR111" i="198"/>
  <c r="AP111" i="198"/>
  <c r="AO111" i="198"/>
  <c r="AN111" i="198"/>
  <c r="AS110" i="198"/>
  <c r="AR110" i="198"/>
  <c r="AP110" i="198"/>
  <c r="AO110" i="198"/>
  <c r="AN110" i="198"/>
  <c r="AS109" i="198"/>
  <c r="AR109" i="198"/>
  <c r="AP109" i="198"/>
  <c r="AO109" i="198"/>
  <c r="AN109" i="198"/>
  <c r="AS108" i="198"/>
  <c r="AR108" i="198"/>
  <c r="AP108" i="198"/>
  <c r="AO108" i="198"/>
  <c r="AN108" i="198"/>
  <c r="AS107" i="198"/>
  <c r="AR107" i="198"/>
  <c r="AP107" i="198"/>
  <c r="AO107" i="198"/>
  <c r="AN107" i="198"/>
  <c r="AS106" i="198"/>
  <c r="AR106" i="198"/>
  <c r="AP106" i="198"/>
  <c r="AO106" i="198"/>
  <c r="AN106" i="198"/>
  <c r="AS105" i="198"/>
  <c r="AR105" i="198"/>
  <c r="AP105" i="198"/>
  <c r="AO105" i="198"/>
  <c r="AN105" i="198"/>
  <c r="AS104" i="198"/>
  <c r="AR104" i="198"/>
  <c r="AP104" i="198"/>
  <c r="AO104" i="198"/>
  <c r="AN104" i="198"/>
  <c r="AS103" i="198"/>
  <c r="AR103" i="198"/>
  <c r="AP103" i="198"/>
  <c r="AO103" i="198"/>
  <c r="AN103" i="198"/>
  <c r="AS102" i="198"/>
  <c r="AR102" i="198"/>
  <c r="AP102" i="198"/>
  <c r="AO102" i="198"/>
  <c r="AN102" i="198"/>
  <c r="AS101" i="198"/>
  <c r="AR101" i="198"/>
  <c r="AP101" i="198"/>
  <c r="AO101" i="198"/>
  <c r="AN101" i="198"/>
  <c r="AS100" i="198"/>
  <c r="AR100" i="198"/>
  <c r="AP100" i="198"/>
  <c r="AO100" i="198"/>
  <c r="AN100" i="198"/>
  <c r="AS99" i="198"/>
  <c r="AR99" i="198"/>
  <c r="AP99" i="198"/>
  <c r="AO99" i="198"/>
  <c r="AN99" i="198"/>
  <c r="AS98" i="198"/>
  <c r="AR98" i="198"/>
  <c r="AP98" i="198"/>
  <c r="AO98" i="198"/>
  <c r="AN98" i="198"/>
  <c r="AS97" i="198"/>
  <c r="AR97" i="198"/>
  <c r="AP97" i="198"/>
  <c r="AO97" i="198"/>
  <c r="AN97" i="198"/>
  <c r="AS96" i="198"/>
  <c r="AR96" i="198"/>
  <c r="AP96" i="198"/>
  <c r="AO96" i="198"/>
  <c r="AN96" i="198"/>
  <c r="AS95" i="198"/>
  <c r="AR95" i="198"/>
  <c r="AP95" i="198"/>
  <c r="AO95" i="198"/>
  <c r="AN95" i="198"/>
  <c r="AS94" i="198"/>
  <c r="AR94" i="198"/>
  <c r="AP94" i="198"/>
  <c r="AO94" i="198"/>
  <c r="AN94" i="198"/>
  <c r="AS93" i="198"/>
  <c r="AR93" i="198"/>
  <c r="AP93" i="198"/>
  <c r="AO93" i="198"/>
  <c r="AN93" i="198"/>
  <c r="AS92" i="198"/>
  <c r="AR92" i="198"/>
  <c r="AP92" i="198"/>
  <c r="AO92" i="198"/>
  <c r="AN92" i="198"/>
  <c r="AS91" i="198"/>
  <c r="AR91" i="198"/>
  <c r="AP91" i="198"/>
  <c r="AO91" i="198"/>
  <c r="AN91" i="198"/>
  <c r="AS90" i="198"/>
  <c r="AR90" i="198"/>
  <c r="AP90" i="198"/>
  <c r="AO90" i="198"/>
  <c r="AN90" i="198"/>
  <c r="AS89" i="198"/>
  <c r="AR89" i="198"/>
  <c r="AP89" i="198"/>
  <c r="AO89" i="198"/>
  <c r="AN89" i="198"/>
  <c r="AS88" i="198"/>
  <c r="AR88" i="198"/>
  <c r="AP88" i="198"/>
  <c r="AO88" i="198"/>
  <c r="AN88" i="198"/>
  <c r="AS87" i="198"/>
  <c r="AR87" i="198"/>
  <c r="AP87" i="198"/>
  <c r="AO87" i="198"/>
  <c r="AN87" i="198"/>
  <c r="AS86" i="198"/>
  <c r="AR86" i="198"/>
  <c r="AP86" i="198"/>
  <c r="AO86" i="198"/>
  <c r="AN86" i="198"/>
  <c r="AS85" i="198"/>
  <c r="AR85" i="198"/>
  <c r="AP85" i="198"/>
  <c r="AO85" i="198"/>
  <c r="AN85" i="198"/>
  <c r="AS84" i="198"/>
  <c r="AR84" i="198"/>
  <c r="AP84" i="198"/>
  <c r="AO84" i="198"/>
  <c r="AN84" i="198"/>
  <c r="AS83" i="198"/>
  <c r="AR83" i="198"/>
  <c r="AP83" i="198"/>
  <c r="AO83" i="198"/>
  <c r="AN83" i="198"/>
  <c r="AS82" i="198"/>
  <c r="AR82" i="198"/>
  <c r="AP82" i="198"/>
  <c r="AO82" i="198"/>
  <c r="AN82" i="198"/>
  <c r="AS81" i="198"/>
  <c r="AR81" i="198"/>
  <c r="AP81" i="198"/>
  <c r="AO81" i="198"/>
  <c r="AN81" i="198"/>
  <c r="AS80" i="198"/>
  <c r="AR80" i="198"/>
  <c r="AP80" i="198"/>
  <c r="AO80" i="198"/>
  <c r="AN80" i="198"/>
  <c r="AS79" i="198"/>
  <c r="AR79" i="198"/>
  <c r="AP79" i="198"/>
  <c r="AO79" i="198"/>
  <c r="AN79" i="198"/>
  <c r="AS78" i="198"/>
  <c r="AR78" i="198"/>
  <c r="AP78" i="198"/>
  <c r="AO78" i="198"/>
  <c r="AN78" i="198"/>
  <c r="AS77" i="198"/>
  <c r="AR77" i="198"/>
  <c r="AP77" i="198"/>
  <c r="AO77" i="198"/>
  <c r="AN77" i="198"/>
  <c r="AS76" i="198"/>
  <c r="AR76" i="198"/>
  <c r="AP76" i="198"/>
  <c r="AO76" i="198"/>
  <c r="AN76" i="198"/>
  <c r="AS75" i="198"/>
  <c r="AR75" i="198"/>
  <c r="AP75" i="198"/>
  <c r="AO75" i="198"/>
  <c r="AN75" i="198"/>
  <c r="AS74" i="198"/>
  <c r="AR74" i="198"/>
  <c r="AP74" i="198"/>
  <c r="AO74" i="198"/>
  <c r="AN74" i="198"/>
  <c r="AS73" i="198"/>
  <c r="AR73" i="198"/>
  <c r="AP73" i="198"/>
  <c r="AO73" i="198"/>
  <c r="AN73" i="198"/>
  <c r="AS72" i="198"/>
  <c r="AR72" i="198"/>
  <c r="AP72" i="198"/>
  <c r="AO72" i="198"/>
  <c r="AN72" i="198"/>
  <c r="AS71" i="198"/>
  <c r="AR71" i="198"/>
  <c r="AP71" i="198"/>
  <c r="AO71" i="198"/>
  <c r="AN71" i="198"/>
  <c r="AS70" i="198"/>
  <c r="AR70" i="198"/>
  <c r="AP70" i="198"/>
  <c r="AO70" i="198"/>
  <c r="AN70" i="198"/>
  <c r="AS69" i="198"/>
  <c r="AR69" i="198"/>
  <c r="AP69" i="198"/>
  <c r="AO69" i="198"/>
  <c r="AN69" i="198"/>
  <c r="AS68" i="198"/>
  <c r="AR68" i="198"/>
  <c r="AP68" i="198"/>
  <c r="AO68" i="198"/>
  <c r="AN68" i="198"/>
  <c r="AS67" i="198"/>
  <c r="AR67" i="198"/>
  <c r="AP67" i="198"/>
  <c r="AO67" i="198"/>
  <c r="AN67" i="198"/>
  <c r="AS66" i="198"/>
  <c r="AR66" i="198"/>
  <c r="AP66" i="198"/>
  <c r="AO66" i="198"/>
  <c r="AN66" i="198"/>
  <c r="AS65" i="198"/>
  <c r="AR65" i="198"/>
  <c r="AP65" i="198"/>
  <c r="AO65" i="198"/>
  <c r="AN65" i="198"/>
  <c r="AS64" i="198"/>
  <c r="AR64" i="198"/>
  <c r="AP64" i="198"/>
  <c r="AO64" i="198"/>
  <c r="AN64" i="198"/>
  <c r="AS63" i="198"/>
  <c r="AR63" i="198"/>
  <c r="AP63" i="198"/>
  <c r="AO63" i="198"/>
  <c r="AN63" i="198"/>
  <c r="AS62" i="198"/>
  <c r="AR62" i="198"/>
  <c r="AP62" i="198"/>
  <c r="AO62" i="198"/>
  <c r="AN62" i="198"/>
  <c r="AS61" i="198"/>
  <c r="AR61" i="198"/>
  <c r="AP61" i="198"/>
  <c r="AO61" i="198"/>
  <c r="AN61" i="198"/>
  <c r="AS60" i="198"/>
  <c r="AR60" i="198"/>
  <c r="AP60" i="198"/>
  <c r="AO60" i="198"/>
  <c r="AN60" i="198"/>
  <c r="AS59" i="198"/>
  <c r="AR59" i="198"/>
  <c r="AP59" i="198"/>
  <c r="AO59" i="198"/>
  <c r="AN59" i="198"/>
  <c r="AS58" i="198"/>
  <c r="AR58" i="198"/>
  <c r="AP58" i="198"/>
  <c r="AO58" i="198"/>
  <c r="AN58" i="198"/>
  <c r="AS57" i="198"/>
  <c r="AR57" i="198"/>
  <c r="AP57" i="198"/>
  <c r="AO57" i="198"/>
  <c r="AN57" i="198"/>
  <c r="AS56" i="198"/>
  <c r="AR56" i="198"/>
  <c r="AP56" i="198"/>
  <c r="AO56" i="198"/>
  <c r="AN56" i="198"/>
  <c r="AS55" i="198"/>
  <c r="AR55" i="198"/>
  <c r="AP55" i="198"/>
  <c r="AO55" i="198"/>
  <c r="AN55" i="198"/>
  <c r="AS54" i="198"/>
  <c r="AR54" i="198"/>
  <c r="AP54" i="198"/>
  <c r="AO54" i="198"/>
  <c r="AN54" i="198"/>
  <c r="AS53" i="198"/>
  <c r="AR53" i="198"/>
  <c r="AP53" i="198"/>
  <c r="AO53" i="198"/>
  <c r="AN53" i="198"/>
  <c r="AS52" i="198"/>
  <c r="AR52" i="198"/>
  <c r="AP52" i="198"/>
  <c r="AO52" i="198"/>
  <c r="AN52" i="198"/>
  <c r="AS51" i="198"/>
  <c r="AR51" i="198"/>
  <c r="AP51" i="198"/>
  <c r="AO51" i="198"/>
  <c r="AN51" i="198"/>
  <c r="AS50" i="198"/>
  <c r="AR50" i="198"/>
  <c r="AP50" i="198"/>
  <c r="AO50" i="198"/>
  <c r="AN50" i="198"/>
  <c r="AS49" i="198"/>
  <c r="AR49" i="198"/>
  <c r="AP49" i="198"/>
  <c r="AO49" i="198"/>
  <c r="AN49" i="198"/>
  <c r="AS48" i="198"/>
  <c r="AR48" i="198"/>
  <c r="AP48" i="198"/>
  <c r="AO48" i="198"/>
  <c r="AN48" i="198"/>
  <c r="AS47" i="198"/>
  <c r="AR47" i="198"/>
  <c r="AP47" i="198"/>
  <c r="AO47" i="198"/>
  <c r="AN47" i="198"/>
  <c r="AS46" i="198"/>
  <c r="AR46" i="198"/>
  <c r="AP46" i="198"/>
  <c r="AO46" i="198"/>
  <c r="AN46" i="198"/>
  <c r="AS45" i="198"/>
  <c r="AR45" i="198"/>
  <c r="AP45" i="198"/>
  <c r="AO45" i="198"/>
  <c r="AN45" i="198"/>
  <c r="AS44" i="198"/>
  <c r="AR44" i="198"/>
  <c r="AP44" i="198"/>
  <c r="AO44" i="198"/>
  <c r="AN44" i="198"/>
  <c r="AS43" i="198"/>
  <c r="AR43" i="198"/>
  <c r="AP43" i="198"/>
  <c r="AO43" i="198"/>
  <c r="AN43" i="198"/>
  <c r="AS42" i="198"/>
  <c r="AR42" i="198"/>
  <c r="AP42" i="198"/>
  <c r="AO42" i="198"/>
  <c r="AN42" i="198"/>
  <c r="AS41" i="198"/>
  <c r="AR41" i="198"/>
  <c r="AP41" i="198"/>
  <c r="AO41" i="198"/>
  <c r="AN41" i="198"/>
  <c r="AS40" i="198"/>
  <c r="AR40" i="198"/>
  <c r="AP40" i="198"/>
  <c r="AO40" i="198"/>
  <c r="AN40" i="198"/>
  <c r="AS39" i="198"/>
  <c r="AR39" i="198"/>
  <c r="AP39" i="198"/>
  <c r="AO39" i="198"/>
  <c r="AN39" i="198"/>
  <c r="AS38" i="198"/>
  <c r="AR38" i="198"/>
  <c r="AP38" i="198"/>
  <c r="AO38" i="198"/>
  <c r="AN38" i="198"/>
  <c r="AS37" i="198"/>
  <c r="AR37" i="198"/>
  <c r="AP37" i="198"/>
  <c r="AO37" i="198"/>
  <c r="AN37" i="198"/>
  <c r="AS36" i="198"/>
  <c r="AR36" i="198"/>
  <c r="AP36" i="198"/>
  <c r="AO36" i="198"/>
  <c r="AN36" i="198"/>
  <c r="AS35" i="198"/>
  <c r="AR35" i="198"/>
  <c r="AP35" i="198"/>
  <c r="AO35" i="198"/>
  <c r="AN35" i="198"/>
  <c r="AS34" i="198"/>
  <c r="AR34" i="198"/>
  <c r="AP34" i="198"/>
  <c r="AO34" i="198"/>
  <c r="AN34" i="198"/>
  <c r="AS33" i="198"/>
  <c r="AR33" i="198"/>
  <c r="AP33" i="198"/>
  <c r="AO33" i="198"/>
  <c r="AN33" i="198"/>
  <c r="AS32" i="198"/>
  <c r="AR32" i="198"/>
  <c r="AP32" i="198"/>
  <c r="AO32" i="198"/>
  <c r="AN32" i="198"/>
  <c r="AS31" i="198"/>
  <c r="AR31" i="198"/>
  <c r="AP31" i="198"/>
  <c r="AO31" i="198"/>
  <c r="AN31" i="198"/>
  <c r="AS30" i="198"/>
  <c r="AR30" i="198"/>
  <c r="AP30" i="198"/>
  <c r="AO30" i="198"/>
  <c r="AN30" i="198"/>
  <c r="AS29" i="198"/>
  <c r="AR29" i="198"/>
  <c r="AP29" i="198"/>
  <c r="AO29" i="198"/>
  <c r="AN29" i="198"/>
  <c r="AS28" i="198"/>
  <c r="AR28" i="198"/>
  <c r="AP28" i="198"/>
  <c r="AO28" i="198"/>
  <c r="AN28" i="198"/>
  <c r="AS27" i="198"/>
  <c r="AR27" i="198"/>
  <c r="AP27" i="198"/>
  <c r="AO27" i="198"/>
  <c r="AN27" i="198"/>
  <c r="AS26" i="198"/>
  <c r="AR26" i="198"/>
  <c r="AP26" i="198"/>
  <c r="AO26" i="198"/>
  <c r="AN26" i="198"/>
  <c r="AS25" i="198"/>
  <c r="AR25" i="198"/>
  <c r="AP25" i="198"/>
  <c r="AO25" i="198"/>
  <c r="AN25" i="198"/>
  <c r="AS24" i="198"/>
  <c r="AR24" i="198"/>
  <c r="AP24" i="198"/>
  <c r="AO24" i="198"/>
  <c r="AN24" i="198"/>
  <c r="AS23" i="198"/>
  <c r="AR23" i="198"/>
  <c r="AP23" i="198"/>
  <c r="AO23" i="198"/>
  <c r="AN23" i="198"/>
  <c r="AS22" i="198"/>
  <c r="AR22" i="198"/>
  <c r="AP22" i="198"/>
  <c r="AO22" i="198"/>
  <c r="AN22" i="198"/>
  <c r="AS21" i="198"/>
  <c r="AR21" i="198"/>
  <c r="AP21" i="198"/>
  <c r="AO21" i="198"/>
  <c r="AN21" i="198"/>
  <c r="AS20" i="198"/>
  <c r="AR20" i="198"/>
  <c r="AP20" i="198"/>
  <c r="AO20" i="198"/>
  <c r="I42" i="182" s="1"/>
  <c r="AN20" i="198"/>
  <c r="H42" i="182" s="1"/>
  <c r="AS181" i="198"/>
  <c r="AR181" i="198"/>
  <c r="AP181" i="198"/>
  <c r="AO181" i="198"/>
  <c r="AN181" i="198"/>
  <c r="AS180" i="198"/>
  <c r="AR180" i="198"/>
  <c r="AP180" i="198"/>
  <c r="AO180" i="198"/>
  <c r="AN180" i="198"/>
  <c r="AS179" i="198"/>
  <c r="AR179" i="198"/>
  <c r="AP179" i="198"/>
  <c r="AO179" i="198"/>
  <c r="AN179" i="198"/>
  <c r="AS178" i="198"/>
  <c r="AR178" i="198"/>
  <c r="AP178" i="198"/>
  <c r="AO178" i="198"/>
  <c r="AN178" i="198"/>
  <c r="AS177" i="198"/>
  <c r="AR177" i="198"/>
  <c r="AP177" i="198"/>
  <c r="AO177" i="198"/>
  <c r="AN177" i="198"/>
  <c r="AS176" i="198"/>
  <c r="AR176" i="198"/>
  <c r="AP176" i="198"/>
  <c r="AO176" i="198"/>
  <c r="AN176" i="198"/>
  <c r="AS175" i="198"/>
  <c r="AR175" i="198"/>
  <c r="AP175" i="198"/>
  <c r="AO175" i="198"/>
  <c r="AN175" i="198"/>
  <c r="AS174" i="198"/>
  <c r="AR174" i="198"/>
  <c r="AP174" i="198"/>
  <c r="AO174" i="198"/>
  <c r="AN174" i="198"/>
  <c r="AS173" i="198"/>
  <c r="AR173" i="198"/>
  <c r="AP173" i="198"/>
  <c r="AO173" i="198"/>
  <c r="AN173" i="198"/>
  <c r="AS172" i="198"/>
  <c r="AR172" i="198"/>
  <c r="AP172" i="198"/>
  <c r="AO172" i="198"/>
  <c r="AN172" i="198"/>
  <c r="AS171" i="198"/>
  <c r="AR171" i="198"/>
  <c r="AP171" i="198"/>
  <c r="AO171" i="198"/>
  <c r="AN171" i="198"/>
  <c r="AS170" i="198"/>
  <c r="AR170" i="198"/>
  <c r="AP170" i="198"/>
  <c r="AO170" i="198"/>
  <c r="AN170" i="198"/>
  <c r="AS169" i="198"/>
  <c r="AR169" i="198"/>
  <c r="AP169" i="198"/>
  <c r="AO169" i="198"/>
  <c r="AN169" i="198"/>
  <c r="AS168" i="198"/>
  <c r="AR168" i="198"/>
  <c r="AP168" i="198"/>
  <c r="AO168" i="198"/>
  <c r="AN168" i="198"/>
  <c r="AS167" i="198"/>
  <c r="AR167" i="198"/>
  <c r="AP167" i="198"/>
  <c r="AO167" i="198"/>
  <c r="AN167" i="198"/>
  <c r="AS166" i="198"/>
  <c r="AR166" i="198"/>
  <c r="AP166" i="198"/>
  <c r="AO166" i="198"/>
  <c r="AN166" i="198"/>
  <c r="AS165" i="198"/>
  <c r="AR165" i="198"/>
  <c r="AP165" i="198"/>
  <c r="AO165" i="198"/>
  <c r="AN165" i="198"/>
  <c r="AS164" i="198"/>
  <c r="AR164" i="198"/>
  <c r="AP164" i="198"/>
  <c r="AO164" i="198"/>
  <c r="AN164" i="198"/>
  <c r="AS199" i="198"/>
  <c r="AR199" i="198"/>
  <c r="AP199" i="198"/>
  <c r="AO199" i="198"/>
  <c r="AN199" i="198"/>
  <c r="AS198" i="198"/>
  <c r="AR198" i="198"/>
  <c r="AP198" i="198"/>
  <c r="AO198" i="198"/>
  <c r="AN198" i="198"/>
  <c r="AS197" i="198"/>
  <c r="AR197" i="198"/>
  <c r="AP197" i="198"/>
  <c r="AO197" i="198"/>
  <c r="AN197" i="198"/>
  <c r="AS196" i="198"/>
  <c r="AR196" i="198"/>
  <c r="AP196" i="198"/>
  <c r="AO196" i="198"/>
  <c r="AN196" i="198"/>
  <c r="AS195" i="198"/>
  <c r="AR195" i="198"/>
  <c r="AP195" i="198"/>
  <c r="AO195" i="198"/>
  <c r="AN195" i="198"/>
  <c r="AS194" i="198"/>
  <c r="AR194" i="198"/>
  <c r="AP194" i="198"/>
  <c r="AO194" i="198"/>
  <c r="AN194" i="198"/>
  <c r="AS193" i="198"/>
  <c r="AR193" i="198"/>
  <c r="AP193" i="198"/>
  <c r="AO193" i="198"/>
  <c r="AN193" i="198"/>
  <c r="AS192" i="198"/>
  <c r="AR192" i="198"/>
  <c r="AP192" i="198"/>
  <c r="AO192" i="198"/>
  <c r="AN192" i="198"/>
  <c r="AS191" i="198"/>
  <c r="AR191" i="198"/>
  <c r="AP191" i="198"/>
  <c r="AO191" i="198"/>
  <c r="AN191" i="198"/>
  <c r="AS190" i="198"/>
  <c r="AR190" i="198"/>
  <c r="AP190" i="198"/>
  <c r="AO190" i="198"/>
  <c r="AN190" i="198"/>
  <c r="AS189" i="198"/>
  <c r="AR189" i="198"/>
  <c r="AP189" i="198"/>
  <c r="AO189" i="198"/>
  <c r="AN189" i="198"/>
  <c r="AS188" i="198"/>
  <c r="AR188" i="198"/>
  <c r="AP188" i="198"/>
  <c r="AO188" i="198"/>
  <c r="AN188" i="198"/>
  <c r="AS187" i="198"/>
  <c r="AR187" i="198"/>
  <c r="AP187" i="198"/>
  <c r="AO187" i="198"/>
  <c r="AN187" i="198"/>
  <c r="AS186" i="198"/>
  <c r="AR186" i="198"/>
  <c r="AP186" i="198"/>
  <c r="AO186" i="198"/>
  <c r="AN186" i="198"/>
  <c r="AS185" i="198"/>
  <c r="AR185" i="198"/>
  <c r="AP185" i="198"/>
  <c r="AO185" i="198"/>
  <c r="AN185" i="198"/>
  <c r="AS184" i="198"/>
  <c r="AR184" i="198"/>
  <c r="AP184" i="198"/>
  <c r="AO184" i="198"/>
  <c r="AN184" i="198"/>
  <c r="AS183" i="198"/>
  <c r="AR183" i="198"/>
  <c r="AP183" i="198"/>
  <c r="AO183" i="198"/>
  <c r="AN183" i="198"/>
  <c r="AS182" i="198"/>
  <c r="AR182" i="198"/>
  <c r="AP182" i="198"/>
  <c r="AO182" i="198"/>
  <c r="AN182" i="198"/>
  <c r="AS217" i="198"/>
  <c r="AR217" i="198"/>
  <c r="AP217" i="198"/>
  <c r="AO217" i="198"/>
  <c r="AN217" i="198"/>
  <c r="AS216" i="198"/>
  <c r="AR216" i="198"/>
  <c r="AP216" i="198"/>
  <c r="AO216" i="198"/>
  <c r="AN216" i="198"/>
  <c r="AS215" i="198"/>
  <c r="AR215" i="198"/>
  <c r="AP215" i="198"/>
  <c r="AO215" i="198"/>
  <c r="AN215" i="198"/>
  <c r="AS214" i="198"/>
  <c r="AR214" i="198"/>
  <c r="AP214" i="198"/>
  <c r="AO214" i="198"/>
  <c r="AN214" i="198"/>
  <c r="AS213" i="198"/>
  <c r="AR213" i="198"/>
  <c r="AP213" i="198"/>
  <c r="AO213" i="198"/>
  <c r="AN213" i="198"/>
  <c r="AS212" i="198"/>
  <c r="AR212" i="198"/>
  <c r="AP212" i="198"/>
  <c r="AO212" i="198"/>
  <c r="AN212" i="198"/>
  <c r="AS211" i="198"/>
  <c r="AR211" i="198"/>
  <c r="AP211" i="198"/>
  <c r="AO211" i="198"/>
  <c r="AN211" i="198"/>
  <c r="AS210" i="198"/>
  <c r="AR210" i="198"/>
  <c r="AP210" i="198"/>
  <c r="AO210" i="198"/>
  <c r="AN210" i="198"/>
  <c r="AS209" i="198"/>
  <c r="AR209" i="198"/>
  <c r="AP209" i="198"/>
  <c r="AO209" i="198"/>
  <c r="AN209" i="198"/>
  <c r="AS208" i="198"/>
  <c r="AR208" i="198"/>
  <c r="AP208" i="198"/>
  <c r="AO208" i="198"/>
  <c r="AN208" i="198"/>
  <c r="AS207" i="198"/>
  <c r="AR207" i="198"/>
  <c r="AP207" i="198"/>
  <c r="AO207" i="198"/>
  <c r="AN207" i="198"/>
  <c r="AS206" i="198"/>
  <c r="AR206" i="198"/>
  <c r="AP206" i="198"/>
  <c r="AO206" i="198"/>
  <c r="AN206" i="198"/>
  <c r="AS205" i="198"/>
  <c r="AR205" i="198"/>
  <c r="AP205" i="198"/>
  <c r="AO205" i="198"/>
  <c r="AN205" i="198"/>
  <c r="AS204" i="198"/>
  <c r="AR204" i="198"/>
  <c r="AP204" i="198"/>
  <c r="AO204" i="198"/>
  <c r="AN204" i="198"/>
  <c r="AS203" i="198"/>
  <c r="AR203" i="198"/>
  <c r="AP203" i="198"/>
  <c r="AO203" i="198"/>
  <c r="AN203" i="198"/>
  <c r="AS202" i="198"/>
  <c r="AR202" i="198"/>
  <c r="AP202" i="198"/>
  <c r="AO202" i="198"/>
  <c r="AN202" i="198"/>
  <c r="AS201" i="198"/>
  <c r="AR201" i="198"/>
  <c r="AP201" i="198"/>
  <c r="AO201" i="198"/>
  <c r="AN201" i="198"/>
  <c r="AS200" i="198"/>
  <c r="AR200" i="198"/>
  <c r="AP200" i="198"/>
  <c r="AO200" i="198"/>
  <c r="AN200" i="198"/>
  <c r="AS235" i="198"/>
  <c r="AR235" i="198"/>
  <c r="AP235" i="198"/>
  <c r="AO235" i="198"/>
  <c r="AN235" i="198"/>
  <c r="AS234" i="198"/>
  <c r="AR234" i="198"/>
  <c r="AP234" i="198"/>
  <c r="AO234" i="198"/>
  <c r="AN234" i="198"/>
  <c r="AS233" i="198"/>
  <c r="AR233" i="198"/>
  <c r="AP233" i="198"/>
  <c r="AO233" i="198"/>
  <c r="AN233" i="198"/>
  <c r="AS232" i="198"/>
  <c r="AR232" i="198"/>
  <c r="AP232" i="198"/>
  <c r="AO232" i="198"/>
  <c r="AN232" i="198"/>
  <c r="AS231" i="198"/>
  <c r="AR231" i="198"/>
  <c r="AP231" i="198"/>
  <c r="AO231" i="198"/>
  <c r="AN231" i="198"/>
  <c r="AS230" i="198"/>
  <c r="AR230" i="198"/>
  <c r="AP230" i="198"/>
  <c r="AO230" i="198"/>
  <c r="AN230" i="198"/>
  <c r="AS229" i="198"/>
  <c r="AR229" i="198"/>
  <c r="AP229" i="198"/>
  <c r="AO229" i="198"/>
  <c r="AN229" i="198"/>
  <c r="AS228" i="198"/>
  <c r="AR228" i="198"/>
  <c r="AP228" i="198"/>
  <c r="AO228" i="198"/>
  <c r="AN228" i="198"/>
  <c r="AS227" i="198"/>
  <c r="AR227" i="198"/>
  <c r="AP227" i="198"/>
  <c r="AO227" i="198"/>
  <c r="AN227" i="198"/>
  <c r="AS226" i="198"/>
  <c r="AR226" i="198"/>
  <c r="AP226" i="198"/>
  <c r="AO226" i="198"/>
  <c r="AN226" i="198"/>
  <c r="AS225" i="198"/>
  <c r="AR225" i="198"/>
  <c r="AP225" i="198"/>
  <c r="AO225" i="198"/>
  <c r="AN225" i="198"/>
  <c r="AS224" i="198"/>
  <c r="AR224" i="198"/>
  <c r="AP224" i="198"/>
  <c r="AO224" i="198"/>
  <c r="AN224" i="198"/>
  <c r="AS223" i="198"/>
  <c r="AR223" i="198"/>
  <c r="AP223" i="198"/>
  <c r="AO223" i="198"/>
  <c r="AN223" i="198"/>
  <c r="AS222" i="198"/>
  <c r="AR222" i="198"/>
  <c r="AP222" i="198"/>
  <c r="AO222" i="198"/>
  <c r="AN222" i="198"/>
  <c r="AS221" i="198"/>
  <c r="AR221" i="198"/>
  <c r="AP221" i="198"/>
  <c r="AO221" i="198"/>
  <c r="AN221" i="198"/>
  <c r="AS220" i="198"/>
  <c r="AR220" i="198"/>
  <c r="AP220" i="198"/>
  <c r="AO220" i="198"/>
  <c r="AN220" i="198"/>
  <c r="AS219" i="198"/>
  <c r="AR219" i="198"/>
  <c r="AP219" i="198"/>
  <c r="AO219" i="198"/>
  <c r="AN219" i="198"/>
  <c r="AS218" i="198"/>
  <c r="AR218" i="198"/>
  <c r="AP218" i="198"/>
  <c r="AO218" i="198"/>
  <c r="AN218" i="198"/>
  <c r="AS253" i="198"/>
  <c r="AR253" i="198"/>
  <c r="AP253" i="198"/>
  <c r="AO253" i="198"/>
  <c r="AN253" i="198"/>
  <c r="AS252" i="198"/>
  <c r="AR252" i="198"/>
  <c r="AP252" i="198"/>
  <c r="AO252" i="198"/>
  <c r="AN252" i="198"/>
  <c r="AS251" i="198"/>
  <c r="AR251" i="198"/>
  <c r="AP251" i="198"/>
  <c r="AO251" i="198"/>
  <c r="AN251" i="198"/>
  <c r="AS250" i="198"/>
  <c r="AR250" i="198"/>
  <c r="AP250" i="198"/>
  <c r="AO250" i="198"/>
  <c r="AN250" i="198"/>
  <c r="AS249" i="198"/>
  <c r="AR249" i="198"/>
  <c r="AP249" i="198"/>
  <c r="AO249" i="198"/>
  <c r="AN249" i="198"/>
  <c r="AS248" i="198"/>
  <c r="AR248" i="198"/>
  <c r="AP248" i="198"/>
  <c r="AO248" i="198"/>
  <c r="AN248" i="198"/>
  <c r="AS247" i="198"/>
  <c r="AR247" i="198"/>
  <c r="AP247" i="198"/>
  <c r="AO247" i="198"/>
  <c r="AN247" i="198"/>
  <c r="AS246" i="198"/>
  <c r="AR246" i="198"/>
  <c r="AP246" i="198"/>
  <c r="AO246" i="198"/>
  <c r="AN246" i="198"/>
  <c r="AS245" i="198"/>
  <c r="AR245" i="198"/>
  <c r="AP245" i="198"/>
  <c r="AO245" i="198"/>
  <c r="AN245" i="198"/>
  <c r="AS244" i="198"/>
  <c r="AR244" i="198"/>
  <c r="AP244" i="198"/>
  <c r="AO244" i="198"/>
  <c r="AN244" i="198"/>
  <c r="AS243" i="198"/>
  <c r="AR243" i="198"/>
  <c r="AP243" i="198"/>
  <c r="AO243" i="198"/>
  <c r="AN243" i="198"/>
  <c r="AS242" i="198"/>
  <c r="AR242" i="198"/>
  <c r="AP242" i="198"/>
  <c r="AO242" i="198"/>
  <c r="AN242" i="198"/>
  <c r="AS241" i="198"/>
  <c r="AR241" i="198"/>
  <c r="AP241" i="198"/>
  <c r="AO241" i="198"/>
  <c r="AN241" i="198"/>
  <c r="AS240" i="198"/>
  <c r="AR240" i="198"/>
  <c r="AP240" i="198"/>
  <c r="AO240" i="198"/>
  <c r="AN240" i="198"/>
  <c r="AS239" i="198"/>
  <c r="AR239" i="198"/>
  <c r="AP239" i="198"/>
  <c r="AO239" i="198"/>
  <c r="AN239" i="198"/>
  <c r="AS238" i="198"/>
  <c r="AR238" i="198"/>
  <c r="AP238" i="198"/>
  <c r="AO238" i="198"/>
  <c r="AN238" i="198"/>
  <c r="AS237" i="198"/>
  <c r="AR237" i="198"/>
  <c r="AP237" i="198"/>
  <c r="AO237" i="198"/>
  <c r="AN237" i="198"/>
  <c r="AS236" i="198"/>
  <c r="AR236" i="198"/>
  <c r="AP236" i="198"/>
  <c r="AO236" i="198"/>
  <c r="AN236" i="198"/>
  <c r="AS271" i="198"/>
  <c r="AR271" i="198"/>
  <c r="AP271" i="198"/>
  <c r="AO271" i="198"/>
  <c r="AN271" i="198"/>
  <c r="AS270" i="198"/>
  <c r="AR270" i="198"/>
  <c r="AP270" i="198"/>
  <c r="AO270" i="198"/>
  <c r="AN270" i="198"/>
  <c r="AS269" i="198"/>
  <c r="AR269" i="198"/>
  <c r="AP269" i="198"/>
  <c r="AO269" i="198"/>
  <c r="AN269" i="198"/>
  <c r="AS268" i="198"/>
  <c r="AR268" i="198"/>
  <c r="AP268" i="198"/>
  <c r="AO268" i="198"/>
  <c r="AN268" i="198"/>
  <c r="AS267" i="198"/>
  <c r="AR267" i="198"/>
  <c r="AP267" i="198"/>
  <c r="AO267" i="198"/>
  <c r="AN267" i="198"/>
  <c r="AS266" i="198"/>
  <c r="AR266" i="198"/>
  <c r="AP266" i="198"/>
  <c r="AO266" i="198"/>
  <c r="AN266" i="198"/>
  <c r="AS265" i="198"/>
  <c r="AR265" i="198"/>
  <c r="AP265" i="198"/>
  <c r="AO265" i="198"/>
  <c r="AN265" i="198"/>
  <c r="AS264" i="198"/>
  <c r="AR264" i="198"/>
  <c r="AP264" i="198"/>
  <c r="AO264" i="198"/>
  <c r="AN264" i="198"/>
  <c r="AS263" i="198"/>
  <c r="AR263" i="198"/>
  <c r="AP263" i="198"/>
  <c r="AO263" i="198"/>
  <c r="AN263" i="198"/>
  <c r="AS262" i="198"/>
  <c r="AR262" i="198"/>
  <c r="AP262" i="198"/>
  <c r="AO262" i="198"/>
  <c r="AN262" i="198"/>
  <c r="AS261" i="198"/>
  <c r="AR261" i="198"/>
  <c r="AP261" i="198"/>
  <c r="AO261" i="198"/>
  <c r="AN261" i="198"/>
  <c r="AS260" i="198"/>
  <c r="AR260" i="198"/>
  <c r="AP260" i="198"/>
  <c r="AO260" i="198"/>
  <c r="AN260" i="198"/>
  <c r="AS259" i="198"/>
  <c r="AR259" i="198"/>
  <c r="AP259" i="198"/>
  <c r="AO259" i="198"/>
  <c r="AN259" i="198"/>
  <c r="AS258" i="198"/>
  <c r="AR258" i="198"/>
  <c r="AP258" i="198"/>
  <c r="AO258" i="198"/>
  <c r="AN258" i="198"/>
  <c r="AS257" i="198"/>
  <c r="AR257" i="198"/>
  <c r="AP257" i="198"/>
  <c r="AO257" i="198"/>
  <c r="AN257" i="198"/>
  <c r="AS256" i="198"/>
  <c r="AR256" i="198"/>
  <c r="AP256" i="198"/>
  <c r="AO256" i="198"/>
  <c r="AN256" i="198"/>
  <c r="AS255" i="198"/>
  <c r="AR255" i="198"/>
  <c r="AP255" i="198"/>
  <c r="AO255" i="198"/>
  <c r="AN255" i="198"/>
  <c r="AS254" i="198"/>
  <c r="AR254" i="198"/>
  <c r="AP254" i="198"/>
  <c r="AO254" i="198"/>
  <c r="AN254" i="198"/>
  <c r="AS289" i="198"/>
  <c r="AR289" i="198"/>
  <c r="AP289" i="198"/>
  <c r="AO289" i="198"/>
  <c r="AN289" i="198"/>
  <c r="AS288" i="198"/>
  <c r="AR288" i="198"/>
  <c r="AP288" i="198"/>
  <c r="AO288" i="198"/>
  <c r="AN288" i="198"/>
  <c r="AS287" i="198"/>
  <c r="AR287" i="198"/>
  <c r="AP287" i="198"/>
  <c r="AO287" i="198"/>
  <c r="AN287" i="198"/>
  <c r="AS286" i="198"/>
  <c r="AR286" i="198"/>
  <c r="AP286" i="198"/>
  <c r="AO286" i="198"/>
  <c r="AN286" i="198"/>
  <c r="AS285" i="198"/>
  <c r="AR285" i="198"/>
  <c r="AP285" i="198"/>
  <c r="AO285" i="198"/>
  <c r="AN285" i="198"/>
  <c r="AS284" i="198"/>
  <c r="AR284" i="198"/>
  <c r="AP284" i="198"/>
  <c r="AO284" i="198"/>
  <c r="AN284" i="198"/>
  <c r="AS283" i="198"/>
  <c r="AR283" i="198"/>
  <c r="AP283" i="198"/>
  <c r="AO283" i="198"/>
  <c r="AN283" i="198"/>
  <c r="AS282" i="198"/>
  <c r="AR282" i="198"/>
  <c r="AP282" i="198"/>
  <c r="AO282" i="198"/>
  <c r="AN282" i="198"/>
  <c r="AS281" i="198"/>
  <c r="AR281" i="198"/>
  <c r="AP281" i="198"/>
  <c r="AO281" i="198"/>
  <c r="AN281" i="198"/>
  <c r="AS280" i="198"/>
  <c r="AR280" i="198"/>
  <c r="AP280" i="198"/>
  <c r="AO280" i="198"/>
  <c r="AN280" i="198"/>
  <c r="AS279" i="198"/>
  <c r="AR279" i="198"/>
  <c r="AP279" i="198"/>
  <c r="AO279" i="198"/>
  <c r="AN279" i="198"/>
  <c r="AS278" i="198"/>
  <c r="AR278" i="198"/>
  <c r="AP278" i="198"/>
  <c r="AO278" i="198"/>
  <c r="AN278" i="198"/>
  <c r="AS277" i="198"/>
  <c r="AR277" i="198"/>
  <c r="AP277" i="198"/>
  <c r="AO277" i="198"/>
  <c r="AN277" i="198"/>
  <c r="AS276" i="198"/>
  <c r="AR276" i="198"/>
  <c r="AP276" i="198"/>
  <c r="AO276" i="198"/>
  <c r="AN276" i="198"/>
  <c r="AS275" i="198"/>
  <c r="AR275" i="198"/>
  <c r="AP275" i="198"/>
  <c r="AO275" i="198"/>
  <c r="AN275" i="198"/>
  <c r="AS274" i="198"/>
  <c r="AR274" i="198"/>
  <c r="AP274" i="198"/>
  <c r="AO274" i="198"/>
  <c r="AN274" i="198"/>
  <c r="AS273" i="198"/>
  <c r="AR273" i="198"/>
  <c r="AP273" i="198"/>
  <c r="AO273" i="198"/>
  <c r="AN273" i="198"/>
  <c r="AS272" i="198"/>
  <c r="AR272" i="198"/>
  <c r="AP272" i="198"/>
  <c r="AO272" i="198"/>
  <c r="AN272" i="198"/>
  <c r="AX304" i="197"/>
  <c r="AW304" i="197"/>
  <c r="AV304" i="197"/>
  <c r="AU304" i="197"/>
  <c r="AS304" i="197"/>
  <c r="AR304" i="197"/>
  <c r="AQ304" i="197"/>
  <c r="AX303" i="197"/>
  <c r="AW303" i="197"/>
  <c r="AV303" i="197"/>
  <c r="AU303" i="197"/>
  <c r="AS303" i="197"/>
  <c r="AR303" i="197"/>
  <c r="AQ303" i="197"/>
  <c r="AX302" i="197"/>
  <c r="AW302" i="197"/>
  <c r="AV302" i="197"/>
  <c r="AU302" i="197"/>
  <c r="AS302" i="197"/>
  <c r="AR302" i="197"/>
  <c r="AQ302" i="197"/>
  <c r="AX301" i="197"/>
  <c r="AW301" i="197"/>
  <c r="AV301" i="197"/>
  <c r="AU301" i="197"/>
  <c r="AS301" i="197"/>
  <c r="AR301" i="197"/>
  <c r="AQ301" i="197"/>
  <c r="AX300" i="197"/>
  <c r="AW300" i="197"/>
  <c r="AV300" i="197"/>
  <c r="AU300" i="197"/>
  <c r="AS300" i="197"/>
  <c r="AR300" i="197"/>
  <c r="AQ300" i="197"/>
  <c r="AX299" i="197"/>
  <c r="AW299" i="197"/>
  <c r="AV299" i="197"/>
  <c r="AU299" i="197"/>
  <c r="AS299" i="197"/>
  <c r="AR299" i="197"/>
  <c r="AQ299" i="197"/>
  <c r="AX298" i="197"/>
  <c r="AW298" i="197"/>
  <c r="AV298" i="197"/>
  <c r="AU298" i="197"/>
  <c r="AS298" i="197"/>
  <c r="AR298" i="197"/>
  <c r="AQ298" i="197"/>
  <c r="AX297" i="197"/>
  <c r="AW297" i="197"/>
  <c r="AV297" i="197"/>
  <c r="AU297" i="197"/>
  <c r="AS297" i="197"/>
  <c r="AR297" i="197"/>
  <c r="AQ297" i="197"/>
  <c r="AX296" i="197"/>
  <c r="AW296" i="197"/>
  <c r="AV296" i="197"/>
  <c r="AU296" i="197"/>
  <c r="AS296" i="197"/>
  <c r="AR296" i="197"/>
  <c r="AQ296" i="197"/>
  <c r="AX295" i="197"/>
  <c r="AW295" i="197"/>
  <c r="AV295" i="197"/>
  <c r="AU295" i="197"/>
  <c r="AS295" i="197"/>
  <c r="AR295" i="197"/>
  <c r="AQ295" i="197"/>
  <c r="AX161" i="197"/>
  <c r="AW161" i="197"/>
  <c r="AV161" i="197"/>
  <c r="AU161" i="197"/>
  <c r="AS161" i="197"/>
  <c r="AR161" i="197"/>
  <c r="AQ161" i="197"/>
  <c r="AX160" i="197"/>
  <c r="AW160" i="197"/>
  <c r="AV160" i="197"/>
  <c r="AU160" i="197"/>
  <c r="AS160" i="197"/>
  <c r="AR160" i="197"/>
  <c r="AQ160" i="197"/>
  <c r="AX159" i="197"/>
  <c r="AW159" i="197"/>
  <c r="AV159" i="197"/>
  <c r="AU159" i="197"/>
  <c r="AS159" i="197"/>
  <c r="AR159" i="197"/>
  <c r="AQ159" i="197"/>
  <c r="AG159" i="197"/>
  <c r="AX158" i="197"/>
  <c r="AW158" i="197"/>
  <c r="AV158" i="197"/>
  <c r="AU158" i="197"/>
  <c r="AS158" i="197"/>
  <c r="AR158" i="197"/>
  <c r="AQ158" i="197"/>
  <c r="AX157" i="197"/>
  <c r="AW157" i="197"/>
  <c r="AV157" i="197"/>
  <c r="AU157" i="197"/>
  <c r="AS157" i="197"/>
  <c r="AR157" i="197"/>
  <c r="AQ157" i="197"/>
  <c r="AX156" i="197"/>
  <c r="AW156" i="197"/>
  <c r="AV156" i="197"/>
  <c r="AU156" i="197"/>
  <c r="AS156" i="197"/>
  <c r="AR156" i="197"/>
  <c r="AQ156" i="197"/>
  <c r="AG156" i="197"/>
  <c r="AX155" i="197"/>
  <c r="AW155" i="197"/>
  <c r="AV155" i="197"/>
  <c r="AU155" i="197"/>
  <c r="AS155" i="197"/>
  <c r="AR155" i="197"/>
  <c r="AQ155" i="197"/>
  <c r="AX154" i="197"/>
  <c r="AW154" i="197"/>
  <c r="AV154" i="197"/>
  <c r="AU154" i="197"/>
  <c r="AS154" i="197"/>
  <c r="AR154" i="197"/>
  <c r="AQ154" i="197"/>
  <c r="AX153" i="197"/>
  <c r="AW153" i="197"/>
  <c r="AV153" i="197"/>
  <c r="AU153" i="197"/>
  <c r="AS153" i="197"/>
  <c r="AR153" i="197"/>
  <c r="AQ153" i="197"/>
  <c r="AG153" i="197"/>
  <c r="AI153" i="197" s="1"/>
  <c r="AX152" i="197"/>
  <c r="AW152" i="197"/>
  <c r="AV152" i="197"/>
  <c r="AU152" i="197"/>
  <c r="AS152" i="197"/>
  <c r="AR152" i="197"/>
  <c r="AQ152" i="197"/>
  <c r="AG152" i="197"/>
  <c r="AI152" i="197" s="1"/>
  <c r="AX151" i="197"/>
  <c r="AW151" i="197"/>
  <c r="AV151" i="197"/>
  <c r="AU151" i="197"/>
  <c r="AS151" i="197"/>
  <c r="AR151" i="197"/>
  <c r="AQ151" i="197"/>
  <c r="AX150" i="197"/>
  <c r="AW150" i="197"/>
  <c r="AV150" i="197"/>
  <c r="AU150" i="197"/>
  <c r="AS150" i="197"/>
  <c r="AR150" i="197"/>
  <c r="AQ150" i="197"/>
  <c r="AX149" i="197"/>
  <c r="AW149" i="197"/>
  <c r="AV149" i="197"/>
  <c r="AU149" i="197"/>
  <c r="AS149" i="197"/>
  <c r="AR149" i="197"/>
  <c r="AQ149" i="197"/>
  <c r="AG149" i="197"/>
  <c r="AX148" i="197"/>
  <c r="AW148" i="197"/>
  <c r="AV148" i="197"/>
  <c r="AU148" i="197"/>
  <c r="AS148" i="197"/>
  <c r="AR148" i="197"/>
  <c r="AQ148" i="197"/>
  <c r="AX147" i="197"/>
  <c r="AW147" i="197"/>
  <c r="AV147" i="197"/>
  <c r="AU147" i="197"/>
  <c r="AS147" i="197"/>
  <c r="AR147" i="197"/>
  <c r="AQ147" i="197"/>
  <c r="AX146" i="197"/>
  <c r="AW146" i="197"/>
  <c r="AV146" i="197"/>
  <c r="AU146" i="197"/>
  <c r="AS146" i="197"/>
  <c r="AR146" i="197"/>
  <c r="AQ146" i="197"/>
  <c r="AX145" i="197"/>
  <c r="AW145" i="197"/>
  <c r="AV145" i="197"/>
  <c r="AU145" i="197"/>
  <c r="AS145" i="197"/>
  <c r="AR145" i="197"/>
  <c r="AQ145" i="197"/>
  <c r="AX144" i="197"/>
  <c r="AW144" i="197"/>
  <c r="AV144" i="197"/>
  <c r="AU144" i="197"/>
  <c r="AS144" i="197"/>
  <c r="AR144" i="197"/>
  <c r="AQ144" i="197"/>
  <c r="AX143" i="197"/>
  <c r="AW143" i="197"/>
  <c r="AV143" i="197"/>
  <c r="AU143" i="197"/>
  <c r="AS143" i="197"/>
  <c r="AR143" i="197"/>
  <c r="AQ143" i="197"/>
  <c r="AX142" i="197"/>
  <c r="AW142" i="197"/>
  <c r="AV142" i="197"/>
  <c r="AU142" i="197"/>
  <c r="AS142" i="197"/>
  <c r="AR142" i="197"/>
  <c r="AQ142" i="197"/>
  <c r="AX141" i="197"/>
  <c r="AW141" i="197"/>
  <c r="AV141" i="197"/>
  <c r="AU141" i="197"/>
  <c r="AS141" i="197"/>
  <c r="AR141" i="197"/>
  <c r="AQ141" i="197"/>
  <c r="AX140" i="197"/>
  <c r="AW140" i="197"/>
  <c r="AV140" i="197"/>
  <c r="AU140" i="197"/>
  <c r="AS140" i="197"/>
  <c r="AR140" i="197"/>
  <c r="AQ140" i="197"/>
  <c r="AX139" i="197"/>
  <c r="AW139" i="197"/>
  <c r="AV139" i="197"/>
  <c r="AU139" i="197"/>
  <c r="AS139" i="197"/>
  <c r="AR139" i="197"/>
  <c r="AQ139" i="197"/>
  <c r="AX138" i="197"/>
  <c r="AW138" i="197"/>
  <c r="AV138" i="197"/>
  <c r="AU138" i="197"/>
  <c r="AS138" i="197"/>
  <c r="AR138" i="197"/>
  <c r="AQ138" i="197"/>
  <c r="AX137" i="197"/>
  <c r="AW137" i="197"/>
  <c r="AV137" i="197"/>
  <c r="AU137" i="197"/>
  <c r="AS137" i="197"/>
  <c r="AR137" i="197"/>
  <c r="AQ137" i="197"/>
  <c r="AX136" i="197"/>
  <c r="AW136" i="197"/>
  <c r="AV136" i="197"/>
  <c r="AU136" i="197"/>
  <c r="AS136" i="197"/>
  <c r="AR136" i="197"/>
  <c r="AQ136" i="197"/>
  <c r="AX135" i="197"/>
  <c r="AW135" i="197"/>
  <c r="AV135" i="197"/>
  <c r="AU135" i="197"/>
  <c r="AS135" i="197"/>
  <c r="AR135" i="197"/>
  <c r="AQ135" i="197"/>
  <c r="AX134" i="197"/>
  <c r="AW134" i="197"/>
  <c r="AV134" i="197"/>
  <c r="AU134" i="197"/>
  <c r="AS134" i="197"/>
  <c r="AR134" i="197"/>
  <c r="AQ134" i="197"/>
  <c r="AG134" i="197"/>
  <c r="AI134" i="197" s="1"/>
  <c r="AX133" i="197"/>
  <c r="AW133" i="197"/>
  <c r="AV133" i="197"/>
  <c r="AU133" i="197"/>
  <c r="AS133" i="197"/>
  <c r="AR133" i="197"/>
  <c r="AQ133" i="197"/>
  <c r="AX132" i="197"/>
  <c r="AW132" i="197"/>
  <c r="AV132" i="197"/>
  <c r="AU132" i="197"/>
  <c r="AS132" i="197"/>
  <c r="AR132" i="197"/>
  <c r="AQ132" i="197"/>
  <c r="AX131" i="197"/>
  <c r="AW131" i="197"/>
  <c r="AV131" i="197"/>
  <c r="AU131" i="197"/>
  <c r="AS131" i="197"/>
  <c r="AR131" i="197"/>
  <c r="AQ131" i="197"/>
  <c r="AX130" i="197"/>
  <c r="AW130" i="197"/>
  <c r="AV130" i="197"/>
  <c r="AU130" i="197"/>
  <c r="AS130" i="197"/>
  <c r="AR130" i="197"/>
  <c r="AQ130" i="197"/>
  <c r="AX129" i="197"/>
  <c r="AW129" i="197"/>
  <c r="AV129" i="197"/>
  <c r="AU129" i="197"/>
  <c r="AS129" i="197"/>
  <c r="AR129" i="197"/>
  <c r="AQ129" i="197"/>
  <c r="AX128" i="197"/>
  <c r="AW128" i="197"/>
  <c r="AV128" i="197"/>
  <c r="AU128" i="197"/>
  <c r="AS128" i="197"/>
  <c r="AR128" i="197"/>
  <c r="AQ128" i="197"/>
  <c r="AX127" i="197"/>
  <c r="AW127" i="197"/>
  <c r="AV127" i="197"/>
  <c r="AU127" i="197"/>
  <c r="AS127" i="197"/>
  <c r="AR127" i="197"/>
  <c r="AQ127" i="197"/>
  <c r="AX126" i="197"/>
  <c r="AW126" i="197"/>
  <c r="AV126" i="197"/>
  <c r="AU126" i="197"/>
  <c r="AS126" i="197"/>
  <c r="AR126" i="197"/>
  <c r="AQ126" i="197"/>
  <c r="AX125" i="197"/>
  <c r="AW125" i="197"/>
  <c r="AV125" i="197"/>
  <c r="AU125" i="197"/>
  <c r="AS125" i="197"/>
  <c r="AR125" i="197"/>
  <c r="AQ125" i="197"/>
  <c r="AX124" i="197"/>
  <c r="AW124" i="197"/>
  <c r="AV124" i="197"/>
  <c r="AU124" i="197"/>
  <c r="AS124" i="197"/>
  <c r="AR124" i="197"/>
  <c r="AQ124" i="197"/>
  <c r="AX123" i="197"/>
  <c r="AW123" i="197"/>
  <c r="AV123" i="197"/>
  <c r="AU123" i="197"/>
  <c r="AS123" i="197"/>
  <c r="AR123" i="197"/>
  <c r="AQ123" i="197"/>
  <c r="AX122" i="197"/>
  <c r="AW122" i="197"/>
  <c r="AV122" i="197"/>
  <c r="AU122" i="197"/>
  <c r="AS122" i="197"/>
  <c r="AR122" i="197"/>
  <c r="AQ122" i="197"/>
  <c r="AX121" i="197"/>
  <c r="AW121" i="197"/>
  <c r="AV121" i="197"/>
  <c r="AU121" i="197"/>
  <c r="AS121" i="197"/>
  <c r="AR121" i="197"/>
  <c r="AQ121" i="197"/>
  <c r="AX120" i="197"/>
  <c r="AW120" i="197"/>
  <c r="AV120" i="197"/>
  <c r="AU120" i="197"/>
  <c r="AS120" i="197"/>
  <c r="AR120" i="197"/>
  <c r="AQ120" i="197"/>
  <c r="AX119" i="197"/>
  <c r="AW119" i="197"/>
  <c r="AV119" i="197"/>
  <c r="AU119" i="197"/>
  <c r="AS119" i="197"/>
  <c r="AR119" i="197"/>
  <c r="AQ119" i="197"/>
  <c r="AG119" i="197"/>
  <c r="AX118" i="197"/>
  <c r="AW118" i="197"/>
  <c r="AV118" i="197"/>
  <c r="AU118" i="197"/>
  <c r="AS118" i="197"/>
  <c r="AR118" i="197"/>
  <c r="AQ118" i="197"/>
  <c r="AX117" i="197"/>
  <c r="AW117" i="197"/>
  <c r="AV117" i="197"/>
  <c r="AU117" i="197"/>
  <c r="AS117" i="197"/>
  <c r="AR117" i="197"/>
  <c r="AQ117" i="197"/>
  <c r="AX116" i="197"/>
  <c r="AW116" i="197"/>
  <c r="AV116" i="197"/>
  <c r="AU116" i="197"/>
  <c r="AS116" i="197"/>
  <c r="AR116" i="197"/>
  <c r="AQ116" i="197"/>
  <c r="AX115" i="197"/>
  <c r="AW115" i="197"/>
  <c r="AV115" i="197"/>
  <c r="AU115" i="197"/>
  <c r="AS115" i="197"/>
  <c r="AR115" i="197"/>
  <c r="AQ115" i="197"/>
  <c r="AX114" i="197"/>
  <c r="AW114" i="197"/>
  <c r="AV114" i="197"/>
  <c r="AU114" i="197"/>
  <c r="AS114" i="197"/>
  <c r="AR114" i="197"/>
  <c r="AQ114" i="197"/>
  <c r="AX113" i="197"/>
  <c r="AW113" i="197"/>
  <c r="AV113" i="197"/>
  <c r="AU113" i="197"/>
  <c r="AS113" i="197"/>
  <c r="AR113" i="197"/>
  <c r="AQ113" i="197"/>
  <c r="AX112" i="197"/>
  <c r="AW112" i="197"/>
  <c r="AV112" i="197"/>
  <c r="AU112" i="197"/>
  <c r="AS112" i="197"/>
  <c r="AR112" i="197"/>
  <c r="AQ112" i="197"/>
  <c r="AX111" i="197"/>
  <c r="AW111" i="197"/>
  <c r="AV111" i="197"/>
  <c r="AU111" i="197"/>
  <c r="AS111" i="197"/>
  <c r="AR111" i="197"/>
  <c r="AQ111" i="197"/>
  <c r="AX110" i="197"/>
  <c r="AW110" i="197"/>
  <c r="AV110" i="197"/>
  <c r="AU110" i="197"/>
  <c r="AS110" i="197"/>
  <c r="AR110" i="197"/>
  <c r="AQ110" i="197"/>
  <c r="AG110" i="197"/>
  <c r="AI110" i="197" s="1"/>
  <c r="AX109" i="197"/>
  <c r="AW109" i="197"/>
  <c r="AV109" i="197"/>
  <c r="AU109" i="197"/>
  <c r="AS109" i="197"/>
  <c r="AR109" i="197"/>
  <c r="AQ109" i="197"/>
  <c r="AX108" i="197"/>
  <c r="AW108" i="197"/>
  <c r="AV108" i="197"/>
  <c r="AU108" i="197"/>
  <c r="AS108" i="197"/>
  <c r="AR108" i="197"/>
  <c r="AQ108" i="197"/>
  <c r="AX107" i="197"/>
  <c r="AW107" i="197"/>
  <c r="AV107" i="197"/>
  <c r="AU107" i="197"/>
  <c r="AS107" i="197"/>
  <c r="AR107" i="197"/>
  <c r="AQ107" i="197"/>
  <c r="AX106" i="197"/>
  <c r="AW106" i="197"/>
  <c r="AV106" i="197"/>
  <c r="AU106" i="197"/>
  <c r="AS106" i="197"/>
  <c r="AR106" i="197"/>
  <c r="AQ106" i="197"/>
  <c r="AX105" i="197"/>
  <c r="AW105" i="197"/>
  <c r="AV105" i="197"/>
  <c r="AU105" i="197"/>
  <c r="AS105" i="197"/>
  <c r="AR105" i="197"/>
  <c r="AQ105" i="197"/>
  <c r="AX104" i="197"/>
  <c r="AW104" i="197"/>
  <c r="AV104" i="197"/>
  <c r="AU104" i="197"/>
  <c r="AS104" i="197"/>
  <c r="AR104" i="197"/>
  <c r="AQ104" i="197"/>
  <c r="AG104" i="197"/>
  <c r="AX103" i="197"/>
  <c r="AW103" i="197"/>
  <c r="AV103" i="197"/>
  <c r="AU103" i="197"/>
  <c r="AS103" i="197"/>
  <c r="AR103" i="197"/>
  <c r="AQ103" i="197"/>
  <c r="AX102" i="197"/>
  <c r="AW102" i="197"/>
  <c r="AV102" i="197"/>
  <c r="AU102" i="197"/>
  <c r="AS102" i="197"/>
  <c r="AR102" i="197"/>
  <c r="AQ102" i="197"/>
  <c r="AX101" i="197"/>
  <c r="AW101" i="197"/>
  <c r="AV101" i="197"/>
  <c r="AU101" i="197"/>
  <c r="AS101" i="197"/>
  <c r="AR101" i="197"/>
  <c r="AQ101" i="197"/>
  <c r="AX100" i="197"/>
  <c r="AW100" i="197"/>
  <c r="AV100" i="197"/>
  <c r="AU100" i="197"/>
  <c r="AS100" i="197"/>
  <c r="AR100" i="197"/>
  <c r="AQ100" i="197"/>
  <c r="AX99" i="197"/>
  <c r="AW99" i="197"/>
  <c r="AV99" i="197"/>
  <c r="AU99" i="197"/>
  <c r="AS99" i="197"/>
  <c r="AR99" i="197"/>
  <c r="AQ99" i="197"/>
  <c r="AX98" i="197"/>
  <c r="AW98" i="197"/>
  <c r="AV98" i="197"/>
  <c r="AU98" i="197"/>
  <c r="AS98" i="197"/>
  <c r="AR98" i="197"/>
  <c r="AQ98" i="197"/>
  <c r="AX97" i="197"/>
  <c r="AW97" i="197"/>
  <c r="AV97" i="197"/>
  <c r="AU97" i="197"/>
  <c r="AS97" i="197"/>
  <c r="AR97" i="197"/>
  <c r="AQ97" i="197"/>
  <c r="AX96" i="197"/>
  <c r="AW96" i="197"/>
  <c r="AV96" i="197"/>
  <c r="AU96" i="197"/>
  <c r="AS96" i="197"/>
  <c r="AR96" i="197"/>
  <c r="AQ96" i="197"/>
  <c r="AX95" i="197"/>
  <c r="AW95" i="197"/>
  <c r="AV95" i="197"/>
  <c r="AU95" i="197"/>
  <c r="AS95" i="197"/>
  <c r="AR95" i="197"/>
  <c r="AQ95" i="197"/>
  <c r="AG95" i="197"/>
  <c r="AX94" i="197"/>
  <c r="AW94" i="197"/>
  <c r="AV94" i="197"/>
  <c r="AU94" i="197"/>
  <c r="AS94" i="197"/>
  <c r="AR94" i="197"/>
  <c r="AQ94" i="197"/>
  <c r="AX93" i="197"/>
  <c r="AW93" i="197"/>
  <c r="AV93" i="197"/>
  <c r="AU93" i="197"/>
  <c r="AS93" i="197"/>
  <c r="AR93" i="197"/>
  <c r="AQ93" i="197"/>
  <c r="AX92" i="197"/>
  <c r="AW92" i="197"/>
  <c r="AV92" i="197"/>
  <c r="AU92" i="197"/>
  <c r="AS92" i="197"/>
  <c r="AR92" i="197"/>
  <c r="AQ92" i="197"/>
  <c r="AX91" i="197"/>
  <c r="AW91" i="197"/>
  <c r="AV91" i="197"/>
  <c r="AU91" i="197"/>
  <c r="AS91" i="197"/>
  <c r="AR91" i="197"/>
  <c r="AQ91" i="197"/>
  <c r="AX90" i="197"/>
  <c r="AW90" i="197"/>
  <c r="AV90" i="197"/>
  <c r="AU90" i="197"/>
  <c r="AS90" i="197"/>
  <c r="AR90" i="197"/>
  <c r="AQ90" i="197"/>
  <c r="AX89" i="197"/>
  <c r="AW89" i="197"/>
  <c r="AV89" i="197"/>
  <c r="AU89" i="197"/>
  <c r="AS89" i="197"/>
  <c r="AR89" i="197"/>
  <c r="AQ89" i="197"/>
  <c r="AX88" i="197"/>
  <c r="AW88" i="197"/>
  <c r="AV88" i="197"/>
  <c r="AU88" i="197"/>
  <c r="AS88" i="197"/>
  <c r="AR88" i="197"/>
  <c r="AQ88" i="197"/>
  <c r="AX87" i="197"/>
  <c r="AW87" i="197"/>
  <c r="AV87" i="197"/>
  <c r="AU87" i="197"/>
  <c r="AS87" i="197"/>
  <c r="AR87" i="197"/>
  <c r="AQ87" i="197"/>
  <c r="AX86" i="197"/>
  <c r="AW86" i="197"/>
  <c r="AV86" i="197"/>
  <c r="AU86" i="197"/>
  <c r="AS86" i="197"/>
  <c r="AR86" i="197"/>
  <c r="AQ86" i="197"/>
  <c r="AX85" i="197"/>
  <c r="AW85" i="197"/>
  <c r="AV85" i="197"/>
  <c r="AU85" i="197"/>
  <c r="AS85" i="197"/>
  <c r="AR85" i="197"/>
  <c r="AQ85" i="197"/>
  <c r="AX84" i="197"/>
  <c r="AW84" i="197"/>
  <c r="AV84" i="197"/>
  <c r="AU84" i="197"/>
  <c r="AS84" i="197"/>
  <c r="AR84" i="197"/>
  <c r="AQ84" i="197"/>
  <c r="AX83" i="197"/>
  <c r="AW83" i="197"/>
  <c r="AV83" i="197"/>
  <c r="AU83" i="197"/>
  <c r="AS83" i="197"/>
  <c r="AR83" i="197"/>
  <c r="AQ83" i="197"/>
  <c r="AX82" i="197"/>
  <c r="AW82" i="197"/>
  <c r="AV82" i="197"/>
  <c r="AU82" i="197"/>
  <c r="AS82" i="197"/>
  <c r="AR82" i="197"/>
  <c r="AQ82" i="197"/>
  <c r="AX81" i="197"/>
  <c r="AW81" i="197"/>
  <c r="AV81" i="197"/>
  <c r="AU81" i="197"/>
  <c r="AS81" i="197"/>
  <c r="AR81" i="197"/>
  <c r="AQ81" i="197"/>
  <c r="AX80" i="197"/>
  <c r="AW80" i="197"/>
  <c r="AV80" i="197"/>
  <c r="AU80" i="197"/>
  <c r="AS80" i="197"/>
  <c r="AR80" i="197"/>
  <c r="AQ80" i="197"/>
  <c r="AG80" i="197"/>
  <c r="AI80" i="197" s="1"/>
  <c r="AX79" i="197"/>
  <c r="AW79" i="197"/>
  <c r="AV79" i="197"/>
  <c r="AU79" i="197"/>
  <c r="AS79" i="197"/>
  <c r="AR79" i="197"/>
  <c r="AQ79" i="197"/>
  <c r="AX78" i="197"/>
  <c r="AW78" i="197"/>
  <c r="AV78" i="197"/>
  <c r="AU78" i="197"/>
  <c r="AS78" i="197"/>
  <c r="AR78" i="197"/>
  <c r="AQ78" i="197"/>
  <c r="AX77" i="197"/>
  <c r="AW77" i="197"/>
  <c r="AV77" i="197"/>
  <c r="AU77" i="197"/>
  <c r="AS77" i="197"/>
  <c r="AR77" i="197"/>
  <c r="AQ77" i="197"/>
  <c r="AX76" i="197"/>
  <c r="AW76" i="197"/>
  <c r="AV76" i="197"/>
  <c r="AU76" i="197"/>
  <c r="AS76" i="197"/>
  <c r="AR76" i="197"/>
  <c r="AQ76" i="197"/>
  <c r="AX75" i="197"/>
  <c r="AW75" i="197"/>
  <c r="AV75" i="197"/>
  <c r="AU75" i="197"/>
  <c r="AS75" i="197"/>
  <c r="AR75" i="197"/>
  <c r="AQ75" i="197"/>
  <c r="AX74" i="197"/>
  <c r="AW74" i="197"/>
  <c r="AV74" i="197"/>
  <c r="AU74" i="197"/>
  <c r="AS74" i="197"/>
  <c r="AR74" i="197"/>
  <c r="AQ74" i="197"/>
  <c r="AG74" i="197"/>
  <c r="AX73" i="197"/>
  <c r="AW73" i="197"/>
  <c r="AV73" i="197"/>
  <c r="AU73" i="197"/>
  <c r="AS73" i="197"/>
  <c r="AR73" i="197"/>
  <c r="AQ73" i="197"/>
  <c r="AX72" i="197"/>
  <c r="AW72" i="197"/>
  <c r="AV72" i="197"/>
  <c r="AU72" i="197"/>
  <c r="AS72" i="197"/>
  <c r="AR72" i="197"/>
  <c r="AQ72" i="197"/>
  <c r="AX71" i="197"/>
  <c r="AW71" i="197"/>
  <c r="AV71" i="197"/>
  <c r="AU71" i="197"/>
  <c r="AS71" i="197"/>
  <c r="AR71" i="197"/>
  <c r="AQ71" i="197"/>
  <c r="AX70" i="197"/>
  <c r="AW70" i="197"/>
  <c r="AV70" i="197"/>
  <c r="AU70" i="197"/>
  <c r="AS70" i="197"/>
  <c r="AR70" i="197"/>
  <c r="AQ70" i="197"/>
  <c r="AX69" i="197"/>
  <c r="AW69" i="197"/>
  <c r="AV69" i="197"/>
  <c r="AU69" i="197"/>
  <c r="AS69" i="197"/>
  <c r="AR69" i="197"/>
  <c r="AQ69" i="197"/>
  <c r="AX68" i="197"/>
  <c r="AW68" i="197"/>
  <c r="AV68" i="197"/>
  <c r="AU68" i="197"/>
  <c r="AS68" i="197"/>
  <c r="AR68" i="197"/>
  <c r="AQ68" i="197"/>
  <c r="AG68" i="197"/>
  <c r="AX67" i="197"/>
  <c r="AW67" i="197"/>
  <c r="AV67" i="197"/>
  <c r="AU67" i="197"/>
  <c r="AS67" i="197"/>
  <c r="AR67" i="197"/>
  <c r="AQ67" i="197"/>
  <c r="AX66" i="197"/>
  <c r="AW66" i="197"/>
  <c r="AV66" i="197"/>
  <c r="AU66" i="197"/>
  <c r="AS66" i="197"/>
  <c r="AR66" i="197"/>
  <c r="AQ66" i="197"/>
  <c r="AX65" i="197"/>
  <c r="AW65" i="197"/>
  <c r="AV65" i="197"/>
  <c r="AU65" i="197"/>
  <c r="AS65" i="197"/>
  <c r="AR65" i="197"/>
  <c r="AQ65" i="197"/>
  <c r="AX64" i="197"/>
  <c r="AW64" i="197"/>
  <c r="AV64" i="197"/>
  <c r="AU64" i="197"/>
  <c r="AS64" i="197"/>
  <c r="AR64" i="197"/>
  <c r="AQ64" i="197"/>
  <c r="AX63" i="197"/>
  <c r="AW63" i="197"/>
  <c r="AV63" i="197"/>
  <c r="AU63" i="197"/>
  <c r="AS63" i="197"/>
  <c r="AR63" i="197"/>
  <c r="AQ63" i="197"/>
  <c r="AX62" i="197"/>
  <c r="AW62" i="197"/>
  <c r="AV62" i="197"/>
  <c r="AU62" i="197"/>
  <c r="AS62" i="197"/>
  <c r="AR62" i="197"/>
  <c r="AQ62" i="197"/>
  <c r="AX61" i="197"/>
  <c r="AW61" i="197"/>
  <c r="AV61" i="197"/>
  <c r="AU61" i="197"/>
  <c r="AS61" i="197"/>
  <c r="AR61" i="197"/>
  <c r="AQ61" i="197"/>
  <c r="AX60" i="197"/>
  <c r="AW60" i="197"/>
  <c r="AV60" i="197"/>
  <c r="AU60" i="197"/>
  <c r="AS60" i="197"/>
  <c r="AR60" i="197"/>
  <c r="AQ60" i="197"/>
  <c r="AX59" i="197"/>
  <c r="AW59" i="197"/>
  <c r="AV59" i="197"/>
  <c r="AU59" i="197"/>
  <c r="AS59" i="197"/>
  <c r="AR59" i="197"/>
  <c r="AQ59" i="197"/>
  <c r="AX58" i="197"/>
  <c r="AW58" i="197"/>
  <c r="AV58" i="197"/>
  <c r="AU58" i="197"/>
  <c r="AS58" i="197"/>
  <c r="AR58" i="197"/>
  <c r="AQ58" i="197"/>
  <c r="AX57" i="197"/>
  <c r="AW57" i="197"/>
  <c r="AV57" i="197"/>
  <c r="AU57" i="197"/>
  <c r="AS57" i="197"/>
  <c r="AR57" i="197"/>
  <c r="AQ57" i="197"/>
  <c r="AX56" i="197"/>
  <c r="AW56" i="197"/>
  <c r="AV56" i="197"/>
  <c r="AU56" i="197"/>
  <c r="AS56" i="197"/>
  <c r="AR56" i="197"/>
  <c r="AQ56" i="197"/>
  <c r="AX55" i="197"/>
  <c r="AW55" i="197"/>
  <c r="AV55" i="197"/>
  <c r="AU55" i="197"/>
  <c r="AS55" i="197"/>
  <c r="AR55" i="197"/>
  <c r="AQ55" i="197"/>
  <c r="AX54" i="197"/>
  <c r="AW54" i="197"/>
  <c r="AV54" i="197"/>
  <c r="AU54" i="197"/>
  <c r="AS54" i="197"/>
  <c r="AR54" i="197"/>
  <c r="AQ54" i="197"/>
  <c r="AX53" i="197"/>
  <c r="AW53" i="197"/>
  <c r="AV53" i="197"/>
  <c r="AU53" i="197"/>
  <c r="AS53" i="197"/>
  <c r="AR53" i="197"/>
  <c r="AQ53" i="197"/>
  <c r="AX52" i="197"/>
  <c r="AW52" i="197"/>
  <c r="AV52" i="197"/>
  <c r="AU52" i="197"/>
  <c r="AS52" i="197"/>
  <c r="AR52" i="197"/>
  <c r="AQ52" i="197"/>
  <c r="AX51" i="197"/>
  <c r="AW51" i="197"/>
  <c r="AV51" i="197"/>
  <c r="AU51" i="197"/>
  <c r="AS51" i="197"/>
  <c r="AR51" i="197"/>
  <c r="AQ51" i="197"/>
  <c r="AX50" i="197"/>
  <c r="AW50" i="197"/>
  <c r="AV50" i="197"/>
  <c r="AU50" i="197"/>
  <c r="AS50" i="197"/>
  <c r="AR50" i="197"/>
  <c r="AQ50" i="197"/>
  <c r="AG50" i="197"/>
  <c r="AX49" i="197"/>
  <c r="AW49" i="197"/>
  <c r="AV49" i="197"/>
  <c r="AU49" i="197"/>
  <c r="AS49" i="197"/>
  <c r="AR49" i="197"/>
  <c r="AQ49" i="197"/>
  <c r="AX48" i="197"/>
  <c r="AW48" i="197"/>
  <c r="AV48" i="197"/>
  <c r="AU48" i="197"/>
  <c r="AS48" i="197"/>
  <c r="AR48" i="197"/>
  <c r="AQ48" i="197"/>
  <c r="AX47" i="197"/>
  <c r="AW47" i="197"/>
  <c r="AV47" i="197"/>
  <c r="AU47" i="197"/>
  <c r="AS47" i="197"/>
  <c r="AR47" i="197"/>
  <c r="AQ47" i="197"/>
  <c r="AX46" i="197"/>
  <c r="AW46" i="197"/>
  <c r="AV46" i="197"/>
  <c r="AU46" i="197"/>
  <c r="AS46" i="197"/>
  <c r="AR46" i="197"/>
  <c r="AQ46" i="197"/>
  <c r="AX45" i="197"/>
  <c r="AW45" i="197"/>
  <c r="AV45" i="197"/>
  <c r="AU45" i="197"/>
  <c r="AS45" i="197"/>
  <c r="AR45" i="197"/>
  <c r="AQ45" i="197"/>
  <c r="AX44" i="197"/>
  <c r="AW44" i="197"/>
  <c r="AV44" i="197"/>
  <c r="AU44" i="197"/>
  <c r="AS44" i="197"/>
  <c r="AR44" i="197"/>
  <c r="AQ44" i="197"/>
  <c r="AG44" i="197"/>
  <c r="AX43" i="197"/>
  <c r="AW43" i="197"/>
  <c r="AV43" i="197"/>
  <c r="AU43" i="197"/>
  <c r="AS43" i="197"/>
  <c r="AR43" i="197"/>
  <c r="AQ43" i="197"/>
  <c r="AX42" i="197"/>
  <c r="AW42" i="197"/>
  <c r="AV42" i="197"/>
  <c r="AU42" i="197"/>
  <c r="AS42" i="197"/>
  <c r="AR42" i="197"/>
  <c r="AQ42" i="197"/>
  <c r="AX41" i="197"/>
  <c r="AW41" i="197"/>
  <c r="AV41" i="197"/>
  <c r="AU41" i="197"/>
  <c r="AS41" i="197"/>
  <c r="AR41" i="197"/>
  <c r="AQ41" i="197"/>
  <c r="AX40" i="197"/>
  <c r="AW40" i="197"/>
  <c r="AV40" i="197"/>
  <c r="AU40" i="197"/>
  <c r="AS40" i="197"/>
  <c r="AR40" i="197"/>
  <c r="AQ40" i="197"/>
  <c r="AX39" i="197"/>
  <c r="AW39" i="197"/>
  <c r="AV39" i="197"/>
  <c r="AU39" i="197"/>
  <c r="AS39" i="197"/>
  <c r="AR39" i="197"/>
  <c r="AQ39" i="197"/>
  <c r="AX38" i="197"/>
  <c r="AW38" i="197"/>
  <c r="AV38" i="197"/>
  <c r="AU38" i="197"/>
  <c r="AS38" i="197"/>
  <c r="AR38" i="197"/>
  <c r="AQ38" i="197"/>
  <c r="AG38" i="197"/>
  <c r="AI38" i="197" s="1"/>
  <c r="AX37" i="197"/>
  <c r="AW37" i="197"/>
  <c r="AV37" i="197"/>
  <c r="AU37" i="197"/>
  <c r="AS37" i="197"/>
  <c r="AR37" i="197"/>
  <c r="AQ37" i="197"/>
  <c r="AX36" i="197"/>
  <c r="AW36" i="197"/>
  <c r="AV36" i="197"/>
  <c r="AU36" i="197"/>
  <c r="AS36" i="197"/>
  <c r="AR36" i="197"/>
  <c r="AQ36" i="197"/>
  <c r="AX35" i="197"/>
  <c r="AW35" i="197"/>
  <c r="AV35" i="197"/>
  <c r="AU35" i="197"/>
  <c r="AS35" i="197"/>
  <c r="AR35" i="197"/>
  <c r="AQ35" i="197"/>
  <c r="AX34" i="197"/>
  <c r="AW34" i="197"/>
  <c r="AV34" i="197"/>
  <c r="AU34" i="197"/>
  <c r="AS34" i="197"/>
  <c r="AR34" i="197"/>
  <c r="AQ34" i="197"/>
  <c r="AX33" i="197"/>
  <c r="AW33" i="197"/>
  <c r="AV33" i="197"/>
  <c r="AU33" i="197"/>
  <c r="AS33" i="197"/>
  <c r="AR33" i="197"/>
  <c r="AQ33" i="197"/>
  <c r="AX32" i="197"/>
  <c r="AW32" i="197"/>
  <c r="AV32" i="197"/>
  <c r="AU32" i="197"/>
  <c r="AS32" i="197"/>
  <c r="AR32" i="197"/>
  <c r="AQ32" i="197"/>
  <c r="AX31" i="197"/>
  <c r="AW31" i="197"/>
  <c r="AV31" i="197"/>
  <c r="AU31" i="197"/>
  <c r="AS31" i="197"/>
  <c r="AR31" i="197"/>
  <c r="AQ31" i="197"/>
  <c r="AX30" i="197"/>
  <c r="AW30" i="197"/>
  <c r="AV30" i="197"/>
  <c r="AU30" i="197"/>
  <c r="AS30" i="197"/>
  <c r="AR30" i="197"/>
  <c r="AQ30" i="197"/>
  <c r="AX29" i="197"/>
  <c r="AW29" i="197"/>
  <c r="AV29" i="197"/>
  <c r="AU29" i="197"/>
  <c r="AS29" i="197"/>
  <c r="AR29" i="197"/>
  <c r="AQ29" i="197"/>
  <c r="AX28" i="197"/>
  <c r="AW28" i="197"/>
  <c r="AV28" i="197"/>
  <c r="AU28" i="197"/>
  <c r="AS28" i="197"/>
  <c r="AR28" i="197"/>
  <c r="AQ28" i="197"/>
  <c r="AX27" i="197"/>
  <c r="AW27" i="197"/>
  <c r="AV27" i="197"/>
  <c r="AU27" i="197"/>
  <c r="AS27" i="197"/>
  <c r="AR27" i="197"/>
  <c r="AQ27" i="197"/>
  <c r="AX26" i="197"/>
  <c r="AW26" i="197"/>
  <c r="AV26" i="197"/>
  <c r="AU26" i="197"/>
  <c r="AS26" i="197"/>
  <c r="AR26" i="197"/>
  <c r="AQ26" i="197"/>
  <c r="AX25" i="197"/>
  <c r="AW25" i="197"/>
  <c r="AV25" i="197"/>
  <c r="AU25" i="197"/>
  <c r="AS25" i="197"/>
  <c r="AR25" i="197"/>
  <c r="AQ25" i="197"/>
  <c r="AX24" i="197"/>
  <c r="AW24" i="197"/>
  <c r="AV24" i="197"/>
  <c r="AU24" i="197"/>
  <c r="AS24" i="197"/>
  <c r="AR24" i="197"/>
  <c r="AQ24" i="197"/>
  <c r="AX23" i="197"/>
  <c r="AW23" i="197"/>
  <c r="AV23" i="197"/>
  <c r="AU23" i="197"/>
  <c r="AS23" i="197"/>
  <c r="AR23" i="197"/>
  <c r="AQ23" i="197"/>
  <c r="AX22" i="197"/>
  <c r="AW22" i="197"/>
  <c r="AV22" i="197"/>
  <c r="AU22" i="197"/>
  <c r="AS22" i="197"/>
  <c r="AR22" i="197"/>
  <c r="AQ22" i="197"/>
  <c r="AX21" i="197"/>
  <c r="AW21" i="197"/>
  <c r="AV21" i="197"/>
  <c r="AU21" i="197"/>
  <c r="AS21" i="197"/>
  <c r="AR21" i="197"/>
  <c r="AQ21" i="197"/>
  <c r="AG21" i="197"/>
  <c r="AX20" i="197"/>
  <c r="AW20" i="197"/>
  <c r="AV20" i="197"/>
  <c r="AU20" i="197"/>
  <c r="AS20" i="197"/>
  <c r="AR20" i="197"/>
  <c r="AQ20" i="197"/>
  <c r="AX19" i="197"/>
  <c r="AW19" i="197"/>
  <c r="AV19" i="197"/>
  <c r="AU19" i="197"/>
  <c r="AS19" i="197"/>
  <c r="AR19" i="197"/>
  <c r="AQ19" i="197"/>
  <c r="AG19" i="197"/>
  <c r="AX18" i="197"/>
  <c r="AW18" i="197"/>
  <c r="AV18" i="197"/>
  <c r="AU18" i="197"/>
  <c r="AS18" i="197"/>
  <c r="AR18" i="197"/>
  <c r="AQ18" i="197"/>
  <c r="AX179" i="197"/>
  <c r="AW179" i="197"/>
  <c r="AV179" i="197"/>
  <c r="AU179" i="197"/>
  <c r="AS179" i="197"/>
  <c r="AR179" i="197"/>
  <c r="AQ179" i="197"/>
  <c r="AX178" i="197"/>
  <c r="AW178" i="197"/>
  <c r="AV178" i="197"/>
  <c r="AU178" i="197"/>
  <c r="AS178" i="197"/>
  <c r="AR178" i="197"/>
  <c r="AQ178" i="197"/>
  <c r="AX177" i="197"/>
  <c r="AW177" i="197"/>
  <c r="AV177" i="197"/>
  <c r="AU177" i="197"/>
  <c r="AS177" i="197"/>
  <c r="AR177" i="197"/>
  <c r="AQ177" i="197"/>
  <c r="AX176" i="197"/>
  <c r="AW176" i="197"/>
  <c r="AV176" i="197"/>
  <c r="AU176" i="197"/>
  <c r="AS176" i="197"/>
  <c r="AR176" i="197"/>
  <c r="AQ176" i="197"/>
  <c r="AX175" i="197"/>
  <c r="AW175" i="197"/>
  <c r="AV175" i="197"/>
  <c r="AU175" i="197"/>
  <c r="AS175" i="197"/>
  <c r="AR175" i="197"/>
  <c r="AQ175" i="197"/>
  <c r="AX174" i="197"/>
  <c r="AW174" i="197"/>
  <c r="AV174" i="197"/>
  <c r="AU174" i="197"/>
  <c r="AS174" i="197"/>
  <c r="AR174" i="197"/>
  <c r="AQ174" i="197"/>
  <c r="AX173" i="197"/>
  <c r="AW173" i="197"/>
  <c r="AV173" i="197"/>
  <c r="AU173" i="197"/>
  <c r="AS173" i="197"/>
  <c r="AR173" i="197"/>
  <c r="AQ173" i="197"/>
  <c r="AX172" i="197"/>
  <c r="AW172" i="197"/>
  <c r="AV172" i="197"/>
  <c r="AU172" i="197"/>
  <c r="AS172" i="197"/>
  <c r="AR172" i="197"/>
  <c r="AQ172" i="197"/>
  <c r="AX171" i="197"/>
  <c r="AW171" i="197"/>
  <c r="AV171" i="197"/>
  <c r="AU171" i="197"/>
  <c r="AS171" i="197"/>
  <c r="AR171" i="197"/>
  <c r="AQ171" i="197"/>
  <c r="AX170" i="197"/>
  <c r="AW170" i="197"/>
  <c r="AV170" i="197"/>
  <c r="AU170" i="197"/>
  <c r="AS170" i="197"/>
  <c r="AR170" i="197"/>
  <c r="AQ170" i="197"/>
  <c r="AG170" i="197"/>
  <c r="AX169" i="197"/>
  <c r="AW169" i="197"/>
  <c r="AV169" i="197"/>
  <c r="AU169" i="197"/>
  <c r="AS169" i="197"/>
  <c r="AR169" i="197"/>
  <c r="AQ169" i="197"/>
  <c r="AX168" i="197"/>
  <c r="AW168" i="197"/>
  <c r="AV168" i="197"/>
  <c r="AU168" i="197"/>
  <c r="AS168" i="197"/>
  <c r="AR168" i="197"/>
  <c r="AQ168" i="197"/>
  <c r="AX167" i="197"/>
  <c r="AW167" i="197"/>
  <c r="AV167" i="197"/>
  <c r="AU167" i="197"/>
  <c r="AS167" i="197"/>
  <c r="AR167" i="197"/>
  <c r="AQ167" i="197"/>
  <c r="AX166" i="197"/>
  <c r="AW166" i="197"/>
  <c r="AV166" i="197"/>
  <c r="AU166" i="197"/>
  <c r="AS166" i="197"/>
  <c r="AR166" i="197"/>
  <c r="AQ166" i="197"/>
  <c r="AX165" i="197"/>
  <c r="AW165" i="197"/>
  <c r="AV165" i="197"/>
  <c r="AU165" i="197"/>
  <c r="AS165" i="197"/>
  <c r="AR165" i="197"/>
  <c r="AQ165" i="197"/>
  <c r="AX164" i="197"/>
  <c r="AW164" i="197"/>
  <c r="AV164" i="197"/>
  <c r="AU164" i="197"/>
  <c r="AS164" i="197"/>
  <c r="AR164" i="197"/>
  <c r="AQ164" i="197"/>
  <c r="AX163" i="197"/>
  <c r="AW163" i="197"/>
  <c r="AV163" i="197"/>
  <c r="AU163" i="197"/>
  <c r="AS163" i="197"/>
  <c r="AR163" i="197"/>
  <c r="AQ163" i="197"/>
  <c r="AX162" i="197"/>
  <c r="AW162" i="197"/>
  <c r="AV162" i="197"/>
  <c r="AU162" i="197"/>
  <c r="AS162" i="197"/>
  <c r="AR162" i="197"/>
  <c r="AQ162" i="197"/>
  <c r="AX197" i="197"/>
  <c r="AW197" i="197"/>
  <c r="AV197" i="197"/>
  <c r="AU197" i="197"/>
  <c r="AS197" i="197"/>
  <c r="AR197" i="197"/>
  <c r="AQ197" i="197"/>
  <c r="AG197" i="197"/>
  <c r="AX196" i="197"/>
  <c r="AW196" i="197"/>
  <c r="AV196" i="197"/>
  <c r="AU196" i="197"/>
  <c r="AS196" i="197"/>
  <c r="AR196" i="197"/>
  <c r="AQ196" i="197"/>
  <c r="AX195" i="197"/>
  <c r="AW195" i="197"/>
  <c r="AV195" i="197"/>
  <c r="AU195" i="197"/>
  <c r="AS195" i="197"/>
  <c r="AR195" i="197"/>
  <c r="AQ195" i="197"/>
  <c r="AX194" i="197"/>
  <c r="AW194" i="197"/>
  <c r="AV194" i="197"/>
  <c r="AU194" i="197"/>
  <c r="AS194" i="197"/>
  <c r="AR194" i="197"/>
  <c r="AQ194" i="197"/>
  <c r="AX193" i="197"/>
  <c r="AW193" i="197"/>
  <c r="AV193" i="197"/>
  <c r="AU193" i="197"/>
  <c r="AS193" i="197"/>
  <c r="AR193" i="197"/>
  <c r="AQ193" i="197"/>
  <c r="AX192" i="197"/>
  <c r="AW192" i="197"/>
  <c r="AV192" i="197"/>
  <c r="AU192" i="197"/>
  <c r="AS192" i="197"/>
  <c r="AR192" i="197"/>
  <c r="AQ192" i="197"/>
  <c r="AX191" i="197"/>
  <c r="AW191" i="197"/>
  <c r="AV191" i="197"/>
  <c r="AU191" i="197"/>
  <c r="AS191" i="197"/>
  <c r="AR191" i="197"/>
  <c r="AQ191" i="197"/>
  <c r="AX190" i="197"/>
  <c r="AW190" i="197"/>
  <c r="AV190" i="197"/>
  <c r="AU190" i="197"/>
  <c r="AS190" i="197"/>
  <c r="AR190" i="197"/>
  <c r="AQ190" i="197"/>
  <c r="AX189" i="197"/>
  <c r="AW189" i="197"/>
  <c r="AV189" i="197"/>
  <c r="AU189" i="197"/>
  <c r="AS189" i="197"/>
  <c r="AR189" i="197"/>
  <c r="AQ189" i="197"/>
  <c r="AX188" i="197"/>
  <c r="AW188" i="197"/>
  <c r="AV188" i="197"/>
  <c r="AU188" i="197"/>
  <c r="AS188" i="197"/>
  <c r="AR188" i="197"/>
  <c r="AQ188" i="197"/>
  <c r="AX187" i="197"/>
  <c r="AW187" i="197"/>
  <c r="AV187" i="197"/>
  <c r="AU187" i="197"/>
  <c r="AS187" i="197"/>
  <c r="AR187" i="197"/>
  <c r="AQ187" i="197"/>
  <c r="AX186" i="197"/>
  <c r="AW186" i="197"/>
  <c r="AV186" i="197"/>
  <c r="AU186" i="197"/>
  <c r="AS186" i="197"/>
  <c r="AR186" i="197"/>
  <c r="AQ186" i="197"/>
  <c r="AX185" i="197"/>
  <c r="AW185" i="197"/>
  <c r="AV185" i="197"/>
  <c r="AU185" i="197"/>
  <c r="AS185" i="197"/>
  <c r="AR185" i="197"/>
  <c r="AQ185" i="197"/>
  <c r="AG185" i="197"/>
  <c r="AX184" i="197"/>
  <c r="AW184" i="197"/>
  <c r="AV184" i="197"/>
  <c r="AU184" i="197"/>
  <c r="AS184" i="197"/>
  <c r="AR184" i="197"/>
  <c r="AQ184" i="197"/>
  <c r="AX183" i="197"/>
  <c r="AW183" i="197"/>
  <c r="AV183" i="197"/>
  <c r="AU183" i="197"/>
  <c r="AS183" i="197"/>
  <c r="AR183" i="197"/>
  <c r="AQ183" i="197"/>
  <c r="AX182" i="197"/>
  <c r="AW182" i="197"/>
  <c r="AV182" i="197"/>
  <c r="AU182" i="197"/>
  <c r="AS182" i="197"/>
  <c r="AR182" i="197"/>
  <c r="AQ182" i="197"/>
  <c r="AG182" i="197"/>
  <c r="AX181" i="197"/>
  <c r="AW181" i="197"/>
  <c r="AV181" i="197"/>
  <c r="AU181" i="197"/>
  <c r="AS181" i="197"/>
  <c r="AR181" i="197"/>
  <c r="AQ181" i="197"/>
  <c r="AX180" i="197"/>
  <c r="AW180" i="197"/>
  <c r="AV180" i="197"/>
  <c r="AU180" i="197"/>
  <c r="AS180" i="197"/>
  <c r="AR180" i="197"/>
  <c r="AQ180" i="197"/>
  <c r="AX215" i="197"/>
  <c r="AW215" i="197"/>
  <c r="AV215" i="197"/>
  <c r="AU215" i="197"/>
  <c r="AS215" i="197"/>
  <c r="AR215" i="197"/>
  <c r="AQ215" i="197"/>
  <c r="AG215" i="197"/>
  <c r="AX214" i="197"/>
  <c r="AW214" i="197"/>
  <c r="AV214" i="197"/>
  <c r="AU214" i="197"/>
  <c r="AS214" i="197"/>
  <c r="AR214" i="197"/>
  <c r="AQ214" i="197"/>
  <c r="AX213" i="197"/>
  <c r="AW213" i="197"/>
  <c r="AV213" i="197"/>
  <c r="AU213" i="197"/>
  <c r="AS213" i="197"/>
  <c r="AR213" i="197"/>
  <c r="AQ213" i="197"/>
  <c r="AX212" i="197"/>
  <c r="AW212" i="197"/>
  <c r="AV212" i="197"/>
  <c r="AU212" i="197"/>
  <c r="AS212" i="197"/>
  <c r="AR212" i="197"/>
  <c r="AQ212" i="197"/>
  <c r="AX211" i="197"/>
  <c r="AW211" i="197"/>
  <c r="AV211" i="197"/>
  <c r="AU211" i="197"/>
  <c r="AS211" i="197"/>
  <c r="AR211" i="197"/>
  <c r="AQ211" i="197"/>
  <c r="AX210" i="197"/>
  <c r="AW210" i="197"/>
  <c r="AV210" i="197"/>
  <c r="AU210" i="197"/>
  <c r="AS210" i="197"/>
  <c r="AR210" i="197"/>
  <c r="AQ210" i="197"/>
  <c r="AX209" i="197"/>
  <c r="AW209" i="197"/>
  <c r="AV209" i="197"/>
  <c r="AU209" i="197"/>
  <c r="AS209" i="197"/>
  <c r="AR209" i="197"/>
  <c r="AQ209" i="197"/>
  <c r="AX208" i="197"/>
  <c r="AW208" i="197"/>
  <c r="AV208" i="197"/>
  <c r="AU208" i="197"/>
  <c r="AS208" i="197"/>
  <c r="AR208" i="197"/>
  <c r="AQ208" i="197"/>
  <c r="AX207" i="197"/>
  <c r="AW207" i="197"/>
  <c r="AV207" i="197"/>
  <c r="AU207" i="197"/>
  <c r="AS207" i="197"/>
  <c r="AR207" i="197"/>
  <c r="AQ207" i="197"/>
  <c r="AX206" i="197"/>
  <c r="AW206" i="197"/>
  <c r="AV206" i="197"/>
  <c r="AU206" i="197"/>
  <c r="AS206" i="197"/>
  <c r="AR206" i="197"/>
  <c r="AQ206" i="197"/>
  <c r="AG206" i="197"/>
  <c r="AX205" i="197"/>
  <c r="AW205" i="197"/>
  <c r="AV205" i="197"/>
  <c r="AU205" i="197"/>
  <c r="AS205" i="197"/>
  <c r="AR205" i="197"/>
  <c r="AQ205" i="197"/>
  <c r="AX204" i="197"/>
  <c r="AW204" i="197"/>
  <c r="AV204" i="197"/>
  <c r="AU204" i="197"/>
  <c r="AS204" i="197"/>
  <c r="AR204" i="197"/>
  <c r="AQ204" i="197"/>
  <c r="AX203" i="197"/>
  <c r="AW203" i="197"/>
  <c r="AV203" i="197"/>
  <c r="AU203" i="197"/>
  <c r="AS203" i="197"/>
  <c r="AR203" i="197"/>
  <c r="AQ203" i="197"/>
  <c r="AG203" i="197"/>
  <c r="AX202" i="197"/>
  <c r="AW202" i="197"/>
  <c r="AV202" i="197"/>
  <c r="AU202" i="197"/>
  <c r="AS202" i="197"/>
  <c r="AR202" i="197"/>
  <c r="AQ202" i="197"/>
  <c r="AX201" i="197"/>
  <c r="AW201" i="197"/>
  <c r="AV201" i="197"/>
  <c r="AU201" i="197"/>
  <c r="AS201" i="197"/>
  <c r="AR201" i="197"/>
  <c r="AQ201" i="197"/>
  <c r="AX200" i="197"/>
  <c r="AW200" i="197"/>
  <c r="AV200" i="197"/>
  <c r="AU200" i="197"/>
  <c r="AS200" i="197"/>
  <c r="AR200" i="197"/>
  <c r="AQ200" i="197"/>
  <c r="AG200" i="197"/>
  <c r="AX199" i="197"/>
  <c r="AW199" i="197"/>
  <c r="AV199" i="197"/>
  <c r="AU199" i="197"/>
  <c r="AS199" i="197"/>
  <c r="AR199" i="197"/>
  <c r="AQ199" i="197"/>
  <c r="AX198" i="197"/>
  <c r="AW198" i="197"/>
  <c r="AV198" i="197"/>
  <c r="AU198" i="197"/>
  <c r="AS198" i="197"/>
  <c r="AR198" i="197"/>
  <c r="AQ198" i="197"/>
  <c r="AX233" i="197"/>
  <c r="AW233" i="197"/>
  <c r="AV233" i="197"/>
  <c r="AU233" i="197"/>
  <c r="AS233" i="197"/>
  <c r="AR233" i="197"/>
  <c r="AQ233" i="197"/>
  <c r="AX232" i="197"/>
  <c r="AW232" i="197"/>
  <c r="AV232" i="197"/>
  <c r="AU232" i="197"/>
  <c r="AS232" i="197"/>
  <c r="AR232" i="197"/>
  <c r="AQ232" i="197"/>
  <c r="AX231" i="197"/>
  <c r="AW231" i="197"/>
  <c r="AV231" i="197"/>
  <c r="AU231" i="197"/>
  <c r="AS231" i="197"/>
  <c r="AR231" i="197"/>
  <c r="AQ231" i="197"/>
  <c r="AX230" i="197"/>
  <c r="AW230" i="197"/>
  <c r="AV230" i="197"/>
  <c r="AU230" i="197"/>
  <c r="AS230" i="197"/>
  <c r="AR230" i="197"/>
  <c r="AQ230" i="197"/>
  <c r="AX229" i="197"/>
  <c r="AW229" i="197"/>
  <c r="AV229" i="197"/>
  <c r="AU229" i="197"/>
  <c r="AS229" i="197"/>
  <c r="AR229" i="197"/>
  <c r="AQ229" i="197"/>
  <c r="AX228" i="197"/>
  <c r="AW228" i="197"/>
  <c r="AV228" i="197"/>
  <c r="AU228" i="197"/>
  <c r="AS228" i="197"/>
  <c r="AR228" i="197"/>
  <c r="AQ228" i="197"/>
  <c r="AX227" i="197"/>
  <c r="AW227" i="197"/>
  <c r="AV227" i="197"/>
  <c r="AU227" i="197"/>
  <c r="AS227" i="197"/>
  <c r="AR227" i="197"/>
  <c r="AQ227" i="197"/>
  <c r="AG227" i="197"/>
  <c r="AI227" i="197" s="1"/>
  <c r="AX226" i="197"/>
  <c r="AW226" i="197"/>
  <c r="AV226" i="197"/>
  <c r="AU226" i="197"/>
  <c r="AS226" i="197"/>
  <c r="AR226" i="197"/>
  <c r="AQ226" i="197"/>
  <c r="AX225" i="197"/>
  <c r="AW225" i="197"/>
  <c r="AV225" i="197"/>
  <c r="AU225" i="197"/>
  <c r="AS225" i="197"/>
  <c r="AR225" i="197"/>
  <c r="AQ225" i="197"/>
  <c r="AX224" i="197"/>
  <c r="AW224" i="197"/>
  <c r="AV224" i="197"/>
  <c r="AU224" i="197"/>
  <c r="AS224" i="197"/>
  <c r="AR224" i="197"/>
  <c r="AQ224" i="197"/>
  <c r="AG224" i="197"/>
  <c r="AX223" i="197"/>
  <c r="AW223" i="197"/>
  <c r="AV223" i="197"/>
  <c r="AU223" i="197"/>
  <c r="AS223" i="197"/>
  <c r="AR223" i="197"/>
  <c r="AQ223" i="197"/>
  <c r="AX222" i="197"/>
  <c r="AW222" i="197"/>
  <c r="AV222" i="197"/>
  <c r="AU222" i="197"/>
  <c r="AS222" i="197"/>
  <c r="AR222" i="197"/>
  <c r="AQ222" i="197"/>
  <c r="AX221" i="197"/>
  <c r="AW221" i="197"/>
  <c r="AV221" i="197"/>
  <c r="AU221" i="197"/>
  <c r="AS221" i="197"/>
  <c r="AR221" i="197"/>
  <c r="AQ221" i="197"/>
  <c r="AG221" i="197"/>
  <c r="AX220" i="197"/>
  <c r="AW220" i="197"/>
  <c r="AV220" i="197"/>
  <c r="AU220" i="197"/>
  <c r="AS220" i="197"/>
  <c r="AR220" i="197"/>
  <c r="AQ220" i="197"/>
  <c r="AX219" i="197"/>
  <c r="AW219" i="197"/>
  <c r="AV219" i="197"/>
  <c r="AU219" i="197"/>
  <c r="AS219" i="197"/>
  <c r="AR219" i="197"/>
  <c r="AQ219" i="197"/>
  <c r="AX218" i="197"/>
  <c r="AW218" i="197"/>
  <c r="AV218" i="197"/>
  <c r="AU218" i="197"/>
  <c r="AS218" i="197"/>
  <c r="AR218" i="197"/>
  <c r="AQ218" i="197"/>
  <c r="AG218" i="197"/>
  <c r="AX217" i="197"/>
  <c r="AW217" i="197"/>
  <c r="AV217" i="197"/>
  <c r="AU217" i="197"/>
  <c r="AS217" i="197"/>
  <c r="AR217" i="197"/>
  <c r="AQ217" i="197"/>
  <c r="AX216" i="197"/>
  <c r="AW216" i="197"/>
  <c r="AV216" i="197"/>
  <c r="AU216" i="197"/>
  <c r="AS216" i="197"/>
  <c r="AR216" i="197"/>
  <c r="AQ216" i="197"/>
  <c r="AX251" i="197"/>
  <c r="AW251" i="197"/>
  <c r="AV251" i="197"/>
  <c r="AU251" i="197"/>
  <c r="AS251" i="197"/>
  <c r="AR251" i="197"/>
  <c r="AQ251" i="197"/>
  <c r="AG251" i="197"/>
  <c r="AI251" i="197" s="1"/>
  <c r="AX250" i="197"/>
  <c r="AW250" i="197"/>
  <c r="AV250" i="197"/>
  <c r="AU250" i="197"/>
  <c r="AS250" i="197"/>
  <c r="AR250" i="197"/>
  <c r="AQ250" i="197"/>
  <c r="AX249" i="197"/>
  <c r="AW249" i="197"/>
  <c r="AV249" i="197"/>
  <c r="AU249" i="197"/>
  <c r="AS249" i="197"/>
  <c r="AR249" i="197"/>
  <c r="AQ249" i="197"/>
  <c r="AX248" i="197"/>
  <c r="AW248" i="197"/>
  <c r="AV248" i="197"/>
  <c r="AU248" i="197"/>
  <c r="AS248" i="197"/>
  <c r="AR248" i="197"/>
  <c r="AQ248" i="197"/>
  <c r="AX247" i="197"/>
  <c r="AW247" i="197"/>
  <c r="AV247" i="197"/>
  <c r="AU247" i="197"/>
  <c r="AS247" i="197"/>
  <c r="AR247" i="197"/>
  <c r="AQ247" i="197"/>
  <c r="AX246" i="197"/>
  <c r="AW246" i="197"/>
  <c r="AV246" i="197"/>
  <c r="AU246" i="197"/>
  <c r="AS246" i="197"/>
  <c r="AR246" i="197"/>
  <c r="AQ246" i="197"/>
  <c r="AX245" i="197"/>
  <c r="AW245" i="197"/>
  <c r="AV245" i="197"/>
  <c r="AU245" i="197"/>
  <c r="AS245" i="197"/>
  <c r="AR245" i="197"/>
  <c r="AQ245" i="197"/>
  <c r="AX244" i="197"/>
  <c r="AW244" i="197"/>
  <c r="AV244" i="197"/>
  <c r="AU244" i="197"/>
  <c r="AS244" i="197"/>
  <c r="AR244" i="197"/>
  <c r="AQ244" i="197"/>
  <c r="AX243" i="197"/>
  <c r="AW243" i="197"/>
  <c r="AV243" i="197"/>
  <c r="AU243" i="197"/>
  <c r="AS243" i="197"/>
  <c r="AR243" i="197"/>
  <c r="AQ243" i="197"/>
  <c r="AX242" i="197"/>
  <c r="AW242" i="197"/>
  <c r="AV242" i="197"/>
  <c r="AU242" i="197"/>
  <c r="AS242" i="197"/>
  <c r="AR242" i="197"/>
  <c r="AQ242" i="197"/>
  <c r="AG242" i="197"/>
  <c r="AI242" i="197" s="1"/>
  <c r="AX241" i="197"/>
  <c r="AW241" i="197"/>
  <c r="AV241" i="197"/>
  <c r="AU241" i="197"/>
  <c r="AS241" i="197"/>
  <c r="AR241" i="197"/>
  <c r="AQ241" i="197"/>
  <c r="AX240" i="197"/>
  <c r="AW240" i="197"/>
  <c r="AV240" i="197"/>
  <c r="AU240" i="197"/>
  <c r="AS240" i="197"/>
  <c r="AR240" i="197"/>
  <c r="AQ240" i="197"/>
  <c r="AX239" i="197"/>
  <c r="AW239" i="197"/>
  <c r="AV239" i="197"/>
  <c r="AU239" i="197"/>
  <c r="AS239" i="197"/>
  <c r="AR239" i="197"/>
  <c r="AQ239" i="197"/>
  <c r="AG239" i="197"/>
  <c r="AX238" i="197"/>
  <c r="AW238" i="197"/>
  <c r="AV238" i="197"/>
  <c r="AU238" i="197"/>
  <c r="AS238" i="197"/>
  <c r="AR238" i="197"/>
  <c r="AQ238" i="197"/>
  <c r="AX237" i="197"/>
  <c r="AW237" i="197"/>
  <c r="AV237" i="197"/>
  <c r="AU237" i="197"/>
  <c r="AS237" i="197"/>
  <c r="AR237" i="197"/>
  <c r="AQ237" i="197"/>
  <c r="AX236" i="197"/>
  <c r="AW236" i="197"/>
  <c r="AV236" i="197"/>
  <c r="AU236" i="197"/>
  <c r="AS236" i="197"/>
  <c r="AR236" i="197"/>
  <c r="AQ236" i="197"/>
  <c r="AX235" i="197"/>
  <c r="AW235" i="197"/>
  <c r="AV235" i="197"/>
  <c r="AU235" i="197"/>
  <c r="AS235" i="197"/>
  <c r="AR235" i="197"/>
  <c r="AQ235" i="197"/>
  <c r="AX234" i="197"/>
  <c r="AW234" i="197"/>
  <c r="AV234" i="197"/>
  <c r="AU234" i="197"/>
  <c r="AS234" i="197"/>
  <c r="AR234" i="197"/>
  <c r="AQ234" i="197"/>
  <c r="AX269" i="197"/>
  <c r="AW269" i="197"/>
  <c r="AV269" i="197"/>
  <c r="AU269" i="197"/>
  <c r="AS269" i="197"/>
  <c r="AR269" i="197"/>
  <c r="AQ269" i="197"/>
  <c r="AX268" i="197"/>
  <c r="AW268" i="197"/>
  <c r="AV268" i="197"/>
  <c r="AU268" i="197"/>
  <c r="AS268" i="197"/>
  <c r="AR268" i="197"/>
  <c r="AQ268" i="197"/>
  <c r="AX267" i="197"/>
  <c r="AW267" i="197"/>
  <c r="AV267" i="197"/>
  <c r="AU267" i="197"/>
  <c r="AS267" i="197"/>
  <c r="AR267" i="197"/>
  <c r="AQ267" i="197"/>
  <c r="AX266" i="197"/>
  <c r="AW266" i="197"/>
  <c r="AV266" i="197"/>
  <c r="AU266" i="197"/>
  <c r="AS266" i="197"/>
  <c r="AR266" i="197"/>
  <c r="AQ266" i="197"/>
  <c r="AX265" i="197"/>
  <c r="AW265" i="197"/>
  <c r="AV265" i="197"/>
  <c r="AU265" i="197"/>
  <c r="AS265" i="197"/>
  <c r="AR265" i="197"/>
  <c r="AQ265" i="197"/>
  <c r="AX264" i="197"/>
  <c r="AW264" i="197"/>
  <c r="AV264" i="197"/>
  <c r="AU264" i="197"/>
  <c r="AS264" i="197"/>
  <c r="AR264" i="197"/>
  <c r="AQ264" i="197"/>
  <c r="AX263" i="197"/>
  <c r="AW263" i="197"/>
  <c r="AV263" i="197"/>
  <c r="AU263" i="197"/>
  <c r="AS263" i="197"/>
  <c r="AR263" i="197"/>
  <c r="AQ263" i="197"/>
  <c r="AG263" i="197"/>
  <c r="AI263" i="197" s="1"/>
  <c r="AX262" i="197"/>
  <c r="AW262" i="197"/>
  <c r="AV262" i="197"/>
  <c r="AU262" i="197"/>
  <c r="AS262" i="197"/>
  <c r="AR262" i="197"/>
  <c r="AQ262" i="197"/>
  <c r="AX261" i="197"/>
  <c r="AW261" i="197"/>
  <c r="AV261" i="197"/>
  <c r="AU261" i="197"/>
  <c r="AS261" i="197"/>
  <c r="AR261" i="197"/>
  <c r="AQ261" i="197"/>
  <c r="AX260" i="197"/>
  <c r="AW260" i="197"/>
  <c r="AV260" i="197"/>
  <c r="AU260" i="197"/>
  <c r="AS260" i="197"/>
  <c r="AR260" i="197"/>
  <c r="AQ260" i="197"/>
  <c r="AX259" i="197"/>
  <c r="AW259" i="197"/>
  <c r="AV259" i="197"/>
  <c r="AU259" i="197"/>
  <c r="AS259" i="197"/>
  <c r="AR259" i="197"/>
  <c r="AQ259" i="197"/>
  <c r="AX258" i="197"/>
  <c r="AW258" i="197"/>
  <c r="AV258" i="197"/>
  <c r="AU258" i="197"/>
  <c r="AS258" i="197"/>
  <c r="AR258" i="197"/>
  <c r="AQ258" i="197"/>
  <c r="AX257" i="197"/>
  <c r="AW257" i="197"/>
  <c r="AV257" i="197"/>
  <c r="AU257" i="197"/>
  <c r="AS257" i="197"/>
  <c r="AR257" i="197"/>
  <c r="AQ257" i="197"/>
  <c r="AX256" i="197"/>
  <c r="AW256" i="197"/>
  <c r="AV256" i="197"/>
  <c r="AU256" i="197"/>
  <c r="AS256" i="197"/>
  <c r="AR256" i="197"/>
  <c r="AQ256" i="197"/>
  <c r="AX255" i="197"/>
  <c r="AW255" i="197"/>
  <c r="AV255" i="197"/>
  <c r="AU255" i="197"/>
  <c r="AS255" i="197"/>
  <c r="AR255" i="197"/>
  <c r="AQ255" i="197"/>
  <c r="AX254" i="197"/>
  <c r="AW254" i="197"/>
  <c r="AV254" i="197"/>
  <c r="AU254" i="197"/>
  <c r="AS254" i="197"/>
  <c r="AR254" i="197"/>
  <c r="AQ254" i="197"/>
  <c r="AG254" i="197"/>
  <c r="AX253" i="197"/>
  <c r="AW253" i="197"/>
  <c r="AV253" i="197"/>
  <c r="AU253" i="197"/>
  <c r="AS253" i="197"/>
  <c r="AR253" i="197"/>
  <c r="AQ253" i="197"/>
  <c r="AX252" i="197"/>
  <c r="AW252" i="197"/>
  <c r="AV252" i="197"/>
  <c r="AU252" i="197"/>
  <c r="AS252" i="197"/>
  <c r="AR252" i="197"/>
  <c r="AQ252" i="197"/>
  <c r="AX287" i="197"/>
  <c r="AW287" i="197"/>
  <c r="AV287" i="197"/>
  <c r="AU287" i="197"/>
  <c r="AS287" i="197"/>
  <c r="AR287" i="197"/>
  <c r="AQ287" i="197"/>
  <c r="AG287" i="197"/>
  <c r="AX286" i="197"/>
  <c r="AW286" i="197"/>
  <c r="AV286" i="197"/>
  <c r="AU286" i="197"/>
  <c r="AS286" i="197"/>
  <c r="AR286" i="197"/>
  <c r="AQ286" i="197"/>
  <c r="AX285" i="197"/>
  <c r="AW285" i="197"/>
  <c r="AV285" i="197"/>
  <c r="AU285" i="197"/>
  <c r="AS285" i="197"/>
  <c r="AR285" i="197"/>
  <c r="AQ285" i="197"/>
  <c r="AX284" i="197"/>
  <c r="AW284" i="197"/>
  <c r="AV284" i="197"/>
  <c r="AU284" i="197"/>
  <c r="AS284" i="197"/>
  <c r="AR284" i="197"/>
  <c r="AQ284" i="197"/>
  <c r="AG284" i="197"/>
  <c r="AX283" i="197"/>
  <c r="AW283" i="197"/>
  <c r="AV283" i="197"/>
  <c r="AU283" i="197"/>
  <c r="AS283" i="197"/>
  <c r="AR283" i="197"/>
  <c r="AQ283" i="197"/>
  <c r="AX282" i="197"/>
  <c r="AW282" i="197"/>
  <c r="AV282" i="197"/>
  <c r="AU282" i="197"/>
  <c r="AS282" i="197"/>
  <c r="AR282" i="197"/>
  <c r="AQ282" i="197"/>
  <c r="AX281" i="197"/>
  <c r="AW281" i="197"/>
  <c r="AV281" i="197"/>
  <c r="AU281" i="197"/>
  <c r="AS281" i="197"/>
  <c r="AR281" i="197"/>
  <c r="AQ281" i="197"/>
  <c r="AG281" i="197"/>
  <c r="AI281" i="197" s="1"/>
  <c r="AX280" i="197"/>
  <c r="AW280" i="197"/>
  <c r="AV280" i="197"/>
  <c r="AU280" i="197"/>
  <c r="AS280" i="197"/>
  <c r="AR280" i="197"/>
  <c r="AQ280" i="197"/>
  <c r="AX279" i="197"/>
  <c r="AW279" i="197"/>
  <c r="AV279" i="197"/>
  <c r="AU279" i="197"/>
  <c r="AS279" i="197"/>
  <c r="AR279" i="197"/>
  <c r="AQ279" i="197"/>
  <c r="AX278" i="197"/>
  <c r="AW278" i="197"/>
  <c r="AV278" i="197"/>
  <c r="AU278" i="197"/>
  <c r="AS278" i="197"/>
  <c r="AR278" i="197"/>
  <c r="AQ278" i="197"/>
  <c r="AX277" i="197"/>
  <c r="AW277" i="197"/>
  <c r="AV277" i="197"/>
  <c r="AU277" i="197"/>
  <c r="AS277" i="197"/>
  <c r="AR277" i="197"/>
  <c r="AQ277" i="197"/>
  <c r="AX276" i="197"/>
  <c r="AW276" i="197"/>
  <c r="AV276" i="197"/>
  <c r="AU276" i="197"/>
  <c r="AS276" i="197"/>
  <c r="AR276" i="197"/>
  <c r="AQ276" i="197"/>
  <c r="AX275" i="197"/>
  <c r="AW275" i="197"/>
  <c r="AV275" i="197"/>
  <c r="AU275" i="197"/>
  <c r="AS275" i="197"/>
  <c r="AR275" i="197"/>
  <c r="AQ275" i="197"/>
  <c r="AX274" i="197"/>
  <c r="AW274" i="197"/>
  <c r="AV274" i="197"/>
  <c r="AU274" i="197"/>
  <c r="AS274" i="197"/>
  <c r="AR274" i="197"/>
  <c r="AQ274" i="197"/>
  <c r="AX273" i="197"/>
  <c r="AW273" i="197"/>
  <c r="AV273" i="197"/>
  <c r="AU273" i="197"/>
  <c r="AS273" i="197"/>
  <c r="AR273" i="197"/>
  <c r="AQ273" i="197"/>
  <c r="AX272" i="197"/>
  <c r="AW272" i="197"/>
  <c r="AV272" i="197"/>
  <c r="AU272" i="197"/>
  <c r="AS272" i="197"/>
  <c r="AR272" i="197"/>
  <c r="AQ272" i="197"/>
  <c r="AG272" i="197"/>
  <c r="AX271" i="197"/>
  <c r="AW271" i="197"/>
  <c r="AV271" i="197"/>
  <c r="AU271" i="197"/>
  <c r="AS271" i="197"/>
  <c r="AR271" i="197"/>
  <c r="AQ271" i="197"/>
  <c r="AX270" i="197"/>
  <c r="AW270" i="197"/>
  <c r="AV270" i="197"/>
  <c r="AU270" i="197"/>
  <c r="AS270" i="197"/>
  <c r="AR270" i="197"/>
  <c r="AQ270" i="197"/>
  <c r="L316" i="196"/>
  <c r="L315" i="196"/>
  <c r="L314" i="196"/>
  <c r="L313" i="196"/>
  <c r="L312" i="196"/>
  <c r="L311" i="196"/>
  <c r="L310" i="196"/>
  <c r="L309" i="196"/>
  <c r="L308" i="196"/>
  <c r="L307" i="196"/>
  <c r="L306" i="196"/>
  <c r="L305" i="196"/>
  <c r="L304" i="196"/>
  <c r="L303" i="196"/>
  <c r="L302" i="196"/>
  <c r="L301" i="196"/>
  <c r="L300" i="196"/>
  <c r="L299" i="196"/>
  <c r="L298" i="196"/>
  <c r="L297" i="196"/>
  <c r="L296" i="196"/>
  <c r="L295" i="196"/>
  <c r="L294" i="196"/>
  <c r="L293" i="196"/>
  <c r="L292" i="196"/>
  <c r="L291" i="196"/>
  <c r="L290" i="196"/>
  <c r="L289" i="196"/>
  <c r="L288" i="196"/>
  <c r="L287" i="196"/>
  <c r="L286" i="196"/>
  <c r="L285" i="196"/>
  <c r="L284" i="196"/>
  <c r="L283" i="196"/>
  <c r="L282" i="196"/>
  <c r="L281" i="196"/>
  <c r="L280" i="196"/>
  <c r="L279" i="196"/>
  <c r="L278" i="196"/>
  <c r="L277" i="196"/>
  <c r="L276" i="196"/>
  <c r="L275" i="196"/>
  <c r="L274" i="196"/>
  <c r="L273" i="196"/>
  <c r="L272" i="196"/>
  <c r="L271" i="196"/>
  <c r="L270" i="196"/>
  <c r="L269" i="196"/>
  <c r="L268" i="196"/>
  <c r="L267" i="196"/>
  <c r="L266" i="196"/>
  <c r="L265" i="196"/>
  <c r="L264" i="196"/>
  <c r="L263" i="196"/>
  <c r="L262" i="196"/>
  <c r="L261" i="196"/>
  <c r="L260" i="196"/>
  <c r="L259" i="196"/>
  <c r="L258" i="196"/>
  <c r="L257" i="196"/>
  <c r="L256" i="196"/>
  <c r="L255" i="196"/>
  <c r="L254" i="196"/>
  <c r="L253" i="196"/>
  <c r="L252" i="196"/>
  <c r="L251" i="196"/>
  <c r="L250" i="196"/>
  <c r="L249" i="196"/>
  <c r="L248" i="196"/>
  <c r="L247" i="196"/>
  <c r="L246" i="196"/>
  <c r="L245" i="196"/>
  <c r="L244" i="196"/>
  <c r="L243" i="196"/>
  <c r="L242" i="196"/>
  <c r="L241" i="196"/>
  <c r="L240" i="196"/>
  <c r="L239" i="196"/>
  <c r="L238" i="196"/>
  <c r="L237" i="196"/>
  <c r="L236" i="196"/>
  <c r="L235" i="196"/>
  <c r="L234" i="196"/>
  <c r="L233" i="196"/>
  <c r="L232" i="196"/>
  <c r="L231" i="196"/>
  <c r="L230" i="196"/>
  <c r="L229" i="196"/>
  <c r="L228" i="196"/>
  <c r="L227" i="196"/>
  <c r="L226" i="196"/>
  <c r="L225" i="196"/>
  <c r="L224" i="196"/>
  <c r="L223" i="196"/>
  <c r="L222" i="196"/>
  <c r="L221" i="196"/>
  <c r="L220" i="196"/>
  <c r="L219" i="196"/>
  <c r="L218" i="196"/>
  <c r="L217" i="196"/>
  <c r="L216" i="196"/>
  <c r="L215" i="196"/>
  <c r="L214" i="196"/>
  <c r="L213" i="196"/>
  <c r="L212" i="196"/>
  <c r="L211" i="196"/>
  <c r="L210" i="196"/>
  <c r="L209" i="196"/>
  <c r="L208" i="196"/>
  <c r="L207" i="196"/>
  <c r="L206" i="196"/>
  <c r="L205" i="196"/>
  <c r="L204" i="196"/>
  <c r="L203" i="196"/>
  <c r="L202" i="196"/>
  <c r="L201" i="196"/>
  <c r="L200" i="196"/>
  <c r="L199" i="196"/>
  <c r="L198" i="196"/>
  <c r="L197" i="196"/>
  <c r="L196" i="196"/>
  <c r="L195" i="196"/>
  <c r="L194" i="196"/>
  <c r="L193" i="196"/>
  <c r="L192" i="196"/>
  <c r="L191" i="196"/>
  <c r="L190" i="196"/>
  <c r="L189" i="196"/>
  <c r="L188" i="196"/>
  <c r="L187" i="196"/>
  <c r="L186" i="196"/>
  <c r="L185" i="196"/>
  <c r="L184" i="196"/>
  <c r="L183" i="196"/>
  <c r="L182" i="196"/>
  <c r="L181" i="196"/>
  <c r="L180" i="196"/>
  <c r="L179" i="196"/>
  <c r="L178" i="196"/>
  <c r="L177" i="196"/>
  <c r="L176" i="196"/>
  <c r="L175" i="196"/>
  <c r="L174" i="196"/>
  <c r="L173" i="196"/>
  <c r="L172" i="196"/>
  <c r="L171" i="196"/>
  <c r="L170" i="196"/>
  <c r="L169" i="196"/>
  <c r="L168" i="196"/>
  <c r="L167" i="196"/>
  <c r="L166" i="196"/>
  <c r="L165" i="196"/>
  <c r="L164" i="196"/>
  <c r="L163" i="196"/>
  <c r="L162" i="196"/>
  <c r="L161" i="196"/>
  <c r="L160" i="196"/>
  <c r="L159" i="196"/>
  <c r="L158" i="196"/>
  <c r="L157" i="196"/>
  <c r="L156" i="196"/>
  <c r="L155" i="196"/>
  <c r="L154" i="196"/>
  <c r="L153" i="196"/>
  <c r="L152" i="196"/>
  <c r="L151" i="196"/>
  <c r="L150" i="196"/>
  <c r="L149" i="196"/>
  <c r="L148" i="196"/>
  <c r="L147" i="196"/>
  <c r="L146" i="196"/>
  <c r="L145" i="196"/>
  <c r="L144" i="196"/>
  <c r="L143" i="196"/>
  <c r="L142" i="196"/>
  <c r="L141" i="196"/>
  <c r="L140" i="196"/>
  <c r="L139" i="196"/>
  <c r="L138" i="196"/>
  <c r="L137" i="196"/>
  <c r="L136" i="196"/>
  <c r="L135" i="196"/>
  <c r="L134" i="196"/>
  <c r="L133" i="196"/>
  <c r="L132" i="196"/>
  <c r="L131" i="196"/>
  <c r="L130" i="196"/>
  <c r="L129" i="196"/>
  <c r="L128" i="196"/>
  <c r="L127" i="196"/>
  <c r="L126" i="196"/>
  <c r="L125" i="196"/>
  <c r="L124" i="196"/>
  <c r="L123" i="196"/>
  <c r="L122" i="196"/>
  <c r="L121" i="196"/>
  <c r="L120" i="196"/>
  <c r="L119" i="196"/>
  <c r="L118" i="196"/>
  <c r="L117" i="196"/>
  <c r="L116" i="196"/>
  <c r="L115" i="196"/>
  <c r="L114" i="196"/>
  <c r="L113" i="196"/>
  <c r="L112" i="196"/>
  <c r="L111" i="196"/>
  <c r="L110" i="196"/>
  <c r="L109" i="196"/>
  <c r="L108" i="196"/>
  <c r="L107" i="196"/>
  <c r="L106" i="196"/>
  <c r="L105" i="196"/>
  <c r="L104" i="196"/>
  <c r="L103" i="196"/>
  <c r="L102" i="196"/>
  <c r="L101" i="196"/>
  <c r="L100" i="196"/>
  <c r="L99" i="196"/>
  <c r="L98" i="196"/>
  <c r="L97" i="196"/>
  <c r="L96" i="196"/>
  <c r="L95" i="196"/>
  <c r="L94" i="196"/>
  <c r="L93" i="196"/>
  <c r="L92" i="196"/>
  <c r="L91" i="196"/>
  <c r="L90" i="196"/>
  <c r="L89" i="196"/>
  <c r="L88" i="196"/>
  <c r="L87" i="196"/>
  <c r="L86" i="196"/>
  <c r="L85" i="196"/>
  <c r="L84" i="196"/>
  <c r="L83" i="196"/>
  <c r="L82" i="196"/>
  <c r="L81" i="196"/>
  <c r="L80" i="196"/>
  <c r="L79" i="196"/>
  <c r="L78" i="196"/>
  <c r="L77" i="196"/>
  <c r="L76" i="196"/>
  <c r="L75" i="196"/>
  <c r="L74" i="196"/>
  <c r="L73" i="196"/>
  <c r="L72" i="196"/>
  <c r="L71" i="196"/>
  <c r="L70" i="196"/>
  <c r="L69" i="196"/>
  <c r="L68" i="196"/>
  <c r="L67" i="196"/>
  <c r="L66" i="196"/>
  <c r="L65" i="196"/>
  <c r="L64" i="196"/>
  <c r="L63" i="196"/>
  <c r="L62" i="196"/>
  <c r="L61" i="196"/>
  <c r="L60" i="196"/>
  <c r="L59" i="196"/>
  <c r="L58" i="196"/>
  <c r="L57" i="196"/>
  <c r="L56" i="196"/>
  <c r="L55" i="196"/>
  <c r="L54" i="196"/>
  <c r="L53" i="196"/>
  <c r="L52" i="196"/>
  <c r="L51" i="196"/>
  <c r="L50" i="196"/>
  <c r="L49" i="196"/>
  <c r="L48" i="196"/>
  <c r="L47" i="196"/>
  <c r="L46" i="196"/>
  <c r="L45" i="196"/>
  <c r="L44" i="196"/>
  <c r="L43" i="196"/>
  <c r="L42" i="196"/>
  <c r="L41" i="196"/>
  <c r="L40" i="196"/>
  <c r="L39" i="196"/>
  <c r="L38" i="196"/>
  <c r="L37" i="196"/>
  <c r="L36" i="196"/>
  <c r="L35" i="196"/>
  <c r="L34" i="196"/>
  <c r="L33" i="196"/>
  <c r="L32" i="196"/>
  <c r="L31" i="196"/>
  <c r="L30" i="196"/>
  <c r="L29" i="196"/>
  <c r="L28" i="196"/>
  <c r="L27" i="196"/>
  <c r="L26" i="196"/>
  <c r="L25" i="196"/>
  <c r="L24" i="196"/>
  <c r="L23" i="196"/>
  <c r="L22" i="196"/>
  <c r="L21" i="196"/>
  <c r="L20" i="196"/>
  <c r="L19" i="196"/>
  <c r="L17" i="196"/>
  <c r="BA288" i="196"/>
  <c r="AS288" i="196"/>
  <c r="BA287" i="196"/>
  <c r="AS287" i="196"/>
  <c r="AI287" i="196"/>
  <c r="BA286" i="196"/>
  <c r="AS286" i="196"/>
  <c r="BA285" i="196"/>
  <c r="AS285" i="196"/>
  <c r="BA284" i="196"/>
  <c r="AS284" i="196"/>
  <c r="BA283" i="196"/>
  <c r="AS283" i="196"/>
  <c r="BA282" i="196"/>
  <c r="AS282" i="196"/>
  <c r="BA281" i="196"/>
  <c r="AS281" i="196"/>
  <c r="BA280" i="196"/>
  <c r="AS280" i="196"/>
  <c r="BA279" i="196"/>
  <c r="AS279" i="196"/>
  <c r="BA277" i="196"/>
  <c r="AS277" i="196"/>
  <c r="BA276" i="196"/>
  <c r="AS276" i="196"/>
  <c r="BA275" i="196"/>
  <c r="AS275" i="196"/>
  <c r="BA274" i="196"/>
  <c r="AS274" i="196"/>
  <c r="BA273" i="196"/>
  <c r="AS273" i="196"/>
  <c r="BA272" i="196"/>
  <c r="AS272" i="196"/>
  <c r="BA271" i="196"/>
  <c r="AS271" i="196"/>
  <c r="BA270" i="196"/>
  <c r="AS270" i="196"/>
  <c r="BA269" i="196"/>
  <c r="AS269" i="196"/>
  <c r="BA268" i="196"/>
  <c r="AS268" i="196"/>
  <c r="BA267" i="196"/>
  <c r="AS267" i="196"/>
  <c r="BA266" i="196"/>
  <c r="AS266" i="196"/>
  <c r="AI266" i="196"/>
  <c r="BA265" i="196"/>
  <c r="AS265" i="196"/>
  <c r="BA264" i="196"/>
  <c r="AS264" i="196"/>
  <c r="BA296" i="196"/>
  <c r="AS296" i="196"/>
  <c r="BA295" i="196"/>
  <c r="AS295" i="196"/>
  <c r="BA294" i="196"/>
  <c r="AS294" i="196"/>
  <c r="BA293" i="196"/>
  <c r="AS293" i="196"/>
  <c r="BA292" i="196"/>
  <c r="AS292" i="196"/>
  <c r="BA291" i="196"/>
  <c r="AS291" i="196"/>
  <c r="BA290" i="196"/>
  <c r="AS290" i="196"/>
  <c r="BA289" i="196"/>
  <c r="AS289" i="196"/>
  <c r="BA278" i="196"/>
  <c r="AS278" i="196"/>
  <c r="BA263" i="196"/>
  <c r="AS263" i="196"/>
  <c r="BA262" i="196"/>
  <c r="AS262" i="196"/>
  <c r="BA261" i="196"/>
  <c r="AS261" i="196"/>
  <c r="BA260" i="196"/>
  <c r="AS260" i="196"/>
  <c r="BA259" i="196"/>
  <c r="AS259" i="196"/>
  <c r="BA258" i="196"/>
  <c r="AS258" i="196"/>
  <c r="BA257" i="196"/>
  <c r="AS257" i="196"/>
  <c r="BA256" i="196"/>
  <c r="AS256" i="196"/>
  <c r="BA112" i="196"/>
  <c r="AS112" i="196"/>
  <c r="BA111" i="196"/>
  <c r="AS111" i="196"/>
  <c r="BA110" i="196"/>
  <c r="AS110" i="196"/>
  <c r="BA109" i="196"/>
  <c r="AS109" i="196"/>
  <c r="BA108" i="196"/>
  <c r="AS108" i="196"/>
  <c r="BA107" i="196"/>
  <c r="AS107" i="196"/>
  <c r="BA106" i="196"/>
  <c r="AS106" i="196"/>
  <c r="BA105" i="196"/>
  <c r="AS105" i="196"/>
  <c r="BA104" i="196"/>
  <c r="AS104" i="196"/>
  <c r="BA103" i="196"/>
  <c r="AS103" i="196"/>
  <c r="BA102" i="196"/>
  <c r="AS102" i="196"/>
  <c r="BA101" i="196"/>
  <c r="AS101" i="196"/>
  <c r="BA100" i="196"/>
  <c r="AS100" i="196"/>
  <c r="BA99" i="196"/>
  <c r="AS99" i="196"/>
  <c r="BA98" i="196"/>
  <c r="AS98" i="196"/>
  <c r="BA97" i="196"/>
  <c r="AS97" i="196"/>
  <c r="BA96" i="196"/>
  <c r="AS96" i="196"/>
  <c r="BA95" i="196"/>
  <c r="AS95" i="196"/>
  <c r="BA94" i="196"/>
  <c r="AS94" i="196"/>
  <c r="BA93" i="196"/>
  <c r="AS93" i="196"/>
  <c r="BA92" i="196"/>
  <c r="AS92" i="196"/>
  <c r="BA91" i="196"/>
  <c r="AS91" i="196"/>
  <c r="BA90" i="196"/>
  <c r="AS90" i="196"/>
  <c r="BA89" i="196"/>
  <c r="AS89" i="196"/>
  <c r="BA88" i="196"/>
  <c r="AS88" i="196"/>
  <c r="BA87" i="196"/>
  <c r="AS87" i="196"/>
  <c r="BA86" i="196"/>
  <c r="AS86" i="196"/>
  <c r="BA85" i="196"/>
  <c r="AS85" i="196"/>
  <c r="BA84" i="196"/>
  <c r="AS84" i="196"/>
  <c r="BA83" i="196"/>
  <c r="AS83" i="196"/>
  <c r="BA82" i="196"/>
  <c r="AS82" i="196"/>
  <c r="BA81" i="196"/>
  <c r="AS81" i="196"/>
  <c r="BA80" i="196"/>
  <c r="AS80" i="196"/>
  <c r="BA79" i="196"/>
  <c r="AS79" i="196"/>
  <c r="BA78" i="196"/>
  <c r="AS78" i="196"/>
  <c r="BA77" i="196"/>
  <c r="AS77" i="196"/>
  <c r="BA76" i="196"/>
  <c r="AS76" i="196"/>
  <c r="BA75" i="196"/>
  <c r="AS75" i="196"/>
  <c r="BA74" i="196"/>
  <c r="AS74" i="196"/>
  <c r="BA73" i="196"/>
  <c r="AS73" i="196"/>
  <c r="BA72" i="196"/>
  <c r="AS72" i="196"/>
  <c r="BA71" i="196"/>
  <c r="AS71" i="196"/>
  <c r="BA70" i="196"/>
  <c r="AS70" i="196"/>
  <c r="BA69" i="196"/>
  <c r="AS69" i="196"/>
  <c r="BA68" i="196"/>
  <c r="AS68" i="196"/>
  <c r="BA67" i="196"/>
  <c r="AS67" i="196"/>
  <c r="BA66" i="196"/>
  <c r="AS66" i="196"/>
  <c r="BA65" i="196"/>
  <c r="AS65" i="196"/>
  <c r="BA64" i="196"/>
  <c r="AS64" i="196"/>
  <c r="BA63" i="196"/>
  <c r="AS63" i="196"/>
  <c r="BA62" i="196"/>
  <c r="AS62" i="196"/>
  <c r="BA61" i="196"/>
  <c r="AS61" i="196"/>
  <c r="BA60" i="196"/>
  <c r="AS60" i="196"/>
  <c r="BA59" i="196"/>
  <c r="AS59" i="196"/>
  <c r="BA58" i="196"/>
  <c r="AS58" i="196"/>
  <c r="BA57" i="196"/>
  <c r="AS57" i="196"/>
  <c r="BA56" i="196"/>
  <c r="AS56" i="196"/>
  <c r="BA55" i="196"/>
  <c r="AS55" i="196"/>
  <c r="BA54" i="196"/>
  <c r="AS54" i="196"/>
  <c r="BA53" i="196"/>
  <c r="AS53" i="196"/>
  <c r="BA52" i="196"/>
  <c r="AS52" i="196"/>
  <c r="BA51" i="196"/>
  <c r="AS51" i="196"/>
  <c r="BA50" i="196"/>
  <c r="AS50" i="196"/>
  <c r="BA49" i="196"/>
  <c r="AS49" i="196"/>
  <c r="BA48" i="196"/>
  <c r="AS48" i="196"/>
  <c r="BA47" i="196"/>
  <c r="AS47" i="196"/>
  <c r="BA46" i="196"/>
  <c r="AS46" i="196"/>
  <c r="BA45" i="196"/>
  <c r="AS45" i="196"/>
  <c r="BA44" i="196"/>
  <c r="AS44" i="196"/>
  <c r="BA43" i="196"/>
  <c r="AS43" i="196"/>
  <c r="BA42" i="196"/>
  <c r="AS42" i="196"/>
  <c r="BA41" i="196"/>
  <c r="AS41" i="196"/>
  <c r="BA40" i="196"/>
  <c r="AS40" i="196"/>
  <c r="BA39" i="196"/>
  <c r="AS39" i="196"/>
  <c r="BA38" i="196"/>
  <c r="AS38" i="196"/>
  <c r="BA37" i="196"/>
  <c r="AS37" i="196"/>
  <c r="BA36" i="196"/>
  <c r="AS36" i="196"/>
  <c r="BA35" i="196"/>
  <c r="AS35" i="196"/>
  <c r="AI35" i="196"/>
  <c r="BA34" i="196"/>
  <c r="AS34" i="196"/>
  <c r="AI34" i="196"/>
  <c r="BA33" i="196"/>
  <c r="AS33" i="196"/>
  <c r="AI33" i="196"/>
  <c r="BA192" i="196"/>
  <c r="AS192" i="196"/>
  <c r="BA191" i="196"/>
  <c r="AS191" i="196"/>
  <c r="BA190" i="196"/>
  <c r="AS190" i="196"/>
  <c r="BA189" i="196"/>
  <c r="AS189" i="196"/>
  <c r="BA188" i="196"/>
  <c r="AS188" i="196"/>
  <c r="BA187" i="196"/>
  <c r="AS187" i="196"/>
  <c r="BA186" i="196"/>
  <c r="AS186" i="196"/>
  <c r="BA185" i="196"/>
  <c r="AS185" i="196"/>
  <c r="BA184" i="196"/>
  <c r="AS184" i="196"/>
  <c r="BA183" i="196"/>
  <c r="AS183" i="196"/>
  <c r="BA182" i="196"/>
  <c r="AS182" i="196"/>
  <c r="BA181" i="196"/>
  <c r="AS181" i="196"/>
  <c r="BA180" i="196"/>
  <c r="AS180" i="196"/>
  <c r="BA179" i="196"/>
  <c r="AS179" i="196"/>
  <c r="BA178" i="196"/>
  <c r="AS178" i="196"/>
  <c r="BA177" i="196"/>
  <c r="AS177" i="196"/>
  <c r="BA176" i="196"/>
  <c r="AS176" i="196"/>
  <c r="BA175" i="196"/>
  <c r="AS175" i="196"/>
  <c r="BA174" i="196"/>
  <c r="AS174" i="196"/>
  <c r="BA173" i="196"/>
  <c r="AS173" i="196"/>
  <c r="BA172" i="196"/>
  <c r="AS172" i="196"/>
  <c r="BA171" i="196"/>
  <c r="AS171" i="196"/>
  <c r="BA170" i="196"/>
  <c r="AS170" i="196"/>
  <c r="BA169" i="196"/>
  <c r="AS169" i="196"/>
  <c r="BA168" i="196"/>
  <c r="AS168" i="196"/>
  <c r="BA167" i="196"/>
  <c r="AS167" i="196"/>
  <c r="BA166" i="196"/>
  <c r="AS166" i="196"/>
  <c r="BA165" i="196"/>
  <c r="AS165" i="196"/>
  <c r="BA164" i="196"/>
  <c r="AS164" i="196"/>
  <c r="BA163" i="196"/>
  <c r="AS163" i="196"/>
  <c r="BA162" i="196"/>
  <c r="AS162" i="196"/>
  <c r="BA161" i="196"/>
  <c r="AS161" i="196"/>
  <c r="BA160" i="196"/>
  <c r="AS160" i="196"/>
  <c r="BA159" i="196"/>
  <c r="AS159" i="196"/>
  <c r="BA158" i="196"/>
  <c r="AS158" i="196"/>
  <c r="BA157" i="196"/>
  <c r="AS157" i="196"/>
  <c r="BA156" i="196"/>
  <c r="AS156" i="196"/>
  <c r="BA155" i="196"/>
  <c r="AS155" i="196"/>
  <c r="BA154" i="196"/>
  <c r="AS154" i="196"/>
  <c r="BA153" i="196"/>
  <c r="AS153" i="196"/>
  <c r="BA152" i="196"/>
  <c r="AS152" i="196"/>
  <c r="BA151" i="196"/>
  <c r="AS151" i="196"/>
  <c r="BA150" i="196"/>
  <c r="AS150" i="196"/>
  <c r="BA149" i="196"/>
  <c r="AS149" i="196"/>
  <c r="BA148" i="196"/>
  <c r="AS148" i="196"/>
  <c r="BA147" i="196"/>
  <c r="AS147" i="196"/>
  <c r="BA146" i="196"/>
  <c r="AS146" i="196"/>
  <c r="BA145" i="196"/>
  <c r="AS145" i="196"/>
  <c r="BA144" i="196"/>
  <c r="AS144" i="196"/>
  <c r="BA143" i="196"/>
  <c r="AS143" i="196"/>
  <c r="BA142" i="196"/>
  <c r="AS142" i="196"/>
  <c r="BA141" i="196"/>
  <c r="AS141" i="196"/>
  <c r="BA140" i="196"/>
  <c r="AS140" i="196"/>
  <c r="BA139" i="196"/>
  <c r="AS139" i="196"/>
  <c r="BA138" i="196"/>
  <c r="AS138" i="196"/>
  <c r="BA137" i="196"/>
  <c r="AS137" i="196"/>
  <c r="BA136" i="196"/>
  <c r="AS136" i="196"/>
  <c r="BA135" i="196"/>
  <c r="AS135" i="196"/>
  <c r="BA134" i="196"/>
  <c r="AS134" i="196"/>
  <c r="BA133" i="196"/>
  <c r="AS133" i="196"/>
  <c r="BA132" i="196"/>
  <c r="AS132" i="196"/>
  <c r="BA131" i="196"/>
  <c r="AS131" i="196"/>
  <c r="BA130" i="196"/>
  <c r="AS130" i="196"/>
  <c r="BA129" i="196"/>
  <c r="AS129" i="196"/>
  <c r="BA128" i="196"/>
  <c r="AS128" i="196"/>
  <c r="BA127" i="196"/>
  <c r="AS127" i="196"/>
  <c r="BA126" i="196"/>
  <c r="AS126" i="196"/>
  <c r="BA125" i="196"/>
  <c r="AS125" i="196"/>
  <c r="BA124" i="196"/>
  <c r="AS124" i="196"/>
  <c r="BA123" i="196"/>
  <c r="AS123" i="196"/>
  <c r="BA122" i="196"/>
  <c r="AS122" i="196"/>
  <c r="BA121" i="196"/>
  <c r="AS121" i="196"/>
  <c r="BA120" i="196"/>
  <c r="AS120" i="196"/>
  <c r="BA119" i="196"/>
  <c r="AS119" i="196"/>
  <c r="BA118" i="196"/>
  <c r="AS118" i="196"/>
  <c r="BA117" i="196"/>
  <c r="AS117" i="196"/>
  <c r="BA116" i="196"/>
  <c r="AS116" i="196"/>
  <c r="BA115" i="196"/>
  <c r="AS115" i="196"/>
  <c r="BA114" i="196"/>
  <c r="AS114" i="196"/>
  <c r="BA113" i="196"/>
  <c r="AS113" i="196"/>
  <c r="BA232" i="196"/>
  <c r="AS232" i="196"/>
  <c r="BA231" i="196"/>
  <c r="AS231" i="196"/>
  <c r="BA230" i="196"/>
  <c r="AS230" i="196"/>
  <c r="BA229" i="196"/>
  <c r="AS229" i="196"/>
  <c r="BA228" i="196"/>
  <c r="AS228" i="196"/>
  <c r="BA227" i="196"/>
  <c r="AS227" i="196"/>
  <c r="BA226" i="196"/>
  <c r="AS226" i="196"/>
  <c r="BA225" i="196"/>
  <c r="AS225" i="196"/>
  <c r="BA224" i="196"/>
  <c r="AS224" i="196"/>
  <c r="BA223" i="196"/>
  <c r="AS223" i="196"/>
  <c r="BA222" i="196"/>
  <c r="AS222" i="196"/>
  <c r="BA221" i="196"/>
  <c r="AS221" i="196"/>
  <c r="BA220" i="196"/>
  <c r="AS220" i="196"/>
  <c r="BA219" i="196"/>
  <c r="AS219" i="196"/>
  <c r="BA218" i="196"/>
  <c r="AS218" i="196"/>
  <c r="BA217" i="196"/>
  <c r="AS217" i="196"/>
  <c r="BA216" i="196"/>
  <c r="AS216" i="196"/>
  <c r="BA215" i="196"/>
  <c r="AS215" i="196"/>
  <c r="BA214" i="196"/>
  <c r="AS214" i="196"/>
  <c r="BA213" i="196"/>
  <c r="AS213" i="196"/>
  <c r="BA212" i="196"/>
  <c r="AS212" i="196"/>
  <c r="BA211" i="196"/>
  <c r="AS211" i="196"/>
  <c r="BA210" i="196"/>
  <c r="AS210" i="196"/>
  <c r="BA209" i="196"/>
  <c r="AS209" i="196"/>
  <c r="BA208" i="196"/>
  <c r="AS208" i="196"/>
  <c r="BA207" i="196"/>
  <c r="AS207" i="196"/>
  <c r="BA206" i="196"/>
  <c r="AS206" i="196"/>
  <c r="BA205" i="196"/>
  <c r="AS205" i="196"/>
  <c r="BA204" i="196"/>
  <c r="AS204" i="196"/>
  <c r="BA203" i="196"/>
  <c r="AS203" i="196"/>
  <c r="BA202" i="196"/>
  <c r="AS202" i="196"/>
  <c r="BA201" i="196"/>
  <c r="AS201" i="196"/>
  <c r="BA200" i="196"/>
  <c r="AS200" i="196"/>
  <c r="BA199" i="196"/>
  <c r="AS199" i="196"/>
  <c r="BA198" i="196"/>
  <c r="AS198" i="196"/>
  <c r="BA197" i="196"/>
  <c r="AS197" i="196"/>
  <c r="BA196" i="196"/>
  <c r="AS196" i="196"/>
  <c r="BA195" i="196"/>
  <c r="AS195" i="196"/>
  <c r="BA194" i="196"/>
  <c r="AS194" i="196"/>
  <c r="BA193" i="196"/>
  <c r="AS193" i="196"/>
  <c r="BA252" i="196"/>
  <c r="AS252" i="196"/>
  <c r="BA251" i="196"/>
  <c r="AS251" i="196"/>
  <c r="BA250" i="196"/>
  <c r="AS250" i="196"/>
  <c r="BA249" i="196"/>
  <c r="AS249" i="196"/>
  <c r="BA248" i="196"/>
  <c r="AS248" i="196"/>
  <c r="BA247" i="196"/>
  <c r="AS247" i="196"/>
  <c r="BA246" i="196"/>
  <c r="AS246" i="196"/>
  <c r="BA245" i="196"/>
  <c r="AS245" i="196"/>
  <c r="BA244" i="196"/>
  <c r="AS244" i="196"/>
  <c r="BA243" i="196"/>
  <c r="AS243" i="196"/>
  <c r="BA242" i="196"/>
  <c r="AS242" i="196"/>
  <c r="BA241" i="196"/>
  <c r="AS241" i="196"/>
  <c r="BA240" i="196"/>
  <c r="AS240" i="196"/>
  <c r="BA239" i="196"/>
  <c r="AS239" i="196"/>
  <c r="BA238" i="196"/>
  <c r="AS238" i="196"/>
  <c r="BA237" i="196"/>
  <c r="AS237" i="196"/>
  <c r="BA236" i="196"/>
  <c r="AS236" i="196"/>
  <c r="BA235" i="196"/>
  <c r="AS235" i="196"/>
  <c r="BA234" i="196"/>
  <c r="AS234" i="196"/>
  <c r="BA233" i="196"/>
  <c r="AS233" i="196"/>
  <c r="BA303" i="196"/>
  <c r="AS303" i="196"/>
  <c r="BA302" i="196"/>
  <c r="AS302" i="196"/>
  <c r="BA301" i="196"/>
  <c r="AS301" i="196"/>
  <c r="BA300" i="196"/>
  <c r="AS300" i="196"/>
  <c r="BA299" i="196"/>
  <c r="AS299" i="196"/>
  <c r="BA298" i="196"/>
  <c r="AS298" i="196"/>
  <c r="BA297" i="196"/>
  <c r="AS297" i="196"/>
  <c r="BA255" i="196"/>
  <c r="AS255" i="196"/>
  <c r="BA254" i="196"/>
  <c r="AS254" i="196"/>
  <c r="BA253" i="196"/>
  <c r="AS253" i="196"/>
  <c r="BA308" i="196"/>
  <c r="AS308" i="196"/>
  <c r="BA307" i="196"/>
  <c r="AS307" i="196"/>
  <c r="BA306" i="196"/>
  <c r="AS306" i="196"/>
  <c r="BA305" i="196"/>
  <c r="AS305" i="196"/>
  <c r="BA304" i="196"/>
  <c r="AS304" i="196"/>
  <c r="BA309" i="196"/>
  <c r="AS309" i="196"/>
  <c r="BA310" i="196"/>
  <c r="AS310" i="196"/>
  <c r="BA311" i="196"/>
  <c r="AS311" i="196"/>
  <c r="BA312" i="196"/>
  <c r="AS312" i="196"/>
  <c r="P91" i="181"/>
  <c r="P90" i="181"/>
  <c r="S241" i="180"/>
  <c r="S240" i="180"/>
  <c r="S239" i="180"/>
  <c r="S238" i="180"/>
  <c r="S237" i="180"/>
  <c r="S236" i="180"/>
  <c r="S235" i="180"/>
  <c r="S234" i="180"/>
  <c r="S233" i="180"/>
  <c r="S232" i="180"/>
  <c r="S231" i="180"/>
  <c r="S230" i="180"/>
  <c r="S249" i="180"/>
  <c r="S248" i="180"/>
  <c r="S247" i="180"/>
  <c r="S246" i="180"/>
  <c r="S245" i="180"/>
  <c r="S244" i="180"/>
  <c r="S243" i="180"/>
  <c r="S242" i="180"/>
  <c r="S253" i="180"/>
  <c r="S252" i="180"/>
  <c r="S251" i="180"/>
  <c r="S250" i="180"/>
  <c r="S255" i="180"/>
  <c r="S254" i="180"/>
  <c r="S256" i="180"/>
  <c r="AI128" i="196"/>
  <c r="AL106" i="196"/>
  <c r="AL112" i="196"/>
  <c r="AL261" i="196"/>
  <c r="AI261" i="196"/>
  <c r="AI270" i="196"/>
  <c r="AL276" i="196"/>
  <c r="AI276" i="196"/>
  <c r="AL57" i="196"/>
  <c r="AL80" i="196"/>
  <c r="AI274" i="196"/>
  <c r="AL54" i="196"/>
  <c r="AI90" i="196"/>
  <c r="AL90" i="196"/>
  <c r="AL257" i="196"/>
  <c r="AL272" i="196"/>
  <c r="AI272" i="196"/>
  <c r="AI285" i="196"/>
  <c r="AI71" i="196"/>
  <c r="AI277" i="196"/>
  <c r="AG25" i="197"/>
  <c r="AG241" i="197"/>
  <c r="AI241" i="197" s="1"/>
  <c r="AG85" i="197"/>
  <c r="AI85" i="197" s="1"/>
  <c r="AM99" i="197"/>
  <c r="AG303" i="197"/>
  <c r="AG247" i="197"/>
  <c r="AY162" i="196"/>
  <c r="AG296" i="197"/>
  <c r="AG302" i="197"/>
  <c r="AI302" i="197" s="1"/>
  <c r="AN26" i="197"/>
  <c r="AG26" i="197"/>
  <c r="AG32" i="197"/>
  <c r="AM26" i="197"/>
  <c r="AN114" i="197"/>
  <c r="AG36" i="197"/>
  <c r="AG39" i="197"/>
  <c r="AG48" i="197"/>
  <c r="AG57" i="197"/>
  <c r="AI57" i="197" s="1"/>
  <c r="AG60" i="197"/>
  <c r="AG63" i="197"/>
  <c r="AG72" i="197"/>
  <c r="AG84" i="197"/>
  <c r="AI84" i="197" s="1"/>
  <c r="AG96" i="197"/>
  <c r="AG117" i="197"/>
  <c r="AG120" i="197"/>
  <c r="AG123" i="197"/>
  <c r="AG135" i="197"/>
  <c r="AL138" i="197"/>
  <c r="AN130" i="197"/>
  <c r="AG40" i="197"/>
  <c r="AG49" i="197"/>
  <c r="AG61" i="197"/>
  <c r="AG109" i="197"/>
  <c r="AG127" i="197"/>
  <c r="AG139" i="197"/>
  <c r="AG151" i="197"/>
  <c r="AG160" i="197"/>
  <c r="AL98" i="197"/>
  <c r="AG168" i="197"/>
  <c r="AG163" i="197"/>
  <c r="AG180" i="197"/>
  <c r="AG192" i="197"/>
  <c r="AI192" i="197" s="1"/>
  <c r="AL189" i="197"/>
  <c r="AG187" i="197"/>
  <c r="AG204" i="197"/>
  <c r="AG213" i="197"/>
  <c r="AI213" i="197" s="1"/>
  <c r="AG216" i="197"/>
  <c r="AG219" i="197"/>
  <c r="AG228" i="197"/>
  <c r="AG217" i="197"/>
  <c r="AI217" i="197" s="1"/>
  <c r="AG226" i="197"/>
  <c r="AG229" i="197"/>
  <c r="AG240" i="197"/>
  <c r="AI240" i="197" s="1"/>
  <c r="AG249" i="197"/>
  <c r="AI249" i="197" s="1"/>
  <c r="AG252" i="197"/>
  <c r="AI252" i="197" s="1"/>
  <c r="AG255" i="197"/>
  <c r="AG264" i="197"/>
  <c r="AI264" i="197" s="1"/>
  <c r="AG259" i="197"/>
  <c r="AG276" i="197"/>
  <c r="AG271" i="197"/>
  <c r="AG283" i="197"/>
  <c r="AY38" i="196"/>
  <c r="AY39" i="196"/>
  <c r="AY53" i="196"/>
  <c r="AY51" i="196"/>
  <c r="AY48" i="196"/>
  <c r="AY33" i="196"/>
  <c r="AY45" i="196"/>
  <c r="AY40" i="196"/>
  <c r="AY52" i="196"/>
  <c r="AY47" i="196"/>
  <c r="AY42" i="196"/>
  <c r="AY49" i="196"/>
  <c r="AY58" i="196"/>
  <c r="AY54" i="196"/>
  <c r="AY111" i="196"/>
  <c r="AY128" i="196"/>
  <c r="AY140" i="196"/>
  <c r="AY121" i="196"/>
  <c r="AY176" i="196"/>
  <c r="AY120" i="196"/>
  <c r="AY164" i="196"/>
  <c r="AY178" i="196"/>
  <c r="AY172" i="196"/>
  <c r="AY142" i="196"/>
  <c r="AY249" i="196"/>
  <c r="AY150" i="196"/>
  <c r="AY103" i="196"/>
  <c r="AY170" i="196"/>
  <c r="AY99" i="196"/>
  <c r="AY291" i="196"/>
  <c r="AY261" i="196"/>
  <c r="AY281" i="196"/>
  <c r="AY109" i="196"/>
  <c r="AY296" i="196"/>
  <c r="AY105" i="196"/>
  <c r="AY289" i="196"/>
  <c r="AY259" i="196"/>
  <c r="AY288" i="196"/>
  <c r="AY287" i="196"/>
  <c r="AY279" i="196"/>
  <c r="AY294" i="196"/>
  <c r="AY262" i="196"/>
  <c r="AY101" i="196"/>
  <c r="AY258" i="196"/>
  <c r="AY295" i="196"/>
  <c r="AY257" i="196"/>
  <c r="AY286" i="196"/>
  <c r="AY285" i="196"/>
  <c r="AY278" i="196"/>
  <c r="AY107" i="196"/>
  <c r="AY95" i="196"/>
  <c r="AY293" i="196"/>
  <c r="AY263" i="196"/>
  <c r="AY284" i="196"/>
  <c r="AY283" i="196"/>
  <c r="AG35" i="197"/>
  <c r="AY154" i="196"/>
  <c r="AN258" i="197"/>
  <c r="AL26" i="197"/>
  <c r="AN98" i="197"/>
  <c r="AL20" i="197"/>
  <c r="AM90" i="197"/>
  <c r="AN78" i="197"/>
  <c r="AM189" i="197"/>
  <c r="AN116" i="197"/>
  <c r="AM127" i="197"/>
  <c r="AL66" i="197"/>
  <c r="AN220" i="197"/>
  <c r="AM250" i="197"/>
  <c r="AY50" i="196"/>
  <c r="AY55" i="196"/>
  <c r="AY127" i="196"/>
  <c r="AX55" i="196"/>
  <c r="AY36" i="196"/>
  <c r="AY35" i="196"/>
  <c r="AY34" i="196"/>
  <c r="AY91" i="196"/>
  <c r="AY44" i="196"/>
  <c r="AX99" i="196"/>
  <c r="AX101" i="196"/>
  <c r="AY152" i="196"/>
  <c r="AY73" i="196"/>
  <c r="AW50" i="196"/>
  <c r="AW170" i="196"/>
  <c r="AW40" i="196"/>
  <c r="AX39" i="196"/>
  <c r="AW294" i="196"/>
  <c r="AW154" i="196"/>
  <c r="AX48" i="196"/>
  <c r="AY67" i="196"/>
  <c r="AY190" i="196"/>
  <c r="AX128" i="196"/>
  <c r="AW120" i="196"/>
  <c r="AY84" i="196"/>
  <c r="AW261" i="196"/>
  <c r="AY189" i="196"/>
  <c r="AY62" i="196"/>
  <c r="AW284" i="196"/>
  <c r="AX284" i="196"/>
  <c r="AX285" i="196"/>
  <c r="AW285" i="196"/>
  <c r="AW280" i="196"/>
  <c r="AX280" i="196"/>
  <c r="AW282" i="196"/>
  <c r="AX282" i="196"/>
  <c r="AY269" i="196"/>
  <c r="AY264" i="196"/>
  <c r="AY276" i="196"/>
  <c r="AY274" i="196"/>
  <c r="AY272" i="196"/>
  <c r="AW278" i="196"/>
  <c r="AX278" i="196"/>
  <c r="AW260" i="196"/>
  <c r="AX260" i="196"/>
  <c r="AY256" i="196"/>
  <c r="AW292" i="196"/>
  <c r="AX292" i="196"/>
  <c r="AW290" i="196"/>
  <c r="AX290" i="196"/>
  <c r="AW262" i="196"/>
  <c r="AX262" i="196"/>
  <c r="AY69" i="196"/>
  <c r="AY57" i="196"/>
  <c r="AY78" i="196"/>
  <c r="AY61" i="196"/>
  <c r="AW52" i="196"/>
  <c r="AX52" i="196"/>
  <c r="AW101" i="196"/>
  <c r="AW48" i="196"/>
  <c r="AW39" i="196"/>
  <c r="AY63" i="196"/>
  <c r="AY106" i="196"/>
  <c r="AY83" i="196"/>
  <c r="AW42" i="196"/>
  <c r="AX42" i="196"/>
  <c r="AY65" i="196"/>
  <c r="AW55" i="196"/>
  <c r="AY97" i="196"/>
  <c r="AY102" i="196"/>
  <c r="AX53" i="196"/>
  <c r="AW53" i="196"/>
  <c r="AY184" i="196"/>
  <c r="AY116" i="196"/>
  <c r="AY160" i="196"/>
  <c r="AY158" i="196"/>
  <c r="AY122" i="196"/>
  <c r="AY149" i="196"/>
  <c r="AY159" i="196"/>
  <c r="AY143" i="196"/>
  <c r="AY181" i="196"/>
  <c r="AY139" i="196"/>
  <c r="AY146" i="196"/>
  <c r="AY114" i="196"/>
  <c r="AY173" i="196"/>
  <c r="AY179" i="196"/>
  <c r="AY125" i="196"/>
  <c r="AY138" i="196"/>
  <c r="AY167" i="196"/>
  <c r="AY169" i="196"/>
  <c r="AY175" i="196"/>
  <c r="AY118" i="196"/>
  <c r="AY171" i="196"/>
  <c r="AY161" i="196"/>
  <c r="AY157" i="196"/>
  <c r="AY224" i="196"/>
  <c r="AY200" i="196"/>
  <c r="AY229" i="196"/>
  <c r="AY220" i="196"/>
  <c r="AY196" i="196"/>
  <c r="AY225" i="196"/>
  <c r="AY199" i="196"/>
  <c r="AY221" i="196"/>
  <c r="AY197" i="196"/>
  <c r="AY219" i="196"/>
  <c r="AY195" i="196"/>
  <c r="AY216" i="196"/>
  <c r="AY217" i="196"/>
  <c r="AY193" i="196"/>
  <c r="AY244" i="196"/>
  <c r="AY248" i="196"/>
  <c r="AY238" i="196"/>
  <c r="AY236" i="196"/>
  <c r="AY254" i="196"/>
  <c r="AY308" i="196"/>
  <c r="AY304" i="196"/>
  <c r="AY305" i="196"/>
  <c r="AY307" i="196"/>
  <c r="AY312" i="196"/>
  <c r="AY227" i="196"/>
  <c r="AY231" i="196"/>
  <c r="AY282" i="196"/>
  <c r="AY212" i="196"/>
  <c r="AY290" i="196"/>
  <c r="AY260" i="196"/>
  <c r="AY280" i="196"/>
  <c r="AY177" i="196"/>
  <c r="AY183" i="196"/>
  <c r="AY76" i="196"/>
  <c r="AY265" i="196"/>
  <c r="AY215" i="196"/>
  <c r="AY56" i="196"/>
  <c r="AY292" i="196"/>
  <c r="AX120" i="196"/>
  <c r="AX50" i="196"/>
  <c r="AX170" i="196"/>
  <c r="AX294" i="196"/>
  <c r="AX154" i="196"/>
  <c r="AX261" i="196"/>
  <c r="AW99" i="196"/>
  <c r="AX40" i="196"/>
  <c r="AW128" i="196"/>
  <c r="AY117" i="196"/>
  <c r="AY72" i="196"/>
  <c r="AX72" i="196"/>
  <c r="AY90" i="196"/>
  <c r="AW90" i="196"/>
  <c r="AW47" i="196"/>
  <c r="AX47" i="196"/>
  <c r="AX279" i="196"/>
  <c r="AW279" i="196"/>
  <c r="AX35" i="196"/>
  <c r="AW35" i="196"/>
  <c r="AW36" i="196"/>
  <c r="AX36" i="196"/>
  <c r="AW296" i="196"/>
  <c r="AX296" i="196"/>
  <c r="AY147" i="196"/>
  <c r="AW73" i="196"/>
  <c r="AW264" i="196"/>
  <c r="AY145" i="196"/>
  <c r="AX143" i="196"/>
  <c r="AW276" i="196"/>
  <c r="AX269" i="196"/>
  <c r="AY228" i="196"/>
  <c r="AW84" i="196"/>
  <c r="AY41" i="196"/>
  <c r="AW304" i="196"/>
  <c r="AW244" i="196"/>
  <c r="AX219" i="196"/>
  <c r="AX159" i="196"/>
  <c r="AW62" i="196"/>
  <c r="AX274" i="196"/>
  <c r="AY206" i="196"/>
  <c r="AY153" i="196"/>
  <c r="AX225" i="196"/>
  <c r="AW286" i="196"/>
  <c r="AX286" i="196"/>
  <c r="AX283" i="196"/>
  <c r="AW283" i="196"/>
  <c r="AX281" i="196"/>
  <c r="AW281" i="196"/>
  <c r="AX287" i="196"/>
  <c r="AW287" i="196"/>
  <c r="AW288" i="196"/>
  <c r="AX288" i="196"/>
  <c r="AY271" i="196"/>
  <c r="AY275" i="196"/>
  <c r="AY270" i="196"/>
  <c r="AY267" i="196"/>
  <c r="AW258" i="196"/>
  <c r="AX258" i="196"/>
  <c r="AX257" i="196"/>
  <c r="AW257" i="196"/>
  <c r="AX293" i="196"/>
  <c r="AW293" i="196"/>
  <c r="AX295" i="196"/>
  <c r="AW295" i="196"/>
  <c r="AX289" i="196"/>
  <c r="AW289" i="196"/>
  <c r="AX259" i="196"/>
  <c r="AW259" i="196"/>
  <c r="AX291" i="196"/>
  <c r="AW291" i="196"/>
  <c r="AX263" i="196"/>
  <c r="AW263" i="196"/>
  <c r="AX95" i="196"/>
  <c r="AW95" i="196"/>
  <c r="AY74" i="196"/>
  <c r="AX57" i="196"/>
  <c r="AW57" i="196"/>
  <c r="AX67" i="196"/>
  <c r="AW67" i="196"/>
  <c r="AX45" i="196"/>
  <c r="AW45" i="196"/>
  <c r="AW34" i="196"/>
  <c r="AX34" i="196"/>
  <c r="AW38" i="196"/>
  <c r="AX38" i="196"/>
  <c r="AX33" i="196"/>
  <c r="AW33" i="196"/>
  <c r="AY79" i="196"/>
  <c r="AW44" i="196"/>
  <c r="AX44" i="196"/>
  <c r="AX49" i="196"/>
  <c r="AW49" i="196"/>
  <c r="AX103" i="196"/>
  <c r="AW103" i="196"/>
  <c r="AX109" i="196"/>
  <c r="AW109" i="196"/>
  <c r="AY77" i="196"/>
  <c r="AX65" i="196"/>
  <c r="AW65" i="196"/>
  <c r="AX83" i="196"/>
  <c r="AW83" i="196"/>
  <c r="AY87" i="196"/>
  <c r="AX105" i="196"/>
  <c r="AW105" i="196"/>
  <c r="AW54" i="196"/>
  <c r="AX54" i="196"/>
  <c r="AY89" i="196"/>
  <c r="AY80" i="196"/>
  <c r="AY59" i="196"/>
  <c r="AX111" i="196"/>
  <c r="AW111" i="196"/>
  <c r="AW58" i="196"/>
  <c r="AX58" i="196"/>
  <c r="AY71" i="196"/>
  <c r="AX69" i="196"/>
  <c r="AW69" i="196"/>
  <c r="AX91" i="196"/>
  <c r="AW91" i="196"/>
  <c r="AY85" i="196"/>
  <c r="AX51" i="196"/>
  <c r="AW51" i="196"/>
  <c r="AY86" i="196"/>
  <c r="AX107" i="196"/>
  <c r="AW107" i="196"/>
  <c r="AY93" i="196"/>
  <c r="AW181" i="196"/>
  <c r="AX181" i="196"/>
  <c r="AX149" i="196"/>
  <c r="AW149" i="196"/>
  <c r="AW127" i="196"/>
  <c r="AX127" i="196"/>
  <c r="AY141" i="196"/>
  <c r="AX150" i="196"/>
  <c r="AW150" i="196"/>
  <c r="AX142" i="196"/>
  <c r="AW142" i="196"/>
  <c r="AY129" i="196"/>
  <c r="AW158" i="196"/>
  <c r="AX158" i="196"/>
  <c r="AY131" i="196"/>
  <c r="AX160" i="196"/>
  <c r="AW160" i="196"/>
  <c r="AX116" i="196"/>
  <c r="AW116" i="196"/>
  <c r="AX146" i="196"/>
  <c r="AW146" i="196"/>
  <c r="AY191" i="196"/>
  <c r="AX172" i="196"/>
  <c r="AW172" i="196"/>
  <c r="AY187" i="196"/>
  <c r="AY188" i="196"/>
  <c r="AY186" i="196"/>
  <c r="AY136" i="196"/>
  <c r="AW190" i="196"/>
  <c r="AX190" i="196"/>
  <c r="AX138" i="196"/>
  <c r="AW138" i="196"/>
  <c r="AX114" i="196"/>
  <c r="AW114" i="196"/>
  <c r="AX164" i="196"/>
  <c r="AW164" i="196"/>
  <c r="AW178" i="196"/>
  <c r="AX178" i="196"/>
  <c r="AY130" i="196"/>
  <c r="AY132" i="196"/>
  <c r="AY119" i="196"/>
  <c r="AY148" i="196"/>
  <c r="AX189" i="196"/>
  <c r="AW189" i="196"/>
  <c r="AY126" i="196"/>
  <c r="AY182" i="196"/>
  <c r="AX152" i="196"/>
  <c r="AW152" i="196"/>
  <c r="AY202" i="196"/>
  <c r="AY174" i="196"/>
  <c r="AY124" i="196"/>
  <c r="AW121" i="196"/>
  <c r="AX121" i="196"/>
  <c r="AX122" i="196"/>
  <c r="AW122" i="196"/>
  <c r="AW143" i="196"/>
  <c r="AY180" i="196"/>
  <c r="AX140" i="196"/>
  <c r="AW140" i="196"/>
  <c r="AY165" i="196"/>
  <c r="AY166" i="196"/>
  <c r="AY144" i="196"/>
  <c r="AX176" i="196"/>
  <c r="AW176" i="196"/>
  <c r="AY156" i="196"/>
  <c r="AX118" i="196"/>
  <c r="AW118" i="196"/>
  <c r="AY192" i="196"/>
  <c r="AX184" i="196"/>
  <c r="AW184" i="196"/>
  <c r="AY163" i="196"/>
  <c r="AW162" i="196"/>
  <c r="AX162" i="196"/>
  <c r="AY168" i="196"/>
  <c r="AW225" i="196"/>
  <c r="AY210" i="196"/>
  <c r="AY297" i="196"/>
  <c r="AY223" i="196"/>
  <c r="AY198" i="196"/>
  <c r="AY213" i="196"/>
  <c r="AY222" i="196"/>
  <c r="AY201" i="196"/>
  <c r="AY207" i="196"/>
  <c r="AW219" i="196"/>
  <c r="AY205" i="196"/>
  <c r="AY208" i="196"/>
  <c r="AY194" i="196"/>
  <c r="AY214" i="196"/>
  <c r="AY218" i="196"/>
  <c r="AY232" i="196"/>
  <c r="AY252" i="196"/>
  <c r="AY241" i="196"/>
  <c r="AY242" i="196"/>
  <c r="AY245" i="196"/>
  <c r="AY239" i="196"/>
  <c r="AY233" i="196"/>
  <c r="AX249" i="196"/>
  <c r="AW249" i="196"/>
  <c r="AY243" i="196"/>
  <c r="AY250" i="196"/>
  <c r="AY237" i="196"/>
  <c r="AY235" i="196"/>
  <c r="AY251" i="196"/>
  <c r="AY246" i="196"/>
  <c r="AY298" i="196"/>
  <c r="AY301" i="196"/>
  <c r="AY303" i="196"/>
  <c r="AY300" i="196"/>
  <c r="AW308" i="196"/>
  <c r="AX308" i="196"/>
  <c r="AX305" i="196"/>
  <c r="AW305" i="196"/>
  <c r="AY306" i="196"/>
  <c r="AY309" i="196"/>
  <c r="AY311" i="196"/>
  <c r="AW312" i="196"/>
  <c r="AX312" i="196"/>
  <c r="AX264" i="196"/>
  <c r="AX73" i="196"/>
  <c r="AX84" i="196"/>
  <c r="AX62" i="196"/>
  <c r="AX244" i="196"/>
  <c r="AX304" i="196"/>
  <c r="AX276" i="196"/>
  <c r="AW159" i="196"/>
  <c r="AW72" i="196"/>
  <c r="AW269" i="196"/>
  <c r="AW274" i="196"/>
  <c r="AW117" i="196"/>
  <c r="AX117" i="196"/>
  <c r="AX41" i="196"/>
  <c r="AW41" i="196"/>
  <c r="AW207" i="196"/>
  <c r="AX90" i="196"/>
  <c r="AY46" i="196"/>
  <c r="AW56" i="196"/>
  <c r="AX56" i="196"/>
  <c r="AW228" i="196"/>
  <c r="AY43" i="196"/>
  <c r="AY37" i="196"/>
  <c r="AX272" i="196"/>
  <c r="AW272" i="196"/>
  <c r="AW267" i="196"/>
  <c r="AX267" i="196"/>
  <c r="AW265" i="196"/>
  <c r="AX265" i="196"/>
  <c r="AX270" i="196"/>
  <c r="AW270" i="196"/>
  <c r="AY277" i="196"/>
  <c r="AW271" i="196"/>
  <c r="AX271" i="196"/>
  <c r="AW275" i="196"/>
  <c r="AX275" i="196"/>
  <c r="AY266" i="196"/>
  <c r="AY273" i="196"/>
  <c r="AY268" i="196"/>
  <c r="AW256" i="196"/>
  <c r="AX256" i="196"/>
  <c r="AX63" i="196"/>
  <c r="AW63" i="196"/>
  <c r="AX59" i="196"/>
  <c r="AW59" i="196"/>
  <c r="AX97" i="196"/>
  <c r="AW97" i="196"/>
  <c r="AX71" i="196"/>
  <c r="AW71" i="196"/>
  <c r="AX87" i="196"/>
  <c r="AW87" i="196"/>
  <c r="AY104" i="196"/>
  <c r="AY64" i="196"/>
  <c r="AY94" i="196"/>
  <c r="AY75" i="196"/>
  <c r="AY96" i="196"/>
  <c r="AY100" i="196"/>
  <c r="AY82" i="196"/>
  <c r="AX93" i="196"/>
  <c r="AW93" i="196"/>
  <c r="AY60" i="196"/>
  <c r="AY70" i="196"/>
  <c r="AY110" i="196"/>
  <c r="AY92" i="196"/>
  <c r="AW76" i="196"/>
  <c r="AX76" i="196"/>
  <c r="AX61" i="196"/>
  <c r="AW61" i="196"/>
  <c r="AY108" i="196"/>
  <c r="AX77" i="196"/>
  <c r="AW77" i="196"/>
  <c r="AY98" i="196"/>
  <c r="AW80" i="196"/>
  <c r="AX80" i="196"/>
  <c r="AY112" i="196"/>
  <c r="AW86" i="196"/>
  <c r="AX86" i="196"/>
  <c r="AX89" i="196"/>
  <c r="AW89" i="196"/>
  <c r="AX79" i="196"/>
  <c r="AW79" i="196"/>
  <c r="AX202" i="196"/>
  <c r="AY88" i="196"/>
  <c r="AW78" i="196"/>
  <c r="AX78" i="196"/>
  <c r="AY66" i="196"/>
  <c r="AW102" i="196"/>
  <c r="AX102" i="196"/>
  <c r="AY68" i="196"/>
  <c r="AW106" i="196"/>
  <c r="AX106" i="196"/>
  <c r="AY81" i="196"/>
  <c r="AX85" i="196"/>
  <c r="AW85" i="196"/>
  <c r="AW74" i="196"/>
  <c r="AX74" i="196"/>
  <c r="AW191" i="196"/>
  <c r="AX191" i="196"/>
  <c r="AW186" i="196"/>
  <c r="AX186" i="196"/>
  <c r="AX141" i="196"/>
  <c r="AW141" i="196"/>
  <c r="AW169" i="196"/>
  <c r="AX169" i="196"/>
  <c r="AX136" i="196"/>
  <c r="AW136" i="196"/>
  <c r="AX132" i="196"/>
  <c r="AW132" i="196"/>
  <c r="AW129" i="196"/>
  <c r="AX129" i="196"/>
  <c r="AW174" i="196"/>
  <c r="AX174" i="196"/>
  <c r="AW131" i="196"/>
  <c r="AX131" i="196"/>
  <c r="AX165" i="196"/>
  <c r="AW165" i="196"/>
  <c r="AX188" i="196"/>
  <c r="AW188" i="196"/>
  <c r="AW125" i="196"/>
  <c r="AX125" i="196"/>
  <c r="AY185" i="196"/>
  <c r="AX171" i="196"/>
  <c r="AW171" i="196"/>
  <c r="AX148" i="196"/>
  <c r="AW148" i="196"/>
  <c r="AX147" i="196"/>
  <c r="AW147" i="196"/>
  <c r="AX167" i="196"/>
  <c r="AW167" i="196"/>
  <c r="AW192" i="196"/>
  <c r="AX192" i="196"/>
  <c r="AX153" i="196"/>
  <c r="AW153" i="196"/>
  <c r="AY113" i="196"/>
  <c r="AX163" i="196"/>
  <c r="AW163" i="196"/>
  <c r="AW166" i="196"/>
  <c r="AX166" i="196"/>
  <c r="AX130" i="196"/>
  <c r="AW130" i="196"/>
  <c r="AX144" i="196"/>
  <c r="AW144" i="196"/>
  <c r="AY137" i="196"/>
  <c r="AW182" i="196"/>
  <c r="AX182" i="196"/>
  <c r="AW119" i="196"/>
  <c r="AX119" i="196"/>
  <c r="AX179" i="196"/>
  <c r="AW179" i="196"/>
  <c r="AX168" i="196"/>
  <c r="AW168" i="196"/>
  <c r="AX124" i="196"/>
  <c r="AW124" i="196"/>
  <c r="AX180" i="196"/>
  <c r="AW180" i="196"/>
  <c r="AX126" i="196"/>
  <c r="AW126" i="196"/>
  <c r="AY133" i="196"/>
  <c r="AX156" i="196"/>
  <c r="AW156" i="196"/>
  <c r="AY134" i="196"/>
  <c r="AX139" i="196"/>
  <c r="AW139" i="196"/>
  <c r="AX183" i="196"/>
  <c r="AW183" i="196"/>
  <c r="AW173" i="196"/>
  <c r="AX173" i="196"/>
  <c r="AY135" i="196"/>
  <c r="AX175" i="196"/>
  <c r="AW175" i="196"/>
  <c r="AX157" i="196"/>
  <c r="AW157" i="196"/>
  <c r="AW177" i="196"/>
  <c r="AX177" i="196"/>
  <c r="AX145" i="196"/>
  <c r="AW145" i="196"/>
  <c r="AX161" i="196"/>
  <c r="AW161" i="196"/>
  <c r="AY115" i="196"/>
  <c r="AY151" i="196"/>
  <c r="AY155" i="196"/>
  <c r="AY123" i="196"/>
  <c r="AW187" i="196"/>
  <c r="AX187" i="196"/>
  <c r="AX217" i="196"/>
  <c r="AW217" i="196"/>
  <c r="AX223" i="196"/>
  <c r="AW223" i="196"/>
  <c r="AX215" i="196"/>
  <c r="AW215" i="196"/>
  <c r="AX197" i="196"/>
  <c r="AW197" i="196"/>
  <c r="AX213" i="196"/>
  <c r="AW213" i="196"/>
  <c r="AX193" i="196"/>
  <c r="AW193" i="196"/>
  <c r="AW200" i="196"/>
  <c r="AX200" i="196"/>
  <c r="AX231" i="196"/>
  <c r="AW231" i="196"/>
  <c r="AX195" i="196"/>
  <c r="AW195" i="196"/>
  <c r="AW214" i="196"/>
  <c r="AX214" i="196"/>
  <c r="AW210" i="196"/>
  <c r="AX210" i="196"/>
  <c r="AW220" i="196"/>
  <c r="AX220" i="196"/>
  <c r="AW212" i="196"/>
  <c r="AX212" i="196"/>
  <c r="AX229" i="196"/>
  <c r="AW229" i="196"/>
  <c r="AX205" i="196"/>
  <c r="AW205" i="196"/>
  <c r="AY204" i="196"/>
  <c r="AW222" i="196"/>
  <c r="AX222" i="196"/>
  <c r="AX221" i="196"/>
  <c r="AW221" i="196"/>
  <c r="AY230" i="196"/>
  <c r="AY203" i="196"/>
  <c r="AY226" i="196"/>
  <c r="AW232" i="196"/>
  <c r="AX232" i="196"/>
  <c r="AX227" i="196"/>
  <c r="AW227" i="196"/>
  <c r="AX201" i="196"/>
  <c r="AW201" i="196"/>
  <c r="AW194" i="196"/>
  <c r="AX194" i="196"/>
  <c r="AW224" i="196"/>
  <c r="AX224" i="196"/>
  <c r="AW198" i="196"/>
  <c r="AX198" i="196"/>
  <c r="AY209" i="196"/>
  <c r="AW218" i="196"/>
  <c r="AX218" i="196"/>
  <c r="AW196" i="196"/>
  <c r="AX196" i="196"/>
  <c r="AY211" i="196"/>
  <c r="AW216" i="196"/>
  <c r="AX216" i="196"/>
  <c r="AW206" i="196"/>
  <c r="AX206" i="196"/>
  <c r="AW208" i="196"/>
  <c r="AX208" i="196"/>
  <c r="AX199" i="196"/>
  <c r="AW199" i="196"/>
  <c r="AW252" i="196"/>
  <c r="AX252" i="196"/>
  <c r="AW238" i="196"/>
  <c r="AX238" i="196"/>
  <c r="AX245" i="196"/>
  <c r="AW245" i="196"/>
  <c r="AX241" i="196"/>
  <c r="AW241" i="196"/>
  <c r="AY240" i="196"/>
  <c r="AY247" i="196"/>
  <c r="AX243" i="196"/>
  <c r="AW243" i="196"/>
  <c r="AX233" i="196"/>
  <c r="AW233" i="196"/>
  <c r="AX235" i="196"/>
  <c r="AW235" i="196"/>
  <c r="AW236" i="196"/>
  <c r="AX236" i="196"/>
  <c r="AX251" i="196"/>
  <c r="AW251" i="196"/>
  <c r="AW248" i="196"/>
  <c r="AX248" i="196"/>
  <c r="AW242" i="196"/>
  <c r="AX242" i="196"/>
  <c r="AX237" i="196"/>
  <c r="AW237" i="196"/>
  <c r="AW246" i="196"/>
  <c r="AX246" i="196"/>
  <c r="AW250" i="196"/>
  <c r="AX250" i="196"/>
  <c r="AX239" i="196"/>
  <c r="AW239" i="196"/>
  <c r="AY234" i="196"/>
  <c r="AW301" i="196"/>
  <c r="AX301" i="196"/>
  <c r="AW254" i="196"/>
  <c r="AX254" i="196"/>
  <c r="AX298" i="196"/>
  <c r="AW298" i="196"/>
  <c r="AW303" i="196"/>
  <c r="AX303" i="196"/>
  <c r="AX300" i="196"/>
  <c r="AW300" i="196"/>
  <c r="AY299" i="196"/>
  <c r="AY255" i="196"/>
  <c r="AW297" i="196"/>
  <c r="AX297" i="196"/>
  <c r="AY302" i="196"/>
  <c r="AY253" i="196"/>
  <c r="AW306" i="196"/>
  <c r="AX306" i="196"/>
  <c r="AX307" i="196"/>
  <c r="AW307" i="196"/>
  <c r="AW309" i="196"/>
  <c r="AX309" i="196"/>
  <c r="AY310" i="196"/>
  <c r="AW311" i="196"/>
  <c r="AX311" i="196"/>
  <c r="AW202" i="196"/>
  <c r="AX207" i="196"/>
  <c r="AX228" i="196"/>
  <c r="AW46" i="196"/>
  <c r="AX46" i="196"/>
  <c r="AX37" i="196"/>
  <c r="AW37" i="196"/>
  <c r="AX43" i="196"/>
  <c r="AW43" i="196"/>
  <c r="AX266" i="196"/>
  <c r="AW266" i="196"/>
  <c r="AW273" i="196"/>
  <c r="AX273" i="196"/>
  <c r="AW277" i="196"/>
  <c r="AX277" i="196"/>
  <c r="AX268" i="196"/>
  <c r="AW268" i="196"/>
  <c r="AW60" i="196"/>
  <c r="AX60" i="196"/>
  <c r="AW94" i="196"/>
  <c r="AX94" i="196"/>
  <c r="AW108" i="196"/>
  <c r="AX108" i="196"/>
  <c r="AW82" i="196"/>
  <c r="AX82" i="196"/>
  <c r="AW100" i="196"/>
  <c r="AX100" i="196"/>
  <c r="AW98" i="196"/>
  <c r="AX98" i="196"/>
  <c r="AW104" i="196"/>
  <c r="AX104" i="196"/>
  <c r="AW96" i="196"/>
  <c r="AX96" i="196"/>
  <c r="AX81" i="196"/>
  <c r="AW81" i="196"/>
  <c r="AW68" i="196"/>
  <c r="AX68" i="196"/>
  <c r="AW110" i="196"/>
  <c r="AX110" i="196"/>
  <c r="AW70" i="196"/>
  <c r="AX70" i="196"/>
  <c r="AW66" i="196"/>
  <c r="AX66" i="196"/>
  <c r="AW112" i="196"/>
  <c r="AX112" i="196"/>
  <c r="AX75" i="196"/>
  <c r="AW75" i="196"/>
  <c r="AW64" i="196"/>
  <c r="AX64" i="196"/>
  <c r="AW88" i="196"/>
  <c r="AX88" i="196"/>
  <c r="AW92" i="196"/>
  <c r="AX92" i="196"/>
  <c r="AX134" i="196"/>
  <c r="AW134" i="196"/>
  <c r="AX137" i="196"/>
  <c r="AW137" i="196"/>
  <c r="AX151" i="196"/>
  <c r="AW151" i="196"/>
  <c r="AW133" i="196"/>
  <c r="AX133" i="196"/>
  <c r="AW115" i="196"/>
  <c r="AX115" i="196"/>
  <c r="AW135" i="196"/>
  <c r="AX135" i="196"/>
  <c r="AW113" i="196"/>
  <c r="AX113" i="196"/>
  <c r="AW123" i="196"/>
  <c r="AX123" i="196"/>
  <c r="AW185" i="196"/>
  <c r="AX185" i="196"/>
  <c r="AX155" i="196"/>
  <c r="AW155" i="196"/>
  <c r="AX203" i="196"/>
  <c r="AW203" i="196"/>
  <c r="AW226" i="196"/>
  <c r="AX226" i="196"/>
  <c r="AW204" i="196"/>
  <c r="AX204" i="196"/>
  <c r="AW230" i="196"/>
  <c r="AX230" i="196"/>
  <c r="AX211" i="196"/>
  <c r="AW211" i="196"/>
  <c r="AX209" i="196"/>
  <c r="AW209" i="196"/>
  <c r="AX247" i="196"/>
  <c r="AW247" i="196"/>
  <c r="AW234" i="196"/>
  <c r="AX234" i="196"/>
  <c r="AW240" i="196"/>
  <c r="AX240" i="196"/>
  <c r="AW299" i="196"/>
  <c r="AX299" i="196"/>
  <c r="AX253" i="196"/>
  <c r="AW253" i="196"/>
  <c r="AX302" i="196"/>
  <c r="AW302" i="196"/>
  <c r="AX255" i="196"/>
  <c r="AW255" i="196"/>
  <c r="AW310" i="196"/>
  <c r="AX310" i="196"/>
  <c r="R135" i="180"/>
  <c r="P135" i="180"/>
  <c r="R134" i="180"/>
  <c r="P134" i="180"/>
  <c r="R133" i="180"/>
  <c r="P133" i="180"/>
  <c r="R132" i="180"/>
  <c r="P132" i="180"/>
  <c r="R137" i="180"/>
  <c r="P137" i="180"/>
  <c r="R136" i="180"/>
  <c r="P136" i="180"/>
  <c r="R100" i="180"/>
  <c r="P100" i="180"/>
  <c r="R99" i="180"/>
  <c r="P99" i="180"/>
  <c r="R98" i="180"/>
  <c r="P98" i="180"/>
  <c r="R97" i="180"/>
  <c r="P97" i="180"/>
  <c r="R102" i="180"/>
  <c r="P102" i="180"/>
  <c r="R101" i="180"/>
  <c r="P101" i="180"/>
  <c r="P79" i="180"/>
  <c r="R78" i="180"/>
  <c r="P78" i="180"/>
  <c r="R77" i="180"/>
  <c r="P77" i="180"/>
  <c r="R80" i="180"/>
  <c r="P80" i="180"/>
  <c r="R81" i="180"/>
  <c r="P81" i="180"/>
  <c r="R82" i="180"/>
  <c r="P82" i="180"/>
  <c r="P35" i="180"/>
  <c r="N35" i="180"/>
  <c r="P34" i="180"/>
  <c r="N34" i="180"/>
  <c r="P36" i="180"/>
  <c r="N36" i="180"/>
  <c r="P37" i="180"/>
  <c r="N37" i="180"/>
  <c r="P38" i="180"/>
  <c r="N38" i="180"/>
  <c r="P39" i="180"/>
  <c r="N39" i="180"/>
  <c r="L18" i="196"/>
  <c r="K39" i="188"/>
  <c r="J39" i="188"/>
  <c r="J38" i="188"/>
  <c r="K31" i="188"/>
  <c r="K30" i="188"/>
  <c r="K29" i="188"/>
  <c r="K28" i="188"/>
  <c r="J31" i="188"/>
  <c r="J30" i="188"/>
  <c r="J29" i="188"/>
  <c r="J28" i="188"/>
  <c r="K15" i="188"/>
  <c r="K16" i="188"/>
  <c r="K17" i="188"/>
  <c r="K14" i="188"/>
  <c r="J17" i="188"/>
  <c r="J16" i="188"/>
  <c r="J15" i="188"/>
  <c r="J14" i="188"/>
  <c r="AS318" i="198"/>
  <c r="AR318" i="198"/>
  <c r="AP318" i="198"/>
  <c r="AO318" i="198"/>
  <c r="AN318" i="198"/>
  <c r="AS317" i="198"/>
  <c r="AR317" i="198"/>
  <c r="AP317" i="198"/>
  <c r="AO317" i="198"/>
  <c r="AN317" i="198"/>
  <c r="AS316" i="198"/>
  <c r="AR316" i="198"/>
  <c r="AP316" i="198"/>
  <c r="AO316" i="198"/>
  <c r="AN316" i="198"/>
  <c r="AS315" i="198"/>
  <c r="AR315" i="198"/>
  <c r="AP315" i="198"/>
  <c r="AO315" i="198"/>
  <c r="AN315" i="198"/>
  <c r="AS314" i="198"/>
  <c r="AR314" i="198"/>
  <c r="AS313" i="198"/>
  <c r="AR313" i="198"/>
  <c r="AS312" i="198"/>
  <c r="AR312" i="198"/>
  <c r="AS311" i="198"/>
  <c r="AR311" i="198"/>
  <c r="AS310" i="198"/>
  <c r="AR310" i="198"/>
  <c r="AS309" i="198"/>
  <c r="AR309" i="198"/>
  <c r="AS308" i="198"/>
  <c r="AR308" i="198"/>
  <c r="AS297" i="198"/>
  <c r="AR297" i="198"/>
  <c r="AS296" i="198"/>
  <c r="AR296" i="198"/>
  <c r="AS295" i="198"/>
  <c r="AR295" i="198"/>
  <c r="AS294" i="198"/>
  <c r="AR294" i="198"/>
  <c r="AS293" i="198"/>
  <c r="AR293" i="198"/>
  <c r="AS292" i="198"/>
  <c r="AR292" i="198"/>
  <c r="AS291" i="198"/>
  <c r="AR291" i="198"/>
  <c r="AS290" i="198"/>
  <c r="AR290" i="198"/>
  <c r="AR19" i="198"/>
  <c r="AX316" i="197"/>
  <c r="AW316" i="197"/>
  <c r="AV316" i="197"/>
  <c r="AU316" i="197"/>
  <c r="AS316" i="197"/>
  <c r="AR316" i="197"/>
  <c r="AQ316" i="197"/>
  <c r="AX315" i="197"/>
  <c r="AW315" i="197"/>
  <c r="AV315" i="197"/>
  <c r="AU315" i="197"/>
  <c r="AS315" i="197"/>
  <c r="AR315" i="197"/>
  <c r="AQ315" i="197"/>
  <c r="AX314" i="197"/>
  <c r="AW314" i="197"/>
  <c r="AV314" i="197"/>
  <c r="AU314" i="197"/>
  <c r="AS314" i="197"/>
  <c r="AR314" i="197"/>
  <c r="AQ314" i="197"/>
  <c r="AX313" i="197"/>
  <c r="AW313" i="197"/>
  <c r="AV313" i="197"/>
  <c r="AU313" i="197"/>
  <c r="AS313" i="197"/>
  <c r="AR313" i="197"/>
  <c r="AQ313" i="197"/>
  <c r="AX312" i="197"/>
  <c r="AW312" i="197"/>
  <c r="AV312" i="197"/>
  <c r="AU312" i="197"/>
  <c r="AS312" i="197"/>
  <c r="AR312" i="197"/>
  <c r="AQ312" i="197"/>
  <c r="AX311" i="197"/>
  <c r="AW311" i="197"/>
  <c r="AV311" i="197"/>
  <c r="AU311" i="197"/>
  <c r="AX310" i="197"/>
  <c r="AW310" i="197"/>
  <c r="AV310" i="197"/>
  <c r="AU310" i="197"/>
  <c r="AX309" i="197"/>
  <c r="AW309" i="197"/>
  <c r="AV309" i="197"/>
  <c r="AU309" i="197"/>
  <c r="AX308" i="197"/>
  <c r="AW308" i="197"/>
  <c r="AV308" i="197"/>
  <c r="AU308" i="197"/>
  <c r="AX307" i="197"/>
  <c r="AW307" i="197"/>
  <c r="AV307" i="197"/>
  <c r="AU307" i="197"/>
  <c r="AX306" i="197"/>
  <c r="AW306" i="197"/>
  <c r="AV306" i="197"/>
  <c r="AU306" i="197"/>
  <c r="AX305" i="197"/>
  <c r="AW305" i="197"/>
  <c r="AV305" i="197"/>
  <c r="AU305" i="197"/>
  <c r="AX294" i="197"/>
  <c r="AW294" i="197"/>
  <c r="AV294" i="197"/>
  <c r="AU294" i="197"/>
  <c r="AX293" i="197"/>
  <c r="AW293" i="197"/>
  <c r="AV293" i="197"/>
  <c r="AU293" i="197"/>
  <c r="AX292" i="197"/>
  <c r="AW292" i="197"/>
  <c r="AV292" i="197"/>
  <c r="AU292" i="197"/>
  <c r="AX291" i="197"/>
  <c r="AW291" i="197"/>
  <c r="AV291" i="197"/>
  <c r="AU291" i="197"/>
  <c r="AX290" i="197"/>
  <c r="AW290" i="197"/>
  <c r="AV290" i="197"/>
  <c r="AU290" i="197"/>
  <c r="AX289" i="197"/>
  <c r="AW289" i="197"/>
  <c r="AV289" i="197"/>
  <c r="AU289" i="197"/>
  <c r="AX288" i="197"/>
  <c r="AW288" i="197"/>
  <c r="AV288" i="197"/>
  <c r="AU288" i="197"/>
  <c r="AX17" i="197"/>
  <c r="AW17" i="197"/>
  <c r="AV17" i="197"/>
  <c r="AU17" i="197"/>
  <c r="BA316" i="196"/>
  <c r="AY316" i="196"/>
  <c r="AX316" i="196"/>
  <c r="AW316" i="196"/>
  <c r="AS316" i="196"/>
  <c r="BA315" i="196"/>
  <c r="AY315" i="196"/>
  <c r="AX315" i="196"/>
  <c r="AW315" i="196"/>
  <c r="AS315" i="196"/>
  <c r="BA314" i="196"/>
  <c r="AY314" i="196"/>
  <c r="AX314" i="196"/>
  <c r="AW314" i="196"/>
  <c r="AS314" i="196"/>
  <c r="BA313" i="196"/>
  <c r="AS313" i="196"/>
  <c r="BA32" i="196"/>
  <c r="AS32" i="196"/>
  <c r="BA31" i="196"/>
  <c r="AS31" i="196"/>
  <c r="BA30" i="196"/>
  <c r="AS30" i="196"/>
  <c r="BA29" i="196"/>
  <c r="AS29" i="196"/>
  <c r="BA28" i="196"/>
  <c r="AS28" i="196"/>
  <c r="BA27" i="196"/>
  <c r="AS27" i="196"/>
  <c r="BA26" i="196"/>
  <c r="AS26" i="196"/>
  <c r="BA25" i="196"/>
  <c r="AS25" i="196"/>
  <c r="BA24" i="196"/>
  <c r="AS24" i="196"/>
  <c r="BA23" i="196"/>
  <c r="AS23" i="196"/>
  <c r="AI23" i="196"/>
  <c r="BA22" i="196"/>
  <c r="AS22" i="196"/>
  <c r="BA21" i="196"/>
  <c r="AU16" i="196"/>
  <c r="AS21" i="196"/>
  <c r="BA20" i="196"/>
  <c r="AS20" i="196"/>
  <c r="BA19" i="196"/>
  <c r="AS19" i="196"/>
  <c r="BA18" i="196"/>
  <c r="AS18" i="196"/>
  <c r="BA17" i="196"/>
  <c r="AT16" i="196"/>
  <c r="AS17" i="196"/>
  <c r="AL313" i="197"/>
  <c r="AG308" i="197"/>
  <c r="AG311" i="197"/>
  <c r="AI311" i="197" s="1"/>
  <c r="AG314" i="197"/>
  <c r="AG315" i="197"/>
  <c r="AS311" i="197"/>
  <c r="AQ311" i="197"/>
  <c r="AQ289" i="197"/>
  <c r="AS310" i="197"/>
  <c r="AS308" i="197"/>
  <c r="AW28" i="196"/>
  <c r="AY26" i="196"/>
  <c r="AY20" i="196"/>
  <c r="AP19" i="198"/>
  <c r="AP312" i="198"/>
  <c r="AP310" i="198"/>
  <c r="AP313" i="198"/>
  <c r="AN313" i="198"/>
  <c r="AG292" i="197"/>
  <c r="AS289" i="197"/>
  <c r="AG288" i="197"/>
  <c r="AG307" i="197"/>
  <c r="AG305" i="197"/>
  <c r="AG293" i="197"/>
  <c r="AG289" i="197"/>
  <c r="AG17" i="197"/>
  <c r="AW19" i="196"/>
  <c r="AW22" i="196"/>
  <c r="AY28" i="196"/>
  <c r="AY22" i="196"/>
  <c r="AR311" i="197"/>
  <c r="AX28" i="196"/>
  <c r="AW26" i="196"/>
  <c r="AS290" i="197"/>
  <c r="AR289" i="197"/>
  <c r="AQ308" i="197"/>
  <c r="AP311" i="198"/>
  <c r="AP309" i="198"/>
  <c r="AP291" i="198"/>
  <c r="AP294" i="198"/>
  <c r="AP296" i="198"/>
  <c r="AP297" i="198"/>
  <c r="AN312" i="198"/>
  <c r="AN310" i="198"/>
  <c r="H40" i="182"/>
  <c r="H37" i="182"/>
  <c r="AN291" i="198"/>
  <c r="AN294" i="198"/>
  <c r="AO313" i="198"/>
  <c r="AN314" i="198"/>
  <c r="AP314" i="198"/>
  <c r="AS288" i="197"/>
  <c r="AM291" i="197"/>
  <c r="AL291" i="197"/>
  <c r="AS292" i="197"/>
  <c r="AS294" i="197"/>
  <c r="AS306" i="197"/>
  <c r="AQ292" i="197"/>
  <c r="AS309" i="197"/>
  <c r="AQ310" i="197"/>
  <c r="AW17" i="196"/>
  <c r="AX19" i="196"/>
  <c r="AY25" i="196"/>
  <c r="AY18" i="196"/>
  <c r="AY19" i="196"/>
  <c r="AW18" i="196"/>
  <c r="AY17" i="196"/>
  <c r="AX22" i="196"/>
  <c r="AX26" i="196"/>
  <c r="AW20" i="196"/>
  <c r="AY32" i="196"/>
  <c r="AY24" i="196"/>
  <c r="AN309" i="198"/>
  <c r="AN297" i="198"/>
  <c r="AN290" i="198"/>
  <c r="AP293" i="198"/>
  <c r="AO291" i="198"/>
  <c r="AO19" i="198"/>
  <c r="I40" i="182" s="1"/>
  <c r="I37" i="182"/>
  <c r="AO314" i="198"/>
  <c r="AN296" i="198"/>
  <c r="AP295" i="198"/>
  <c r="AN292" i="198"/>
  <c r="AO294" i="198"/>
  <c r="AO310" i="198"/>
  <c r="AP292" i="198"/>
  <c r="AP290" i="198"/>
  <c r="AO312" i="198"/>
  <c r="AN311" i="198"/>
  <c r="AQ307" i="197"/>
  <c r="AS17" i="197"/>
  <c r="AR308" i="197"/>
  <c r="AQ288" i="197"/>
  <c r="AQ293" i="197"/>
  <c r="AQ291" i="197"/>
  <c r="AQ17" i="197"/>
  <c r="AQ294" i="197"/>
  <c r="AS307" i="197"/>
  <c r="AS305" i="197"/>
  <c r="AS293" i="197"/>
  <c r="AS291" i="197"/>
  <c r="AR310" i="197"/>
  <c r="AQ309" i="197"/>
  <c r="AR292" i="197"/>
  <c r="AQ306" i="197"/>
  <c r="AY30" i="196"/>
  <c r="AW25" i="196"/>
  <c r="AX18" i="196"/>
  <c r="AY313" i="196"/>
  <c r="AY31" i="196"/>
  <c r="AW27" i="196"/>
  <c r="AY21" i="196"/>
  <c r="AY27" i="196"/>
  <c r="AX20" i="196"/>
  <c r="AX17" i="196"/>
  <c r="AQ290" i="197"/>
  <c r="AY23" i="196"/>
  <c r="AW32" i="196"/>
  <c r="AX24" i="196"/>
  <c r="AW24" i="196"/>
  <c r="AN295" i="198"/>
  <c r="AN293" i="198"/>
  <c r="AO297" i="198"/>
  <c r="AO311" i="198"/>
  <c r="AP308" i="198"/>
  <c r="AO292" i="198"/>
  <c r="AO296" i="198"/>
  <c r="AO290" i="198"/>
  <c r="AO309" i="198"/>
  <c r="AR290" i="197"/>
  <c r="AQ305" i="197"/>
  <c r="AR309" i="197"/>
  <c r="AR294" i="197"/>
  <c r="AR293" i="197"/>
  <c r="AR307" i="197"/>
  <c r="AR306" i="197"/>
  <c r="AR17" i="197"/>
  <c r="AR291" i="197"/>
  <c r="AR288" i="197"/>
  <c r="AW23" i="196"/>
  <c r="AY29" i="196"/>
  <c r="AX25" i="196"/>
  <c r="AW21" i="196"/>
  <c r="AX27" i="196"/>
  <c r="AW31" i="196"/>
  <c r="AW313" i="196"/>
  <c r="AX32" i="196"/>
  <c r="AW30" i="196"/>
  <c r="AO293" i="198"/>
  <c r="AO295" i="198"/>
  <c r="AN308" i="198"/>
  <c r="AR305" i="197"/>
  <c r="AX30" i="196"/>
  <c r="AX313" i="196"/>
  <c r="AX31" i="196"/>
  <c r="AX21" i="196"/>
  <c r="AW29" i="196"/>
  <c r="AX23" i="196"/>
  <c r="AO308" i="198"/>
  <c r="AX29" i="196"/>
  <c r="P42" i="180"/>
  <c r="P41" i="180"/>
  <c r="P40" i="180"/>
  <c r="P33" i="180"/>
  <c r="N40" i="180"/>
  <c r="N41" i="180"/>
  <c r="N42" i="180"/>
  <c r="N33" i="180"/>
  <c r="Q25" i="180"/>
  <c r="Q24" i="180"/>
  <c r="Q23" i="180"/>
  <c r="Q22" i="180"/>
  <c r="Q21" i="180"/>
  <c r="Q20" i="180"/>
  <c r="Q19" i="180"/>
  <c r="Q18" i="180"/>
  <c r="Q17" i="180"/>
  <c r="Q16" i="180"/>
  <c r="Q15" i="180"/>
  <c r="Q14" i="180"/>
  <c r="Q13" i="180"/>
  <c r="P24" i="180"/>
  <c r="T24" i="180" s="1"/>
  <c r="P49" i="180" s="1"/>
  <c r="P23" i="180"/>
  <c r="T23" i="180" s="1"/>
  <c r="P22" i="180"/>
  <c r="T22" i="180" s="1"/>
  <c r="P21" i="180"/>
  <c r="T21" i="180" s="1"/>
  <c r="P20" i="180"/>
  <c r="T20" i="180" s="1"/>
  <c r="P19" i="180"/>
  <c r="T19" i="180" s="1"/>
  <c r="P18" i="180"/>
  <c r="T18" i="180" s="1"/>
  <c r="P17" i="180"/>
  <c r="T17" i="180" s="1"/>
  <c r="P16" i="180"/>
  <c r="T16" i="180" s="1"/>
  <c r="P15" i="180"/>
  <c r="T15" i="180" s="1"/>
  <c r="P14" i="180"/>
  <c r="T14" i="180" s="1"/>
  <c r="P13" i="180"/>
  <c r="T13" i="180" s="1"/>
  <c r="N42" i="195"/>
  <c r="M42" i="195"/>
  <c r="L63" i="195"/>
  <c r="D14" i="192"/>
  <c r="E35" i="192"/>
  <c r="H12" i="181"/>
  <c r="H13" i="181"/>
  <c r="P13" i="181"/>
  <c r="H14" i="181"/>
  <c r="P14" i="181"/>
  <c r="H15" i="181"/>
  <c r="P15" i="181"/>
  <c r="H16" i="181"/>
  <c r="P16" i="181"/>
  <c r="H17" i="181"/>
  <c r="P17" i="181"/>
  <c r="H18" i="181"/>
  <c r="P18" i="181"/>
  <c r="P31" i="181"/>
  <c r="P32" i="181"/>
  <c r="P33" i="181"/>
  <c r="P34" i="181"/>
  <c r="P35" i="181"/>
  <c r="O46" i="181"/>
  <c r="P67" i="180"/>
  <c r="P68" i="180"/>
  <c r="P69" i="180"/>
  <c r="P70" i="180"/>
  <c r="P71" i="180"/>
  <c r="P76" i="180"/>
  <c r="R76" i="180"/>
  <c r="P83" i="180"/>
  <c r="R83" i="180"/>
  <c r="P84" i="180"/>
  <c r="R84" i="180"/>
  <c r="P85" i="180"/>
  <c r="R85" i="180"/>
  <c r="N96" i="180"/>
  <c r="P96" i="180"/>
  <c r="R96" i="180"/>
  <c r="P103" i="180"/>
  <c r="R103" i="180"/>
  <c r="P104" i="180"/>
  <c r="R104" i="180"/>
  <c r="P105" i="180"/>
  <c r="R105" i="180"/>
  <c r="P117" i="180"/>
  <c r="Q117" i="180"/>
  <c r="P118" i="180"/>
  <c r="Q118" i="180"/>
  <c r="P119" i="180"/>
  <c r="Q119" i="180"/>
  <c r="P120" i="180"/>
  <c r="Q120" i="180"/>
  <c r="P121" i="180"/>
  <c r="Q121" i="180"/>
  <c r="P122" i="180"/>
  <c r="Q122" i="180"/>
  <c r="P123" i="180"/>
  <c r="Q123" i="180"/>
  <c r="N131" i="180"/>
  <c r="P131" i="180"/>
  <c r="R131" i="180"/>
  <c r="P138" i="180"/>
  <c r="R138" i="180"/>
  <c r="P139" i="180"/>
  <c r="R139" i="180"/>
  <c r="P140" i="180"/>
  <c r="R140" i="180"/>
  <c r="P151" i="180"/>
  <c r="P152" i="180"/>
  <c r="P153" i="180"/>
  <c r="P154" i="180"/>
  <c r="P170" i="180"/>
  <c r="P171" i="180"/>
  <c r="P172" i="180"/>
  <c r="S229" i="180"/>
  <c r="S257" i="180"/>
  <c r="S258" i="180"/>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F232" i="198" l="1"/>
  <c r="AC112" i="198"/>
  <c r="AC280" i="198"/>
  <c r="AF19" i="198"/>
  <c r="AL19" i="198" s="1"/>
  <c r="AA19" i="198"/>
  <c r="AB19" i="198"/>
  <c r="AF40" i="198"/>
  <c r="AF84" i="198"/>
  <c r="AC104" i="198"/>
  <c r="AA23" i="198"/>
  <c r="AB23" i="198"/>
  <c r="AF27" i="198"/>
  <c r="AA27" i="198"/>
  <c r="AB27" i="198"/>
  <c r="AA31" i="198"/>
  <c r="AB31" i="198"/>
  <c r="AA35" i="198"/>
  <c r="AB35" i="198"/>
  <c r="AB20" i="198"/>
  <c r="AA20" i="198"/>
  <c r="AB24" i="198"/>
  <c r="AA24" i="198"/>
  <c r="AL24" i="198" s="1"/>
  <c r="AQ24" i="198" s="1"/>
  <c r="AB28" i="198"/>
  <c r="AA28" i="198"/>
  <c r="AL28" i="198" s="1"/>
  <c r="AQ28" i="198" s="1"/>
  <c r="AB32" i="198"/>
  <c r="AA32" i="198"/>
  <c r="AB36" i="198"/>
  <c r="AA36" i="198"/>
  <c r="AB21" i="198"/>
  <c r="AA21" i="198"/>
  <c r="AB25" i="198"/>
  <c r="AA25" i="198"/>
  <c r="AB29" i="198"/>
  <c r="AA29" i="198"/>
  <c r="AB33" i="198"/>
  <c r="AA33" i="198"/>
  <c r="AB37" i="198"/>
  <c r="AA37" i="198"/>
  <c r="AB22" i="198"/>
  <c r="AA22" i="198"/>
  <c r="AB26" i="198"/>
  <c r="AA26" i="198"/>
  <c r="AC30" i="198"/>
  <c r="AB30" i="198"/>
  <c r="AA30" i="198"/>
  <c r="AB34" i="198"/>
  <c r="AA34" i="198"/>
  <c r="AB38" i="198"/>
  <c r="AA38" i="198"/>
  <c r="AL38" i="198" s="1"/>
  <c r="AQ38" i="198" s="1"/>
  <c r="AK26" i="197"/>
  <c r="AI50" i="197"/>
  <c r="AG17" i="196"/>
  <c r="AH17" i="196" s="1"/>
  <c r="AA39" i="198"/>
  <c r="AB39" i="198"/>
  <c r="AA43" i="198"/>
  <c r="AB43" i="198"/>
  <c r="AA47" i="198"/>
  <c r="AK47" i="198" s="1"/>
  <c r="AB47" i="198"/>
  <c r="AA51" i="198"/>
  <c r="AI51" i="198" s="1"/>
  <c r="AB51" i="198"/>
  <c r="AA55" i="198"/>
  <c r="AB55" i="198"/>
  <c r="AA59" i="198"/>
  <c r="AB59" i="198"/>
  <c r="AA63" i="198"/>
  <c r="AB63" i="198"/>
  <c r="AA67" i="198"/>
  <c r="AB67" i="198"/>
  <c r="AF71" i="198"/>
  <c r="AA71" i="198"/>
  <c r="AL71" i="198" s="1"/>
  <c r="AB71" i="198"/>
  <c r="AA75" i="198"/>
  <c r="AB75" i="198"/>
  <c r="AA79" i="198"/>
  <c r="AG79" i="198" s="1"/>
  <c r="AB79" i="198"/>
  <c r="AA83" i="198"/>
  <c r="AK83" i="198" s="1"/>
  <c r="AB83" i="198"/>
  <c r="AA87" i="198"/>
  <c r="AB87" i="198"/>
  <c r="AA91" i="198"/>
  <c r="AB91" i="198"/>
  <c r="AA95" i="198"/>
  <c r="AH95" i="198" s="1"/>
  <c r="AB95" i="198"/>
  <c r="AA99" i="198"/>
  <c r="AB99" i="198"/>
  <c r="AA103" i="198"/>
  <c r="AB103" i="198"/>
  <c r="AA107" i="198"/>
  <c r="AI107" i="198" s="1"/>
  <c r="AB107" i="198"/>
  <c r="AF111" i="198"/>
  <c r="AA111" i="198"/>
  <c r="AB111" i="198"/>
  <c r="AA115" i="198"/>
  <c r="AK115" i="198" s="1"/>
  <c r="AB115" i="198"/>
  <c r="AA119" i="198"/>
  <c r="AI119" i="198" s="1"/>
  <c r="AB119" i="198"/>
  <c r="AA123" i="198"/>
  <c r="AB123" i="198"/>
  <c r="AA127" i="198"/>
  <c r="AG127" i="198" s="1"/>
  <c r="AB127" i="198"/>
  <c r="AA131" i="198"/>
  <c r="AB131" i="198"/>
  <c r="AF135" i="198"/>
  <c r="AA135" i="198"/>
  <c r="AB135" i="198"/>
  <c r="AA139" i="198"/>
  <c r="AB139" i="198"/>
  <c r="AF143" i="198"/>
  <c r="AA143" i="198"/>
  <c r="AB143" i="198"/>
  <c r="AA147" i="198"/>
  <c r="AK147" i="198" s="1"/>
  <c r="AB147" i="198"/>
  <c r="AA151" i="198"/>
  <c r="AB151" i="198"/>
  <c r="AA155" i="198"/>
  <c r="AG155" i="198" s="1"/>
  <c r="AB155" i="198"/>
  <c r="AF159" i="198"/>
  <c r="AA159" i="198"/>
  <c r="AL159" i="198" s="1"/>
  <c r="AB159" i="198"/>
  <c r="AA163" i="198"/>
  <c r="AG163" i="198" s="1"/>
  <c r="AB163" i="198"/>
  <c r="AA167" i="198"/>
  <c r="AH167" i="198" s="1"/>
  <c r="AB167" i="198"/>
  <c r="AA171" i="198"/>
  <c r="AB171" i="198"/>
  <c r="AA175" i="198"/>
  <c r="AK175" i="198" s="1"/>
  <c r="AB175" i="198"/>
  <c r="AA179" i="198"/>
  <c r="AB179" i="198"/>
  <c r="AA183" i="198"/>
  <c r="AB183" i="198"/>
  <c r="AA187" i="198"/>
  <c r="AB187" i="198"/>
  <c r="AA191" i="198"/>
  <c r="AB191" i="198"/>
  <c r="AA195" i="198"/>
  <c r="AB195" i="198"/>
  <c r="AA199" i="198"/>
  <c r="AB199" i="198"/>
  <c r="AA203" i="198"/>
  <c r="AH203" i="198" s="1"/>
  <c r="AB203" i="198"/>
  <c r="AA207" i="198"/>
  <c r="AB207" i="198"/>
  <c r="AA211" i="198"/>
  <c r="AB211" i="198"/>
  <c r="AF215" i="198"/>
  <c r="AA215" i="198"/>
  <c r="AB215" i="198"/>
  <c r="AA219" i="198"/>
  <c r="AB219" i="198"/>
  <c r="AA223" i="198"/>
  <c r="AI223" i="198" s="1"/>
  <c r="AB223" i="198"/>
  <c r="AA227" i="198"/>
  <c r="AL227" i="198" s="1"/>
  <c r="AQ227" i="198" s="1"/>
  <c r="AB227" i="198"/>
  <c r="AA231" i="198"/>
  <c r="AB231" i="198"/>
  <c r="AA235" i="198"/>
  <c r="AB235" i="198"/>
  <c r="AA239" i="198"/>
  <c r="AG239" i="198" s="1"/>
  <c r="AB239" i="198"/>
  <c r="AA243" i="198"/>
  <c r="AL243" i="198" s="1"/>
  <c r="AB243" i="198"/>
  <c r="AA247" i="198"/>
  <c r="AI247" i="198" s="1"/>
  <c r="AB247" i="198"/>
  <c r="AA251" i="198"/>
  <c r="AK251" i="198" s="1"/>
  <c r="AB251" i="198"/>
  <c r="AA255" i="198"/>
  <c r="AB255" i="198"/>
  <c r="AA259" i="198"/>
  <c r="AK259" i="198" s="1"/>
  <c r="AB259" i="198"/>
  <c r="AA263" i="198"/>
  <c r="AB263" i="198"/>
  <c r="AA267" i="198"/>
  <c r="AB267" i="198"/>
  <c r="AA271" i="198"/>
  <c r="AB271" i="198"/>
  <c r="AF275" i="198"/>
  <c r="AA275" i="198"/>
  <c r="AB275" i="198"/>
  <c r="AF279" i="198"/>
  <c r="AA279" i="198"/>
  <c r="AB279" i="198"/>
  <c r="AA283" i="198"/>
  <c r="AB283" i="198"/>
  <c r="AC287" i="198"/>
  <c r="AD287" i="198" s="1"/>
  <c r="AE287" i="198" s="1"/>
  <c r="AA287" i="198"/>
  <c r="AB287" i="198"/>
  <c r="AA291" i="198"/>
  <c r="AB291" i="198"/>
  <c r="AA295" i="198"/>
  <c r="AB295" i="198"/>
  <c r="AA299" i="198"/>
  <c r="AB299" i="198"/>
  <c r="AA303" i="198"/>
  <c r="AB303" i="198"/>
  <c r="AA307" i="198"/>
  <c r="AK307" i="198" s="1"/>
  <c r="AB307" i="198"/>
  <c r="AC311" i="198"/>
  <c r="AB311" i="198"/>
  <c r="AA311" i="198"/>
  <c r="AA315" i="198"/>
  <c r="AL315" i="198" s="1"/>
  <c r="AB315" i="198"/>
  <c r="AA40" i="198"/>
  <c r="AL40" i="198" s="1"/>
  <c r="AQ40" i="198" s="1"/>
  <c r="AB40" i="198"/>
  <c r="AD40" i="198" s="1"/>
  <c r="AE40" i="198" s="1"/>
  <c r="AA44" i="198"/>
  <c r="AB44" i="198"/>
  <c r="AF48" i="198"/>
  <c r="AA48" i="198"/>
  <c r="AB48" i="198"/>
  <c r="AA52" i="198"/>
  <c r="AL52" i="198" s="1"/>
  <c r="AB52" i="198"/>
  <c r="AA56" i="198"/>
  <c r="AB56" i="198"/>
  <c r="AA60" i="198"/>
  <c r="AB60" i="198"/>
  <c r="AA64" i="198"/>
  <c r="AB64" i="198"/>
  <c r="AA68" i="198"/>
  <c r="AH68" i="198" s="1"/>
  <c r="AB68" i="198"/>
  <c r="AA72" i="198"/>
  <c r="AB72" i="198"/>
  <c r="AA76" i="198"/>
  <c r="AB76" i="198"/>
  <c r="AA80" i="198"/>
  <c r="AL80" i="198" s="1"/>
  <c r="AB80" i="198"/>
  <c r="AD80" i="198" s="1"/>
  <c r="AE80" i="198" s="1"/>
  <c r="AA84" i="198"/>
  <c r="AL84" i="198" s="1"/>
  <c r="AB84" i="198"/>
  <c r="AA88" i="198"/>
  <c r="AB88" i="198"/>
  <c r="AA92" i="198"/>
  <c r="AB92" i="198"/>
  <c r="AA96" i="198"/>
  <c r="AI96" i="198" s="1"/>
  <c r="AB96" i="198"/>
  <c r="AD96" i="198" s="1"/>
  <c r="AE96" i="198" s="1"/>
  <c r="AA100" i="198"/>
  <c r="AL100" i="198" s="1"/>
  <c r="AB100" i="198"/>
  <c r="AA104" i="198"/>
  <c r="AH104" i="198" s="1"/>
  <c r="AB104" i="198"/>
  <c r="AD104" i="198" s="1"/>
  <c r="AE104" i="198" s="1"/>
  <c r="AC108" i="198"/>
  <c r="AA108" i="198"/>
  <c r="AB108" i="198"/>
  <c r="AA112" i="198"/>
  <c r="AL112" i="198" s="1"/>
  <c r="AB112" i="198"/>
  <c r="AA116" i="198"/>
  <c r="AB116" i="198"/>
  <c r="AA120" i="198"/>
  <c r="AI120" i="198" s="1"/>
  <c r="AB120" i="198"/>
  <c r="AA124" i="198"/>
  <c r="AB124" i="198"/>
  <c r="AA128" i="198"/>
  <c r="AK128" i="198" s="1"/>
  <c r="AB128" i="198"/>
  <c r="AA132" i="198"/>
  <c r="AB132" i="198"/>
  <c r="AD132" i="198" s="1"/>
  <c r="AE132" i="198" s="1"/>
  <c r="AF136" i="198"/>
  <c r="AA136" i="198"/>
  <c r="AB136" i="198"/>
  <c r="AA140" i="198"/>
  <c r="AH140" i="198" s="1"/>
  <c r="AB140" i="198"/>
  <c r="AD140" i="198" s="1"/>
  <c r="AE140" i="198" s="1"/>
  <c r="AF144" i="198"/>
  <c r="AA144" i="198"/>
  <c r="AL144" i="198" s="1"/>
  <c r="AB144" i="198"/>
  <c r="AA148" i="198"/>
  <c r="AL148" i="198" s="1"/>
  <c r="AB148" i="198"/>
  <c r="AD148" i="198" s="1"/>
  <c r="AE148" i="198" s="1"/>
  <c r="AA152" i="198"/>
  <c r="AB152" i="198"/>
  <c r="AD152" i="198" s="1"/>
  <c r="AE152" i="198" s="1"/>
  <c r="AA156" i="198"/>
  <c r="AH156" i="198" s="1"/>
  <c r="AB156" i="198"/>
  <c r="AA160" i="198"/>
  <c r="AB160" i="198"/>
  <c r="AA164" i="198"/>
  <c r="AK164" i="198" s="1"/>
  <c r="AB164" i="198"/>
  <c r="AA168" i="198"/>
  <c r="AB168" i="198"/>
  <c r="AA172" i="198"/>
  <c r="AG172" i="198" s="1"/>
  <c r="AB172" i="198"/>
  <c r="AD172" i="198" s="1"/>
  <c r="AE172" i="198" s="1"/>
  <c r="AA176" i="198"/>
  <c r="AB176" i="198"/>
  <c r="AD176" i="198" s="1"/>
  <c r="AE176" i="198" s="1"/>
  <c r="AA180" i="198"/>
  <c r="AL180" i="198" s="1"/>
  <c r="AB180" i="198"/>
  <c r="AA184" i="198"/>
  <c r="AB184" i="198"/>
  <c r="AA188" i="198"/>
  <c r="AL188" i="198" s="1"/>
  <c r="AQ188" i="198" s="1"/>
  <c r="AB188" i="198"/>
  <c r="AD188" i="198" s="1"/>
  <c r="AE188" i="198" s="1"/>
  <c r="AF192" i="198"/>
  <c r="AA192" i="198"/>
  <c r="AL192" i="198" s="1"/>
  <c r="AB192" i="198"/>
  <c r="AA196" i="198"/>
  <c r="AL196" i="198" s="1"/>
  <c r="AB196" i="198"/>
  <c r="AA200" i="198"/>
  <c r="AH200" i="198" s="1"/>
  <c r="AB200" i="198"/>
  <c r="AD200" i="198" s="1"/>
  <c r="AE200" i="198" s="1"/>
  <c r="AA204" i="198"/>
  <c r="AL204" i="198" s="1"/>
  <c r="AB204" i="198"/>
  <c r="AA208" i="198"/>
  <c r="AI208" i="198" s="1"/>
  <c r="AB208" i="198"/>
  <c r="AD208" i="198" s="1"/>
  <c r="AE208" i="198" s="1"/>
  <c r="AA212" i="198"/>
  <c r="AB212" i="198"/>
  <c r="AA216" i="198"/>
  <c r="AB216" i="198"/>
  <c r="AD216" i="198" s="1"/>
  <c r="AE216" i="198" s="1"/>
  <c r="AA220" i="198"/>
  <c r="AL220" i="198" s="1"/>
  <c r="AB220" i="198"/>
  <c r="AA224" i="198"/>
  <c r="AB224" i="198"/>
  <c r="AA228" i="198"/>
  <c r="AB228" i="198"/>
  <c r="AA232" i="198"/>
  <c r="AI232" i="198" s="1"/>
  <c r="AB232" i="198"/>
  <c r="AD232" i="198" s="1"/>
  <c r="AE232" i="198" s="1"/>
  <c r="AA236" i="198"/>
  <c r="AL236" i="198" s="1"/>
  <c r="AB236" i="198"/>
  <c r="AA240" i="198"/>
  <c r="AL240" i="198" s="1"/>
  <c r="AQ240" i="198" s="1"/>
  <c r="AB240" i="198"/>
  <c r="AA244" i="198"/>
  <c r="AL244" i="198" s="1"/>
  <c r="AQ244" i="198" s="1"/>
  <c r="AB244" i="198"/>
  <c r="AA248" i="198"/>
  <c r="AI248" i="198" s="1"/>
  <c r="AB248" i="198"/>
  <c r="AD248" i="198" s="1"/>
  <c r="AE248" i="198" s="1"/>
  <c r="AF252" i="198"/>
  <c r="AA252" i="198"/>
  <c r="AB252" i="198"/>
  <c r="AA256" i="198"/>
  <c r="AH256" i="198" s="1"/>
  <c r="AB256" i="198"/>
  <c r="AA260" i="198"/>
  <c r="AB260" i="198"/>
  <c r="AA264" i="198"/>
  <c r="AL264" i="198" s="1"/>
  <c r="AB264" i="198"/>
  <c r="AA268" i="198"/>
  <c r="AB268" i="198"/>
  <c r="AA272" i="198"/>
  <c r="AK272" i="198" s="1"/>
  <c r="AB272" i="198"/>
  <c r="AD272" i="198" s="1"/>
  <c r="AE272" i="198" s="1"/>
  <c r="AB276" i="198"/>
  <c r="AA276" i="198"/>
  <c r="AL276" i="198" s="1"/>
  <c r="AQ276" i="198" s="1"/>
  <c r="AB280" i="198"/>
  <c r="AD280" i="198" s="1"/>
  <c r="AE280" i="198" s="1"/>
  <c r="AA280" i="198"/>
  <c r="AL280" i="198" s="1"/>
  <c r="AB284" i="198"/>
  <c r="AA284" i="198"/>
  <c r="AB288" i="198"/>
  <c r="AA288" i="198"/>
  <c r="AL288" i="198" s="1"/>
  <c r="AB292" i="198"/>
  <c r="AA292" i="198"/>
  <c r="AK292" i="198" s="1"/>
  <c r="AB296" i="198"/>
  <c r="AD296" i="198" s="1"/>
  <c r="AE296" i="198" s="1"/>
  <c r="AA296" i="198"/>
  <c r="AB300" i="198"/>
  <c r="AD300" i="198" s="1"/>
  <c r="AE300" i="198" s="1"/>
  <c r="AA300" i="198"/>
  <c r="AB304" i="198"/>
  <c r="AD304" i="198" s="1"/>
  <c r="AE304" i="198" s="1"/>
  <c r="AA304" i="198"/>
  <c r="AL304" i="198" s="1"/>
  <c r="AQ304" i="198" s="1"/>
  <c r="AB308" i="198"/>
  <c r="AA308" i="198"/>
  <c r="AL308" i="198" s="1"/>
  <c r="AQ308" i="198" s="1"/>
  <c r="AB312" i="198"/>
  <c r="AD312" i="198" s="1"/>
  <c r="AE312" i="198" s="1"/>
  <c r="AA312" i="198"/>
  <c r="AL312" i="198" s="1"/>
  <c r="AB316" i="198"/>
  <c r="AA316" i="198"/>
  <c r="AL316" i="198" s="1"/>
  <c r="AA41" i="198"/>
  <c r="AB41" i="198"/>
  <c r="AA45" i="198"/>
  <c r="AB45" i="198"/>
  <c r="AF49" i="198"/>
  <c r="AA49" i="198"/>
  <c r="AB49" i="198"/>
  <c r="AA53" i="198"/>
  <c r="AB53" i="198"/>
  <c r="AA57" i="198"/>
  <c r="AB57" i="198"/>
  <c r="AF61" i="198"/>
  <c r="AA61" i="198"/>
  <c r="AL61" i="198" s="1"/>
  <c r="AB61" i="198"/>
  <c r="AA65" i="198"/>
  <c r="AB65" i="198"/>
  <c r="AF69" i="198"/>
  <c r="AA69" i="198"/>
  <c r="AL69" i="198" s="1"/>
  <c r="AB69" i="198"/>
  <c r="AA73" i="198"/>
  <c r="AB73" i="198"/>
  <c r="AA77" i="198"/>
  <c r="AB77" i="198"/>
  <c r="AA81" i="198"/>
  <c r="AB81" i="198"/>
  <c r="AA85" i="198"/>
  <c r="AB85" i="198"/>
  <c r="AA89" i="198"/>
  <c r="AB89" i="198"/>
  <c r="AA93" i="198"/>
  <c r="AB93" i="198"/>
  <c r="AA97" i="198"/>
  <c r="AL97" i="198" s="1"/>
  <c r="AB97" i="198"/>
  <c r="AA101" i="198"/>
  <c r="AB101" i="198"/>
  <c r="AA105" i="198"/>
  <c r="AB105" i="198"/>
  <c r="AA109" i="198"/>
  <c r="AB109" i="198"/>
  <c r="AA113" i="198"/>
  <c r="AI113" i="198" s="1"/>
  <c r="AB113" i="198"/>
  <c r="AA117" i="198"/>
  <c r="AB117" i="198"/>
  <c r="AD117" i="198" s="1"/>
  <c r="AE117" i="198" s="1"/>
  <c r="AA121" i="198"/>
  <c r="AI121" i="198" s="1"/>
  <c r="AB121" i="198"/>
  <c r="AA125" i="198"/>
  <c r="AB125" i="198"/>
  <c r="AA129" i="198"/>
  <c r="AB129" i="198"/>
  <c r="AA133" i="198"/>
  <c r="AB133" i="198"/>
  <c r="AA137" i="198"/>
  <c r="AK137" i="198" s="1"/>
  <c r="AB137" i="198"/>
  <c r="AA141" i="198"/>
  <c r="AB141" i="198"/>
  <c r="AA145" i="198"/>
  <c r="AB145" i="198"/>
  <c r="AA149" i="198"/>
  <c r="AK149" i="198" s="1"/>
  <c r="AB149" i="198"/>
  <c r="AA153" i="198"/>
  <c r="AB153" i="198"/>
  <c r="AA157" i="198"/>
  <c r="AB157" i="198"/>
  <c r="AF161" i="198"/>
  <c r="AA161" i="198"/>
  <c r="AB161" i="198"/>
  <c r="AA165" i="198"/>
  <c r="AK165" i="198" s="1"/>
  <c r="AB165" i="198"/>
  <c r="AA169" i="198"/>
  <c r="AL169" i="198" s="1"/>
  <c r="AB169" i="198"/>
  <c r="AA173" i="198"/>
  <c r="AB173" i="198"/>
  <c r="AA177" i="198"/>
  <c r="AB177" i="198"/>
  <c r="AA181" i="198"/>
  <c r="AB181" i="198"/>
  <c r="AA185" i="198"/>
  <c r="AL185" i="198" s="1"/>
  <c r="AB185" i="198"/>
  <c r="AA189" i="198"/>
  <c r="AB189" i="198"/>
  <c r="AA193" i="198"/>
  <c r="AB193" i="198"/>
  <c r="AC197" i="198"/>
  <c r="AA197" i="198"/>
  <c r="AB197" i="198"/>
  <c r="AC201" i="198"/>
  <c r="AA201" i="198"/>
  <c r="AB201" i="198"/>
  <c r="AA205" i="198"/>
  <c r="AK205" i="198" s="1"/>
  <c r="AB205" i="198"/>
  <c r="AA209" i="198"/>
  <c r="AG209" i="198" s="1"/>
  <c r="AB209" i="198"/>
  <c r="AF213" i="198"/>
  <c r="AA213" i="198"/>
  <c r="AB213" i="198"/>
  <c r="AA217" i="198"/>
  <c r="AK217" i="198" s="1"/>
  <c r="AB217" i="198"/>
  <c r="AA221" i="198"/>
  <c r="AB221" i="198"/>
  <c r="AA225" i="198"/>
  <c r="AB225" i="198"/>
  <c r="AD225" i="198" s="1"/>
  <c r="AE225" i="198" s="1"/>
  <c r="AA229" i="198"/>
  <c r="AB229" i="198"/>
  <c r="AA233" i="198"/>
  <c r="AB233" i="198"/>
  <c r="AA237" i="198"/>
  <c r="AB237" i="198"/>
  <c r="AF241" i="198"/>
  <c r="AA241" i="198"/>
  <c r="AI241" i="198" s="1"/>
  <c r="AB241" i="198"/>
  <c r="AC245" i="198"/>
  <c r="AA245" i="198"/>
  <c r="AH245" i="198" s="1"/>
  <c r="AB245" i="198"/>
  <c r="AA249" i="198"/>
  <c r="AB249" i="198"/>
  <c r="AA253" i="198"/>
  <c r="AK253" i="198" s="1"/>
  <c r="AB253" i="198"/>
  <c r="AA257" i="198"/>
  <c r="AG257" i="198" s="1"/>
  <c r="AB257" i="198"/>
  <c r="AC261" i="198"/>
  <c r="AA261" i="198"/>
  <c r="AB261" i="198"/>
  <c r="AA265" i="198"/>
  <c r="AK265" i="198" s="1"/>
  <c r="AB265" i="198"/>
  <c r="AA269" i="198"/>
  <c r="AL269" i="198" s="1"/>
  <c r="AB269" i="198"/>
  <c r="AA273" i="198"/>
  <c r="AB273" i="198"/>
  <c r="AA277" i="198"/>
  <c r="AG277" i="198" s="1"/>
  <c r="AB277" i="198"/>
  <c r="AA281" i="198"/>
  <c r="AB281" i="198"/>
  <c r="AA285" i="198"/>
  <c r="AL285" i="198" s="1"/>
  <c r="AB285" i="198"/>
  <c r="AA289" i="198"/>
  <c r="AB289" i="198"/>
  <c r="AA293" i="198"/>
  <c r="AB293" i="198"/>
  <c r="AA297" i="198"/>
  <c r="AI297" i="198" s="1"/>
  <c r="AB297" i="198"/>
  <c r="AA301" i="198"/>
  <c r="AL301" i="198" s="1"/>
  <c r="AB301" i="198"/>
  <c r="AA305" i="198"/>
  <c r="AI305" i="198" s="1"/>
  <c r="AB305" i="198"/>
  <c r="AA309" i="198"/>
  <c r="AB309" i="198"/>
  <c r="AB313" i="198"/>
  <c r="AA313" i="198"/>
  <c r="AK313" i="198" s="1"/>
  <c r="AA317" i="198"/>
  <c r="AL317" i="198" s="1"/>
  <c r="AB317" i="198"/>
  <c r="AC42" i="198"/>
  <c r="AA42" i="198"/>
  <c r="AB42" i="198"/>
  <c r="AA46" i="198"/>
  <c r="AK46" i="198" s="1"/>
  <c r="AB46" i="198"/>
  <c r="AA50" i="198"/>
  <c r="AB50" i="198"/>
  <c r="AD50" i="198" s="1"/>
  <c r="AE50" i="198" s="1"/>
  <c r="AC54" i="198"/>
  <c r="AA54" i="198"/>
  <c r="AB54" i="198"/>
  <c r="AA58" i="198"/>
  <c r="AB58" i="198"/>
  <c r="AA62" i="198"/>
  <c r="AB62" i="198"/>
  <c r="AD62" i="198" s="1"/>
  <c r="AE62" i="198" s="1"/>
  <c r="AA66" i="198"/>
  <c r="AK66" i="198" s="1"/>
  <c r="AB66" i="198"/>
  <c r="AD66" i="198" s="1"/>
  <c r="AE66" i="198" s="1"/>
  <c r="AA70" i="198"/>
  <c r="AB70" i="198"/>
  <c r="AA74" i="198"/>
  <c r="AL74" i="198" s="1"/>
  <c r="AB74" i="198"/>
  <c r="AA78" i="198"/>
  <c r="AL78" i="198" s="1"/>
  <c r="AB78" i="198"/>
  <c r="AA82" i="198"/>
  <c r="AK82" i="198" s="1"/>
  <c r="AB82" i="198"/>
  <c r="AA86" i="198"/>
  <c r="AB86" i="198"/>
  <c r="AF90" i="198"/>
  <c r="AA90" i="198"/>
  <c r="AL90" i="198" s="1"/>
  <c r="AB90" i="198"/>
  <c r="AD90" i="198" s="1"/>
  <c r="AE90" i="198" s="1"/>
  <c r="AA94" i="198"/>
  <c r="AB94" i="198"/>
  <c r="AA98" i="198"/>
  <c r="AI98" i="198" s="1"/>
  <c r="AB98" i="198"/>
  <c r="AD98" i="198" s="1"/>
  <c r="AE98" i="198" s="1"/>
  <c r="AA102" i="198"/>
  <c r="AI102" i="198" s="1"/>
  <c r="AB102" i="198"/>
  <c r="AA106" i="198"/>
  <c r="AB106" i="198"/>
  <c r="AA110" i="198"/>
  <c r="AI110" i="198" s="1"/>
  <c r="AB110" i="198"/>
  <c r="AA114" i="198"/>
  <c r="AL114" i="198" s="1"/>
  <c r="AB114" i="198"/>
  <c r="AA118" i="198"/>
  <c r="AB118" i="198"/>
  <c r="AA122" i="198"/>
  <c r="AG122" i="198" s="1"/>
  <c r="AB122" i="198"/>
  <c r="AA126" i="198"/>
  <c r="AB126" i="198"/>
  <c r="AA130" i="198"/>
  <c r="AB130" i="198"/>
  <c r="AA134" i="198"/>
  <c r="AI134" i="198" s="1"/>
  <c r="AB134" i="198"/>
  <c r="AA138" i="198"/>
  <c r="AL138" i="198" s="1"/>
  <c r="AB138" i="198"/>
  <c r="AA142" i="198"/>
  <c r="AB142" i="198"/>
  <c r="AA146" i="198"/>
  <c r="AB146" i="198"/>
  <c r="AD146" i="198" s="1"/>
  <c r="AE146" i="198" s="1"/>
  <c r="AA150" i="198"/>
  <c r="AB150" i="198"/>
  <c r="AA154" i="198"/>
  <c r="AB154" i="198"/>
  <c r="AA158" i="198"/>
  <c r="AI158" i="198" s="1"/>
  <c r="AB158" i="198"/>
  <c r="AC162" i="198"/>
  <c r="AA162" i="198"/>
  <c r="AL162" i="198" s="1"/>
  <c r="AB162" i="198"/>
  <c r="AA166" i="198"/>
  <c r="AB166" i="198"/>
  <c r="AA170" i="198"/>
  <c r="AB170" i="198"/>
  <c r="AA174" i="198"/>
  <c r="AG174" i="198" s="1"/>
  <c r="AB174" i="198"/>
  <c r="AA178" i="198"/>
  <c r="AB178" i="198"/>
  <c r="AA182" i="198"/>
  <c r="AB182" i="198"/>
  <c r="AA186" i="198"/>
  <c r="AL186" i="198" s="1"/>
  <c r="AB186" i="198"/>
  <c r="AA190" i="198"/>
  <c r="AL190" i="198" s="1"/>
  <c r="AQ190" i="198" s="1"/>
  <c r="AB190" i="198"/>
  <c r="AA194" i="198"/>
  <c r="AL194" i="198" s="1"/>
  <c r="AB194" i="198"/>
  <c r="AA198" i="198"/>
  <c r="AB198" i="198"/>
  <c r="AD198" i="198" s="1"/>
  <c r="AE198" i="198" s="1"/>
  <c r="AA202" i="198"/>
  <c r="AB202" i="198"/>
  <c r="AA206" i="198"/>
  <c r="AL206" i="198" s="1"/>
  <c r="AQ206" i="198" s="1"/>
  <c r="AB206" i="198"/>
  <c r="AA210" i="198"/>
  <c r="AB210" i="198"/>
  <c r="AA214" i="198"/>
  <c r="AB214" i="198"/>
  <c r="AA218" i="198"/>
  <c r="AL218" i="198" s="1"/>
  <c r="AB218" i="198"/>
  <c r="AA222" i="198"/>
  <c r="AL222" i="198" s="1"/>
  <c r="AQ222" i="198" s="1"/>
  <c r="AB222" i="198"/>
  <c r="AA226" i="198"/>
  <c r="AB226" i="198"/>
  <c r="AA230" i="198"/>
  <c r="AB230" i="198"/>
  <c r="AA234" i="198"/>
  <c r="AB234" i="198"/>
  <c r="AA238" i="198"/>
  <c r="AL238" i="198" s="1"/>
  <c r="AQ238" i="198" s="1"/>
  <c r="AB238" i="198"/>
  <c r="AA242" i="198"/>
  <c r="AL242" i="198" s="1"/>
  <c r="AB242" i="198"/>
  <c r="AD242" i="198" s="1"/>
  <c r="AE242" i="198" s="1"/>
  <c r="AF246" i="198"/>
  <c r="AA246" i="198"/>
  <c r="AL246" i="198" s="1"/>
  <c r="AB246" i="198"/>
  <c r="AD246" i="198" s="1"/>
  <c r="AE246" i="198" s="1"/>
  <c r="AA250" i="198"/>
  <c r="AH250" i="198" s="1"/>
  <c r="AB250" i="198"/>
  <c r="AA254" i="198"/>
  <c r="AB254" i="198"/>
  <c r="AD254" i="198" s="1"/>
  <c r="AE254" i="198" s="1"/>
  <c r="AA258" i="198"/>
  <c r="AB258" i="198"/>
  <c r="AA262" i="198"/>
  <c r="AB262" i="198"/>
  <c r="AA266" i="198"/>
  <c r="AK266" i="198" s="1"/>
  <c r="AB266" i="198"/>
  <c r="AA270" i="198"/>
  <c r="AB270" i="198"/>
  <c r="AD270" i="198" s="1"/>
  <c r="AE270" i="198" s="1"/>
  <c r="AA274" i="198"/>
  <c r="AI274" i="198" s="1"/>
  <c r="AB274" i="198"/>
  <c r="AB278" i="198"/>
  <c r="AD278" i="198" s="1"/>
  <c r="AE278" i="198" s="1"/>
  <c r="AA278" i="198"/>
  <c r="AL278" i="198" s="1"/>
  <c r="AB282" i="198"/>
  <c r="AA282" i="198"/>
  <c r="AL282" i="198" s="1"/>
  <c r="AB286" i="198"/>
  <c r="AD286" i="198" s="1"/>
  <c r="AE286" i="198" s="1"/>
  <c r="AA286" i="198"/>
  <c r="AB290" i="198"/>
  <c r="AA290" i="198"/>
  <c r="AL290" i="198" s="1"/>
  <c r="AQ290" i="198" s="1"/>
  <c r="AB294" i="198"/>
  <c r="AD294" i="198" s="1"/>
  <c r="AE294" i="198" s="1"/>
  <c r="AA294" i="198"/>
  <c r="AB298" i="198"/>
  <c r="AA298" i="198"/>
  <c r="AL298" i="198" s="1"/>
  <c r="AQ298" i="198" s="1"/>
  <c r="AB302" i="198"/>
  <c r="AD302" i="198" s="1"/>
  <c r="AE302" i="198" s="1"/>
  <c r="AA302" i="198"/>
  <c r="AB306" i="198"/>
  <c r="AD306" i="198" s="1"/>
  <c r="AE306" i="198" s="1"/>
  <c r="AA306" i="198"/>
  <c r="AL306" i="198" s="1"/>
  <c r="AQ306" i="198" s="1"/>
  <c r="AB310" i="198"/>
  <c r="AA310" i="198"/>
  <c r="AL310" i="198" s="1"/>
  <c r="AB314" i="198"/>
  <c r="AA314" i="198"/>
  <c r="AL314" i="198" s="1"/>
  <c r="AQ314" i="198" s="1"/>
  <c r="AB318" i="198"/>
  <c r="AD318" i="198" s="1"/>
  <c r="AE318" i="198" s="1"/>
  <c r="AA318" i="198"/>
  <c r="AL318" i="198" s="1"/>
  <c r="AG254" i="196"/>
  <c r="AH254" i="196"/>
  <c r="AG303" i="196"/>
  <c r="AH303" i="196"/>
  <c r="AI244" i="196"/>
  <c r="AH244" i="196"/>
  <c r="AJ244" i="196" s="1"/>
  <c r="AK244" i="196" s="1"/>
  <c r="AG244" i="196"/>
  <c r="AI252" i="196"/>
  <c r="AH252" i="196"/>
  <c r="AG252" i="196"/>
  <c r="AG200" i="196"/>
  <c r="AH200" i="196"/>
  <c r="AG208" i="196"/>
  <c r="AH208" i="196"/>
  <c r="AI228" i="196"/>
  <c r="AH228" i="196"/>
  <c r="AG228" i="196"/>
  <c r="AL124" i="196"/>
  <c r="AG124" i="196"/>
  <c r="AR124" i="196" s="1"/>
  <c r="AH124" i="196"/>
  <c r="AL132" i="196"/>
  <c r="AG132" i="196"/>
  <c r="AH132" i="196"/>
  <c r="AL144" i="196"/>
  <c r="AG144" i="196"/>
  <c r="AR144" i="196" s="1"/>
  <c r="AH144" i="196"/>
  <c r="AG152" i="196"/>
  <c r="AH152" i="196"/>
  <c r="AI160" i="196"/>
  <c r="AG160" i="196"/>
  <c r="AH160" i="196"/>
  <c r="AL168" i="196"/>
  <c r="AG168" i="196"/>
  <c r="AR168" i="196" s="1"/>
  <c r="AH168" i="196"/>
  <c r="AG172" i="196"/>
  <c r="AH172" i="196"/>
  <c r="AG44" i="196"/>
  <c r="AH44" i="196"/>
  <c r="AL56" i="196"/>
  <c r="AG56" i="196"/>
  <c r="AR56" i="196" s="1"/>
  <c r="AH56" i="196"/>
  <c r="AI96" i="196"/>
  <c r="AG96" i="196"/>
  <c r="AH96" i="196"/>
  <c r="AL270" i="196"/>
  <c r="AG270" i="196"/>
  <c r="AR270" i="196" s="1"/>
  <c r="AH270" i="196"/>
  <c r="AH313" i="196"/>
  <c r="AG313" i="196"/>
  <c r="AG306" i="196"/>
  <c r="AH306" i="196"/>
  <c r="AG299" i="196"/>
  <c r="AH299" i="196"/>
  <c r="AL240" i="196"/>
  <c r="AG240" i="196"/>
  <c r="AH240" i="196"/>
  <c r="AG248" i="196"/>
  <c r="AH248" i="196"/>
  <c r="AL204" i="196"/>
  <c r="AH204" i="196"/>
  <c r="AG204" i="196"/>
  <c r="AH212" i="196"/>
  <c r="AG212" i="196"/>
  <c r="AG224" i="196"/>
  <c r="AH224" i="196"/>
  <c r="AI232" i="196"/>
  <c r="AG232" i="196"/>
  <c r="AH232" i="196"/>
  <c r="AI120" i="196"/>
  <c r="AG120" i="196"/>
  <c r="AH120" i="196"/>
  <c r="AG140" i="196"/>
  <c r="AH140" i="196"/>
  <c r="AG164" i="196"/>
  <c r="AH164" i="196"/>
  <c r="AI176" i="196"/>
  <c r="AG176" i="196"/>
  <c r="AH176" i="196"/>
  <c r="AH188" i="196"/>
  <c r="AG188" i="196"/>
  <c r="AI40" i="196"/>
  <c r="AG40" i="196"/>
  <c r="AH40" i="196"/>
  <c r="AG48" i="196"/>
  <c r="AH48" i="196"/>
  <c r="AG315" i="196"/>
  <c r="AH315" i="196"/>
  <c r="AL274" i="196"/>
  <c r="AI311" i="196"/>
  <c r="AH311" i="196"/>
  <c r="AG311" i="196"/>
  <c r="AI305" i="196"/>
  <c r="AG305" i="196"/>
  <c r="AH305" i="196"/>
  <c r="AL253" i="196"/>
  <c r="AG253" i="196"/>
  <c r="AR253" i="196" s="1"/>
  <c r="AH253" i="196"/>
  <c r="AL298" i="196"/>
  <c r="AG298" i="196"/>
  <c r="AR298" i="196" s="1"/>
  <c r="AH298" i="196"/>
  <c r="AI302" i="196"/>
  <c r="AG302" i="196"/>
  <c r="AH302" i="196"/>
  <c r="AI235" i="196"/>
  <c r="AG235" i="196"/>
  <c r="AH235" i="196"/>
  <c r="AI239" i="196"/>
  <c r="AG239" i="196"/>
  <c r="AH239" i="196"/>
  <c r="AI243" i="196"/>
  <c r="AG243" i="196"/>
  <c r="AH243" i="196"/>
  <c r="AL247" i="196"/>
  <c r="AG247" i="196"/>
  <c r="AH247" i="196"/>
  <c r="AL251" i="196"/>
  <c r="AG251" i="196"/>
  <c r="AH251" i="196"/>
  <c r="AL195" i="196"/>
  <c r="AH195" i="196"/>
  <c r="AG195" i="196"/>
  <c r="AR195" i="196" s="1"/>
  <c r="AI199" i="196"/>
  <c r="AH199" i="196"/>
  <c r="AG199" i="196"/>
  <c r="AL203" i="196"/>
  <c r="AH203" i="196"/>
  <c r="AG203" i="196"/>
  <c r="AI207" i="196"/>
  <c r="AG207" i="196"/>
  <c r="AH207" i="196"/>
  <c r="AI211" i="196"/>
  <c r="AG211" i="196"/>
  <c r="AH211" i="196"/>
  <c r="AL215" i="196"/>
  <c r="AG215" i="196"/>
  <c r="AH215" i="196"/>
  <c r="AG219" i="196"/>
  <c r="AH219" i="196"/>
  <c r="AI223" i="196"/>
  <c r="AG223" i="196"/>
  <c r="AH223" i="196"/>
  <c r="AL227" i="196"/>
  <c r="AG227" i="196"/>
  <c r="AH227" i="196"/>
  <c r="AL231" i="196"/>
  <c r="AG231" i="196"/>
  <c r="AH231" i="196"/>
  <c r="AI115" i="196"/>
  <c r="AG115" i="196"/>
  <c r="AH115" i="196"/>
  <c r="AI119" i="196"/>
  <c r="AG119" i="196"/>
  <c r="AH119" i="196"/>
  <c r="AI123" i="196"/>
  <c r="AG123" i="196"/>
  <c r="AH123" i="196"/>
  <c r="AI127" i="196"/>
  <c r="AG127" i="196"/>
  <c r="AH127" i="196"/>
  <c r="AL131" i="196"/>
  <c r="AG131" i="196"/>
  <c r="AR131" i="196" s="1"/>
  <c r="AH131" i="196"/>
  <c r="AI135" i="196"/>
  <c r="AG135" i="196"/>
  <c r="AH135" i="196"/>
  <c r="AI139" i="196"/>
  <c r="AG139" i="196"/>
  <c r="AH139" i="196"/>
  <c r="AL143" i="196"/>
  <c r="AH143" i="196"/>
  <c r="AG143" i="196"/>
  <c r="AL147" i="196"/>
  <c r="AH147" i="196"/>
  <c r="AG147" i="196"/>
  <c r="AH151" i="196"/>
  <c r="AG151" i="196"/>
  <c r="AL155" i="196"/>
  <c r="AH155" i="196"/>
  <c r="AG155" i="196"/>
  <c r="AR155" i="196" s="1"/>
  <c r="AL159" i="196"/>
  <c r="AH159" i="196"/>
  <c r="AG159" i="196"/>
  <c r="AR159" i="196" s="1"/>
  <c r="AH163" i="196"/>
  <c r="AG163" i="196"/>
  <c r="AL167" i="196"/>
  <c r="AH167" i="196"/>
  <c r="AG167" i="196"/>
  <c r="AR167" i="196" s="1"/>
  <c r="AL171" i="196"/>
  <c r="AH171" i="196"/>
  <c r="AG171" i="196"/>
  <c r="AR171" i="196" s="1"/>
  <c r="AL175" i="196"/>
  <c r="AH175" i="196"/>
  <c r="AG175" i="196"/>
  <c r="AR175" i="196" s="1"/>
  <c r="AL179" i="196"/>
  <c r="AH179" i="196"/>
  <c r="AG179" i="196"/>
  <c r="AL183" i="196"/>
  <c r="AH183" i="196"/>
  <c r="AG183" i="196"/>
  <c r="AI187" i="196"/>
  <c r="AH187" i="196"/>
  <c r="AG187" i="196"/>
  <c r="AI191" i="196"/>
  <c r="AH191" i="196"/>
  <c r="AG191" i="196"/>
  <c r="AG39" i="196"/>
  <c r="AH39" i="196"/>
  <c r="AL43" i="196"/>
  <c r="AG43" i="196"/>
  <c r="AR43" i="196" s="1"/>
  <c r="AH43" i="196"/>
  <c r="AL47" i="196"/>
  <c r="AG47" i="196"/>
  <c r="AH47" i="196"/>
  <c r="AG51" i="196"/>
  <c r="AH51" i="196"/>
  <c r="AG55" i="196"/>
  <c r="AH55" i="196"/>
  <c r="AG59" i="196"/>
  <c r="AH59" i="196"/>
  <c r="AG63" i="196"/>
  <c r="AH63" i="196"/>
  <c r="AG67" i="196"/>
  <c r="AM67" i="196" s="1"/>
  <c r="AH67" i="196"/>
  <c r="AG71" i="196"/>
  <c r="AH71" i="196"/>
  <c r="AJ71" i="196" s="1"/>
  <c r="AK71" i="196" s="1"/>
  <c r="AG75" i="196"/>
  <c r="AH75" i="196"/>
  <c r="AG79" i="196"/>
  <c r="AH79" i="196"/>
  <c r="AG83" i="196"/>
  <c r="AO83" i="196" s="1"/>
  <c r="AH83" i="196"/>
  <c r="AG87" i="196"/>
  <c r="AH87" i="196"/>
  <c r="AG91" i="196"/>
  <c r="AH91" i="196"/>
  <c r="AG95" i="196"/>
  <c r="AH95" i="196"/>
  <c r="AG99" i="196"/>
  <c r="AH99" i="196"/>
  <c r="AI103" i="196"/>
  <c r="AG103" i="196"/>
  <c r="AH103" i="196"/>
  <c r="AG107" i="196"/>
  <c r="AH107" i="196"/>
  <c r="AG111" i="196"/>
  <c r="AH111" i="196"/>
  <c r="AG258" i="196"/>
  <c r="AH258" i="196"/>
  <c r="AG262" i="196"/>
  <c r="AH262" i="196"/>
  <c r="AG290" i="196"/>
  <c r="AH290" i="196"/>
  <c r="AI294" i="196"/>
  <c r="AG294" i="196"/>
  <c r="AO294" i="196" s="1"/>
  <c r="AH294" i="196"/>
  <c r="AG265" i="196"/>
  <c r="AH265" i="196"/>
  <c r="AL269" i="196"/>
  <c r="AG269" i="196"/>
  <c r="AR269" i="196" s="1"/>
  <c r="AH269" i="196"/>
  <c r="AG273" i="196"/>
  <c r="AH273" i="196"/>
  <c r="AG277" i="196"/>
  <c r="AH277" i="196"/>
  <c r="AJ277" i="196" s="1"/>
  <c r="AK277" i="196" s="1"/>
  <c r="AG282" i="196"/>
  <c r="AH282" i="196"/>
  <c r="AG286" i="196"/>
  <c r="AH286" i="196"/>
  <c r="AG310" i="196"/>
  <c r="AH310" i="196"/>
  <c r="AH236" i="196"/>
  <c r="AG236" i="196"/>
  <c r="AI216" i="196"/>
  <c r="AG216" i="196"/>
  <c r="AH216" i="196"/>
  <c r="AG220" i="196"/>
  <c r="AH220" i="196"/>
  <c r="AG116" i="196"/>
  <c r="AH116" i="196"/>
  <c r="AG136" i="196"/>
  <c r="AH136" i="196"/>
  <c r="AG184" i="196"/>
  <c r="AH184" i="196"/>
  <c r="AG192" i="196"/>
  <c r="AH192" i="196"/>
  <c r="AL68" i="196"/>
  <c r="AG68" i="196"/>
  <c r="AH68" i="196"/>
  <c r="AI76" i="196"/>
  <c r="AG76" i="196"/>
  <c r="AH76" i="196"/>
  <c r="AG88" i="196"/>
  <c r="AH88" i="196"/>
  <c r="AL100" i="196"/>
  <c r="AG100" i="196"/>
  <c r="AH100" i="196"/>
  <c r="AI108" i="196"/>
  <c r="AG108" i="196"/>
  <c r="AH108" i="196"/>
  <c r="AG259" i="196"/>
  <c r="AH259" i="196"/>
  <c r="AG266" i="196"/>
  <c r="AH266" i="196"/>
  <c r="AG279" i="196"/>
  <c r="AH279" i="196"/>
  <c r="AN44" i="196"/>
  <c r="AI259" i="196"/>
  <c r="AL76" i="196"/>
  <c r="AI312" i="196"/>
  <c r="AH312" i="196"/>
  <c r="AJ312" i="196" s="1"/>
  <c r="AK312" i="196" s="1"/>
  <c r="AG312" i="196"/>
  <c r="AH304" i="196"/>
  <c r="AG304" i="196"/>
  <c r="AI308" i="196"/>
  <c r="AG308" i="196"/>
  <c r="AH308" i="196"/>
  <c r="AG297" i="196"/>
  <c r="AH297" i="196"/>
  <c r="AG301" i="196"/>
  <c r="AH301" i="196"/>
  <c r="AL234" i="196"/>
  <c r="AG234" i="196"/>
  <c r="AH234" i="196"/>
  <c r="AG238" i="196"/>
  <c r="AH238" i="196"/>
  <c r="AG242" i="196"/>
  <c r="AH242" i="196"/>
  <c r="AL246" i="196"/>
  <c r="AG246" i="196"/>
  <c r="AH246" i="196"/>
  <c r="AI250" i="196"/>
  <c r="AG250" i="196"/>
  <c r="AH250" i="196"/>
  <c r="AG194" i="196"/>
  <c r="AH194" i="196"/>
  <c r="AL198" i="196"/>
  <c r="AG198" i="196"/>
  <c r="AH198" i="196"/>
  <c r="AG202" i="196"/>
  <c r="AH202" i="196"/>
  <c r="AL206" i="196"/>
  <c r="AG206" i="196"/>
  <c r="AR206" i="196" s="1"/>
  <c r="AH206" i="196"/>
  <c r="AI210" i="196"/>
  <c r="AG210" i="196"/>
  <c r="AH210" i="196"/>
  <c r="AG214" i="196"/>
  <c r="AH214" i="196"/>
  <c r="AL218" i="196"/>
  <c r="AG218" i="196"/>
  <c r="AR218" i="196" s="1"/>
  <c r="AH218" i="196"/>
  <c r="AI222" i="196"/>
  <c r="AG222" i="196"/>
  <c r="AH222" i="196"/>
  <c r="AL226" i="196"/>
  <c r="AG226" i="196"/>
  <c r="AH226" i="196"/>
  <c r="AG230" i="196"/>
  <c r="AH230" i="196"/>
  <c r="AG114" i="196"/>
  <c r="AH114" i="196"/>
  <c r="AG118" i="196"/>
  <c r="AH118" i="196"/>
  <c r="AG122" i="196"/>
  <c r="AH122" i="196"/>
  <c r="AG126" i="196"/>
  <c r="AH126" i="196"/>
  <c r="AL130" i="196"/>
  <c r="AG130" i="196"/>
  <c r="AR130" i="196" s="1"/>
  <c r="AH130" i="196"/>
  <c r="AI134" i="196"/>
  <c r="AG134" i="196"/>
  <c r="AH134" i="196"/>
  <c r="AG138" i="196"/>
  <c r="AO138" i="196" s="1"/>
  <c r="AH138" i="196"/>
  <c r="AG142" i="196"/>
  <c r="AH142" i="196"/>
  <c r="AG146" i="196"/>
  <c r="AH146" i="196"/>
  <c r="AG150" i="196"/>
  <c r="AH150" i="196"/>
  <c r="AG154" i="196"/>
  <c r="AH154" i="196"/>
  <c r="AG158" i="196"/>
  <c r="AH158" i="196"/>
  <c r="AI162" i="196"/>
  <c r="AG162" i="196"/>
  <c r="AH162" i="196"/>
  <c r="AL166" i="196"/>
  <c r="AG166" i="196"/>
  <c r="AR166" i="196" s="1"/>
  <c r="AH166" i="196"/>
  <c r="AG170" i="196"/>
  <c r="AH170" i="196"/>
  <c r="AI174" i="196"/>
  <c r="AG174" i="196"/>
  <c r="AH174" i="196"/>
  <c r="AG178" i="196"/>
  <c r="AH178" i="196"/>
  <c r="AI182" i="196"/>
  <c r="AG182" i="196"/>
  <c r="AH182" i="196"/>
  <c r="AG186" i="196"/>
  <c r="AH186" i="196"/>
  <c r="AL190" i="196"/>
  <c r="AG190" i="196"/>
  <c r="AH190" i="196"/>
  <c r="AG38" i="196"/>
  <c r="AH38" i="196"/>
  <c r="AI42" i="196"/>
  <c r="AG42" i="196"/>
  <c r="AH42" i="196"/>
  <c r="AI46" i="196"/>
  <c r="AG46" i="196"/>
  <c r="AH46" i="196"/>
  <c r="AG50" i="196"/>
  <c r="AH50" i="196"/>
  <c r="AG54" i="196"/>
  <c r="AR54" i="196" s="1"/>
  <c r="AH54" i="196"/>
  <c r="AL58" i="196"/>
  <c r="AG58" i="196"/>
  <c r="AH58" i="196"/>
  <c r="AG62" i="196"/>
  <c r="AH62" i="196"/>
  <c r="AL66" i="196"/>
  <c r="AG66" i="196"/>
  <c r="AR66" i="196" s="1"/>
  <c r="AH66" i="196"/>
  <c r="AG70" i="196"/>
  <c r="AH70" i="196"/>
  <c r="AG74" i="196"/>
  <c r="AH74" i="196"/>
  <c r="AI78" i="196"/>
  <c r="AG78" i="196"/>
  <c r="AH78" i="196"/>
  <c r="AL82" i="196"/>
  <c r="AG82" i="196"/>
  <c r="AR82" i="196" s="1"/>
  <c r="AH82" i="196"/>
  <c r="AG86" i="196"/>
  <c r="AH86" i="196"/>
  <c r="AG90" i="196"/>
  <c r="AR90" i="196" s="1"/>
  <c r="AH90" i="196"/>
  <c r="AJ90" i="196" s="1"/>
  <c r="AK90" i="196" s="1"/>
  <c r="AI94" i="196"/>
  <c r="AG94" i="196"/>
  <c r="AH94" i="196"/>
  <c r="AG98" i="196"/>
  <c r="AH98" i="196"/>
  <c r="AL102" i="196"/>
  <c r="AG102" i="196"/>
  <c r="AH102" i="196"/>
  <c r="AI106" i="196"/>
  <c r="AG106" i="196"/>
  <c r="AH106" i="196"/>
  <c r="AG110" i="196"/>
  <c r="AH110" i="196"/>
  <c r="AI257" i="196"/>
  <c r="AG257" i="196"/>
  <c r="AR257" i="196" s="1"/>
  <c r="AH257" i="196"/>
  <c r="AG261" i="196"/>
  <c r="AR261" i="196" s="1"/>
  <c r="AH261" i="196"/>
  <c r="AJ261" i="196" s="1"/>
  <c r="AK261" i="196" s="1"/>
  <c r="AG289" i="196"/>
  <c r="AH289" i="196"/>
  <c r="AG293" i="196"/>
  <c r="AH293" i="196"/>
  <c r="AI264" i="196"/>
  <c r="AG264" i="196"/>
  <c r="AH264" i="196"/>
  <c r="AI268" i="196"/>
  <c r="AG268" i="196"/>
  <c r="AH268" i="196"/>
  <c r="AG272" i="196"/>
  <c r="AR272" i="196" s="1"/>
  <c r="AH272" i="196"/>
  <c r="AJ272" i="196" s="1"/>
  <c r="AK272" i="196" s="1"/>
  <c r="AG276" i="196"/>
  <c r="AR276" i="196" s="1"/>
  <c r="AH276" i="196"/>
  <c r="AJ276" i="196" s="1"/>
  <c r="AK276" i="196" s="1"/>
  <c r="AG281" i="196"/>
  <c r="AH281" i="196"/>
  <c r="AL285" i="196"/>
  <c r="AG285" i="196"/>
  <c r="AH285" i="196"/>
  <c r="AH196" i="196"/>
  <c r="AG196" i="196"/>
  <c r="AG128" i="196"/>
  <c r="AH128" i="196"/>
  <c r="AJ128" i="196" s="1"/>
  <c r="AK128" i="196" s="1"/>
  <c r="AG148" i="196"/>
  <c r="AH148" i="196"/>
  <c r="AI156" i="196"/>
  <c r="AG156" i="196"/>
  <c r="AH156" i="196"/>
  <c r="AI180" i="196"/>
  <c r="AH180" i="196"/>
  <c r="AG180" i="196"/>
  <c r="AG52" i="196"/>
  <c r="AH52" i="196"/>
  <c r="AG60" i="196"/>
  <c r="AH60" i="196"/>
  <c r="AL64" i="196"/>
  <c r="AG64" i="196"/>
  <c r="AH64" i="196"/>
  <c r="AG72" i="196"/>
  <c r="AH72" i="196"/>
  <c r="AG80" i="196"/>
  <c r="AR80" i="196" s="1"/>
  <c r="AH80" i="196"/>
  <c r="AG84" i="196"/>
  <c r="AH84" i="196"/>
  <c r="AL92" i="196"/>
  <c r="AG92" i="196"/>
  <c r="AR92" i="196" s="1"/>
  <c r="AH92" i="196"/>
  <c r="AI104" i="196"/>
  <c r="AG104" i="196"/>
  <c r="AH104" i="196"/>
  <c r="AI112" i="196"/>
  <c r="AG112" i="196"/>
  <c r="AR112" i="196" s="1"/>
  <c r="AH112" i="196"/>
  <c r="AG263" i="196"/>
  <c r="AH263" i="196"/>
  <c r="AL291" i="196"/>
  <c r="AG291" i="196"/>
  <c r="AR291" i="196" s="1"/>
  <c r="AH291" i="196"/>
  <c r="AL295" i="196"/>
  <c r="AG295" i="196"/>
  <c r="AR295" i="196" s="1"/>
  <c r="AH295" i="196"/>
  <c r="AG274" i="196"/>
  <c r="AR274" i="196" s="1"/>
  <c r="AH274" i="196"/>
  <c r="AL283" i="196"/>
  <c r="AG283" i="196"/>
  <c r="AR283" i="196" s="1"/>
  <c r="AH283" i="196"/>
  <c r="AG287" i="196"/>
  <c r="AH287" i="196"/>
  <c r="AJ287" i="196" s="1"/>
  <c r="AK287" i="196" s="1"/>
  <c r="AH314" i="196"/>
  <c r="AG314" i="196"/>
  <c r="AH316" i="196"/>
  <c r="AG316" i="196"/>
  <c r="AO68" i="196"/>
  <c r="AM44" i="196"/>
  <c r="AL287" i="196"/>
  <c r="AL259" i="196"/>
  <c r="AI64" i="196"/>
  <c r="AI309" i="196"/>
  <c r="AG309" i="196"/>
  <c r="AH309" i="196"/>
  <c r="AL307" i="196"/>
  <c r="AG307" i="196"/>
  <c r="AH307" i="196"/>
  <c r="AI255" i="196"/>
  <c r="AG255" i="196"/>
  <c r="AH255" i="196"/>
  <c r="AG300" i="196"/>
  <c r="AH300" i="196"/>
  <c r="AG233" i="196"/>
  <c r="AH233" i="196"/>
  <c r="AI237" i="196"/>
  <c r="AJ237" i="196" s="1"/>
  <c r="AK237" i="196" s="1"/>
  <c r="AG237" i="196"/>
  <c r="AH237" i="196"/>
  <c r="AG241" i="196"/>
  <c r="AH241" i="196"/>
  <c r="AI245" i="196"/>
  <c r="AG245" i="196"/>
  <c r="AH245" i="196"/>
  <c r="AG249" i="196"/>
  <c r="AH249" i="196"/>
  <c r="AL193" i="196"/>
  <c r="AH193" i="196"/>
  <c r="AG193" i="196"/>
  <c r="AR193" i="196" s="1"/>
  <c r="AH197" i="196"/>
  <c r="AG197" i="196"/>
  <c r="AH201" i="196"/>
  <c r="AG201" i="196"/>
  <c r="AH205" i="196"/>
  <c r="AG205" i="196"/>
  <c r="AL209" i="196"/>
  <c r="AG209" i="196"/>
  <c r="AH209" i="196"/>
  <c r="AI213" i="196"/>
  <c r="AG213" i="196"/>
  <c r="AH213" i="196"/>
  <c r="AG217" i="196"/>
  <c r="AH217" i="196"/>
  <c r="AL221" i="196"/>
  <c r="AG221" i="196"/>
  <c r="AH221" i="196"/>
  <c r="AI225" i="196"/>
  <c r="AG225" i="196"/>
  <c r="AH225" i="196"/>
  <c r="AG229" i="196"/>
  <c r="AH229" i="196"/>
  <c r="AG113" i="196"/>
  <c r="AH113" i="196"/>
  <c r="AG117" i="196"/>
  <c r="AH117" i="196"/>
  <c r="AG121" i="196"/>
  <c r="AH121" i="196"/>
  <c r="AG125" i="196"/>
  <c r="AH125" i="196"/>
  <c r="AL129" i="196"/>
  <c r="AG129" i="196"/>
  <c r="AH129" i="196"/>
  <c r="AG133" i="196"/>
  <c r="AH133" i="196"/>
  <c r="AI137" i="196"/>
  <c r="AG137" i="196"/>
  <c r="AH137" i="196"/>
  <c r="AL141" i="196"/>
  <c r="AH141" i="196"/>
  <c r="AG141" i="196"/>
  <c r="AH145" i="196"/>
  <c r="AG145" i="196"/>
  <c r="AI149" i="196"/>
  <c r="AH149" i="196"/>
  <c r="AG149" i="196"/>
  <c r="AL153" i="196"/>
  <c r="AH153" i="196"/>
  <c r="AG153" i="196"/>
  <c r="AH157" i="196"/>
  <c r="AG157" i="196"/>
  <c r="AL161" i="196"/>
  <c r="AH161" i="196"/>
  <c r="AG161" i="196"/>
  <c r="AL165" i="196"/>
  <c r="AH165" i="196"/>
  <c r="AG165" i="196"/>
  <c r="AR165" i="196" s="1"/>
  <c r="AH169" i="196"/>
  <c r="AG169" i="196"/>
  <c r="AL173" i="196"/>
  <c r="AH173" i="196"/>
  <c r="AG173" i="196"/>
  <c r="AH177" i="196"/>
  <c r="AG177" i="196"/>
  <c r="AL181" i="196"/>
  <c r="AH181" i="196"/>
  <c r="AG181" i="196"/>
  <c r="AL185" i="196"/>
  <c r="AH185" i="196"/>
  <c r="AG185" i="196"/>
  <c r="AL189" i="196"/>
  <c r="AH189" i="196"/>
  <c r="AG189" i="196"/>
  <c r="AR189" i="196" s="1"/>
  <c r="AG37" i="196"/>
  <c r="AH37" i="196"/>
  <c r="AL41" i="196"/>
  <c r="AG41" i="196"/>
  <c r="AR41" i="196" s="1"/>
  <c r="AH41" i="196"/>
  <c r="AG45" i="196"/>
  <c r="AH45" i="196"/>
  <c r="AI49" i="196"/>
  <c r="AG49" i="196"/>
  <c r="AH49" i="196"/>
  <c r="AG53" i="196"/>
  <c r="AH53" i="196"/>
  <c r="AI57" i="196"/>
  <c r="AG57" i="196"/>
  <c r="AR57" i="196" s="1"/>
  <c r="AH57" i="196"/>
  <c r="AL61" i="196"/>
  <c r="AG61" i="196"/>
  <c r="AH61" i="196"/>
  <c r="AI65" i="196"/>
  <c r="AG65" i="196"/>
  <c r="AH65" i="196"/>
  <c r="AG69" i="196"/>
  <c r="AH69" i="196"/>
  <c r="AG73" i="196"/>
  <c r="AH73" i="196"/>
  <c r="AG77" i="196"/>
  <c r="AH77" i="196"/>
  <c r="AG81" i="196"/>
  <c r="AH81" i="196"/>
  <c r="AG85" i="196"/>
  <c r="AH85" i="196"/>
  <c r="AG89" i="196"/>
  <c r="AH89" i="196"/>
  <c r="AG93" i="196"/>
  <c r="AH93" i="196"/>
  <c r="AG97" i="196"/>
  <c r="AH97" i="196"/>
  <c r="AG101" i="196"/>
  <c r="AH101" i="196"/>
  <c r="AL105" i="196"/>
  <c r="AG105" i="196"/>
  <c r="AH105" i="196"/>
  <c r="AG109" i="196"/>
  <c r="AH109" i="196"/>
  <c r="AG256" i="196"/>
  <c r="AH256" i="196"/>
  <c r="AG260" i="196"/>
  <c r="AH260" i="196"/>
  <c r="AG278" i="196"/>
  <c r="AH278" i="196"/>
  <c r="AG292" i="196"/>
  <c r="AH292" i="196"/>
  <c r="AH296" i="196"/>
  <c r="AG296" i="196"/>
  <c r="AG267" i="196"/>
  <c r="AH267" i="196"/>
  <c r="AG271" i="196"/>
  <c r="AH271" i="196"/>
  <c r="AL275" i="196"/>
  <c r="AG275" i="196"/>
  <c r="AR275" i="196" s="1"/>
  <c r="AH275" i="196"/>
  <c r="AG280" i="196"/>
  <c r="AH280" i="196"/>
  <c r="AL284" i="196"/>
  <c r="AG284" i="196"/>
  <c r="AR284" i="196" s="1"/>
  <c r="AH284" i="196"/>
  <c r="AL288" i="196"/>
  <c r="AH288" i="196"/>
  <c r="AG288" i="196"/>
  <c r="AI271" i="197"/>
  <c r="AI296" i="197"/>
  <c r="AJ296" i="197" s="1"/>
  <c r="AI203" i="197"/>
  <c r="AJ34" i="196"/>
  <c r="AK34" i="196" s="1"/>
  <c r="AI276" i="197"/>
  <c r="AI135" i="197"/>
  <c r="AJ135" i="197" s="1"/>
  <c r="AI96" i="197"/>
  <c r="AJ96" i="197" s="1"/>
  <c r="AI36" i="197"/>
  <c r="AJ36" i="197" s="1"/>
  <c r="AI287" i="197"/>
  <c r="AI48" i="197"/>
  <c r="AJ48" i="197" s="1"/>
  <c r="AI156" i="197"/>
  <c r="AJ156" i="197" s="1"/>
  <c r="AI272" i="197"/>
  <c r="AJ38" i="197"/>
  <c r="AJ57" i="197"/>
  <c r="AJ84" i="197"/>
  <c r="AJ134" i="197"/>
  <c r="AJ242" i="197"/>
  <c r="AJ252" i="197"/>
  <c r="AJ264" i="197"/>
  <c r="AJ272" i="197"/>
  <c r="AJ281" i="197"/>
  <c r="AJ302" i="197"/>
  <c r="AJ50" i="197"/>
  <c r="AJ80" i="197"/>
  <c r="AJ110" i="197"/>
  <c r="AJ152" i="197"/>
  <c r="AJ192" i="197"/>
  <c r="AJ240" i="197"/>
  <c r="AJ249" i="197"/>
  <c r="AJ263" i="197"/>
  <c r="AJ276" i="197"/>
  <c r="AJ311" i="197"/>
  <c r="AJ85" i="197"/>
  <c r="AJ153" i="197"/>
  <c r="AJ203" i="197"/>
  <c r="AI211" i="197"/>
  <c r="AJ211" i="197" s="1"/>
  <c r="AJ213" i="197"/>
  <c r="AJ217" i="197"/>
  <c r="AI225" i="197"/>
  <c r="AJ225" i="197" s="1"/>
  <c r="AJ227" i="197"/>
  <c r="AJ241" i="197"/>
  <c r="AJ251" i="197"/>
  <c r="AJ271" i="197"/>
  <c r="AI285" i="197"/>
  <c r="AJ285" i="197" s="1"/>
  <c r="AJ287" i="197"/>
  <c r="AK167" i="197"/>
  <c r="AK191" i="197"/>
  <c r="AH193" i="197"/>
  <c r="AK195" i="197"/>
  <c r="AI151" i="196"/>
  <c r="AJ151" i="196" s="1"/>
  <c r="AK151" i="196" s="1"/>
  <c r="AI81" i="196"/>
  <c r="AI107" i="196"/>
  <c r="AL277" i="196"/>
  <c r="AF17" i="197"/>
  <c r="AH17" i="197"/>
  <c r="AF19" i="197"/>
  <c r="AL19" i="197" s="1"/>
  <c r="AF21" i="197"/>
  <c r="AT21" i="197" s="1"/>
  <c r="AK21" i="197"/>
  <c r="AH21" i="197"/>
  <c r="AN21" i="197"/>
  <c r="AF23" i="197"/>
  <c r="AN23" i="197" s="1"/>
  <c r="AH23" i="197"/>
  <c r="AK23" i="197"/>
  <c r="AG23" i="197"/>
  <c r="AF25" i="197"/>
  <c r="AT25" i="197" s="1"/>
  <c r="AH25" i="197"/>
  <c r="AF27" i="197"/>
  <c r="AK27" i="197"/>
  <c r="AG27" i="197"/>
  <c r="AI27" i="197" s="1"/>
  <c r="AJ27" i="197" s="1"/>
  <c r="AF29" i="197"/>
  <c r="AT29" i="197" s="1"/>
  <c r="AK29" i="197"/>
  <c r="AH29" i="197"/>
  <c r="AG29" i="197"/>
  <c r="AL29" i="197"/>
  <c r="AF33" i="197"/>
  <c r="AN33" i="197" s="1"/>
  <c r="AK33" i="197"/>
  <c r="AG33" i="197"/>
  <c r="AI33" i="197" s="1"/>
  <c r="AJ33" i="197" s="1"/>
  <c r="AF35" i="197"/>
  <c r="AM35" i="197" s="1"/>
  <c r="AK35" i="197"/>
  <c r="AH35" i="197"/>
  <c r="AI35" i="197" s="1"/>
  <c r="AF37" i="197"/>
  <c r="AM37" i="197" s="1"/>
  <c r="AH37" i="197"/>
  <c r="AK37" i="197"/>
  <c r="AG37" i="197"/>
  <c r="AF39" i="197"/>
  <c r="AT39" i="197" s="1"/>
  <c r="AK39" i="197"/>
  <c r="AH39" i="197"/>
  <c r="AF43" i="197"/>
  <c r="AT43" i="197" s="1"/>
  <c r="AG43" i="197"/>
  <c r="AF45" i="197"/>
  <c r="AL45" i="197" s="1"/>
  <c r="AK45" i="197"/>
  <c r="AG45" i="197"/>
  <c r="AI45" i="197" s="1"/>
  <c r="AJ45" i="197" s="1"/>
  <c r="AF47" i="197"/>
  <c r="AL47" i="197" s="1"/>
  <c r="AK47" i="197"/>
  <c r="AG47" i="197"/>
  <c r="AH47" i="197"/>
  <c r="AF49" i="197"/>
  <c r="AL49" i="197" s="1"/>
  <c r="AH49" i="197"/>
  <c r="AK49" i="197"/>
  <c r="AF51" i="197"/>
  <c r="AN51" i="197" s="1"/>
  <c r="AK51" i="197"/>
  <c r="AH51" i="197"/>
  <c r="AG51" i="197"/>
  <c r="AF55" i="197"/>
  <c r="AN55" i="197" s="1"/>
  <c r="AG55" i="197"/>
  <c r="AF57" i="197"/>
  <c r="AM57" i="197" s="1"/>
  <c r="AK57" i="197"/>
  <c r="AF59" i="197"/>
  <c r="AL59" i="197" s="1"/>
  <c r="AK59" i="197"/>
  <c r="AG59" i="197"/>
  <c r="AH59" i="197"/>
  <c r="AF61" i="197"/>
  <c r="AN61" i="197" s="1"/>
  <c r="AH61" i="197"/>
  <c r="AK61" i="197"/>
  <c r="AF63" i="197"/>
  <c r="AN63" i="197" s="1"/>
  <c r="AH63" i="197"/>
  <c r="AI63" i="197" s="1"/>
  <c r="AF65" i="197"/>
  <c r="AT65" i="197" s="1"/>
  <c r="AF67" i="197"/>
  <c r="AG67" i="197"/>
  <c r="AF69" i="197"/>
  <c r="AM69" i="197" s="1"/>
  <c r="AK69" i="197"/>
  <c r="AG69" i="197"/>
  <c r="AI69" i="197" s="1"/>
  <c r="AJ69" i="197" s="1"/>
  <c r="AF71" i="197"/>
  <c r="AN71" i="197" s="1"/>
  <c r="AK71" i="197"/>
  <c r="AH71" i="197"/>
  <c r="AG71" i="197"/>
  <c r="AF77" i="197"/>
  <c r="AT77" i="197" s="1"/>
  <c r="AK77" i="197"/>
  <c r="AG77" i="197"/>
  <c r="AI77" i="197" s="1"/>
  <c r="AJ77" i="197" s="1"/>
  <c r="AF79" i="197"/>
  <c r="AN79" i="197" s="1"/>
  <c r="AG79" i="197"/>
  <c r="AF81" i="197"/>
  <c r="AT81" i="197" s="1"/>
  <c r="AH81" i="197"/>
  <c r="AG81" i="197"/>
  <c r="AF85" i="197"/>
  <c r="AM85" i="197" s="1"/>
  <c r="AK85" i="197"/>
  <c r="AF87" i="197"/>
  <c r="AT87" i="197" s="1"/>
  <c r="AK87" i="197"/>
  <c r="AF89" i="197"/>
  <c r="AM89" i="197" s="1"/>
  <c r="AH89" i="197"/>
  <c r="AG89" i="197"/>
  <c r="AF91" i="197"/>
  <c r="AK91" i="197"/>
  <c r="AG91" i="197"/>
  <c r="AF93" i="197"/>
  <c r="AM93" i="197" s="1"/>
  <c r="AH93" i="197"/>
  <c r="AG93" i="197"/>
  <c r="AF95" i="197"/>
  <c r="AT95" i="197" s="1"/>
  <c r="AH95" i="197"/>
  <c r="AI95" i="197" s="1"/>
  <c r="AK95" i="197"/>
  <c r="AF97" i="197"/>
  <c r="AN97" i="197" s="1"/>
  <c r="AK97" i="197"/>
  <c r="AG97" i="197"/>
  <c r="AH97" i="197"/>
  <c r="AF101" i="197"/>
  <c r="AH101" i="197"/>
  <c r="AK101" i="197"/>
  <c r="AG101" i="197"/>
  <c r="AF103" i="197"/>
  <c r="AN103" i="197" s="1"/>
  <c r="AG103" i="197"/>
  <c r="AF105" i="197"/>
  <c r="AT105" i="197" s="1"/>
  <c r="AF107" i="197"/>
  <c r="AK107" i="197"/>
  <c r="AG107" i="197"/>
  <c r="AH107" i="197"/>
  <c r="AL107" i="197"/>
  <c r="AF111" i="197"/>
  <c r="AH111" i="197"/>
  <c r="AK111" i="197"/>
  <c r="AG111" i="197"/>
  <c r="AM111" i="197"/>
  <c r="AF113" i="197"/>
  <c r="AH113" i="197"/>
  <c r="AG113" i="197"/>
  <c r="AF115" i="197"/>
  <c r="AN115" i="197" s="1"/>
  <c r="AG115" i="197"/>
  <c r="AF117" i="197"/>
  <c r="AM117" i="197" s="1"/>
  <c r="AH117" i="197"/>
  <c r="AK117" i="197"/>
  <c r="AN117" i="197"/>
  <c r="AF119" i="197"/>
  <c r="AN119" i="197" s="1"/>
  <c r="AK119" i="197"/>
  <c r="AH119" i="197"/>
  <c r="AG125" i="197"/>
  <c r="AK125" i="197"/>
  <c r="AH129" i="197"/>
  <c r="AG129" i="197"/>
  <c r="AK133" i="197"/>
  <c r="AG133" i="197"/>
  <c r="AF139" i="197"/>
  <c r="AM139" i="197" s="1"/>
  <c r="AK139" i="197"/>
  <c r="AH141" i="197"/>
  <c r="AG141" i="197"/>
  <c r="AH145" i="197"/>
  <c r="AG145" i="197"/>
  <c r="AG147" i="197"/>
  <c r="AK147" i="197"/>
  <c r="AF151" i="197"/>
  <c r="AT151" i="197" s="1"/>
  <c r="AK157" i="197"/>
  <c r="AG157" i="197"/>
  <c r="AK161" i="197"/>
  <c r="AG161" i="197"/>
  <c r="AK165" i="197"/>
  <c r="AG165" i="197"/>
  <c r="AF169" i="197"/>
  <c r="AT169" i="197" s="1"/>
  <c r="AK171" i="197"/>
  <c r="AG171" i="197"/>
  <c r="AK173" i="197"/>
  <c r="AG173" i="197"/>
  <c r="AK175" i="197"/>
  <c r="AG175" i="197"/>
  <c r="AF179" i="197"/>
  <c r="AT179" i="197" s="1"/>
  <c r="AK179" i="197"/>
  <c r="AH181" i="197"/>
  <c r="AG181" i="197"/>
  <c r="AK183" i="197"/>
  <c r="AG183" i="197"/>
  <c r="AK205" i="197"/>
  <c r="AG205" i="197"/>
  <c r="AH207" i="197"/>
  <c r="AG207" i="197"/>
  <c r="AH209" i="197"/>
  <c r="AG209" i="197"/>
  <c r="AH231" i="197"/>
  <c r="AG231" i="197"/>
  <c r="AH235" i="197"/>
  <c r="AG235" i="197"/>
  <c r="AK237" i="197"/>
  <c r="AG237" i="197"/>
  <c r="AK243" i="197"/>
  <c r="AG243" i="197"/>
  <c r="AK253" i="197"/>
  <c r="AG253" i="197"/>
  <c r="AF257" i="197"/>
  <c r="AN257" i="197" s="1"/>
  <c r="AH261" i="197"/>
  <c r="AG261" i="197"/>
  <c r="AH269" i="197"/>
  <c r="AG269" i="197"/>
  <c r="AK273" i="197"/>
  <c r="AG273" i="197"/>
  <c r="AF275" i="197"/>
  <c r="AT275" i="197" s="1"/>
  <c r="AH277" i="197"/>
  <c r="AG277" i="197"/>
  <c r="AK295" i="197"/>
  <c r="AG295" i="197"/>
  <c r="AH299" i="197"/>
  <c r="AG299" i="197"/>
  <c r="AF301" i="197"/>
  <c r="AT301" i="197" s="1"/>
  <c r="AI169" i="196"/>
  <c r="AN169" i="196"/>
  <c r="AL53" i="196"/>
  <c r="AI79" i="196"/>
  <c r="AL79" i="196"/>
  <c r="AI83" i="196"/>
  <c r="AI91" i="196"/>
  <c r="AL93" i="196"/>
  <c r="AI101" i="196"/>
  <c r="AL294" i="196"/>
  <c r="AI265" i="196"/>
  <c r="AJ265" i="196" s="1"/>
  <c r="AK265" i="196" s="1"/>
  <c r="AI273" i="196"/>
  <c r="AL273" i="196"/>
  <c r="AO273" i="196"/>
  <c r="AI275" i="196"/>
  <c r="AK43" i="198"/>
  <c r="AK223" i="198"/>
  <c r="AG271" i="198"/>
  <c r="AC273" i="198"/>
  <c r="AF273" i="198"/>
  <c r="AG309" i="198"/>
  <c r="AO111" i="196"/>
  <c r="AI147" i="198"/>
  <c r="AG55" i="198"/>
  <c r="AI205" i="198"/>
  <c r="AI151" i="198"/>
  <c r="AL95" i="196"/>
  <c r="AL286" i="196"/>
  <c r="AF123" i="197"/>
  <c r="AH123" i="197"/>
  <c r="AF125" i="197"/>
  <c r="AH125" i="197"/>
  <c r="AF129" i="197"/>
  <c r="AK129" i="197"/>
  <c r="AF133" i="197"/>
  <c r="AH133" i="197"/>
  <c r="AF135" i="197"/>
  <c r="AK135" i="197"/>
  <c r="AF141" i="197"/>
  <c r="AK141" i="197"/>
  <c r="AF145" i="197"/>
  <c r="AK145" i="197"/>
  <c r="AF147" i="197"/>
  <c r="AH147" i="197"/>
  <c r="AF149" i="197"/>
  <c r="AT149" i="197" s="1"/>
  <c r="AH149" i="197"/>
  <c r="AF153" i="197"/>
  <c r="AK153" i="197"/>
  <c r="AF157" i="197"/>
  <c r="AH157" i="197"/>
  <c r="AF159" i="197"/>
  <c r="AH159" i="197"/>
  <c r="AF161" i="197"/>
  <c r="AH161" i="197"/>
  <c r="AF163" i="197"/>
  <c r="AH163" i="197"/>
  <c r="AF165" i="197"/>
  <c r="AH165" i="197"/>
  <c r="AF167" i="197"/>
  <c r="AH167" i="197"/>
  <c r="AF171" i="197"/>
  <c r="AH171" i="197"/>
  <c r="AF173" i="197"/>
  <c r="AH173" i="197"/>
  <c r="AF175" i="197"/>
  <c r="AH175" i="197"/>
  <c r="AF181" i="197"/>
  <c r="AK181" i="197"/>
  <c r="AF183" i="197"/>
  <c r="AH183" i="197"/>
  <c r="AF185" i="197"/>
  <c r="AH185" i="197"/>
  <c r="AF187" i="197"/>
  <c r="AH187" i="197"/>
  <c r="AF191" i="197"/>
  <c r="AH191" i="197"/>
  <c r="AF193" i="197"/>
  <c r="AK193" i="197"/>
  <c r="AF195" i="197"/>
  <c r="AH195" i="197"/>
  <c r="AF197" i="197"/>
  <c r="AH197" i="197"/>
  <c r="AF199" i="197"/>
  <c r="AT199" i="197" s="1"/>
  <c r="AK199" i="197"/>
  <c r="AF203" i="197"/>
  <c r="AK203" i="197"/>
  <c r="AF205" i="197"/>
  <c r="AH205" i="197"/>
  <c r="AF207" i="197"/>
  <c r="AK207" i="197"/>
  <c r="AF209" i="197"/>
  <c r="AK209" i="197"/>
  <c r="AF211" i="197"/>
  <c r="AT211" i="197" s="1"/>
  <c r="AK211" i="197"/>
  <c r="AF213" i="197"/>
  <c r="AK213" i="197"/>
  <c r="AF215" i="197"/>
  <c r="AH215" i="197"/>
  <c r="AF217" i="197"/>
  <c r="AK217" i="197"/>
  <c r="AF219" i="197"/>
  <c r="AH219" i="197"/>
  <c r="AF221" i="197"/>
  <c r="AH221" i="197"/>
  <c r="AF225" i="197"/>
  <c r="AK225" i="197"/>
  <c r="AF227" i="197"/>
  <c r="AK227" i="197"/>
  <c r="AF229" i="197"/>
  <c r="AH229" i="197"/>
  <c r="AF231" i="197"/>
  <c r="AK231" i="197"/>
  <c r="AF235" i="197"/>
  <c r="AK235" i="197"/>
  <c r="AF237" i="197"/>
  <c r="AH237" i="197"/>
  <c r="AF239" i="197"/>
  <c r="AH239" i="197"/>
  <c r="AF241" i="197"/>
  <c r="AK241" i="197"/>
  <c r="AF243" i="197"/>
  <c r="AH243" i="197"/>
  <c r="AF247" i="197"/>
  <c r="AH247" i="197"/>
  <c r="AF249" i="197"/>
  <c r="AK249" i="197"/>
  <c r="AF251" i="197"/>
  <c r="AK251" i="197"/>
  <c r="AF253" i="197"/>
  <c r="AH253" i="197"/>
  <c r="AF255" i="197"/>
  <c r="AH255" i="197"/>
  <c r="AF259" i="197"/>
  <c r="AH259" i="197"/>
  <c r="AF261" i="197"/>
  <c r="AK261" i="197"/>
  <c r="AF263" i="197"/>
  <c r="AK263" i="197"/>
  <c r="AF265" i="197"/>
  <c r="AT265" i="197" s="1"/>
  <c r="AK265" i="197"/>
  <c r="AF267" i="197"/>
  <c r="AT267" i="197" s="1"/>
  <c r="AH267" i="197"/>
  <c r="AF269" i="197"/>
  <c r="AK269" i="197"/>
  <c r="AF271" i="197"/>
  <c r="AK271" i="197"/>
  <c r="AF273" i="197"/>
  <c r="AH273" i="197"/>
  <c r="AF277" i="197"/>
  <c r="AK277" i="197"/>
  <c r="AF279" i="197"/>
  <c r="AK279" i="197"/>
  <c r="AF281" i="197"/>
  <c r="AK281" i="197"/>
  <c r="AF283" i="197"/>
  <c r="AH283" i="197"/>
  <c r="AF285" i="197"/>
  <c r="AK285" i="197"/>
  <c r="AF287" i="197"/>
  <c r="AK287" i="197"/>
  <c r="AF289" i="197"/>
  <c r="AH289" i="197"/>
  <c r="AF293" i="197"/>
  <c r="AH293" i="197"/>
  <c r="AF295" i="197"/>
  <c r="AH295" i="197"/>
  <c r="AF299" i="197"/>
  <c r="AK299" i="197"/>
  <c r="AF303" i="197"/>
  <c r="AH303" i="197"/>
  <c r="AF305" i="197"/>
  <c r="AH305" i="197"/>
  <c r="AF307" i="197"/>
  <c r="AH307" i="197"/>
  <c r="AF309" i="197"/>
  <c r="AH309" i="197"/>
  <c r="AF311" i="197"/>
  <c r="AK311" i="197"/>
  <c r="AF315" i="197"/>
  <c r="AH315" i="197"/>
  <c r="AK23" i="198"/>
  <c r="AG27" i="198"/>
  <c r="AC27" i="198"/>
  <c r="AI29" i="198"/>
  <c r="AC29" i="198"/>
  <c r="AD29" i="198" s="1"/>
  <c r="AE29" i="198" s="1"/>
  <c r="AH29" i="198"/>
  <c r="AG31" i="198"/>
  <c r="AG37" i="198"/>
  <c r="AC41" i="198"/>
  <c r="AC49" i="198"/>
  <c r="AF51" i="198"/>
  <c r="AC51" i="198"/>
  <c r="AD51" i="198" s="1"/>
  <c r="AE51" i="198" s="1"/>
  <c r="AF53" i="198"/>
  <c r="AC61" i="198"/>
  <c r="AI63" i="198"/>
  <c r="AF63" i="198"/>
  <c r="AC63" i="198"/>
  <c r="AD63" i="198" s="1"/>
  <c r="AE63" i="198" s="1"/>
  <c r="AC67" i="198"/>
  <c r="AF67" i="198"/>
  <c r="AC69" i="198"/>
  <c r="AF73" i="198"/>
  <c r="AC73" i="198"/>
  <c r="AF75" i="198"/>
  <c r="AC81" i="198"/>
  <c r="AF81" i="198"/>
  <c r="AC85" i="198"/>
  <c r="AF87" i="198"/>
  <c r="AF93" i="198"/>
  <c r="AC97" i="198"/>
  <c r="AF99" i="198"/>
  <c r="AC99" i="198"/>
  <c r="AD99" i="198" s="1"/>
  <c r="AE99" i="198" s="1"/>
  <c r="AC105" i="198"/>
  <c r="AF109" i="198"/>
  <c r="AC109" i="198"/>
  <c r="AC111" i="198"/>
  <c r="AF117" i="198"/>
  <c r="AC121" i="198"/>
  <c r="AH123" i="198"/>
  <c r="AF123" i="198"/>
  <c r="AC123" i="198"/>
  <c r="AC125" i="198"/>
  <c r="AC129" i="198"/>
  <c r="AG133" i="198"/>
  <c r="AF133" i="198"/>
  <c r="AC137" i="198"/>
  <c r="AF141" i="198"/>
  <c r="AC145" i="198"/>
  <c r="AF145" i="198"/>
  <c r="AF153" i="198"/>
  <c r="AF157" i="198"/>
  <c r="AC157" i="198"/>
  <c r="AC165" i="198"/>
  <c r="AF165" i="198"/>
  <c r="AF169" i="198"/>
  <c r="AC169" i="198"/>
  <c r="AF171" i="198"/>
  <c r="AF173" i="198"/>
  <c r="AF177" i="198"/>
  <c r="AF181" i="198"/>
  <c r="AC181" i="198"/>
  <c r="AC183" i="198"/>
  <c r="AC185" i="198"/>
  <c r="AC189" i="198"/>
  <c r="AF189" i="198"/>
  <c r="AF193" i="198"/>
  <c r="AC193" i="198"/>
  <c r="AF195" i="198"/>
  <c r="AC195" i="198"/>
  <c r="AI201" i="198"/>
  <c r="AF201" i="198"/>
  <c r="AC207" i="198"/>
  <c r="AF209" i="198"/>
  <c r="AF225" i="198"/>
  <c r="AC225" i="198"/>
  <c r="AF229" i="198"/>
  <c r="AC229" i="198"/>
  <c r="AD229" i="198" s="1"/>
  <c r="AE229" i="198" s="1"/>
  <c r="AF231" i="198"/>
  <c r="AC231" i="198"/>
  <c r="AC233" i="198"/>
  <c r="AC241" i="198"/>
  <c r="AC243" i="198"/>
  <c r="AF243" i="198"/>
  <c r="AD245" i="198"/>
  <c r="AE245" i="198" s="1"/>
  <c r="AC253" i="198"/>
  <c r="AC257" i="198"/>
  <c r="AF261" i="198"/>
  <c r="AC265" i="198"/>
  <c r="AF267" i="198"/>
  <c r="AK277" i="198"/>
  <c r="AF277" i="198"/>
  <c r="AC277" i="198"/>
  <c r="AF285" i="198"/>
  <c r="AF291" i="198"/>
  <c r="AC291" i="198"/>
  <c r="AC293" i="198"/>
  <c r="AF301" i="198"/>
  <c r="AC301" i="198"/>
  <c r="AF303" i="198"/>
  <c r="AC315" i="198"/>
  <c r="AF315" i="198"/>
  <c r="AC317" i="198"/>
  <c r="AI59" i="196"/>
  <c r="AL59" i="196"/>
  <c r="AI69" i="196"/>
  <c r="AL69" i="196"/>
  <c r="AI77" i="196"/>
  <c r="AI89" i="196"/>
  <c r="AL89" i="196"/>
  <c r="AI95" i="196"/>
  <c r="AJ95" i="196" s="1"/>
  <c r="AK95" i="196" s="1"/>
  <c r="AI105" i="196"/>
  <c r="AL107" i="196"/>
  <c r="AQ107" i="196"/>
  <c r="AL256" i="196"/>
  <c r="AI256" i="196"/>
  <c r="AL258" i="196"/>
  <c r="AL260" i="196"/>
  <c r="AL262" i="196"/>
  <c r="AI292" i="196"/>
  <c r="AL296" i="196"/>
  <c r="AI296" i="196"/>
  <c r="AI267" i="196"/>
  <c r="AI271" i="196"/>
  <c r="AL271" i="196"/>
  <c r="AI284" i="196"/>
  <c r="AI286" i="196"/>
  <c r="AI288" i="196"/>
  <c r="AF24" i="197"/>
  <c r="AK24" i="197"/>
  <c r="AG24" i="197"/>
  <c r="AF32" i="197"/>
  <c r="AH32" i="197"/>
  <c r="AI32" i="197" s="1"/>
  <c r="AM32" i="197"/>
  <c r="AF36" i="197"/>
  <c r="AN36" i="197" s="1"/>
  <c r="AK36" i="197"/>
  <c r="AF38" i="197"/>
  <c r="AK38" i="197"/>
  <c r="AF44" i="197"/>
  <c r="AH44" i="197"/>
  <c r="AF46" i="197"/>
  <c r="AT46" i="197" s="1"/>
  <c r="AH46" i="197"/>
  <c r="AF48" i="197"/>
  <c r="AK48" i="197"/>
  <c r="AF50" i="197"/>
  <c r="AK50" i="197"/>
  <c r="AF56" i="197"/>
  <c r="AH56" i="197"/>
  <c r="AG56" i="197"/>
  <c r="AF60" i="197"/>
  <c r="AH60" i="197"/>
  <c r="AI60" i="197" s="1"/>
  <c r="AF68" i="197"/>
  <c r="AH68" i="197"/>
  <c r="AF72" i="197"/>
  <c r="AH72" i="197"/>
  <c r="AF74" i="197"/>
  <c r="AH74" i="197"/>
  <c r="AI74" i="197" s="1"/>
  <c r="AF76" i="197"/>
  <c r="AT76" i="197" s="1"/>
  <c r="AK76" i="197"/>
  <c r="AF80" i="197"/>
  <c r="AK80" i="197"/>
  <c r="AF84" i="197"/>
  <c r="AK84" i="197"/>
  <c r="AF92" i="197"/>
  <c r="AK92" i="197"/>
  <c r="AG92" i="197"/>
  <c r="AI92" i="197" s="1"/>
  <c r="AJ92" i="197" s="1"/>
  <c r="AF96" i="197"/>
  <c r="AN96" i="197" s="1"/>
  <c r="AK96" i="197"/>
  <c r="AM96" i="197"/>
  <c r="AF100" i="197"/>
  <c r="AG100" i="197"/>
  <c r="AI100" i="197" s="1"/>
  <c r="AJ100" i="197" s="1"/>
  <c r="AF104" i="197"/>
  <c r="AH104" i="197"/>
  <c r="AF106" i="197"/>
  <c r="AT106" i="197" s="1"/>
  <c r="AK106" i="197"/>
  <c r="AF110" i="197"/>
  <c r="AK110" i="197"/>
  <c r="AF122" i="197"/>
  <c r="AH122" i="197"/>
  <c r="AG122" i="197"/>
  <c r="AF124" i="197"/>
  <c r="AT124" i="197" s="1"/>
  <c r="AH124" i="197"/>
  <c r="AF128" i="197"/>
  <c r="AK128" i="197"/>
  <c r="AG128" i="197"/>
  <c r="AI128" i="197" s="1"/>
  <c r="AJ128" i="197" s="1"/>
  <c r="AF132" i="197"/>
  <c r="AK132" i="197"/>
  <c r="AF134" i="197"/>
  <c r="AK134" i="197"/>
  <c r="AF140" i="197"/>
  <c r="AH140" i="197"/>
  <c r="AG140" i="197"/>
  <c r="AF144" i="197"/>
  <c r="AN144" i="197" s="1"/>
  <c r="AK144" i="197"/>
  <c r="AF146" i="197"/>
  <c r="AK146" i="197"/>
  <c r="AG146" i="197"/>
  <c r="AI146" i="197" s="1"/>
  <c r="AJ146" i="197" s="1"/>
  <c r="AF152" i="197"/>
  <c r="AK152" i="197"/>
  <c r="AF156" i="197"/>
  <c r="AK156" i="197"/>
  <c r="AF162" i="197"/>
  <c r="AT162" i="197" s="1"/>
  <c r="AF164" i="197"/>
  <c r="AH164" i="197"/>
  <c r="AG164" i="197"/>
  <c r="AF168" i="197"/>
  <c r="AH168" i="197"/>
  <c r="AF170" i="197"/>
  <c r="AH170" i="197"/>
  <c r="AF176" i="197"/>
  <c r="AH176" i="197"/>
  <c r="AG176" i="197"/>
  <c r="AF178" i="197"/>
  <c r="AT178" i="197" s="1"/>
  <c r="AK178" i="197"/>
  <c r="AF180" i="197"/>
  <c r="AH180" i="197"/>
  <c r="AF182" i="197"/>
  <c r="AH182" i="197"/>
  <c r="AF184" i="197"/>
  <c r="AT184" i="197" s="1"/>
  <c r="AH184" i="197"/>
  <c r="AF192" i="197"/>
  <c r="AK192" i="197"/>
  <c r="AF194" i="197"/>
  <c r="AK194" i="197"/>
  <c r="AG194" i="197"/>
  <c r="AI194" i="197" s="1"/>
  <c r="AJ194" i="197" s="1"/>
  <c r="AF200" i="197"/>
  <c r="AT200" i="197" s="1"/>
  <c r="AF204" i="197"/>
  <c r="AH204" i="197"/>
  <c r="AF206" i="197"/>
  <c r="AN206" i="197" s="1"/>
  <c r="AH206" i="197"/>
  <c r="AF212" i="197"/>
  <c r="AT212" i="197" s="1"/>
  <c r="AH212" i="197"/>
  <c r="AF216" i="197"/>
  <c r="AH216" i="197"/>
  <c r="AI216" i="197" s="1"/>
  <c r="AF218" i="197"/>
  <c r="AH218" i="197"/>
  <c r="AI218" i="197" s="1"/>
  <c r="AF224" i="197"/>
  <c r="AH224" i="197"/>
  <c r="AI224" i="197" s="1"/>
  <c r="AF226" i="197"/>
  <c r="AT226" i="197" s="1"/>
  <c r="AF228" i="197"/>
  <c r="AH228" i="197"/>
  <c r="AF230" i="197"/>
  <c r="AH230" i="197"/>
  <c r="AG230" i="197"/>
  <c r="AF236" i="197"/>
  <c r="AH236" i="197"/>
  <c r="AG236" i="197"/>
  <c r="AF238" i="197"/>
  <c r="AT238" i="197" s="1"/>
  <c r="AK238" i="197"/>
  <c r="AF240" i="197"/>
  <c r="AK240" i="197"/>
  <c r="AF242" i="197"/>
  <c r="AK242" i="197"/>
  <c r="AF248" i="197"/>
  <c r="AK248" i="197"/>
  <c r="AG248" i="197"/>
  <c r="AI248" i="197" s="1"/>
  <c r="AJ248" i="197" s="1"/>
  <c r="AF252" i="197"/>
  <c r="AK252" i="197"/>
  <c r="AF260" i="197"/>
  <c r="AK260" i="197"/>
  <c r="AG260" i="197"/>
  <c r="AI260" i="197" s="1"/>
  <c r="AJ260" i="197" s="1"/>
  <c r="AF264" i="197"/>
  <c r="AK264" i="197"/>
  <c r="AF266" i="197"/>
  <c r="AH266" i="197"/>
  <c r="AG266" i="197"/>
  <c r="AF272" i="197"/>
  <c r="AK272" i="197"/>
  <c r="AF276" i="197"/>
  <c r="AK276" i="197"/>
  <c r="AF284" i="197"/>
  <c r="AH284" i="197"/>
  <c r="AI284" i="197" s="1"/>
  <c r="AF288" i="197"/>
  <c r="AH288" i="197"/>
  <c r="AF292" i="197"/>
  <c r="AT292" i="197" s="1"/>
  <c r="AH292" i="197"/>
  <c r="AI292" i="197" s="1"/>
  <c r="AF296" i="197"/>
  <c r="AT296" i="197" s="1"/>
  <c r="AK296" i="197"/>
  <c r="AF302" i="197"/>
  <c r="AN302" i="197" s="1"/>
  <c r="AK302" i="197"/>
  <c r="AF304" i="197"/>
  <c r="AT304" i="197" s="1"/>
  <c r="AG304" i="197"/>
  <c r="AF314" i="197"/>
  <c r="AH314" i="197"/>
  <c r="AF316" i="197"/>
  <c r="AT316" i="197" s="1"/>
  <c r="AH316" i="197"/>
  <c r="AC37" i="198"/>
  <c r="AC53" i="198"/>
  <c r="AC75" i="198"/>
  <c r="AD75" i="198" s="1"/>
  <c r="AE75" i="198" s="1"/>
  <c r="AC89" i="198"/>
  <c r="AC93" i="198"/>
  <c r="AF121" i="198"/>
  <c r="AC141" i="198"/>
  <c r="AC171" i="198"/>
  <c r="AD171" i="198" s="1"/>
  <c r="AE171" i="198" s="1"/>
  <c r="AC177" i="198"/>
  <c r="AF183" i="198"/>
  <c r="AF207" i="198"/>
  <c r="AF221" i="198"/>
  <c r="AF253" i="198"/>
  <c r="AF265" i="198"/>
  <c r="AC279" i="198"/>
  <c r="AF281" i="198"/>
  <c r="AC285" i="198"/>
  <c r="AF247" i="198"/>
  <c r="AC259" i="198"/>
  <c r="AC199" i="198"/>
  <c r="AC151" i="198"/>
  <c r="AF283" i="198"/>
  <c r="AF307" i="198"/>
  <c r="AM18" i="198"/>
  <c r="AF151" i="198"/>
  <c r="AC271" i="198"/>
  <c r="AF235" i="198"/>
  <c r="AF41" i="198"/>
  <c r="AC91" i="198"/>
  <c r="AC43" i="198"/>
  <c r="AF91" i="198"/>
  <c r="AF43" i="198"/>
  <c r="AC139" i="198"/>
  <c r="AC247" i="198"/>
  <c r="AG227" i="198"/>
  <c r="AH47" i="198"/>
  <c r="AI47" i="198"/>
  <c r="AC55" i="198"/>
  <c r="AF105" i="198"/>
  <c r="AF139" i="198"/>
  <c r="AF263" i="198"/>
  <c r="AF271" i="198"/>
  <c r="AC179" i="198"/>
  <c r="AD179" i="198" s="1"/>
  <c r="AE179" i="198" s="1"/>
  <c r="AF203" i="198"/>
  <c r="AH23" i="198"/>
  <c r="AF179" i="198"/>
  <c r="AI83" i="198"/>
  <c r="AG23" i="198"/>
  <c r="AC103" i="198"/>
  <c r="AD103" i="198" s="1"/>
  <c r="AE103" i="198" s="1"/>
  <c r="AC127" i="198"/>
  <c r="AF163" i="198"/>
  <c r="AC211" i="198"/>
  <c r="AF259" i="198"/>
  <c r="AC295" i="198"/>
  <c r="AG35" i="198"/>
  <c r="AF103" i="198"/>
  <c r="AC235" i="198"/>
  <c r="AI251" i="198"/>
  <c r="AH35" i="198"/>
  <c r="AI35" i="198"/>
  <c r="AF127" i="198"/>
  <c r="AC153" i="198"/>
  <c r="AF211" i="198"/>
  <c r="AC283" i="198"/>
  <c r="AF295" i="198"/>
  <c r="AG47" i="198"/>
  <c r="AF191" i="198"/>
  <c r="AL265" i="196"/>
  <c r="AL293" i="196"/>
  <c r="AI258" i="196"/>
  <c r="AL83" i="196"/>
  <c r="AL77" i="196"/>
  <c r="AL103" i="196"/>
  <c r="AM297" i="196"/>
  <c r="H12" i="182"/>
  <c r="H14" i="182"/>
  <c r="BE32" i="200"/>
  <c r="BE31" i="200" s="1"/>
  <c r="AQ31" i="200"/>
  <c r="BF32" i="200"/>
  <c r="BF31" i="200" s="1"/>
  <c r="AH24" i="197"/>
  <c r="AH26" i="197"/>
  <c r="AK28" i="197"/>
  <c r="AK32" i="197"/>
  <c r="AL310" i="197"/>
  <c r="AM310" i="197"/>
  <c r="AL34" i="197"/>
  <c r="AG274" i="197"/>
  <c r="AG262" i="197"/>
  <c r="AM46" i="197"/>
  <c r="AG142" i="197"/>
  <c r="AG58" i="197"/>
  <c r="AN34" i="197"/>
  <c r="AK22" i="197"/>
  <c r="AK46" i="197"/>
  <c r="AN310" i="197"/>
  <c r="AG310" i="197"/>
  <c r="AN214" i="197"/>
  <c r="AN118" i="197"/>
  <c r="AL70" i="197"/>
  <c r="AM214" i="197"/>
  <c r="AN58" i="197"/>
  <c r="AG34" i="197"/>
  <c r="AG298" i="197"/>
  <c r="AH130" i="197"/>
  <c r="AN226" i="197"/>
  <c r="AM298" i="197"/>
  <c r="AL178" i="197"/>
  <c r="AK130" i="197"/>
  <c r="AH274" i="197"/>
  <c r="AN202" i="197"/>
  <c r="AM34" i="197"/>
  <c r="AN106" i="197"/>
  <c r="AL46" i="197"/>
  <c r="AN262" i="197"/>
  <c r="AM106" i="197"/>
  <c r="AG130" i="197"/>
  <c r="AI130" i="197" s="1"/>
  <c r="AG46" i="197"/>
  <c r="AG82" i="197"/>
  <c r="AH202" i="197"/>
  <c r="AK274" i="197"/>
  <c r="AN142" i="197"/>
  <c r="AL262" i="197"/>
  <c r="AM70" i="197"/>
  <c r="AN178" i="197"/>
  <c r="AL214" i="197"/>
  <c r="AL58" i="197"/>
  <c r="AL298" i="197"/>
  <c r="AG202" i="197"/>
  <c r="AH58" i="197"/>
  <c r="AH142" i="197"/>
  <c r="AK202" i="197"/>
  <c r="AH226" i="197"/>
  <c r="AH250" i="197"/>
  <c r="AM58" i="197"/>
  <c r="AG178" i="197"/>
  <c r="AG118" i="197"/>
  <c r="AL106" i="197"/>
  <c r="AN46" i="197"/>
  <c r="AM22" i="197"/>
  <c r="AG250" i="197"/>
  <c r="AK58" i="197"/>
  <c r="AK142" i="197"/>
  <c r="AK226" i="197"/>
  <c r="AK250" i="197"/>
  <c r="AL130" i="197"/>
  <c r="AN22" i="197"/>
  <c r="AL202" i="197"/>
  <c r="AG22" i="197"/>
  <c r="AI22" i="197" s="1"/>
  <c r="AJ22" i="197" s="1"/>
  <c r="AL22" i="197"/>
  <c r="AH34" i="197"/>
  <c r="AH70" i="197"/>
  <c r="AN274" i="197"/>
  <c r="AM130" i="197"/>
  <c r="AL142" i="197"/>
  <c r="AN250" i="197"/>
  <c r="AK34" i="197"/>
  <c r="AK70" i="197"/>
  <c r="AL274" i="197"/>
  <c r="AN82" i="197"/>
  <c r="AM142" i="197"/>
  <c r="AM226" i="197"/>
  <c r="AG106" i="197"/>
  <c r="AH262" i="197"/>
  <c r="AH298" i="197"/>
  <c r="AL118" i="197"/>
  <c r="AM274" i="197"/>
  <c r="AM118" i="197"/>
  <c r="AL82" i="197"/>
  <c r="AM178" i="197"/>
  <c r="AN70" i="197"/>
  <c r="AN190" i="197"/>
  <c r="AL238" i="197"/>
  <c r="AG238" i="197"/>
  <c r="AH82" i="197"/>
  <c r="AK262" i="197"/>
  <c r="AK298" i="197"/>
  <c r="AM202" i="197"/>
  <c r="AL250" i="197"/>
  <c r="AM262" i="197"/>
  <c r="AM82" i="197"/>
  <c r="AG70" i="197"/>
  <c r="AN298" i="197"/>
  <c r="AG214" i="197"/>
  <c r="AK82" i="197"/>
  <c r="AH106" i="197"/>
  <c r="AH118" i="197"/>
  <c r="AH178" i="197"/>
  <c r="AH214" i="197"/>
  <c r="AH238" i="197"/>
  <c r="AH310" i="197"/>
  <c r="AH67" i="197"/>
  <c r="AK103" i="197"/>
  <c r="AK67" i="197"/>
  <c r="AH115" i="197"/>
  <c r="AH151" i="197"/>
  <c r="AH43" i="197"/>
  <c r="AK115" i="197"/>
  <c r="AK151" i="197"/>
  <c r="AH127" i="197"/>
  <c r="AK163" i="197"/>
  <c r="AH79" i="197"/>
  <c r="AK127" i="197"/>
  <c r="AK79" i="197"/>
  <c r="AH55" i="197"/>
  <c r="AH91" i="197"/>
  <c r="AH139" i="197"/>
  <c r="AH103" i="197"/>
  <c r="AF25" i="198"/>
  <c r="AC52" i="198"/>
  <c r="AD52" i="198" s="1"/>
  <c r="AE52" i="198" s="1"/>
  <c r="AF77" i="198"/>
  <c r="AF85" i="198"/>
  <c r="AF137" i="198"/>
  <c r="AC163" i="198"/>
  <c r="AD163" i="198" s="1"/>
  <c r="AE163" i="198" s="1"/>
  <c r="AF185" i="198"/>
  <c r="AC19" i="198"/>
  <c r="AD28" i="198"/>
  <c r="AE28" i="198" s="1"/>
  <c r="AF55" i="198"/>
  <c r="AC133" i="198"/>
  <c r="AD133" i="198" s="1"/>
  <c r="AE133" i="198" s="1"/>
  <c r="AC149" i="198"/>
  <c r="AD149" i="198" s="1"/>
  <c r="AE149" i="198" s="1"/>
  <c r="AC173" i="198"/>
  <c r="AI307" i="198"/>
  <c r="AF36" i="198"/>
  <c r="AF60" i="198"/>
  <c r="AF66" i="198"/>
  <c r="AF92" i="198"/>
  <c r="AF98" i="198"/>
  <c r="AC128" i="198"/>
  <c r="AF149" i="198"/>
  <c r="AF176" i="198"/>
  <c r="AF257" i="198"/>
  <c r="AF270" i="198"/>
  <c r="AC281" i="198"/>
  <c r="AD281" i="198" s="1"/>
  <c r="AE281" i="198" s="1"/>
  <c r="AF296" i="198"/>
  <c r="AC316" i="198"/>
  <c r="AC24" i="198"/>
  <c r="AD38" i="198"/>
  <c r="AE38" i="198" s="1"/>
  <c r="AF44" i="198"/>
  <c r="AF89" i="198"/>
  <c r="AF104" i="198"/>
  <c r="AC138" i="198"/>
  <c r="AF150" i="198"/>
  <c r="AC164" i="198"/>
  <c r="AC191" i="198"/>
  <c r="AF197" i="198"/>
  <c r="AC209" i="198"/>
  <c r="AC236" i="198"/>
  <c r="AF251" i="198"/>
  <c r="AF258" i="198"/>
  <c r="AF282" i="198"/>
  <c r="AC288" i="198"/>
  <c r="AF293" i="198"/>
  <c r="AF300" i="198"/>
  <c r="AF29" i="198"/>
  <c r="AF62" i="198"/>
  <c r="AC77" i="198"/>
  <c r="AF96" i="198"/>
  <c r="AF101" i="198"/>
  <c r="AC120" i="198"/>
  <c r="AF125" i="198"/>
  <c r="AF146" i="198"/>
  <c r="AC158" i="198"/>
  <c r="AC186" i="198"/>
  <c r="AC206" i="198"/>
  <c r="AC210" i="198"/>
  <c r="AC221" i="198"/>
  <c r="AF245" i="198"/>
  <c r="AC266" i="198"/>
  <c r="AF272" i="198"/>
  <c r="AC290" i="198"/>
  <c r="AF294" i="198"/>
  <c r="AC307" i="198"/>
  <c r="AF26" i="198"/>
  <c r="AC35" i="198"/>
  <c r="AF50" i="198"/>
  <c r="AC78" i="198"/>
  <c r="AD78" i="198" s="1"/>
  <c r="AE78" i="198" s="1"/>
  <c r="AF102" i="198"/>
  <c r="AF108" i="198"/>
  <c r="AC114" i="198"/>
  <c r="AF152" i="198"/>
  <c r="AF200" i="198"/>
  <c r="AF233" i="198"/>
  <c r="AF254" i="198"/>
  <c r="AF260" i="198"/>
  <c r="AC276" i="198"/>
  <c r="AF284" i="198"/>
  <c r="AF302" i="198"/>
  <c r="AM104" i="196"/>
  <c r="AO107" i="196"/>
  <c r="AM145" i="196"/>
  <c r="AN145" i="196"/>
  <c r="AO167" i="196"/>
  <c r="AQ185" i="196"/>
  <c r="AL71" i="196"/>
  <c r="AN173" i="196"/>
  <c r="AL101" i="196"/>
  <c r="AL81" i="196"/>
  <c r="AI47" i="196"/>
  <c r="AL51" i="196"/>
  <c r="AI179" i="196"/>
  <c r="AJ179" i="196" s="1"/>
  <c r="AK179" i="196" s="1"/>
  <c r="AL45" i="196"/>
  <c r="AO145" i="196"/>
  <c r="AI177" i="196"/>
  <c r="AJ177" i="196" s="1"/>
  <c r="AK177" i="196" s="1"/>
  <c r="AL55" i="196"/>
  <c r="AL192" i="196"/>
  <c r="AI43" i="196"/>
  <c r="AO82" i="196"/>
  <c r="AM115" i="196"/>
  <c r="AQ225" i="196"/>
  <c r="AL292" i="196"/>
  <c r="AL65" i="196"/>
  <c r="AO157" i="196"/>
  <c r="AQ66" i="196"/>
  <c r="AN133" i="196"/>
  <c r="AN46" i="196"/>
  <c r="AQ297" i="196"/>
  <c r="AQ27" i="196"/>
  <c r="AO284" i="196"/>
  <c r="AN256" i="196"/>
  <c r="AO77" i="196"/>
  <c r="AQ32" i="196"/>
  <c r="AM93" i="196"/>
  <c r="AN82" i="196"/>
  <c r="AQ277" i="196"/>
  <c r="AQ287" i="196"/>
  <c r="AQ272" i="196"/>
  <c r="AN68" i="196"/>
  <c r="AM257" i="196"/>
  <c r="AI161" i="196"/>
  <c r="AL216" i="196"/>
  <c r="AQ169" i="196"/>
  <c r="AO198" i="196"/>
  <c r="AI41" i="196"/>
  <c r="AN57" i="196"/>
  <c r="AQ46" i="196"/>
  <c r="AM273" i="196"/>
  <c r="AQ145" i="196"/>
  <c r="AQ288" i="196"/>
  <c r="AI129" i="196"/>
  <c r="AL199" i="196"/>
  <c r="AO46" i="196"/>
  <c r="AN273" i="196"/>
  <c r="AI185" i="196"/>
  <c r="AN66" i="197"/>
  <c r="AO66" i="197" s="1"/>
  <c r="AL114" i="197"/>
  <c r="AO114" i="197" s="1"/>
  <c r="AL246" i="197"/>
  <c r="AM258" i="197"/>
  <c r="AG282" i="197"/>
  <c r="AI282" i="197" s="1"/>
  <c r="AJ282" i="197" s="1"/>
  <c r="AL258" i="197"/>
  <c r="AO258" i="197" s="1"/>
  <c r="AG246" i="197"/>
  <c r="AL198" i="197"/>
  <c r="AO198" i="197" s="1"/>
  <c r="AG162" i="197"/>
  <c r="AG78" i="197"/>
  <c r="AM102" i="197"/>
  <c r="AK282" i="197"/>
  <c r="AN186" i="197"/>
  <c r="AN198" i="197"/>
  <c r="AH102" i="197"/>
  <c r="AH162" i="197"/>
  <c r="AG294" i="197"/>
  <c r="AM186" i="197"/>
  <c r="AM150" i="197"/>
  <c r="AK102" i="197"/>
  <c r="AH138" i="197"/>
  <c r="AK162" i="197"/>
  <c r="AM306" i="197"/>
  <c r="AG270" i="197"/>
  <c r="AL174" i="197"/>
  <c r="AL102" i="197"/>
  <c r="AG66" i="197"/>
  <c r="AM78" i="197"/>
  <c r="AN102" i="197"/>
  <c r="AG150" i="197"/>
  <c r="AH78" i="197"/>
  <c r="AK138" i="197"/>
  <c r="AH186" i="197"/>
  <c r="AG306" i="197"/>
  <c r="AN150" i="197"/>
  <c r="AM270" i="197"/>
  <c r="AL270" i="197"/>
  <c r="AG198" i="197"/>
  <c r="AG114" i="197"/>
  <c r="AK78" i="197"/>
  <c r="AK186" i="197"/>
  <c r="AH294" i="197"/>
  <c r="AL186" i="197"/>
  <c r="AM114" i="197"/>
  <c r="AN282" i="197"/>
  <c r="AN138" i="197"/>
  <c r="AO138" i="197" s="1"/>
  <c r="AM66" i="197"/>
  <c r="AH114" i="197"/>
  <c r="AH270" i="197"/>
  <c r="AK294" i="197"/>
  <c r="AN306" i="197"/>
  <c r="AN174" i="197"/>
  <c r="AL90" i="197"/>
  <c r="AG102" i="197"/>
  <c r="AN90" i="197"/>
  <c r="AK114" i="197"/>
  <c r="AK270" i="197"/>
  <c r="AM294" i="197"/>
  <c r="AM246" i="197"/>
  <c r="AL306" i="197"/>
  <c r="AN162" i="197"/>
  <c r="AG258" i="197"/>
  <c r="AL162" i="197"/>
  <c r="AH174" i="197"/>
  <c r="AH198" i="197"/>
  <c r="AN294" i="197"/>
  <c r="AL234" i="197"/>
  <c r="AM282" i="197"/>
  <c r="AG186" i="197"/>
  <c r="AG174" i="197"/>
  <c r="AL78" i="197"/>
  <c r="AO78" i="197" s="1"/>
  <c r="AH66" i="197"/>
  <c r="AH90" i="197"/>
  <c r="AK174" i="197"/>
  <c r="AK198" i="197"/>
  <c r="AH306" i="197"/>
  <c r="AL294" i="197"/>
  <c r="AN270" i="197"/>
  <c r="AM198" i="197"/>
  <c r="AM138" i="197"/>
  <c r="AL150" i="197"/>
  <c r="AG90" i="197"/>
  <c r="AM174" i="197"/>
  <c r="AK66" i="197"/>
  <c r="AK90" i="197"/>
  <c r="AH150" i="197"/>
  <c r="AH258" i="197"/>
  <c r="AK306" i="197"/>
  <c r="AL282" i="197"/>
  <c r="AG138" i="197"/>
  <c r="AG42" i="197"/>
  <c r="AK150" i="197"/>
  <c r="AK258" i="197"/>
  <c r="AC107" i="198"/>
  <c r="AC119" i="198"/>
  <c r="AC227" i="198"/>
  <c r="AF107" i="198"/>
  <c r="AF119" i="198"/>
  <c r="AC131" i="198"/>
  <c r="AD131" i="198" s="1"/>
  <c r="AE131" i="198" s="1"/>
  <c r="AF227" i="198"/>
  <c r="AF131" i="198"/>
  <c r="AC143" i="198"/>
  <c r="AC155" i="198"/>
  <c r="AD155" i="198" s="1"/>
  <c r="AE155" i="198" s="1"/>
  <c r="AF155" i="198"/>
  <c r="AC83" i="198"/>
  <c r="AC215" i="198"/>
  <c r="AC239" i="198"/>
  <c r="AC71" i="198"/>
  <c r="AC203" i="198"/>
  <c r="AF239" i="198"/>
  <c r="AC251" i="198"/>
  <c r="AD251" i="198" s="1"/>
  <c r="AE251" i="198" s="1"/>
  <c r="AC263" i="198"/>
  <c r="AD263" i="198" s="1"/>
  <c r="AE263" i="198" s="1"/>
  <c r="AC310" i="198"/>
  <c r="AC34" i="198"/>
  <c r="AF34" i="198"/>
  <c r="AF94" i="198"/>
  <c r="AC70" i="198"/>
  <c r="AC178" i="198"/>
  <c r="AC58" i="198"/>
  <c r="AC190" i="198"/>
  <c r="AF238" i="198"/>
  <c r="AF58" i="198"/>
  <c r="AF70" i="198"/>
  <c r="AC82" i="198"/>
  <c r="AF166" i="198"/>
  <c r="AC46" i="198"/>
  <c r="AF82" i="198"/>
  <c r="AF46" i="198"/>
  <c r="AC94" i="198"/>
  <c r="AN88" i="197"/>
  <c r="AL136" i="197"/>
  <c r="AG112" i="197"/>
  <c r="AL112" i="197"/>
  <c r="AN184" i="197"/>
  <c r="AM160" i="197"/>
  <c r="AL160" i="197"/>
  <c r="AK100" i="197"/>
  <c r="AK124" i="197"/>
  <c r="AK184" i="197"/>
  <c r="AH208" i="197"/>
  <c r="AK292" i="197"/>
  <c r="AK316" i="197"/>
  <c r="AG316" i="197"/>
  <c r="AM136" i="197"/>
  <c r="AM220" i="197"/>
  <c r="AG184" i="197"/>
  <c r="AI184" i="197" s="1"/>
  <c r="AL232" i="197"/>
  <c r="AM28" i="197"/>
  <c r="AK208" i="197"/>
  <c r="AM292" i="197"/>
  <c r="AL316" i="197"/>
  <c r="AG172" i="197"/>
  <c r="AM112" i="197"/>
  <c r="AH172" i="197"/>
  <c r="AG280" i="197"/>
  <c r="AG232" i="197"/>
  <c r="AM196" i="197"/>
  <c r="AN304" i="197"/>
  <c r="AG28" i="197"/>
  <c r="AK172" i="197"/>
  <c r="AN136" i="197"/>
  <c r="AN172" i="197"/>
  <c r="AL40" i="197"/>
  <c r="AM40" i="197"/>
  <c r="AN40" i="197"/>
  <c r="AL220" i="197"/>
  <c r="AO220" i="197" s="1"/>
  <c r="AL28" i="197"/>
  <c r="AM88" i="197"/>
  <c r="AN232" i="197"/>
  <c r="AN208" i="197"/>
  <c r="AM184" i="197"/>
  <c r="AG136" i="197"/>
  <c r="AN28" i="197"/>
  <c r="AG244" i="197"/>
  <c r="AH88" i="197"/>
  <c r="AH112" i="197"/>
  <c r="AH196" i="197"/>
  <c r="AH232" i="197"/>
  <c r="AH280" i="197"/>
  <c r="AH304" i="197"/>
  <c r="AN112" i="197"/>
  <c r="AL208" i="197"/>
  <c r="AO208" i="197" s="1"/>
  <c r="AN196" i="197"/>
  <c r="AG220" i="197"/>
  <c r="AL88" i="197"/>
  <c r="AL172" i="197"/>
  <c r="AH40" i="197"/>
  <c r="AK88" i="197"/>
  <c r="AK112" i="197"/>
  <c r="AH160" i="197"/>
  <c r="AK196" i="197"/>
  <c r="AK232" i="197"/>
  <c r="AK280" i="197"/>
  <c r="AK304" i="197"/>
  <c r="AL280" i="197"/>
  <c r="AM172" i="197"/>
  <c r="AN160" i="197"/>
  <c r="AK40" i="197"/>
  <c r="AH136" i="197"/>
  <c r="AK160" i="197"/>
  <c r="AM316" i="197"/>
  <c r="AM280" i="197"/>
  <c r="AL184" i="197"/>
  <c r="AK136" i="197"/>
  <c r="AN280" i="197"/>
  <c r="AM232" i="197"/>
  <c r="AG124" i="197"/>
  <c r="AL100" i="197"/>
  <c r="AG88" i="197"/>
  <c r="AH220" i="197"/>
  <c r="AN316" i="197"/>
  <c r="AL196" i="197"/>
  <c r="AM208" i="197"/>
  <c r="AG196" i="197"/>
  <c r="AM100" i="197"/>
  <c r="AG208" i="197"/>
  <c r="AH28" i="197"/>
  <c r="AH76" i="197"/>
  <c r="AK220" i="197"/>
  <c r="AQ276" i="196"/>
  <c r="AI192" i="196"/>
  <c r="AJ192" i="196" s="1"/>
  <c r="AK192" i="196" s="1"/>
  <c r="AI168" i="196"/>
  <c r="AQ207" i="196"/>
  <c r="AJ285" i="196"/>
  <c r="AK285" i="196" s="1"/>
  <c r="AI219" i="196"/>
  <c r="AI44" i="196"/>
  <c r="AI240" i="196"/>
  <c r="AM46" i="196"/>
  <c r="AO228" i="196"/>
  <c r="AL255" i="196"/>
  <c r="AI143" i="196"/>
  <c r="AL44" i="196"/>
  <c r="AL67" i="196"/>
  <c r="AI100" i="196"/>
  <c r="AN66" i="196"/>
  <c r="AQ139" i="196"/>
  <c r="AI55" i="196"/>
  <c r="AL156" i="196"/>
  <c r="AL163" i="196"/>
  <c r="AI132" i="196"/>
  <c r="AQ19" i="196"/>
  <c r="AL135" i="196"/>
  <c r="AH96" i="198"/>
  <c r="AF106" i="198"/>
  <c r="AF250" i="198"/>
  <c r="AF35" i="198"/>
  <c r="AF68" i="198"/>
  <c r="AF83" i="198"/>
  <c r="AC118" i="198"/>
  <c r="AF190" i="198"/>
  <c r="AC262" i="198"/>
  <c r="AC274" i="198"/>
  <c r="AC25" i="198"/>
  <c r="AD25" i="198" s="1"/>
  <c r="AE25" i="198" s="1"/>
  <c r="AF202" i="198"/>
  <c r="AC47" i="198"/>
  <c r="AF118" i="198"/>
  <c r="AF214" i="198"/>
  <c r="AF274" i="198"/>
  <c r="AC59" i="198"/>
  <c r="AF47" i="198"/>
  <c r="AC95" i="198"/>
  <c r="AF59" i="198"/>
  <c r="AF95" i="198"/>
  <c r="AC238" i="198"/>
  <c r="AF32" i="198"/>
  <c r="AF37" i="198"/>
  <c r="AC142" i="198"/>
  <c r="AD20" i="198"/>
  <c r="AE20" i="198" s="1"/>
  <c r="AC44" i="198"/>
  <c r="AF142" i="198"/>
  <c r="AC166" i="198"/>
  <c r="AF226" i="198"/>
  <c r="AF20" i="198"/>
  <c r="AC106" i="198"/>
  <c r="AF178" i="198"/>
  <c r="AC250" i="198"/>
  <c r="AF286" i="198"/>
  <c r="AG165" i="198"/>
  <c r="AI165" i="198"/>
  <c r="AG123" i="198"/>
  <c r="AI91" i="198"/>
  <c r="AH91" i="198"/>
  <c r="AG91" i="198"/>
  <c r="AK91" i="198"/>
  <c r="AI128" i="198"/>
  <c r="AI272" i="198"/>
  <c r="AC110" i="198"/>
  <c r="AF124" i="198"/>
  <c r="AC170" i="198"/>
  <c r="AC217" i="198"/>
  <c r="AF79" i="198"/>
  <c r="AC135" i="198"/>
  <c r="AF170" i="198"/>
  <c r="AC45" i="198"/>
  <c r="AC159" i="198"/>
  <c r="AF217" i="198"/>
  <c r="AF45" i="198"/>
  <c r="AC21" i="198"/>
  <c r="AC252" i="198"/>
  <c r="AF21" i="198"/>
  <c r="AC33" i="198"/>
  <c r="AC56" i="198"/>
  <c r="AF76" i="198"/>
  <c r="AF132" i="198"/>
  <c r="AC156" i="198"/>
  <c r="AC298" i="198"/>
  <c r="AF33" i="198"/>
  <c r="AC147" i="198"/>
  <c r="AC182" i="198"/>
  <c r="AF56" i="198"/>
  <c r="AF147" i="198"/>
  <c r="AF182" i="198"/>
  <c r="AC228" i="198"/>
  <c r="AF298" i="198"/>
  <c r="AC101" i="198"/>
  <c r="AC113" i="198"/>
  <c r="AC240" i="198"/>
  <c r="AC264" i="198"/>
  <c r="AC309" i="198"/>
  <c r="AC68" i="198"/>
  <c r="AF113" i="198"/>
  <c r="AC124" i="198"/>
  <c r="AC194" i="198"/>
  <c r="AF264" i="198"/>
  <c r="AF309" i="198"/>
  <c r="P48" i="180"/>
  <c r="P141" i="180"/>
  <c r="AP31" i="200"/>
  <c r="AG32" i="200"/>
  <c r="AZ32" i="200" s="1"/>
  <c r="AZ31" i="200" s="1"/>
  <c r="AF32" i="200"/>
  <c r="AY32" i="200" s="1"/>
  <c r="AY31" i="200" s="1"/>
  <c r="AI115" i="198"/>
  <c r="AH290" i="198"/>
  <c r="AG290" i="198"/>
  <c r="AI290" i="198"/>
  <c r="AK290" i="198"/>
  <c r="AK84" i="198"/>
  <c r="AG274" i="198"/>
  <c r="AD116" i="198"/>
  <c r="AE116" i="198" s="1"/>
  <c r="AG76" i="198"/>
  <c r="AI209" i="198"/>
  <c r="AK209" i="198"/>
  <c r="AI244" i="198"/>
  <c r="AG221" i="198"/>
  <c r="AI256" i="198"/>
  <c r="AK98" i="198"/>
  <c r="AI79" i="198"/>
  <c r="AH79" i="198"/>
  <c r="AG57" i="198"/>
  <c r="AG191" i="198"/>
  <c r="AH260" i="198"/>
  <c r="AK260" i="198"/>
  <c r="AI260" i="198"/>
  <c r="AG260" i="198"/>
  <c r="AG102" i="198"/>
  <c r="AK158" i="198"/>
  <c r="AI304" i="198"/>
  <c r="AH92" i="198"/>
  <c r="AK39" i="198"/>
  <c r="AI39" i="198"/>
  <c r="AH39" i="198"/>
  <c r="AG39" i="198"/>
  <c r="AI104" i="198"/>
  <c r="AG104" i="198"/>
  <c r="AH263" i="198"/>
  <c r="AK263" i="198"/>
  <c r="AI263" i="198"/>
  <c r="AG263" i="198"/>
  <c r="AH306" i="198"/>
  <c r="AI306" i="198"/>
  <c r="AK306" i="198"/>
  <c r="AG306" i="198"/>
  <c r="AG206" i="198"/>
  <c r="AI253" i="198"/>
  <c r="AD84" i="198"/>
  <c r="AE84" i="198" s="1"/>
  <c r="AD292" i="198"/>
  <c r="AE292" i="198" s="1"/>
  <c r="AD26" i="198"/>
  <c r="AE26" i="198" s="1"/>
  <c r="AD308" i="198"/>
  <c r="AE308" i="198" s="1"/>
  <c r="AD36" i="198"/>
  <c r="AE36" i="198" s="1"/>
  <c r="AD244" i="198"/>
  <c r="AE244" i="198" s="1"/>
  <c r="AR18" i="198"/>
  <c r="AN205" i="196"/>
  <c r="AQ205" i="196"/>
  <c r="AM205" i="196"/>
  <c r="AO205" i="196"/>
  <c r="AO256" i="196"/>
  <c r="AQ305" i="196"/>
  <c r="AQ215" i="196"/>
  <c r="AI183" i="196"/>
  <c r="AI231" i="196"/>
  <c r="AL119" i="196"/>
  <c r="AI175" i="196"/>
  <c r="AM157" i="196"/>
  <c r="AL225" i="196"/>
  <c r="AI113" i="196"/>
  <c r="AI163" i="196"/>
  <c r="AJ163" i="196" s="1"/>
  <c r="AK163" i="196" s="1"/>
  <c r="AI215" i="196"/>
  <c r="AN287" i="196"/>
  <c r="AI171" i="196"/>
  <c r="AL219" i="196"/>
  <c r="AL91" i="196"/>
  <c r="AI173" i="196"/>
  <c r="AL151" i="196"/>
  <c r="AI262" i="196"/>
  <c r="AI165" i="196"/>
  <c r="AL207" i="196"/>
  <c r="AI167" i="196"/>
  <c r="AJ167" i="196" s="1"/>
  <c r="AK167" i="196" s="1"/>
  <c r="AL239" i="196"/>
  <c r="AL299" i="196"/>
  <c r="AO203" i="196"/>
  <c r="AI159" i="196"/>
  <c r="AI195" i="196"/>
  <c r="AI298" i="196"/>
  <c r="AL139" i="196"/>
  <c r="AO287" i="196"/>
  <c r="AL243" i="196"/>
  <c r="AL127" i="196"/>
  <c r="AM287" i="196"/>
  <c r="AI147" i="196"/>
  <c r="AJ147" i="196" s="1"/>
  <c r="AK147" i="196" s="1"/>
  <c r="AL302" i="196"/>
  <c r="AI155" i="196"/>
  <c r="AL115" i="196"/>
  <c r="AL305" i="196"/>
  <c r="AL235" i="196"/>
  <c r="AI131" i="196"/>
  <c r="AL123" i="196"/>
  <c r="AI253" i="196"/>
  <c r="AL191" i="196"/>
  <c r="AI125" i="196"/>
  <c r="AJ125" i="196" s="1"/>
  <c r="AK125" i="196" s="1"/>
  <c r="AQ113" i="196"/>
  <c r="AO113" i="196"/>
  <c r="AN113" i="196"/>
  <c r="AM113" i="196"/>
  <c r="AM220" i="196"/>
  <c r="AN157" i="196"/>
  <c r="AM107" i="196"/>
  <c r="AJ270" i="196"/>
  <c r="AK270" i="196" s="1"/>
  <c r="AQ34" i="196"/>
  <c r="AL177" i="196"/>
  <c r="AL117" i="196"/>
  <c r="AL237" i="196"/>
  <c r="AI68" i="196"/>
  <c r="AI260" i="196"/>
  <c r="AL223" i="196"/>
  <c r="AQ133" i="196"/>
  <c r="AQ157" i="196"/>
  <c r="AJ120" i="196"/>
  <c r="AK120" i="196" s="1"/>
  <c r="AI53" i="196"/>
  <c r="AI117" i="196"/>
  <c r="AJ117" i="196" s="1"/>
  <c r="AK117" i="196" s="1"/>
  <c r="AI307" i="196"/>
  <c r="AI56" i="196"/>
  <c r="AJ56" i="196" s="1"/>
  <c r="AK56" i="196" s="1"/>
  <c r="AI144" i="196"/>
  <c r="AI299" i="196"/>
  <c r="AI45" i="196"/>
  <c r="AL113" i="196"/>
  <c r="AI310" i="196"/>
  <c r="AI221" i="196"/>
  <c r="AL120" i="196"/>
  <c r="AO133" i="196"/>
  <c r="AM133" i="196"/>
  <c r="AQ256" i="196"/>
  <c r="AI141" i="196"/>
  <c r="AI54" i="196"/>
  <c r="AI203" i="196"/>
  <c r="AL228" i="196"/>
  <c r="AI93" i="196"/>
  <c r="AL264" i="196"/>
  <c r="AM271" i="196"/>
  <c r="AI189" i="196"/>
  <c r="AL149" i="196"/>
  <c r="AL180" i="196"/>
  <c r="AL197" i="196"/>
  <c r="AQ143" i="196"/>
  <c r="AJ81" i="196"/>
  <c r="AK81" i="196" s="1"/>
  <c r="AL249" i="196"/>
  <c r="AI204" i="196"/>
  <c r="AO297" i="196"/>
  <c r="AN297" i="196"/>
  <c r="AI130" i="196"/>
  <c r="AI251" i="196"/>
  <c r="AL186" i="196"/>
  <c r="AL252" i="196"/>
  <c r="AI70" i="196"/>
  <c r="AI186" i="196"/>
  <c r="AL150" i="196"/>
  <c r="AI114" i="196"/>
  <c r="AI246" i="196"/>
  <c r="AO272" i="196"/>
  <c r="AI150" i="196"/>
  <c r="AJ150" i="196" s="1"/>
  <c r="AK150" i="196" s="1"/>
  <c r="AQ155" i="196"/>
  <c r="AM272" i="196"/>
  <c r="AL174" i="196"/>
  <c r="AL222" i="196"/>
  <c r="AM180" i="196"/>
  <c r="AL311" i="196"/>
  <c r="AL138" i="196"/>
  <c r="AL308" i="196"/>
  <c r="AL211" i="196"/>
  <c r="AQ296" i="196"/>
  <c r="AI138" i="196"/>
  <c r="AL310" i="196"/>
  <c r="AN155" i="196"/>
  <c r="AL162" i="196"/>
  <c r="AI82" i="196"/>
  <c r="AI316" i="196"/>
  <c r="AN272" i="196"/>
  <c r="AI126" i="196"/>
  <c r="AI198" i="196"/>
  <c r="AZ272" i="196"/>
  <c r="AK134" i="198"/>
  <c r="AG176" i="198"/>
  <c r="AI176" i="198"/>
  <c r="AK176" i="198"/>
  <c r="AH176" i="198"/>
  <c r="AG51" i="198"/>
  <c r="AG114" i="198"/>
  <c r="AH238" i="198"/>
  <c r="AK239" i="198"/>
  <c r="AK247" i="198"/>
  <c r="AI292" i="198"/>
  <c r="AH292" i="198"/>
  <c r="AG21" i="198"/>
  <c r="AI21" i="198"/>
  <c r="AK21" i="198"/>
  <c r="AH21" i="198"/>
  <c r="AH33" i="198"/>
  <c r="AK33" i="198"/>
  <c r="AI33" i="198"/>
  <c r="AG33" i="198"/>
  <c r="AI167" i="198"/>
  <c r="AK167" i="198"/>
  <c r="AG208" i="198"/>
  <c r="AK208" i="198"/>
  <c r="AG248" i="198"/>
  <c r="AH248" i="198"/>
  <c r="AK283" i="198"/>
  <c r="AH283" i="198"/>
  <c r="AG283" i="198"/>
  <c r="AI283" i="198"/>
  <c r="AI313" i="198"/>
  <c r="AH313" i="198"/>
  <c r="AK22" i="198"/>
  <c r="AI22" i="198"/>
  <c r="AG22" i="198"/>
  <c r="AH22" i="198"/>
  <c r="AG34" i="198"/>
  <c r="AI34" i="198"/>
  <c r="AK34" i="198"/>
  <c r="AH34" i="198"/>
  <c r="AI137" i="198"/>
  <c r="AK230" i="198"/>
  <c r="AI230" i="198"/>
  <c r="AH230" i="198"/>
  <c r="AG230" i="198"/>
  <c r="AH265" i="198"/>
  <c r="AG265" i="198"/>
  <c r="AK45" i="198"/>
  <c r="AH45" i="198"/>
  <c r="AG45" i="198"/>
  <c r="AI45" i="198"/>
  <c r="AK200" i="198"/>
  <c r="AI200" i="198"/>
  <c r="AI266" i="198"/>
  <c r="AH24" i="198"/>
  <c r="AG24" i="198"/>
  <c r="AK24" i="198"/>
  <c r="AI24" i="198"/>
  <c r="AI36" i="198"/>
  <c r="AK36" i="198"/>
  <c r="AH36" i="198"/>
  <c r="AG36" i="198"/>
  <c r="AH100" i="198"/>
  <c r="AG170" i="198"/>
  <c r="AH182" i="198"/>
  <c r="AI182" i="198"/>
  <c r="AK182" i="198"/>
  <c r="AG182" i="198"/>
  <c r="AK268" i="198"/>
  <c r="AI268" i="198"/>
  <c r="AH268" i="198"/>
  <c r="AG268" i="198"/>
  <c r="AH316" i="198"/>
  <c r="AG316" i="198"/>
  <c r="AG109" i="198"/>
  <c r="AK120" i="198"/>
  <c r="AK212" i="198"/>
  <c r="AK58" i="198"/>
  <c r="AI58" i="198"/>
  <c r="AG58" i="198"/>
  <c r="AH58" i="198"/>
  <c r="AK68" i="198"/>
  <c r="AK110" i="198"/>
  <c r="AH110" i="198"/>
  <c r="AH121" i="198"/>
  <c r="AG131" i="198"/>
  <c r="AK131" i="198"/>
  <c r="AI131" i="198"/>
  <c r="AH131" i="198"/>
  <c r="AG173" i="198"/>
  <c r="AI173" i="198"/>
  <c r="AH173" i="198"/>
  <c r="AK173" i="198"/>
  <c r="AG185" i="198"/>
  <c r="AG203" i="198"/>
  <c r="AI203" i="198"/>
  <c r="AK203" i="198"/>
  <c r="AI237" i="198"/>
  <c r="AK132" i="198"/>
  <c r="AH132" i="198"/>
  <c r="AG132" i="198"/>
  <c r="AI132" i="198"/>
  <c r="AH164" i="198"/>
  <c r="AI235" i="198"/>
  <c r="AH235" i="198"/>
  <c r="AG235" i="198"/>
  <c r="AK235" i="198"/>
  <c r="AK289" i="198"/>
  <c r="AG289" i="198"/>
  <c r="AH262" i="198"/>
  <c r="AI60" i="198"/>
  <c r="AI155" i="198"/>
  <c r="AK236" i="198"/>
  <c r="AG280" i="198"/>
  <c r="AD258" i="198"/>
  <c r="AE258" i="198" s="1"/>
  <c r="AC48" i="198"/>
  <c r="AC72" i="198"/>
  <c r="AD76" i="198"/>
  <c r="AE76" i="198" s="1"/>
  <c r="AF129" i="198"/>
  <c r="AD134" i="198"/>
  <c r="AE134" i="198" s="1"/>
  <c r="AC154" i="198"/>
  <c r="AC174" i="198"/>
  <c r="AF199" i="198"/>
  <c r="AD204" i="198"/>
  <c r="AE204" i="198" s="1"/>
  <c r="AC222" i="198"/>
  <c r="AF262" i="198"/>
  <c r="AC275" i="198"/>
  <c r="AD275" i="198" s="1"/>
  <c r="AE275" i="198" s="1"/>
  <c r="AC313" i="198"/>
  <c r="AC64" i="198"/>
  <c r="AF174" i="198"/>
  <c r="AC212" i="198"/>
  <c r="AF64" i="198"/>
  <c r="AF72" i="198"/>
  <c r="AF154" i="198"/>
  <c r="AC167" i="198"/>
  <c r="AC175" i="198"/>
  <c r="AF212" i="198"/>
  <c r="AF222" i="198"/>
  <c r="AD301" i="198"/>
  <c r="AE301" i="198" s="1"/>
  <c r="AC305" i="198"/>
  <c r="AF313" i="198"/>
  <c r="AC22" i="198"/>
  <c r="AC57" i="198"/>
  <c r="AC65" i="198"/>
  <c r="AC122" i="198"/>
  <c r="AF167" i="198"/>
  <c r="AC205" i="198"/>
  <c r="AC213" i="198"/>
  <c r="AC223" i="198"/>
  <c r="AC237" i="198"/>
  <c r="AC268" i="198"/>
  <c r="AF305" i="198"/>
  <c r="AF22" i="198"/>
  <c r="AF57" i="198"/>
  <c r="AF122" i="198"/>
  <c r="AC168" i="198"/>
  <c r="AF175" i="198"/>
  <c r="AC192" i="198"/>
  <c r="AF237" i="198"/>
  <c r="AC256" i="198"/>
  <c r="AC23" i="198"/>
  <c r="AF65" i="198"/>
  <c r="AC136" i="198"/>
  <c r="AF205" i="198"/>
  <c r="AD218" i="198"/>
  <c r="AE218" i="198" s="1"/>
  <c r="AF223" i="198"/>
  <c r="AD260" i="198"/>
  <c r="AE260" i="198" s="1"/>
  <c r="AF268" i="198"/>
  <c r="AC289" i="198"/>
  <c r="AC297" i="198"/>
  <c r="AS18" i="198"/>
  <c r="AC86" i="198"/>
  <c r="AC115" i="198"/>
  <c r="AC160" i="198"/>
  <c r="AF168" i="198"/>
  <c r="AC184" i="198"/>
  <c r="AF256" i="198"/>
  <c r="AF297" i="198"/>
  <c r="AF23" i="198"/>
  <c r="AC31" i="198"/>
  <c r="AF86" i="198"/>
  <c r="AC144" i="198"/>
  <c r="AC269" i="198"/>
  <c r="AF289" i="198"/>
  <c r="AF31" i="198"/>
  <c r="AC39" i="198"/>
  <c r="AC79" i="198"/>
  <c r="AF115" i="198"/>
  <c r="AF160" i="198"/>
  <c r="AF184" i="198"/>
  <c r="AC230" i="198"/>
  <c r="AF269" i="198"/>
  <c r="AC32" i="198"/>
  <c r="AF39" i="198"/>
  <c r="AC87" i="198"/>
  <c r="AC100" i="198"/>
  <c r="AD100" i="198" s="1"/>
  <c r="AE100" i="198" s="1"/>
  <c r="AD112" i="198"/>
  <c r="AE112" i="198" s="1"/>
  <c r="AD173" i="198"/>
  <c r="AE173" i="198" s="1"/>
  <c r="AF230" i="198"/>
  <c r="AM143" i="197"/>
  <c r="AN131" i="197"/>
  <c r="AN278" i="197"/>
  <c r="AN143" i="197"/>
  <c r="AL211" i="197"/>
  <c r="AM267" i="197"/>
  <c r="AG177" i="197"/>
  <c r="AM131" i="197"/>
  <c r="AG154" i="197"/>
  <c r="AL121" i="197"/>
  <c r="AN76" i="197"/>
  <c r="AM42" i="197"/>
  <c r="AL99" i="197"/>
  <c r="AG87" i="197"/>
  <c r="AL200" i="197"/>
  <c r="AH19" i="197"/>
  <c r="AH75" i="197"/>
  <c r="AH99" i="197"/>
  <c r="AH131" i="197"/>
  <c r="AK143" i="197"/>
  <c r="AH210" i="197"/>
  <c r="AK223" i="197"/>
  <c r="AK278" i="197"/>
  <c r="AH291" i="197"/>
  <c r="AG98" i="197"/>
  <c r="AH64" i="197"/>
  <c r="AH120" i="197"/>
  <c r="AN291" i="197"/>
  <c r="AO291" i="197" s="1"/>
  <c r="AN234" i="197"/>
  <c r="AN75" i="197"/>
  <c r="AM223" i="197"/>
  <c r="AN210" i="197"/>
  <c r="AM279" i="197"/>
  <c r="AM268" i="197"/>
  <c r="AM234" i="197"/>
  <c r="AM120" i="197"/>
  <c r="AN19" i="197"/>
  <c r="AG64" i="197"/>
  <c r="AL300" i="197"/>
  <c r="AK19" i="197"/>
  <c r="AK75" i="197"/>
  <c r="AH87" i="197"/>
  <c r="AK99" i="197"/>
  <c r="AK131" i="197"/>
  <c r="AH144" i="197"/>
  <c r="AH199" i="197"/>
  <c r="AK210" i="197"/>
  <c r="AK291" i="197"/>
  <c r="AL312" i="197"/>
  <c r="AL257" i="197"/>
  <c r="AN188" i="197"/>
  <c r="AN42" i="197"/>
  <c r="AM256" i="197"/>
  <c r="AL267" i="197"/>
  <c r="AN223" i="197"/>
  <c r="AN256" i="197"/>
  <c r="AM211" i="197"/>
  <c r="AG166" i="197"/>
  <c r="AN64" i="197"/>
  <c r="AG75" i="197"/>
  <c r="AM31" i="197"/>
  <c r="AK64" i="197"/>
  <c r="AH108" i="197"/>
  <c r="AK120" i="197"/>
  <c r="AH188" i="197"/>
  <c r="AH200" i="197"/>
  <c r="AK256" i="197"/>
  <c r="AH268" i="197"/>
  <c r="AH312" i="197"/>
  <c r="AM188" i="197"/>
  <c r="AM313" i="197"/>
  <c r="AL188" i="197"/>
  <c r="AN267" i="197"/>
  <c r="AM53" i="197"/>
  <c r="AN86" i="197"/>
  <c r="AN155" i="197"/>
  <c r="AL210" i="197"/>
  <c r="AG189" i="197"/>
  <c r="AG76" i="197"/>
  <c r="AL120" i="197"/>
  <c r="AN18" i="197"/>
  <c r="AN154" i="197"/>
  <c r="AM154" i="197"/>
  <c r="AG278" i="197"/>
  <c r="AG245" i="197"/>
  <c r="AG53" i="197"/>
  <c r="AG131" i="197"/>
  <c r="AG155" i="197"/>
  <c r="AH65" i="197"/>
  <c r="AK108" i="197"/>
  <c r="AH121" i="197"/>
  <c r="AK188" i="197"/>
  <c r="AK200" i="197"/>
  <c r="AH257" i="197"/>
  <c r="AK268" i="197"/>
  <c r="AH300" i="197"/>
  <c r="AK312" i="197"/>
  <c r="AM312" i="197"/>
  <c r="AL268" i="197"/>
  <c r="AG267" i="197"/>
  <c r="AN200" i="197"/>
  <c r="AL177" i="197"/>
  <c r="AM86" i="197"/>
  <c r="AL109" i="197"/>
  <c r="AG108" i="197"/>
  <c r="AL54" i="197"/>
  <c r="AL18" i="197"/>
  <c r="AL166" i="197"/>
  <c r="AG199" i="197"/>
  <c r="AG18" i="197"/>
  <c r="AH42" i="197"/>
  <c r="AH53" i="197"/>
  <c r="AK65" i="197"/>
  <c r="AH109" i="197"/>
  <c r="AK121" i="197"/>
  <c r="AH177" i="197"/>
  <c r="AH189" i="197"/>
  <c r="AH245" i="197"/>
  <c r="AK257" i="197"/>
  <c r="AK300" i="197"/>
  <c r="AH313" i="197"/>
  <c r="AG300" i="197"/>
  <c r="AN290" i="197"/>
  <c r="AM290" i="197"/>
  <c r="AL290" i="197"/>
  <c r="AG290" i="197"/>
  <c r="AN109" i="197"/>
  <c r="AL53" i="197"/>
  <c r="AM98" i="197"/>
  <c r="AM108" i="197"/>
  <c r="AL132" i="197"/>
  <c r="AL279" i="197"/>
  <c r="AL278" i="197"/>
  <c r="AG234" i="197"/>
  <c r="AN53" i="197"/>
  <c r="AG144" i="197"/>
  <c r="AM155" i="197"/>
  <c r="AL301" i="197"/>
  <c r="AG257" i="197"/>
  <c r="AK42" i="197"/>
  <c r="AK53" i="197"/>
  <c r="AK109" i="197"/>
  <c r="AK177" i="197"/>
  <c r="AK189" i="197"/>
  <c r="AK245" i="197"/>
  <c r="AH301" i="197"/>
  <c r="AK313" i="197"/>
  <c r="AM222" i="197"/>
  <c r="AN199" i="197"/>
  <c r="AN54" i="197"/>
  <c r="AN121" i="197"/>
  <c r="AM121" i="197"/>
  <c r="AG268" i="197"/>
  <c r="AL64" i="197"/>
  <c r="AM54" i="197"/>
  <c r="AG99" i="197"/>
  <c r="AM177" i="197"/>
  <c r="AG86" i="197"/>
  <c r="AG143" i="197"/>
  <c r="AH54" i="197"/>
  <c r="AH154" i="197"/>
  <c r="AH234" i="197"/>
  <c r="AH246" i="197"/>
  <c r="AK301" i="197"/>
  <c r="AH256" i="197"/>
  <c r="AK267" i="197"/>
  <c r="AG291" i="197"/>
  <c r="AG313" i="197"/>
  <c r="AM245" i="197"/>
  <c r="AN211" i="197"/>
  <c r="AN177" i="197"/>
  <c r="AN120" i="197"/>
  <c r="AG279" i="197"/>
  <c r="AI279" i="197" s="1"/>
  <c r="AJ279" i="197" s="1"/>
  <c r="AN246" i="197"/>
  <c r="AL143" i="197"/>
  <c r="AN108" i="197"/>
  <c r="AM18" i="197"/>
  <c r="AN301" i="197"/>
  <c r="AN99" i="197"/>
  <c r="AM300" i="197"/>
  <c r="AG65" i="197"/>
  <c r="AL154" i="197"/>
  <c r="AG301" i="197"/>
  <c r="AH30" i="197"/>
  <c r="AK54" i="197"/>
  <c r="AH98" i="197"/>
  <c r="AK154" i="197"/>
  <c r="AH166" i="197"/>
  <c r="AK234" i="197"/>
  <c r="AK246" i="197"/>
  <c r="AM64" i="197"/>
  <c r="AG210" i="197"/>
  <c r="AG312" i="197"/>
  <c r="AN313" i="197"/>
  <c r="AO313" i="197" s="1"/>
  <c r="AM278" i="197"/>
  <c r="AL199" i="197"/>
  <c r="AL75" i="197"/>
  <c r="AM109" i="197"/>
  <c r="AN166" i="197"/>
  <c r="AL108" i="197"/>
  <c r="AL86" i="197"/>
  <c r="AM132" i="197"/>
  <c r="AM210" i="197"/>
  <c r="AM166" i="197"/>
  <c r="AG121" i="197"/>
  <c r="AL42" i="197"/>
  <c r="AN300" i="197"/>
  <c r="AL155" i="197"/>
  <c r="AG31" i="197"/>
  <c r="AH18" i="197"/>
  <c r="AH31" i="197"/>
  <c r="AH86" i="197"/>
  <c r="AK98" i="197"/>
  <c r="AH155" i="197"/>
  <c r="AK166" i="197"/>
  <c r="AH290" i="197"/>
  <c r="AG188" i="197"/>
  <c r="AN312" i="197"/>
  <c r="AN268" i="197"/>
  <c r="AM199" i="197"/>
  <c r="AM75" i="197"/>
  <c r="AL131" i="197"/>
  <c r="AL256" i="197"/>
  <c r="AG256" i="197"/>
  <c r="AG223" i="197"/>
  <c r="AN189" i="197"/>
  <c r="AO189" i="197" s="1"/>
  <c r="AG132" i="197"/>
  <c r="AI132" i="197" s="1"/>
  <c r="AJ132" i="197" s="1"/>
  <c r="AG54" i="197"/>
  <c r="AN31" i="197"/>
  <c r="AL31" i="197"/>
  <c r="AK18" i="197"/>
  <c r="AK31" i="197"/>
  <c r="AK86" i="197"/>
  <c r="AH143" i="197"/>
  <c r="AK155" i="197"/>
  <c r="AH223" i="197"/>
  <c r="AH278" i="197"/>
  <c r="AK290" i="197"/>
  <c r="AN310" i="196"/>
  <c r="AM310" i="196"/>
  <c r="AQ310" i="196"/>
  <c r="AO310" i="196"/>
  <c r="AQ80" i="196"/>
  <c r="BA16" i="196"/>
  <c r="AI249" i="196"/>
  <c r="AL250" i="196"/>
  <c r="AI92" i="196"/>
  <c r="AJ92" i="196" s="1"/>
  <c r="AK92" i="196" s="1"/>
  <c r="AL126" i="196"/>
  <c r="AL94" i="196"/>
  <c r="AL52" i="196"/>
  <c r="AL75" i="196"/>
  <c r="AO103" i="196"/>
  <c r="AL210" i="196"/>
  <c r="AL88" i="196"/>
  <c r="AI193" i="196"/>
  <c r="AN107" i="196"/>
  <c r="AL78" i="196"/>
  <c r="AI197" i="196"/>
  <c r="AI80" i="196"/>
  <c r="AI88" i="196"/>
  <c r="AJ88" i="196" s="1"/>
  <c r="AK88" i="196" s="1"/>
  <c r="AL46" i="196"/>
  <c r="AI291" i="196"/>
  <c r="AJ274" i="196"/>
  <c r="AK274" i="196" s="1"/>
  <c r="AL40" i="196"/>
  <c r="AI233" i="196"/>
  <c r="AJ233" i="196" s="1"/>
  <c r="AK233" i="196" s="1"/>
  <c r="AL233" i="196"/>
  <c r="AL201" i="196"/>
  <c r="AI201" i="196"/>
  <c r="AL213" i="196"/>
  <c r="AI229" i="196"/>
  <c r="AL125" i="196"/>
  <c r="AL137" i="196"/>
  <c r="AI145" i="196"/>
  <c r="AL157" i="196"/>
  <c r="AJ271" i="196"/>
  <c r="AK271" i="196" s="1"/>
  <c r="AM288" i="196"/>
  <c r="AI153" i="196"/>
  <c r="AI293" i="196"/>
  <c r="AI67" i="196"/>
  <c r="AJ67" i="196" s="1"/>
  <c r="AK67" i="196" s="1"/>
  <c r="AL245" i="196"/>
  <c r="AI295" i="196"/>
  <c r="AL114" i="196"/>
  <c r="AI283" i="196"/>
  <c r="AL70" i="196"/>
  <c r="AQ101" i="196"/>
  <c r="AL316" i="196"/>
  <c r="AI58" i="196"/>
  <c r="AS16" i="196"/>
  <c r="AM256" i="196"/>
  <c r="AQ162" i="196"/>
  <c r="AI209" i="196"/>
  <c r="AL104" i="196"/>
  <c r="AI234" i="196"/>
  <c r="AL145" i="196"/>
  <c r="AI52" i="196"/>
  <c r="AI227" i="196"/>
  <c r="AL187" i="196"/>
  <c r="AL224" i="196"/>
  <c r="AD150" i="198"/>
  <c r="AE150" i="198" s="1"/>
  <c r="AD30" i="198"/>
  <c r="AE30" i="198" s="1"/>
  <c r="AO214" i="197"/>
  <c r="AO98" i="197"/>
  <c r="AO26" i="197"/>
  <c r="AQ30" i="196"/>
  <c r="AM30" i="196"/>
  <c r="AN200" i="196"/>
  <c r="AQ200" i="196"/>
  <c r="AN102" i="196"/>
  <c r="AO30" i="196"/>
  <c r="AN30" i="196"/>
  <c r="AM102" i="196"/>
  <c r="AQ235" i="196"/>
  <c r="AM235" i="196"/>
  <c r="AM77" i="196"/>
  <c r="AQ77" i="196"/>
  <c r="AN77" i="196"/>
  <c r="AN45" i="196"/>
  <c r="AM45" i="196"/>
  <c r="AM57" i="196"/>
  <c r="AQ57" i="196"/>
  <c r="AI38" i="196"/>
  <c r="AL50" i="196"/>
  <c r="AI50" i="196"/>
  <c r="AL62" i="196"/>
  <c r="AI62" i="196"/>
  <c r="AI74" i="196"/>
  <c r="AL86" i="196"/>
  <c r="AI86" i="196"/>
  <c r="AL98" i="196"/>
  <c r="AI98" i="196"/>
  <c r="AI110" i="196"/>
  <c r="AL289" i="196"/>
  <c r="AI289" i="196"/>
  <c r="AL268" i="196"/>
  <c r="AL281" i="196"/>
  <c r="AI281" i="196"/>
  <c r="AO200" i="196"/>
  <c r="AN284" i="196"/>
  <c r="AM284" i="196"/>
  <c r="AL74" i="196"/>
  <c r="AL306" i="196"/>
  <c r="AI306" i="196"/>
  <c r="AL303" i="196"/>
  <c r="AL244" i="196"/>
  <c r="AL196" i="196"/>
  <c r="AI196" i="196"/>
  <c r="AL208" i="196"/>
  <c r="AI208" i="196"/>
  <c r="AL220" i="196"/>
  <c r="AI220" i="196"/>
  <c r="AN232" i="196"/>
  <c r="AL232" i="196"/>
  <c r="AI124" i="196"/>
  <c r="AL136" i="196"/>
  <c r="AI136" i="196"/>
  <c r="AJ136" i="196" s="1"/>
  <c r="AK136" i="196" s="1"/>
  <c r="AL148" i="196"/>
  <c r="AI148" i="196"/>
  <c r="AL160" i="196"/>
  <c r="AL172" i="196"/>
  <c r="AI172" i="196"/>
  <c r="AO172" i="196"/>
  <c r="AL184" i="196"/>
  <c r="AI184" i="196"/>
  <c r="AN27" i="196"/>
  <c r="AM200" i="196"/>
  <c r="AO219" i="196"/>
  <c r="AQ219" i="196"/>
  <c r="AN219" i="196"/>
  <c r="AN271" i="196"/>
  <c r="AO271" i="196"/>
  <c r="AQ191" i="196"/>
  <c r="AN191" i="196"/>
  <c r="AL48" i="196"/>
  <c r="AI60" i="196"/>
  <c r="AL60" i="196"/>
  <c r="AL72" i="196"/>
  <c r="AI72" i="196"/>
  <c r="AL84" i="196"/>
  <c r="AI84" i="196"/>
  <c r="AL96" i="196"/>
  <c r="AL108" i="196"/>
  <c r="AL263" i="196"/>
  <c r="AI263" i="196"/>
  <c r="AJ266" i="196"/>
  <c r="AK266" i="196" s="1"/>
  <c r="AL266" i="196"/>
  <c r="AL279" i="196"/>
  <c r="AI279" i="196"/>
  <c r="AI314" i="196"/>
  <c r="AL314" i="196"/>
  <c r="AN32" i="196"/>
  <c r="AO50" i="196"/>
  <c r="AQ69" i="196"/>
  <c r="AM69" i="196"/>
  <c r="AL304" i="196"/>
  <c r="AI304" i="196"/>
  <c r="AL301" i="196"/>
  <c r="AI301" i="196"/>
  <c r="AL242" i="196"/>
  <c r="AI242" i="196"/>
  <c r="AL194" i="196"/>
  <c r="AI194" i="196"/>
  <c r="AI206" i="196"/>
  <c r="AI218" i="196"/>
  <c r="AL230" i="196"/>
  <c r="AI230" i="196"/>
  <c r="AL122" i="196"/>
  <c r="AI122" i="196"/>
  <c r="AL134" i="196"/>
  <c r="AL146" i="196"/>
  <c r="AI146" i="196"/>
  <c r="AL158" i="196"/>
  <c r="AI158" i="196"/>
  <c r="AL170" i="196"/>
  <c r="AI170" i="196"/>
  <c r="AL182" i="196"/>
  <c r="AM34" i="196"/>
  <c r="AO105" i="196"/>
  <c r="AQ105" i="196"/>
  <c r="AI313" i="196"/>
  <c r="AJ160" i="196"/>
  <c r="AK160" i="196" s="1"/>
  <c r="AL110" i="196"/>
  <c r="AO27" i="196"/>
  <c r="AL313" i="196"/>
  <c r="AL38" i="196"/>
  <c r="AI48" i="196"/>
  <c r="AI303" i="196"/>
  <c r="AL33" i="196"/>
  <c r="AR33" i="196" s="1"/>
  <c r="AI247" i="196"/>
  <c r="AJ247" i="196" s="1"/>
  <c r="AK247" i="196" s="1"/>
  <c r="AL35" i="196"/>
  <c r="AR35" i="196" s="1"/>
  <c r="AI181" i="196"/>
  <c r="AJ181" i="196" s="1"/>
  <c r="AK181" i="196" s="1"/>
  <c r="AV16" i="196"/>
  <c r="AJ169" i="196"/>
  <c r="AK169" i="196" s="1"/>
  <c r="P86" i="180"/>
  <c r="P88" i="180" s="1"/>
  <c r="P106" i="180"/>
  <c r="H36" i="182"/>
  <c r="I36" i="182"/>
  <c r="I46" i="182" s="1"/>
  <c r="AN18" i="198"/>
  <c r="AD92" i="198"/>
  <c r="AE92" i="198" s="1"/>
  <c r="AP18" i="198"/>
  <c r="AO18" i="198"/>
  <c r="AD282" i="198"/>
  <c r="AE282" i="198" s="1"/>
  <c r="AD69" i="198"/>
  <c r="AE69" i="198" s="1"/>
  <c r="AD118" i="198"/>
  <c r="AE118" i="198" s="1"/>
  <c r="AD199" i="198"/>
  <c r="AE199" i="198" s="1"/>
  <c r="AD37" i="198"/>
  <c r="AE37" i="198" s="1"/>
  <c r="AD60" i="198"/>
  <c r="AE60" i="198" s="1"/>
  <c r="AD102" i="198"/>
  <c r="AE102" i="198" s="1"/>
  <c r="AD180" i="198"/>
  <c r="AE180" i="198" s="1"/>
  <c r="AD284" i="198"/>
  <c r="AE284" i="198" s="1"/>
  <c r="AO184" i="197"/>
  <c r="AP16" i="197"/>
  <c r="AO102" i="197"/>
  <c r="AW16" i="196"/>
  <c r="AX16" i="196"/>
  <c r="I15" i="182" s="1"/>
  <c r="AY16" i="196"/>
  <c r="P43" i="180"/>
  <c r="AN21" i="200"/>
  <c r="AO16" i="200"/>
  <c r="AI19" i="200"/>
  <c r="AG19" i="200" s="1"/>
  <c r="AH17" i="200"/>
  <c r="AR22" i="200"/>
  <c r="AP26" i="200"/>
  <c r="AS17" i="200"/>
  <c r="AQ22" i="200"/>
  <c r="AH25" i="200"/>
  <c r="AF25" i="200" s="1"/>
  <c r="AY20" i="200" s="1"/>
  <c r="AS30" i="200"/>
  <c r="AQ26" i="200"/>
  <c r="AN16" i="200"/>
  <c r="AR31" i="200"/>
  <c r="AI30" i="200"/>
  <c r="AG30" i="200" s="1"/>
  <c r="AI22" i="200"/>
  <c r="AH29" i="200"/>
  <c r="AF29" i="200" s="1"/>
  <c r="AS28" i="200"/>
  <c r="AO26" i="200"/>
  <c r="AS31" i="200"/>
  <c r="AM31" i="200" s="1"/>
  <c r="AS29" i="200"/>
  <c r="AO21" i="200"/>
  <c r="AI23" i="200"/>
  <c r="AG23" i="200" s="1"/>
  <c r="AZ18" i="200" s="1"/>
  <c r="AR25" i="200"/>
  <c r="BE20" i="200" s="1"/>
  <c r="AR29" i="200"/>
  <c r="AI27" i="200"/>
  <c r="AR23" i="200"/>
  <c r="BE18" i="200" s="1"/>
  <c r="AR20" i="200"/>
  <c r="AN26" i="200"/>
  <c r="AS18" i="200"/>
  <c r="AI28" i="200"/>
  <c r="AG28" i="200" s="1"/>
  <c r="AH20" i="200"/>
  <c r="AS23" i="200"/>
  <c r="BF18" i="200" s="1"/>
  <c r="AH27" i="200"/>
  <c r="AH30" i="200"/>
  <c r="AF30" i="200" s="1"/>
  <c r="AH18" i="200"/>
  <c r="AS27" i="200"/>
  <c r="AR19" i="200"/>
  <c r="AR30" i="200"/>
  <c r="AI25" i="200"/>
  <c r="AG25" i="200" s="1"/>
  <c r="AZ20" i="200" s="1"/>
  <c r="AI20" i="200"/>
  <c r="AK22" i="200"/>
  <c r="AS25" i="200"/>
  <c r="BF20" i="200" s="1"/>
  <c r="AH22" i="200"/>
  <c r="AR27" i="200"/>
  <c r="AQ17" i="200"/>
  <c r="AH24" i="200"/>
  <c r="AF24" i="200" s="1"/>
  <c r="AY19" i="200" s="1"/>
  <c r="AR18" i="200"/>
  <c r="AJ17" i="200"/>
  <c r="AJ22" i="200"/>
  <c r="AS24" i="200"/>
  <c r="BF19" i="200" s="1"/>
  <c r="AK17" i="200"/>
  <c r="AS22" i="200"/>
  <c r="AS19" i="200"/>
  <c r="AR24" i="200"/>
  <c r="BE19" i="200" s="1"/>
  <c r="AP22" i="200"/>
  <c r="AH28" i="200"/>
  <c r="AF28" i="200" s="1"/>
  <c r="AI17" i="200"/>
  <c r="AI29" i="200"/>
  <c r="AG29" i="200" s="1"/>
  <c r="AP17" i="200"/>
  <c r="AF299" i="198"/>
  <c r="AC299" i="198"/>
  <c r="AF54" i="198"/>
  <c r="AD234" i="198"/>
  <c r="AE234" i="198" s="1"/>
  <c r="AF234" i="198"/>
  <c r="AF116" i="198"/>
  <c r="AF130" i="198"/>
  <c r="AC130" i="198"/>
  <c r="AF219" i="198"/>
  <c r="AC219" i="198"/>
  <c r="AC161" i="198"/>
  <c r="AF198" i="198"/>
  <c r="AF255" i="198"/>
  <c r="AC255" i="198"/>
  <c r="AF42" i="198"/>
  <c r="AF249" i="198"/>
  <c r="AC249" i="198"/>
  <c r="AC126" i="198"/>
  <c r="AF126" i="198"/>
  <c r="AF224" i="198"/>
  <c r="AC224" i="198"/>
  <c r="AD123" i="198"/>
  <c r="AE123" i="198" s="1"/>
  <c r="AF187" i="198"/>
  <c r="AC187" i="198"/>
  <c r="AD187" i="198" s="1"/>
  <c r="AE187" i="198" s="1"/>
  <c r="AF30" i="198"/>
  <c r="AC74" i="198"/>
  <c r="AD74" i="198" s="1"/>
  <c r="AE74" i="198" s="1"/>
  <c r="AF88" i="198"/>
  <c r="AC88" i="198"/>
  <c r="AC196" i="198"/>
  <c r="AD196" i="198" s="1"/>
  <c r="AE196" i="198" s="1"/>
  <c r="AF210" i="198"/>
  <c r="AC220" i="198"/>
  <c r="AD220" i="198" s="1"/>
  <c r="AE220" i="198" s="1"/>
  <c r="AQ19" i="198"/>
  <c r="AD314" i="198"/>
  <c r="AE314" i="198" s="1"/>
  <c r="AF287" i="198"/>
  <c r="AC202" i="198"/>
  <c r="AC214" i="198"/>
  <c r="AF216" i="198"/>
  <c r="AC226" i="198"/>
  <c r="AF228" i="198"/>
  <c r="AC267" i="198"/>
  <c r="AC303" i="198"/>
  <c r="AF311" i="198"/>
  <c r="AU16" i="197"/>
  <c r="AL265" i="197"/>
  <c r="AG265" i="197"/>
  <c r="AL73" i="197"/>
  <c r="AN73" i="197"/>
  <c r="AG105" i="197"/>
  <c r="AN30" i="197"/>
  <c r="AN201" i="197"/>
  <c r="AL148" i="197"/>
  <c r="AG137" i="197"/>
  <c r="AH20" i="197"/>
  <c r="AK30" i="197"/>
  <c r="AH62" i="197"/>
  <c r="AK212" i="197"/>
  <c r="AH222" i="197"/>
  <c r="AH254" i="197"/>
  <c r="AH286" i="197"/>
  <c r="AH297" i="197"/>
  <c r="AH308" i="197"/>
  <c r="AN308" i="197"/>
  <c r="AV16" i="197"/>
  <c r="AL286" i="197"/>
  <c r="AL233" i="197"/>
  <c r="AM41" i="197"/>
  <c r="AN137" i="197"/>
  <c r="AN52" i="197"/>
  <c r="AM73" i="197"/>
  <c r="AG222" i="197"/>
  <c r="AG169" i="197"/>
  <c r="AG73" i="197"/>
  <c r="AM297" i="197"/>
  <c r="AN212" i="197"/>
  <c r="AK20" i="197"/>
  <c r="AH41" i="197"/>
  <c r="AK62" i="197"/>
  <c r="AH148" i="197"/>
  <c r="AK222" i="197"/>
  <c r="AK254" i="197"/>
  <c r="AK286" i="197"/>
  <c r="AK297" i="197"/>
  <c r="AK308" i="197"/>
  <c r="AW16" i="197"/>
  <c r="P19" i="181" s="1"/>
  <c r="AM286" i="197"/>
  <c r="AM233" i="197"/>
  <c r="AL179" i="197"/>
  <c r="AN297" i="197"/>
  <c r="AG297" i="197"/>
  <c r="AG212" i="197"/>
  <c r="AS16" i="197"/>
  <c r="AQ16" i="197"/>
  <c r="AR16" i="197"/>
  <c r="I26" i="182" s="1"/>
  <c r="AX16" i="197"/>
  <c r="AG116" i="197"/>
  <c r="AK41" i="197"/>
  <c r="AH52" i="197"/>
  <c r="AH73" i="197"/>
  <c r="AH83" i="197"/>
  <c r="AK148" i="197"/>
  <c r="AM94" i="197"/>
  <c r="AM244" i="197"/>
  <c r="AG179" i="197"/>
  <c r="AK52" i="197"/>
  <c r="AK73" i="197"/>
  <c r="AK83" i="197"/>
  <c r="AH158" i="197"/>
  <c r="AH190" i="197"/>
  <c r="AH275" i="197"/>
  <c r="AM308" i="197"/>
  <c r="AL158" i="197"/>
  <c r="AM126" i="197"/>
  <c r="AN244" i="197"/>
  <c r="AN286" i="197"/>
  <c r="AG201" i="197"/>
  <c r="AM190" i="197"/>
  <c r="AG190" i="197"/>
  <c r="AL41" i="197"/>
  <c r="AO106" i="197"/>
  <c r="AL30" i="197"/>
  <c r="AG158" i="197"/>
  <c r="AL297" i="197"/>
  <c r="AH94" i="197"/>
  <c r="AK158" i="197"/>
  <c r="AK190" i="197"/>
  <c r="AH233" i="197"/>
  <c r="AK275" i="197"/>
  <c r="AN94" i="197"/>
  <c r="AM116" i="197"/>
  <c r="AM169" i="197"/>
  <c r="AL116" i="197"/>
  <c r="AO116" i="197" s="1"/>
  <c r="AL62" i="197"/>
  <c r="AO130" i="197"/>
  <c r="AM105" i="197"/>
  <c r="AG126" i="197"/>
  <c r="AN105" i="197"/>
  <c r="AM30" i="197"/>
  <c r="AK94" i="197"/>
  <c r="AK233" i="197"/>
  <c r="AL308" i="197"/>
  <c r="AM254" i="197"/>
  <c r="AM62" i="197"/>
  <c r="AM265" i="197"/>
  <c r="AM201" i="197"/>
  <c r="AG52" i="197"/>
  <c r="AG233" i="197"/>
  <c r="AI233" i="197" s="1"/>
  <c r="AG62" i="197"/>
  <c r="AG94" i="197"/>
  <c r="AH105" i="197"/>
  <c r="AH126" i="197"/>
  <c r="AN254" i="197"/>
  <c r="AN179" i="197"/>
  <c r="AN41" i="197"/>
  <c r="AN233" i="197"/>
  <c r="AL222" i="197"/>
  <c r="AN169" i="197"/>
  <c r="AG83" i="197"/>
  <c r="AK105" i="197"/>
  <c r="AH116" i="197"/>
  <c r="AK126" i="197"/>
  <c r="AH201" i="197"/>
  <c r="AL254" i="197"/>
  <c r="AL83" i="197"/>
  <c r="AN62" i="197"/>
  <c r="AL275" i="197"/>
  <c r="AM83" i="197"/>
  <c r="AG148" i="197"/>
  <c r="AL94" i="197"/>
  <c r="AM148" i="197"/>
  <c r="AN148" i="197"/>
  <c r="AM158" i="197"/>
  <c r="AL212" i="197"/>
  <c r="AG30" i="197"/>
  <c r="AG41" i="197"/>
  <c r="AK116" i="197"/>
  <c r="AH169" i="197"/>
  <c r="AK201" i="197"/>
  <c r="AN222" i="197"/>
  <c r="AN126" i="197"/>
  <c r="AM20" i="197"/>
  <c r="AN83" i="197"/>
  <c r="AM52" i="197"/>
  <c r="AL137" i="197"/>
  <c r="AL52" i="197"/>
  <c r="AN20" i="197"/>
  <c r="AO20" i="197" s="1"/>
  <c r="AG275" i="197"/>
  <c r="AH137" i="197"/>
  <c r="AK169" i="197"/>
  <c r="AH244" i="197"/>
  <c r="AM137" i="197"/>
  <c r="AN265" i="197"/>
  <c r="AL244" i="197"/>
  <c r="AM275" i="197"/>
  <c r="AG286" i="197"/>
  <c r="AL201" i="197"/>
  <c r="AM212" i="197"/>
  <c r="AL190" i="197"/>
  <c r="AM179" i="197"/>
  <c r="AN158" i="197"/>
  <c r="AL126" i="197"/>
  <c r="AG20" i="197"/>
  <c r="AK137" i="197"/>
  <c r="AH179" i="197"/>
  <c r="AK244" i="197"/>
  <c r="AH265" i="197"/>
  <c r="AN18" i="196"/>
  <c r="AO18" i="196"/>
  <c r="AQ18" i="196"/>
  <c r="AQ28" i="196"/>
  <c r="AN28" i="196"/>
  <c r="AO28" i="196"/>
  <c r="AN313" i="196"/>
  <c r="AO313" i="196"/>
  <c r="AQ313" i="196"/>
  <c r="AM313" i="196"/>
  <c r="AL17" i="196"/>
  <c r="AR17" i="196" s="1"/>
  <c r="AI17" i="196"/>
  <c r="AL19" i="196"/>
  <c r="AR19" i="196" s="1"/>
  <c r="AI19" i="196"/>
  <c r="AJ19" i="196" s="1"/>
  <c r="AK19" i="196" s="1"/>
  <c r="AL30" i="196"/>
  <c r="AR30" i="196" s="1"/>
  <c r="AZ30" i="196" s="1"/>
  <c r="AI30" i="196"/>
  <c r="AI28" i="196"/>
  <c r="AJ28" i="196" s="1"/>
  <c r="AK28" i="196" s="1"/>
  <c r="AL28" i="196"/>
  <c r="AR28" i="196" s="1"/>
  <c r="AZ28" i="196" s="1"/>
  <c r="AI26" i="196"/>
  <c r="AJ26" i="196" s="1"/>
  <c r="AK26" i="196" s="1"/>
  <c r="AL26" i="196"/>
  <c r="AR26" i="196" s="1"/>
  <c r="AM27" i="196"/>
  <c r="AM28" i="196"/>
  <c r="AM19" i="196"/>
  <c r="AI24" i="196"/>
  <c r="AL24" i="196"/>
  <c r="AR24" i="196" s="1"/>
  <c r="AL31" i="196"/>
  <c r="AR31" i="196" s="1"/>
  <c r="AI31" i="196"/>
  <c r="AQ271" i="196"/>
  <c r="AN24" i="196"/>
  <c r="AL20" i="196"/>
  <c r="AR20" i="196" s="1"/>
  <c r="AI20" i="196"/>
  <c r="AJ20" i="196" s="1"/>
  <c r="AK20" i="196" s="1"/>
  <c r="AI22" i="196"/>
  <c r="AL22" i="196"/>
  <c r="AR22" i="196" s="1"/>
  <c r="AL18" i="196"/>
  <c r="AR18" i="196" s="1"/>
  <c r="AZ18" i="196" s="1"/>
  <c r="AI18" i="196"/>
  <c r="AL29" i="196"/>
  <c r="AR29" i="196" s="1"/>
  <c r="AI29" i="196"/>
  <c r="AN93" i="196"/>
  <c r="AM111" i="196"/>
  <c r="AQ111" i="196"/>
  <c r="AL23" i="196"/>
  <c r="AR23" i="196" s="1"/>
  <c r="AM32" i="196"/>
  <c r="AZ24" i="196"/>
  <c r="AJ23" i="196"/>
  <c r="AK23" i="196" s="1"/>
  <c r="AO24" i="196"/>
  <c r="AQ24" i="196"/>
  <c r="AM18" i="196"/>
  <c r="AI315" i="196"/>
  <c r="AI27" i="196"/>
  <c r="AL27" i="196"/>
  <c r="AR27" i="196" s="1"/>
  <c r="AZ27" i="196" s="1"/>
  <c r="AI21" i="196"/>
  <c r="AL21" i="196"/>
  <c r="AR21" i="196" s="1"/>
  <c r="AM24" i="196"/>
  <c r="AL315" i="196"/>
  <c r="AO32" i="196"/>
  <c r="AI25" i="196"/>
  <c r="AL25" i="196"/>
  <c r="AR25" i="196" s="1"/>
  <c r="AL32" i="196"/>
  <c r="AR32" i="196" s="1"/>
  <c r="AZ32" i="196" s="1"/>
  <c r="AI32" i="196"/>
  <c r="AI248" i="196"/>
  <c r="AJ33" i="196"/>
  <c r="AK33" i="196" s="1"/>
  <c r="AL312" i="196"/>
  <c r="AI109" i="196"/>
  <c r="AL111" i="196"/>
  <c r="AL248" i="196"/>
  <c r="AI224" i="196"/>
  <c r="AL39" i="196"/>
  <c r="AI39" i="196"/>
  <c r="AI51" i="196"/>
  <c r="AL63" i="196"/>
  <c r="AI63" i="196"/>
  <c r="AJ63" i="196" s="1"/>
  <c r="AK63" i="196" s="1"/>
  <c r="AI75" i="196"/>
  <c r="AJ75" i="196" s="1"/>
  <c r="AK75" i="196" s="1"/>
  <c r="AI87" i="196"/>
  <c r="AL99" i="196"/>
  <c r="AI99" i="196"/>
  <c r="AN111" i="196"/>
  <c r="AI111" i="196"/>
  <c r="AL290" i="196"/>
  <c r="AI290" i="196"/>
  <c r="AI269" i="196"/>
  <c r="AI282" i="196"/>
  <c r="AL282" i="196"/>
  <c r="AL297" i="196"/>
  <c r="AI297" i="196"/>
  <c r="AL238" i="196"/>
  <c r="AI238" i="196"/>
  <c r="AL202" i="196"/>
  <c r="AI202" i="196"/>
  <c r="AL214" i="196"/>
  <c r="AI214" i="196"/>
  <c r="AI226" i="196"/>
  <c r="AJ226" i="196" s="1"/>
  <c r="AK226" i="196" s="1"/>
  <c r="AL118" i="196"/>
  <c r="AI118" i="196"/>
  <c r="AL142" i="196"/>
  <c r="AI142" i="196"/>
  <c r="AL154" i="196"/>
  <c r="AI154" i="196"/>
  <c r="AI166" i="196"/>
  <c r="AL178" i="196"/>
  <c r="AI178" i="196"/>
  <c r="AI190" i="196"/>
  <c r="AL37" i="196"/>
  <c r="AI37" i="196"/>
  <c r="AJ37" i="196" s="1"/>
  <c r="AK37" i="196" s="1"/>
  <c r="AL49" i="196"/>
  <c r="AI61" i="196"/>
  <c r="AL73" i="196"/>
  <c r="AI73" i="196"/>
  <c r="AJ73" i="196" s="1"/>
  <c r="AK73" i="196" s="1"/>
  <c r="AI85" i="196"/>
  <c r="AI97" i="196"/>
  <c r="AL97" i="196"/>
  <c r="AL109" i="196"/>
  <c r="AL278" i="196"/>
  <c r="AI278" i="196"/>
  <c r="AL267" i="196"/>
  <c r="AL280" i="196"/>
  <c r="AI280" i="196"/>
  <c r="AL87" i="196"/>
  <c r="AL254" i="196"/>
  <c r="AI254" i="196"/>
  <c r="AL236" i="196"/>
  <c r="AI236" i="196"/>
  <c r="AJ236" i="196" s="1"/>
  <c r="AK236" i="196" s="1"/>
  <c r="AL200" i="196"/>
  <c r="AI200" i="196"/>
  <c r="AL212" i="196"/>
  <c r="AI212" i="196"/>
  <c r="AL116" i="196"/>
  <c r="AI116" i="196"/>
  <c r="AJ116" i="196" s="1"/>
  <c r="AK116" i="196" s="1"/>
  <c r="AL128" i="196"/>
  <c r="AL140" i="196"/>
  <c r="AN140" i="196"/>
  <c r="AI140" i="196"/>
  <c r="AJ140" i="196" s="1"/>
  <c r="AK140" i="196" s="1"/>
  <c r="AL152" i="196"/>
  <c r="AI152" i="196"/>
  <c r="AL164" i="196"/>
  <c r="AI164" i="196"/>
  <c r="AL176" i="196"/>
  <c r="AL188" i="196"/>
  <c r="AI188" i="196"/>
  <c r="AJ188" i="196" s="1"/>
  <c r="AK188" i="196" s="1"/>
  <c r="AQ195" i="196"/>
  <c r="AL85" i="196"/>
  <c r="AL309" i="196"/>
  <c r="AI300" i="196"/>
  <c r="AL300" i="196"/>
  <c r="AL241" i="196"/>
  <c r="AI241" i="196"/>
  <c r="AL205" i="196"/>
  <c r="AI205" i="196"/>
  <c r="AL217" i="196"/>
  <c r="AI217" i="196"/>
  <c r="AL229" i="196"/>
  <c r="AL121" i="196"/>
  <c r="AI121" i="196"/>
  <c r="AL133" i="196"/>
  <c r="AI133" i="196"/>
  <c r="AJ133" i="196" s="1"/>
  <c r="AK133" i="196" s="1"/>
  <c r="AL34" i="196"/>
  <c r="AR34" i="196" s="1"/>
  <c r="AL36" i="196"/>
  <c r="AR36" i="196" s="1"/>
  <c r="AL169" i="196"/>
  <c r="AQ262" i="196"/>
  <c r="AM262" i="196"/>
  <c r="AJ35" i="196"/>
  <c r="AK35" i="196" s="1"/>
  <c r="AI36" i="196"/>
  <c r="AL42" i="196"/>
  <c r="AI157" i="196"/>
  <c r="AJ157" i="196" s="1"/>
  <c r="AK157" i="196" s="1"/>
  <c r="AI102" i="196"/>
  <c r="AJ102" i="196" s="1"/>
  <c r="AK102" i="196" s="1"/>
  <c r="AI66" i="196"/>
  <c r="AL95" i="197"/>
  <c r="AN127" i="197"/>
  <c r="AN149" i="197"/>
  <c r="AN245" i="197"/>
  <c r="AL149" i="197"/>
  <c r="AM95" i="197"/>
  <c r="AL245" i="197"/>
  <c r="AL223" i="197"/>
  <c r="AM149" i="197"/>
  <c r="AL127" i="197"/>
  <c r="AN95" i="197"/>
  <c r="AK317" i="198" l="1"/>
  <c r="AI238" i="198"/>
  <c r="AK206" i="198"/>
  <c r="AL36" i="197"/>
  <c r="AN151" i="197"/>
  <c r="AN39" i="197"/>
  <c r="AO39" i="197" s="1"/>
  <c r="AM21" i="197"/>
  <c r="AR251" i="196"/>
  <c r="AL142" i="198"/>
  <c r="AQ142" i="198" s="1"/>
  <c r="AL126" i="198"/>
  <c r="AL94" i="198"/>
  <c r="AQ94" i="198" s="1"/>
  <c r="AL50" i="198"/>
  <c r="AQ50" i="198" s="1"/>
  <c r="AL225" i="198"/>
  <c r="AL197" i="198"/>
  <c r="AQ197" i="198" s="1"/>
  <c r="AL153" i="198"/>
  <c r="AL105" i="198"/>
  <c r="AQ105" i="198" s="1"/>
  <c r="AL89" i="198"/>
  <c r="AL73" i="198"/>
  <c r="AL216" i="198"/>
  <c r="AL64" i="198"/>
  <c r="AQ64" i="198" s="1"/>
  <c r="AL48" i="198"/>
  <c r="AL311" i="198"/>
  <c r="AQ311" i="198" s="1"/>
  <c r="AL299" i="198"/>
  <c r="AL211" i="198"/>
  <c r="AQ211" i="198" s="1"/>
  <c r="AL195" i="198"/>
  <c r="AL179" i="198"/>
  <c r="AL135" i="198"/>
  <c r="AL91" i="198"/>
  <c r="AQ91" i="198" s="1"/>
  <c r="AL75" i="198"/>
  <c r="AL22" i="198"/>
  <c r="AQ22" i="198" s="1"/>
  <c r="AL25" i="198"/>
  <c r="AQ25" i="198" s="1"/>
  <c r="AH227" i="198"/>
  <c r="AD110" i="198"/>
  <c r="AE110" i="198" s="1"/>
  <c r="AD142" i="198"/>
  <c r="AE142" i="198" s="1"/>
  <c r="AM270" i="196"/>
  <c r="AN294" i="196"/>
  <c r="AH241" i="198"/>
  <c r="AL21" i="197"/>
  <c r="AO21" i="197" s="1"/>
  <c r="AL294" i="198"/>
  <c r="AL234" i="198"/>
  <c r="AL202" i="198"/>
  <c r="AL170" i="198"/>
  <c r="AL62" i="198"/>
  <c r="AL281" i="198"/>
  <c r="AL181" i="198"/>
  <c r="AQ181" i="198" s="1"/>
  <c r="AL45" i="198"/>
  <c r="AQ45" i="198" s="1"/>
  <c r="AL260" i="198"/>
  <c r="AQ260" i="198" s="1"/>
  <c r="AL184" i="198"/>
  <c r="AQ184" i="198" s="1"/>
  <c r="AL168" i="198"/>
  <c r="AQ168" i="198" s="1"/>
  <c r="AL152" i="198"/>
  <c r="AQ152" i="198" s="1"/>
  <c r="AL124" i="198"/>
  <c r="AQ124" i="198" s="1"/>
  <c r="AL108" i="198"/>
  <c r="AL283" i="198"/>
  <c r="AQ283" i="198" s="1"/>
  <c r="AL271" i="198"/>
  <c r="AQ271" i="198" s="1"/>
  <c r="AL255" i="198"/>
  <c r="AL59" i="198"/>
  <c r="AL43" i="198"/>
  <c r="AL34" i="198"/>
  <c r="AQ34" i="198" s="1"/>
  <c r="AL31" i="198"/>
  <c r="AQ31" i="198" s="1"/>
  <c r="AM87" i="197"/>
  <c r="AI172" i="198"/>
  <c r="AJ172" i="198" s="1"/>
  <c r="AH82" i="198"/>
  <c r="AI227" i="198"/>
  <c r="AI156" i="198"/>
  <c r="AL304" i="197"/>
  <c r="AI186" i="197"/>
  <c r="AL39" i="197"/>
  <c r="AR143" i="196"/>
  <c r="AL262" i="198"/>
  <c r="AL154" i="198"/>
  <c r="AQ154" i="198" s="1"/>
  <c r="AL106" i="198"/>
  <c r="AL249" i="198"/>
  <c r="AL237" i="198"/>
  <c r="AL221" i="198"/>
  <c r="AL133" i="198"/>
  <c r="AL117" i="198"/>
  <c r="AL101" i="198"/>
  <c r="AL85" i="198"/>
  <c r="AQ85" i="198" s="1"/>
  <c r="AL57" i="198"/>
  <c r="AQ57" i="198" s="1"/>
  <c r="AL228" i="198"/>
  <c r="AL212" i="198"/>
  <c r="AL136" i="198"/>
  <c r="AL92" i="198"/>
  <c r="AL76" i="198"/>
  <c r="AL60" i="198"/>
  <c r="AL295" i="198"/>
  <c r="AQ295" i="198" s="1"/>
  <c r="AL207" i="198"/>
  <c r="AL191" i="198"/>
  <c r="AL103" i="198"/>
  <c r="AL87" i="198"/>
  <c r="AL37" i="198"/>
  <c r="AQ37" i="198" s="1"/>
  <c r="AL21" i="198"/>
  <c r="AQ21" i="198" s="1"/>
  <c r="AD126" i="198"/>
  <c r="AE126" i="198" s="1"/>
  <c r="AN87" i="197"/>
  <c r="AO87" i="197" s="1"/>
  <c r="AK174" i="198"/>
  <c r="AG66" i="198"/>
  <c r="AG82" i="198"/>
  <c r="AK227" i="198"/>
  <c r="AG314" i="198"/>
  <c r="AH190" i="198"/>
  <c r="AH298" i="198"/>
  <c r="AQ270" i="196"/>
  <c r="AI317" i="198"/>
  <c r="AM81" i="197"/>
  <c r="AJ49" i="196"/>
  <c r="AK49" i="196" s="1"/>
  <c r="AR234" i="196"/>
  <c r="AR247" i="196"/>
  <c r="AJ311" i="196"/>
  <c r="AK311" i="196" s="1"/>
  <c r="AL230" i="198"/>
  <c r="AQ230" i="198" s="1"/>
  <c r="AL214" i="198"/>
  <c r="AQ214" i="198" s="1"/>
  <c r="AL198" i="198"/>
  <c r="AL182" i="198"/>
  <c r="AQ182" i="198" s="1"/>
  <c r="AL166" i="198"/>
  <c r="AQ166" i="198" s="1"/>
  <c r="AL58" i="198"/>
  <c r="AQ58" i="198" s="1"/>
  <c r="AL309" i="198"/>
  <c r="AQ309" i="198" s="1"/>
  <c r="AL293" i="198"/>
  <c r="AL261" i="198"/>
  <c r="AL193" i="198"/>
  <c r="AQ193" i="198" s="1"/>
  <c r="AL177" i="198"/>
  <c r="AL161" i="198"/>
  <c r="AL41" i="198"/>
  <c r="AL44" i="198"/>
  <c r="AQ44" i="198" s="1"/>
  <c r="AL279" i="198"/>
  <c r="AL267" i="198"/>
  <c r="AL235" i="198"/>
  <c r="AQ235" i="198" s="1"/>
  <c r="AL219" i="198"/>
  <c r="AQ219" i="198" s="1"/>
  <c r="AL143" i="198"/>
  <c r="AL131" i="198"/>
  <c r="AQ131" i="198" s="1"/>
  <c r="AL55" i="198"/>
  <c r="AQ55" i="198" s="1"/>
  <c r="AL39" i="198"/>
  <c r="AQ39" i="198" s="1"/>
  <c r="AL30" i="198"/>
  <c r="AL27" i="198"/>
  <c r="AL43" i="197"/>
  <c r="AZ159" i="196"/>
  <c r="AH174" i="198"/>
  <c r="AI66" i="198"/>
  <c r="AI82" i="198"/>
  <c r="AI314" i="198"/>
  <c r="AI259" i="198"/>
  <c r="AI190" i="198"/>
  <c r="AK298" i="198"/>
  <c r="AM304" i="197"/>
  <c r="AD158" i="198"/>
  <c r="AE158" i="198" s="1"/>
  <c r="AL258" i="198"/>
  <c r="AQ258" i="198" s="1"/>
  <c r="AL150" i="198"/>
  <c r="AQ150" i="198" s="1"/>
  <c r="AL118" i="198"/>
  <c r="AQ118" i="198" s="1"/>
  <c r="AL42" i="198"/>
  <c r="AL233" i="198"/>
  <c r="AL145" i="198"/>
  <c r="AL129" i="198"/>
  <c r="AQ129" i="198" s="1"/>
  <c r="AL81" i="198"/>
  <c r="AL53" i="198"/>
  <c r="AL300" i="198"/>
  <c r="AQ300" i="198" s="1"/>
  <c r="AL284" i="198"/>
  <c r="AQ284" i="198" s="1"/>
  <c r="AL224" i="198"/>
  <c r="AL88" i="198"/>
  <c r="AL72" i="198"/>
  <c r="AQ72" i="198" s="1"/>
  <c r="AL56" i="198"/>
  <c r="AQ56" i="198" s="1"/>
  <c r="AL291" i="198"/>
  <c r="AL187" i="198"/>
  <c r="AL171" i="198"/>
  <c r="AL99" i="198"/>
  <c r="AL33" i="198"/>
  <c r="AQ33" i="198" s="1"/>
  <c r="AL36" i="198"/>
  <c r="AQ36" i="198" s="1"/>
  <c r="AL20" i="198"/>
  <c r="AQ20" i="198" s="1"/>
  <c r="G42" i="182" s="1"/>
  <c r="AN43" i="197"/>
  <c r="AO43" i="197" s="1"/>
  <c r="AI267" i="197"/>
  <c r="AI174" i="198"/>
  <c r="AJ174" i="198" s="1"/>
  <c r="AH66" i="198"/>
  <c r="AK238" i="198"/>
  <c r="AH206" i="198"/>
  <c r="AK314" i="198"/>
  <c r="AG259" i="198"/>
  <c r="AK190" i="198"/>
  <c r="AG298" i="198"/>
  <c r="AD195" i="198"/>
  <c r="AE195" i="198" s="1"/>
  <c r="AM97" i="197"/>
  <c r="AN81" i="197"/>
  <c r="AM71" i="197"/>
  <c r="AL302" i="198"/>
  <c r="AL286" i="198"/>
  <c r="AL226" i="198"/>
  <c r="AQ226" i="198" s="1"/>
  <c r="AL210" i="198"/>
  <c r="AL178" i="198"/>
  <c r="AQ178" i="198" s="1"/>
  <c r="AL86" i="198"/>
  <c r="AL70" i="198"/>
  <c r="AL54" i="198"/>
  <c r="AL289" i="198"/>
  <c r="AL273" i="198"/>
  <c r="AL201" i="198"/>
  <c r="AQ201" i="198" s="1"/>
  <c r="AL189" i="198"/>
  <c r="AL173" i="198"/>
  <c r="AQ173" i="198" s="1"/>
  <c r="AL65" i="198"/>
  <c r="AQ65" i="198" s="1"/>
  <c r="AL268" i="198"/>
  <c r="AQ268" i="198" s="1"/>
  <c r="AL252" i="198"/>
  <c r="AL176" i="198"/>
  <c r="AQ176" i="198" s="1"/>
  <c r="AL160" i="198"/>
  <c r="AQ160" i="198" s="1"/>
  <c r="AL132" i="198"/>
  <c r="AQ132" i="198" s="1"/>
  <c r="AL116" i="198"/>
  <c r="AL263" i="198"/>
  <c r="AQ263" i="198" s="1"/>
  <c r="AL231" i="198"/>
  <c r="AL215" i="198"/>
  <c r="AL111" i="198"/>
  <c r="AL67" i="198"/>
  <c r="AM43" i="197"/>
  <c r="P37" i="181"/>
  <c r="P36" i="181"/>
  <c r="AL87" i="197"/>
  <c r="AD48" i="198"/>
  <c r="AE48" i="198" s="1"/>
  <c r="AG238" i="198"/>
  <c r="AO171" i="196"/>
  <c r="AI206" i="198"/>
  <c r="AH314" i="198"/>
  <c r="AG190" i="198"/>
  <c r="AJ190" i="198" s="1"/>
  <c r="AI298" i="198"/>
  <c r="AD266" i="198"/>
  <c r="AE266" i="198" s="1"/>
  <c r="AD89" i="198"/>
  <c r="AE89" i="198" s="1"/>
  <c r="AM51" i="197"/>
  <c r="AR100" i="196"/>
  <c r="AR183" i="196"/>
  <c r="AR227" i="196"/>
  <c r="AR215" i="196"/>
  <c r="AZ215" i="196" s="1"/>
  <c r="AL270" i="198"/>
  <c r="AL254" i="198"/>
  <c r="AL146" i="198"/>
  <c r="AL130" i="198"/>
  <c r="AL229" i="198"/>
  <c r="AL213" i="198"/>
  <c r="AL157" i="198"/>
  <c r="AL141" i="198"/>
  <c r="AQ141" i="198" s="1"/>
  <c r="AL125" i="198"/>
  <c r="AL109" i="198"/>
  <c r="AL93" i="198"/>
  <c r="AL77" i="198"/>
  <c r="AQ77" i="198" s="1"/>
  <c r="AL49" i="198"/>
  <c r="AL296" i="198"/>
  <c r="AL303" i="198"/>
  <c r="AL287" i="198"/>
  <c r="AQ287" i="198" s="1"/>
  <c r="AL275" i="198"/>
  <c r="AL199" i="198"/>
  <c r="AL183" i="198"/>
  <c r="AQ183" i="198" s="1"/>
  <c r="AL139" i="198"/>
  <c r="AL26" i="198"/>
  <c r="AQ26" i="198" s="1"/>
  <c r="AL29" i="198"/>
  <c r="AQ29" i="198" s="1"/>
  <c r="AL32" i="198"/>
  <c r="AQ32" i="198" s="1"/>
  <c r="AL23" i="198"/>
  <c r="AQ23" i="198" s="1"/>
  <c r="AL151" i="198"/>
  <c r="AQ151" i="198" s="1"/>
  <c r="AL123" i="198"/>
  <c r="AL63" i="198"/>
  <c r="AL35" i="198"/>
  <c r="AL253" i="198"/>
  <c r="AL172" i="198"/>
  <c r="AL155" i="198"/>
  <c r="AL257" i="198"/>
  <c r="AQ257" i="198" s="1"/>
  <c r="AL232" i="198"/>
  <c r="AL104" i="198"/>
  <c r="AL79" i="198"/>
  <c r="AL134" i="198"/>
  <c r="AL245" i="198"/>
  <c r="AL292" i="198"/>
  <c r="AL164" i="198"/>
  <c r="AL147" i="198"/>
  <c r="AQ147" i="198" s="1"/>
  <c r="AL83" i="198"/>
  <c r="AL274" i="198"/>
  <c r="AL82" i="198"/>
  <c r="AL313" i="198"/>
  <c r="AL121" i="198"/>
  <c r="AL96" i="198"/>
  <c r="AL156" i="198"/>
  <c r="AL203" i="198"/>
  <c r="AQ203" i="198" s="1"/>
  <c r="AL266" i="198"/>
  <c r="AL305" i="198"/>
  <c r="AL241" i="198"/>
  <c r="AL113" i="198"/>
  <c r="AL127" i="198"/>
  <c r="AL165" i="198"/>
  <c r="AL259" i="198"/>
  <c r="AL66" i="198"/>
  <c r="AQ66" i="198" s="1"/>
  <c r="AL297" i="198"/>
  <c r="AL272" i="198"/>
  <c r="AL208" i="198"/>
  <c r="AL247" i="198"/>
  <c r="AL119" i="198"/>
  <c r="AL174" i="198"/>
  <c r="AL110" i="198"/>
  <c r="AL46" i="198"/>
  <c r="AQ46" i="198" s="1"/>
  <c r="AL140" i="198"/>
  <c r="AL251" i="198"/>
  <c r="AL250" i="198"/>
  <c r="AL122" i="198"/>
  <c r="AL200" i="198"/>
  <c r="AL239" i="198"/>
  <c r="AL175" i="198"/>
  <c r="AL47" i="198"/>
  <c r="AL102" i="198"/>
  <c r="AL277" i="198"/>
  <c r="AL149" i="198"/>
  <c r="AL68" i="198"/>
  <c r="AL307" i="198"/>
  <c r="AL115" i="198"/>
  <c r="AL51" i="198"/>
  <c r="AL217" i="198"/>
  <c r="AQ217" i="198" s="1"/>
  <c r="AL256" i="198"/>
  <c r="AL128" i="198"/>
  <c r="AL167" i="198"/>
  <c r="AQ139" i="198"/>
  <c r="AL158" i="198"/>
  <c r="AL205" i="198"/>
  <c r="AL107" i="198"/>
  <c r="AL209" i="198"/>
  <c r="AQ209" i="198" s="1"/>
  <c r="AL248" i="198"/>
  <c r="AL120" i="198"/>
  <c r="AL223" i="198"/>
  <c r="AL95" i="198"/>
  <c r="AQ301" i="198"/>
  <c r="AL163" i="198"/>
  <c r="AL98" i="198"/>
  <c r="AL265" i="198"/>
  <c r="AL137" i="198"/>
  <c r="AD177" i="198"/>
  <c r="AE177" i="198" s="1"/>
  <c r="AD311" i="198"/>
  <c r="AE311" i="198" s="1"/>
  <c r="AD61" i="198"/>
  <c r="AE61" i="198" s="1"/>
  <c r="AD243" i="198"/>
  <c r="AE243" i="198" s="1"/>
  <c r="AR271" i="196"/>
  <c r="AR278" i="196"/>
  <c r="AR105" i="196"/>
  <c r="AR61" i="196"/>
  <c r="AR49" i="196"/>
  <c r="AR37" i="196"/>
  <c r="AR133" i="196"/>
  <c r="AZ133" i="196" s="1"/>
  <c r="AR197" i="196"/>
  <c r="AR245" i="196"/>
  <c r="AR233" i="196"/>
  <c r="AR104" i="196"/>
  <c r="AZ104" i="196" s="1"/>
  <c r="AR268" i="196"/>
  <c r="AR289" i="196"/>
  <c r="AR70" i="196"/>
  <c r="AR174" i="196"/>
  <c r="AR162" i="196"/>
  <c r="AR214" i="196"/>
  <c r="AR202" i="196"/>
  <c r="AR308" i="196"/>
  <c r="AZ308" i="196" s="1"/>
  <c r="AR286" i="196"/>
  <c r="AR290" i="196"/>
  <c r="AR107" i="196"/>
  <c r="AR123" i="196"/>
  <c r="AR311" i="196"/>
  <c r="AR232" i="196"/>
  <c r="AR96" i="196"/>
  <c r="AR172" i="196"/>
  <c r="AZ172" i="196" s="1"/>
  <c r="AR152" i="196"/>
  <c r="AR200" i="196"/>
  <c r="AZ200" i="196" s="1"/>
  <c r="AR303" i="196"/>
  <c r="AM89" i="196"/>
  <c r="AR89" i="196"/>
  <c r="AR73" i="196"/>
  <c r="AR153" i="196"/>
  <c r="AR141" i="196"/>
  <c r="AZ141" i="196" s="1"/>
  <c r="AR117" i="196"/>
  <c r="AR316" i="196"/>
  <c r="AR52" i="196"/>
  <c r="AR148" i="196"/>
  <c r="AO106" i="196"/>
  <c r="AR106" i="196"/>
  <c r="AR94" i="196"/>
  <c r="AR42" i="196"/>
  <c r="AZ42" i="196" s="1"/>
  <c r="AR186" i="196"/>
  <c r="AR146" i="196"/>
  <c r="AR118" i="196"/>
  <c r="AR108" i="196"/>
  <c r="AN76" i="196"/>
  <c r="AR76" i="196"/>
  <c r="AR184" i="196"/>
  <c r="AR216" i="196"/>
  <c r="AZ216" i="196" s="1"/>
  <c r="AR91" i="196"/>
  <c r="AR75" i="196"/>
  <c r="AR59" i="196"/>
  <c r="AR187" i="196"/>
  <c r="AR231" i="196"/>
  <c r="AR40" i="196"/>
  <c r="AR164" i="196"/>
  <c r="AR306" i="196"/>
  <c r="AZ306" i="196" s="1"/>
  <c r="AR252" i="196"/>
  <c r="AR267" i="196"/>
  <c r="AR260" i="196"/>
  <c r="AR177" i="196"/>
  <c r="AR129" i="196"/>
  <c r="AR221" i="196"/>
  <c r="AR209" i="196"/>
  <c r="AR300" i="196"/>
  <c r="AZ300" i="196" s="1"/>
  <c r="AR309" i="196"/>
  <c r="AR72" i="196"/>
  <c r="AR180" i="196"/>
  <c r="AR281" i="196"/>
  <c r="AR222" i="196"/>
  <c r="AR210" i="196"/>
  <c r="AR198" i="196"/>
  <c r="AR246" i="196"/>
  <c r="AR304" i="196"/>
  <c r="AR282" i="196"/>
  <c r="AR262" i="196"/>
  <c r="AR103" i="196"/>
  <c r="AR219" i="196"/>
  <c r="AR207" i="196"/>
  <c r="AR235" i="196"/>
  <c r="AR248" i="196"/>
  <c r="AZ248" i="196" s="1"/>
  <c r="AR313" i="196"/>
  <c r="AZ313" i="196" s="1"/>
  <c r="AR228" i="196"/>
  <c r="AR254" i="196"/>
  <c r="AR280" i="196"/>
  <c r="AR296" i="196"/>
  <c r="AR101" i="196"/>
  <c r="AR85" i="196"/>
  <c r="AR69" i="196"/>
  <c r="AZ69" i="196" s="1"/>
  <c r="AR45" i="196"/>
  <c r="AR113" i="196"/>
  <c r="AZ113" i="196" s="1"/>
  <c r="AR241" i="196"/>
  <c r="AR314" i="196"/>
  <c r="AR263" i="196"/>
  <c r="AR128" i="196"/>
  <c r="AR264" i="196"/>
  <c r="AR78" i="196"/>
  <c r="AZ78" i="196" s="1"/>
  <c r="AR182" i="196"/>
  <c r="AR170" i="196"/>
  <c r="AR158" i="196"/>
  <c r="AR142" i="196"/>
  <c r="AZ142" i="196" s="1"/>
  <c r="AR114" i="196"/>
  <c r="AR279" i="196"/>
  <c r="AR136" i="196"/>
  <c r="AR236" i="196"/>
  <c r="AZ236" i="196" s="1"/>
  <c r="AR265" i="196"/>
  <c r="AR87" i="196"/>
  <c r="AR71" i="196"/>
  <c r="AR55" i="196"/>
  <c r="AZ55" i="196" s="1"/>
  <c r="AR163" i="196"/>
  <c r="AR151" i="196"/>
  <c r="AR119" i="196"/>
  <c r="AR188" i="196"/>
  <c r="AZ188" i="196" s="1"/>
  <c r="AR140" i="196"/>
  <c r="AR224" i="196"/>
  <c r="AR288" i="196"/>
  <c r="AR256" i="196"/>
  <c r="AZ256" i="196" s="1"/>
  <c r="AR185" i="196"/>
  <c r="AR173" i="196"/>
  <c r="AR161" i="196"/>
  <c r="AR149" i="196"/>
  <c r="AZ149" i="196" s="1"/>
  <c r="AR205" i="196"/>
  <c r="AZ205" i="196" s="1"/>
  <c r="AR255" i="196"/>
  <c r="AR64" i="196"/>
  <c r="AR196" i="196"/>
  <c r="AR102" i="196"/>
  <c r="AR50" i="196"/>
  <c r="AR38" i="196"/>
  <c r="AR301" i="196"/>
  <c r="AR312" i="196"/>
  <c r="AR68" i="196"/>
  <c r="AR277" i="196"/>
  <c r="AR258" i="196"/>
  <c r="AZ258" i="196" s="1"/>
  <c r="AR139" i="196"/>
  <c r="AR203" i="196"/>
  <c r="AR243" i="196"/>
  <c r="AR212" i="196"/>
  <c r="AZ212" i="196" s="1"/>
  <c r="AR240" i="196"/>
  <c r="AR244" i="196"/>
  <c r="AR97" i="196"/>
  <c r="AR81" i="196"/>
  <c r="AR65" i="196"/>
  <c r="AR137" i="196"/>
  <c r="AR125" i="196"/>
  <c r="AZ125" i="196" s="1"/>
  <c r="AR229" i="196"/>
  <c r="AZ229" i="196" s="1"/>
  <c r="AR217" i="196"/>
  <c r="AR237" i="196"/>
  <c r="AR62" i="196"/>
  <c r="AR154" i="196"/>
  <c r="AR138" i="196"/>
  <c r="AZ138" i="196" s="1"/>
  <c r="AR126" i="196"/>
  <c r="AR230" i="196"/>
  <c r="AR194" i="196"/>
  <c r="AZ194" i="196" s="1"/>
  <c r="AR242" i="196"/>
  <c r="AR266" i="196"/>
  <c r="AR116" i="196"/>
  <c r="AR294" i="196"/>
  <c r="AZ294" i="196" s="1"/>
  <c r="AR99" i="196"/>
  <c r="AR83" i="196"/>
  <c r="AR67" i="196"/>
  <c r="AZ67" i="196" s="1"/>
  <c r="AR51" i="196"/>
  <c r="AZ51" i="196" s="1"/>
  <c r="AR39" i="196"/>
  <c r="AR147" i="196"/>
  <c r="AR127" i="196"/>
  <c r="AR302" i="196"/>
  <c r="AR315" i="196"/>
  <c r="AR120" i="196"/>
  <c r="AR160" i="196"/>
  <c r="AR132" i="196"/>
  <c r="AZ132" i="196" s="1"/>
  <c r="AR292" i="196"/>
  <c r="AR109" i="196"/>
  <c r="AR53" i="196"/>
  <c r="AR201" i="196"/>
  <c r="AZ201" i="196" s="1"/>
  <c r="AR249" i="196"/>
  <c r="AR287" i="196"/>
  <c r="AZ287" i="196" s="1"/>
  <c r="AR84" i="196"/>
  <c r="AR156" i="196"/>
  <c r="AZ156" i="196" s="1"/>
  <c r="AR293" i="196"/>
  <c r="AR86" i="196"/>
  <c r="AR74" i="196"/>
  <c r="AR46" i="196"/>
  <c r="AZ46" i="196" s="1"/>
  <c r="AR190" i="196"/>
  <c r="AR178" i="196"/>
  <c r="AR297" i="196"/>
  <c r="AZ297" i="196" s="1"/>
  <c r="AR310" i="196"/>
  <c r="AZ310" i="196" s="1"/>
  <c r="AR273" i="196"/>
  <c r="AR111" i="196"/>
  <c r="AZ111" i="196" s="1"/>
  <c r="AR191" i="196"/>
  <c r="AR115" i="196"/>
  <c r="AR305" i="196"/>
  <c r="AR176" i="196"/>
  <c r="AR204" i="196"/>
  <c r="AR44" i="196"/>
  <c r="AZ44" i="196" s="1"/>
  <c r="AR208" i="196"/>
  <c r="AR93" i="196"/>
  <c r="AZ93" i="196" s="1"/>
  <c r="AR77" i="196"/>
  <c r="AZ77" i="196" s="1"/>
  <c r="AR181" i="196"/>
  <c r="AR169" i="196"/>
  <c r="AZ169" i="196" s="1"/>
  <c r="AR157" i="196"/>
  <c r="AZ157" i="196" s="1"/>
  <c r="AR145" i="196"/>
  <c r="AZ145" i="196" s="1"/>
  <c r="AR121" i="196"/>
  <c r="AZ121" i="196" s="1"/>
  <c r="AR225" i="196"/>
  <c r="AR213" i="196"/>
  <c r="AR307" i="196"/>
  <c r="AR60" i="196"/>
  <c r="AZ60" i="196" s="1"/>
  <c r="AR285" i="196"/>
  <c r="AR110" i="196"/>
  <c r="AR98" i="196"/>
  <c r="AR58" i="196"/>
  <c r="AR150" i="196"/>
  <c r="AR134" i="196"/>
  <c r="AR122" i="196"/>
  <c r="AR226" i="196"/>
  <c r="AR250" i="196"/>
  <c r="AR238" i="196"/>
  <c r="AZ238" i="196" s="1"/>
  <c r="AR259" i="196"/>
  <c r="AZ259" i="196" s="1"/>
  <c r="AR88" i="196"/>
  <c r="AZ88" i="196" s="1"/>
  <c r="AR192" i="196"/>
  <c r="AR220" i="196"/>
  <c r="AR95" i="196"/>
  <c r="AR79" i="196"/>
  <c r="AR63" i="196"/>
  <c r="AR47" i="196"/>
  <c r="AR179" i="196"/>
  <c r="AR135" i="196"/>
  <c r="AZ135" i="196" s="1"/>
  <c r="AR223" i="196"/>
  <c r="AR211" i="196"/>
  <c r="AR199" i="196"/>
  <c r="AR239" i="196"/>
  <c r="AZ239" i="196" s="1"/>
  <c r="AR48" i="196"/>
  <c r="AR299" i="196"/>
  <c r="AJ55" i="196"/>
  <c r="AK55" i="196" s="1"/>
  <c r="AM219" i="196"/>
  <c r="AP219" i="196" s="1"/>
  <c r="AZ66" i="196"/>
  <c r="AQ76" i="196"/>
  <c r="AZ219" i="196"/>
  <c r="AM144" i="196"/>
  <c r="AJ114" i="196"/>
  <c r="AK114" i="196" s="1"/>
  <c r="AN130" i="196"/>
  <c r="AM66" i="196"/>
  <c r="AQ261" i="196"/>
  <c r="AJ273" i="196"/>
  <c r="AK273" i="196" s="1"/>
  <c r="AN103" i="196"/>
  <c r="AQ175" i="196"/>
  <c r="AQ198" i="196"/>
  <c r="AJ143" i="196"/>
  <c r="AK143" i="196" s="1"/>
  <c r="AO66" i="196"/>
  <c r="AH254" i="198"/>
  <c r="AQ254" i="198"/>
  <c r="AH191" i="198"/>
  <c r="AQ191" i="198"/>
  <c r="AQ288" i="198"/>
  <c r="AQ93" i="198"/>
  <c r="AQ69" i="198"/>
  <c r="AQ52" i="198"/>
  <c r="AQ236" i="198"/>
  <c r="AQ220" i="198"/>
  <c r="AK280" i="198"/>
  <c r="AG236" i="198"/>
  <c r="AK60" i="198"/>
  <c r="AI122" i="198"/>
  <c r="AG237" i="198"/>
  <c r="AI212" i="198"/>
  <c r="AI109" i="198"/>
  <c r="AJ109" i="198" s="1"/>
  <c r="AG100" i="198"/>
  <c r="AJ100" i="198" s="1"/>
  <c r="AG149" i="198"/>
  <c r="AI92" i="198"/>
  <c r="AK304" i="198"/>
  <c r="AI191" i="198"/>
  <c r="AH57" i="198"/>
  <c r="AI221" i="198"/>
  <c r="AH244" i="198"/>
  <c r="AK76" i="198"/>
  <c r="AH84" i="198"/>
  <c r="AK229" i="198"/>
  <c r="AQ125" i="198"/>
  <c r="AH295" i="198"/>
  <c r="AI199" i="198"/>
  <c r="AQ199" i="198"/>
  <c r="AQ84" i="198"/>
  <c r="AQ204" i="198"/>
  <c r="AQ237" i="198"/>
  <c r="AQ100" i="198"/>
  <c r="AI236" i="198"/>
  <c r="AQ60" i="198"/>
  <c r="AK237" i="198"/>
  <c r="AH212" i="198"/>
  <c r="AK109" i="198"/>
  <c r="AQ109" i="198"/>
  <c r="AK100" i="198"/>
  <c r="AI295" i="198"/>
  <c r="AG254" i="198"/>
  <c r="AK92" i="198"/>
  <c r="AG304" i="198"/>
  <c r="AK57" i="198"/>
  <c r="AH199" i="198"/>
  <c r="AK221" i="198"/>
  <c r="AG244" i="198"/>
  <c r="AH76" i="198"/>
  <c r="AG84" i="198"/>
  <c r="AD206" i="198"/>
  <c r="AE206" i="198" s="1"/>
  <c r="AI183" i="198"/>
  <c r="AI262" i="198"/>
  <c r="AQ262" i="198"/>
  <c r="AG146" i="198"/>
  <c r="AK122" i="198"/>
  <c r="AI114" i="198"/>
  <c r="AG98" i="198"/>
  <c r="AG46" i="198"/>
  <c r="AI257" i="198"/>
  <c r="AJ257" i="198" s="1"/>
  <c r="AH149" i="198"/>
  <c r="AI280" i="198"/>
  <c r="AJ280" i="198" s="1"/>
  <c r="AQ280" i="198"/>
  <c r="AI68" i="198"/>
  <c r="AQ68" i="198"/>
  <c r="AQ270" i="198"/>
  <c r="AQ49" i="198"/>
  <c r="AQ312" i="198"/>
  <c r="AQ296" i="198"/>
  <c r="AQ228" i="198"/>
  <c r="AH280" i="198"/>
  <c r="AH236" i="198"/>
  <c r="AK262" i="198"/>
  <c r="AH237" i="198"/>
  <c r="AG68" i="198"/>
  <c r="AG212" i="198"/>
  <c r="AJ212" i="198" s="1"/>
  <c r="AQ212" i="198"/>
  <c r="AH109" i="198"/>
  <c r="AI100" i="198"/>
  <c r="AI46" i="198"/>
  <c r="AG295" i="198"/>
  <c r="AQ149" i="198"/>
  <c r="AI146" i="198"/>
  <c r="AJ146" i="198" s="1"/>
  <c r="AK114" i="198"/>
  <c r="AQ157" i="198"/>
  <c r="AK254" i="198"/>
  <c r="AG92" i="198"/>
  <c r="AQ92" i="198"/>
  <c r="AH304" i="198"/>
  <c r="AI57" i="198"/>
  <c r="AG199" i="198"/>
  <c r="AJ199" i="198" s="1"/>
  <c r="AH221" i="198"/>
  <c r="AQ221" i="198"/>
  <c r="AK244" i="198"/>
  <c r="AI76" i="198"/>
  <c r="AQ76" i="198"/>
  <c r="AI84" i="198"/>
  <c r="AQ196" i="198"/>
  <c r="AD120" i="198"/>
  <c r="AE120" i="198" s="1"/>
  <c r="AD164" i="198"/>
  <c r="AE164" i="198" s="1"/>
  <c r="AD128" i="198"/>
  <c r="AE128" i="198" s="1"/>
  <c r="AQ318" i="198"/>
  <c r="AQ310" i="198"/>
  <c r="AH302" i="198"/>
  <c r="AQ302" i="198"/>
  <c r="AK294" i="198"/>
  <c r="AQ286" i="198"/>
  <c r="AK278" i="198"/>
  <c r="AG242" i="198"/>
  <c r="AQ242" i="198"/>
  <c r="AK218" i="198"/>
  <c r="AQ202" i="198"/>
  <c r="AI194" i="198"/>
  <c r="AQ194" i="198"/>
  <c r="AI170" i="198"/>
  <c r="AJ170" i="198" s="1"/>
  <c r="AH86" i="198"/>
  <c r="AK78" i="198"/>
  <c r="AQ78" i="198"/>
  <c r="AQ274" i="198"/>
  <c r="AQ82" i="198"/>
  <c r="AQ313" i="198"/>
  <c r="AQ265" i="198"/>
  <c r="AQ137" i="198"/>
  <c r="AQ121" i="198"/>
  <c r="AQ256" i="198"/>
  <c r="AQ208" i="198"/>
  <c r="AQ128" i="198"/>
  <c r="AQ163" i="198"/>
  <c r="AQ115" i="198"/>
  <c r="AQ83" i="198"/>
  <c r="AQ51" i="198"/>
  <c r="AD285" i="198"/>
  <c r="AE285" i="198" s="1"/>
  <c r="AD315" i="198"/>
  <c r="AE315" i="198" s="1"/>
  <c r="AQ185" i="198"/>
  <c r="AQ169" i="198"/>
  <c r="AQ41" i="198"/>
  <c r="AQ112" i="198"/>
  <c r="AK35" i="198"/>
  <c r="AQ35" i="198"/>
  <c r="AQ174" i="198"/>
  <c r="AQ62" i="198"/>
  <c r="AQ293" i="198"/>
  <c r="AQ277" i="198"/>
  <c r="AQ165" i="198"/>
  <c r="AQ172" i="198"/>
  <c r="AQ156" i="198"/>
  <c r="AQ96" i="198"/>
  <c r="AQ239" i="198"/>
  <c r="AQ223" i="198"/>
  <c r="AQ127" i="198"/>
  <c r="AQ95" i="198"/>
  <c r="AQ79" i="198"/>
  <c r="AQ47" i="198"/>
  <c r="AD241" i="198"/>
  <c r="AE241" i="198" s="1"/>
  <c r="AD193" i="198"/>
  <c r="AE193" i="198" s="1"/>
  <c r="AD162" i="198"/>
  <c r="AE162" i="198" s="1"/>
  <c r="AQ89" i="198"/>
  <c r="AQ73" i="198"/>
  <c r="AQ53" i="198"/>
  <c r="AQ316" i="198"/>
  <c r="AQ266" i="198"/>
  <c r="AQ250" i="198"/>
  <c r="AQ305" i="198"/>
  <c r="AQ97" i="198"/>
  <c r="AQ248" i="198"/>
  <c r="AQ232" i="198"/>
  <c r="AQ200" i="198"/>
  <c r="AQ104" i="198"/>
  <c r="AQ251" i="198"/>
  <c r="AQ107" i="198"/>
  <c r="AQ289" i="198"/>
  <c r="AQ281" i="198"/>
  <c r="AQ59" i="198"/>
  <c r="AQ134" i="198"/>
  <c r="AQ102" i="198"/>
  <c r="AQ285" i="198"/>
  <c r="AQ269" i="198"/>
  <c r="AQ253" i="198"/>
  <c r="AQ61" i="198"/>
  <c r="AQ292" i="198"/>
  <c r="AQ148" i="198"/>
  <c r="AQ167" i="198"/>
  <c r="AQ87" i="198"/>
  <c r="AZ292" i="196"/>
  <c r="AQ53" i="196"/>
  <c r="AO316" i="196"/>
  <c r="AZ316" i="196"/>
  <c r="AM164" i="196"/>
  <c r="AZ164" i="196"/>
  <c r="AJ178" i="196"/>
  <c r="AK178" i="196" s="1"/>
  <c r="AJ297" i="196"/>
  <c r="AK297" i="196" s="1"/>
  <c r="AN83" i="196"/>
  <c r="AN164" i="196"/>
  <c r="AM171" i="196"/>
  <c r="AP171" i="196" s="1"/>
  <c r="AJ293" i="196"/>
  <c r="AK293" i="196" s="1"/>
  <c r="AM302" i="196"/>
  <c r="AP302" i="196" s="1"/>
  <c r="AN138" i="196"/>
  <c r="AJ144" i="196"/>
  <c r="AK144" i="196" s="1"/>
  <c r="AJ155" i="196"/>
  <c r="AK155" i="196" s="1"/>
  <c r="AO59" i="196"/>
  <c r="AO296" i="196"/>
  <c r="AZ296" i="196"/>
  <c r="AM101" i="196"/>
  <c r="AO45" i="196"/>
  <c r="AP45" i="196" s="1"/>
  <c r="AZ45" i="196"/>
  <c r="AQ44" i="196"/>
  <c r="AQ109" i="196"/>
  <c r="AZ109" i="196"/>
  <c r="AN249" i="196"/>
  <c r="AN106" i="196"/>
  <c r="AZ106" i="196"/>
  <c r="AJ66" i="196"/>
  <c r="AK66" i="196" s="1"/>
  <c r="AQ164" i="196"/>
  <c r="AQ67" i="196"/>
  <c r="AO159" i="196"/>
  <c r="AZ83" i="196"/>
  <c r="AM138" i="196"/>
  <c r="AM83" i="196"/>
  <c r="AP83" i="196" s="1"/>
  <c r="AQ159" i="196"/>
  <c r="AM112" i="196"/>
  <c r="AQ138" i="196"/>
  <c r="AQ294" i="196"/>
  <c r="AN288" i="196"/>
  <c r="AZ288" i="196"/>
  <c r="AQ284" i="196"/>
  <c r="AZ271" i="196"/>
  <c r="AM105" i="196"/>
  <c r="AP105" i="196" s="1"/>
  <c r="AO164" i="196"/>
  <c r="AQ274" i="196"/>
  <c r="AN92" i="196"/>
  <c r="AQ285" i="196"/>
  <c r="AZ264" i="196"/>
  <c r="AQ58" i="196"/>
  <c r="AZ58" i="196"/>
  <c r="AO238" i="196"/>
  <c r="AO88" i="196"/>
  <c r="AZ192" i="196"/>
  <c r="AQ220" i="196"/>
  <c r="AZ220" i="196"/>
  <c r="AO236" i="196"/>
  <c r="AQ265" i="196"/>
  <c r="AZ265" i="196"/>
  <c r="AN95" i="196"/>
  <c r="AO55" i="196"/>
  <c r="AQ47" i="196"/>
  <c r="AM179" i="196"/>
  <c r="AZ179" i="196"/>
  <c r="AO135" i="196"/>
  <c r="AM239" i="196"/>
  <c r="AO140" i="196"/>
  <c r="AN224" i="196"/>
  <c r="AZ224" i="196"/>
  <c r="AO299" i="196"/>
  <c r="AQ260" i="196"/>
  <c r="AO177" i="196"/>
  <c r="AQ221" i="196"/>
  <c r="AZ221" i="196"/>
  <c r="AO52" i="196"/>
  <c r="AZ52" i="196"/>
  <c r="AN94" i="196"/>
  <c r="AZ76" i="196"/>
  <c r="AN59" i="196"/>
  <c r="AZ59" i="196"/>
  <c r="AJ121" i="196"/>
  <c r="AK121" i="196" s="1"/>
  <c r="AJ212" i="196"/>
  <c r="AK212" i="196" s="1"/>
  <c r="AJ248" i="196"/>
  <c r="AK248" i="196" s="1"/>
  <c r="AN302" i="196"/>
  <c r="AN67" i="196"/>
  <c r="AN159" i="196"/>
  <c r="AM316" i="196"/>
  <c r="AP316" i="196" s="1"/>
  <c r="AO302" i="196"/>
  <c r="AM159" i="196"/>
  <c r="AQ83" i="196"/>
  <c r="AJ262" i="196"/>
  <c r="AK262" i="196" s="1"/>
  <c r="AJ183" i="196"/>
  <c r="AK183" i="196" s="1"/>
  <c r="AJ44" i="196"/>
  <c r="AK44" i="196" s="1"/>
  <c r="AM76" i="196"/>
  <c r="AM294" i="196"/>
  <c r="AP294" i="196" s="1"/>
  <c r="AO270" i="196"/>
  <c r="AM59" i="196"/>
  <c r="AZ270" i="196"/>
  <c r="AN270" i="196"/>
  <c r="AQ59" i="196"/>
  <c r="AO67" i="196"/>
  <c r="AP67" i="196" s="1"/>
  <c r="AN275" i="196"/>
  <c r="AM97" i="196"/>
  <c r="AZ97" i="196"/>
  <c r="AO89" i="196"/>
  <c r="AP89" i="196" s="1"/>
  <c r="AN81" i="196"/>
  <c r="AZ81" i="196"/>
  <c r="AM189" i="196"/>
  <c r="AQ141" i="196"/>
  <c r="AM125" i="196"/>
  <c r="AQ217" i="196"/>
  <c r="AO237" i="196"/>
  <c r="AQ291" i="196"/>
  <c r="AZ291" i="196"/>
  <c r="AJ112" i="196"/>
  <c r="AK112" i="196" s="1"/>
  <c r="AN80" i="196"/>
  <c r="AZ80" i="196"/>
  <c r="AN64" i="196"/>
  <c r="AO276" i="196"/>
  <c r="AJ264" i="196"/>
  <c r="AK264" i="196" s="1"/>
  <c r="AZ257" i="196"/>
  <c r="AJ106" i="196"/>
  <c r="AK106" i="196" s="1"/>
  <c r="AQ102" i="196"/>
  <c r="AJ94" i="196"/>
  <c r="AK94" i="196" s="1"/>
  <c r="AN90" i="196"/>
  <c r="AM82" i="196"/>
  <c r="AP82" i="196" s="1"/>
  <c r="AZ82" i="196"/>
  <c r="AJ78" i="196"/>
  <c r="AK78" i="196" s="1"/>
  <c r="AN50" i="196"/>
  <c r="AZ50" i="196"/>
  <c r="AJ42" i="196"/>
  <c r="AK42" i="196" s="1"/>
  <c r="AJ182" i="196"/>
  <c r="AK182" i="196" s="1"/>
  <c r="AQ174" i="196"/>
  <c r="AJ134" i="196"/>
  <c r="AK134" i="196" s="1"/>
  <c r="AJ250" i="196"/>
  <c r="AK250" i="196" s="1"/>
  <c r="AJ259" i="196"/>
  <c r="AK259" i="196" s="1"/>
  <c r="AJ108" i="196"/>
  <c r="AK108" i="196" s="1"/>
  <c r="AJ76" i="196"/>
  <c r="AK76" i="196" s="1"/>
  <c r="AQ68" i="196"/>
  <c r="AZ68" i="196"/>
  <c r="AJ216" i="196"/>
  <c r="AK216" i="196" s="1"/>
  <c r="AO277" i="196"/>
  <c r="AZ277" i="196"/>
  <c r="AJ294" i="196"/>
  <c r="AK294" i="196" s="1"/>
  <c r="AN258" i="196"/>
  <c r="AZ107" i="196"/>
  <c r="AN183" i="196"/>
  <c r="AN167" i="196"/>
  <c r="AZ167" i="196"/>
  <c r="AO155" i="196"/>
  <c r="AZ155" i="196"/>
  <c r="AN139" i="196"/>
  <c r="AJ135" i="196"/>
  <c r="AK135" i="196" s="1"/>
  <c r="AJ127" i="196"/>
  <c r="AK127" i="196" s="1"/>
  <c r="AJ223" i="196"/>
  <c r="AK223" i="196" s="1"/>
  <c r="AN215" i="196"/>
  <c r="AJ211" i="196"/>
  <c r="AK211" i="196" s="1"/>
  <c r="AO243" i="196"/>
  <c r="AO212" i="196"/>
  <c r="AN172" i="196"/>
  <c r="AO76" i="196"/>
  <c r="AJ156" i="196"/>
  <c r="AK156" i="196" s="1"/>
  <c r="AJ268" i="196"/>
  <c r="AK268" i="196" s="1"/>
  <c r="AJ46" i="196"/>
  <c r="AK46" i="196" s="1"/>
  <c r="AJ174" i="196"/>
  <c r="AK174" i="196" s="1"/>
  <c r="AJ162" i="196"/>
  <c r="AK162" i="196" s="1"/>
  <c r="AJ222" i="196"/>
  <c r="AK222" i="196" s="1"/>
  <c r="AJ210" i="196"/>
  <c r="AK210" i="196" s="1"/>
  <c r="AJ308" i="196"/>
  <c r="AK308" i="196" s="1"/>
  <c r="AJ103" i="196"/>
  <c r="AK103" i="196" s="1"/>
  <c r="AJ139" i="196"/>
  <c r="AK139" i="196" s="1"/>
  <c r="AJ123" i="196"/>
  <c r="AK123" i="196" s="1"/>
  <c r="AJ243" i="196"/>
  <c r="AK243" i="196" s="1"/>
  <c r="AJ232" i="196"/>
  <c r="AK232" i="196" s="1"/>
  <c r="AJ96" i="196"/>
  <c r="AK96" i="196" s="1"/>
  <c r="AJ137" i="196"/>
  <c r="AK137" i="196" s="1"/>
  <c r="AJ199" i="196"/>
  <c r="AK199" i="196" s="1"/>
  <c r="AG28" i="198"/>
  <c r="AH28" i="198"/>
  <c r="AK28" i="198"/>
  <c r="AI28" i="198"/>
  <c r="AG20" i="198"/>
  <c r="AK20" i="198"/>
  <c r="AI20" i="198"/>
  <c r="AH20" i="198"/>
  <c r="AI26" i="198"/>
  <c r="AJ26" i="198" s="1"/>
  <c r="AG26" i="198"/>
  <c r="AH26" i="198"/>
  <c r="AK26" i="198"/>
  <c r="AK32" i="198"/>
  <c r="AI32" i="198"/>
  <c r="AG32" i="198"/>
  <c r="AH32" i="198"/>
  <c r="AH38" i="198"/>
  <c r="AG38" i="198"/>
  <c r="AK38" i="198"/>
  <c r="AI38" i="198"/>
  <c r="AM115" i="197"/>
  <c r="AN57" i="197"/>
  <c r="AO19" i="197"/>
  <c r="AL25" i="197"/>
  <c r="AN45" i="197"/>
  <c r="AO45" i="197" s="1"/>
  <c r="AI76" i="197"/>
  <c r="AM296" i="197"/>
  <c r="AM63" i="197"/>
  <c r="AI250" i="197"/>
  <c r="AO178" i="197"/>
  <c r="AM65" i="197"/>
  <c r="AJ239" i="196"/>
  <c r="AK239" i="196" s="1"/>
  <c r="AJ302" i="196"/>
  <c r="AK302" i="196" s="1"/>
  <c r="AJ191" i="196"/>
  <c r="AK191" i="196" s="1"/>
  <c r="AJ40" i="196"/>
  <c r="AK40" i="196" s="1"/>
  <c r="AQ140" i="196"/>
  <c r="AQ81" i="196"/>
  <c r="AM264" i="196"/>
  <c r="AQ90" i="196"/>
  <c r="AZ276" i="196"/>
  <c r="AM140" i="196"/>
  <c r="AM249" i="196"/>
  <c r="AN217" i="196"/>
  <c r="AM90" i="196"/>
  <c r="AM78" i="196"/>
  <c r="AQ258" i="196"/>
  <c r="AJ161" i="196"/>
  <c r="AK161" i="196" s="1"/>
  <c r="AM285" i="196"/>
  <c r="AZ102" i="196"/>
  <c r="AO143" i="196"/>
  <c r="AQ92" i="196"/>
  <c r="AN299" i="196"/>
  <c r="AM276" i="196"/>
  <c r="AO102" i="196"/>
  <c r="AP102" i="196" s="1"/>
  <c r="AJ52" i="196"/>
  <c r="AK52" i="196" s="1"/>
  <c r="AZ140" i="196"/>
  <c r="AO80" i="196"/>
  <c r="AO239" i="196"/>
  <c r="AP239" i="196" s="1"/>
  <c r="AO90" i="196"/>
  <c r="AN212" i="196"/>
  <c r="AN292" i="196"/>
  <c r="AN277" i="196"/>
  <c r="AQ153" i="196"/>
  <c r="AO104" i="196"/>
  <c r="AP104" i="196" s="1"/>
  <c r="AM167" i="196"/>
  <c r="AP167" i="196" s="1"/>
  <c r="AM95" i="196"/>
  <c r="AQ167" i="196"/>
  <c r="AO58" i="196"/>
  <c r="AQ97" i="196"/>
  <c r="AQ299" i="196"/>
  <c r="AZ299" i="196"/>
  <c r="AQ88" i="196"/>
  <c r="AJ303" i="196"/>
  <c r="AK303" i="196" s="1"/>
  <c r="AQ264" i="196"/>
  <c r="AJ283" i="196"/>
  <c r="AK283" i="196" s="1"/>
  <c r="AO217" i="196"/>
  <c r="AJ51" i="196"/>
  <c r="AK51" i="196" s="1"/>
  <c r="AN259" i="196"/>
  <c r="AM142" i="196"/>
  <c r="AJ315" i="196"/>
  <c r="AK315" i="196" s="1"/>
  <c r="AO259" i="196"/>
  <c r="AN276" i="196"/>
  <c r="AJ172" i="196"/>
  <c r="AK172" i="196" s="1"/>
  <c r="AM50" i="196"/>
  <c r="AN47" i="196"/>
  <c r="AZ90" i="196"/>
  <c r="AO291" i="196"/>
  <c r="AN291" i="196"/>
  <c r="AM80" i="196"/>
  <c r="AJ204" i="196"/>
  <c r="AK204" i="196" s="1"/>
  <c r="AN55" i="196"/>
  <c r="AZ92" i="196"/>
  <c r="AM299" i="196"/>
  <c r="AP299" i="196" s="1"/>
  <c r="AN257" i="196"/>
  <c r="AM212" i="196"/>
  <c r="AN104" i="196"/>
  <c r="AQ104" i="196"/>
  <c r="AO257" i="196"/>
  <c r="AP257" i="196" s="1"/>
  <c r="AM258" i="196"/>
  <c r="AO258" i="196"/>
  <c r="AQ257" i="196"/>
  <c r="AQ212" i="196"/>
  <c r="AN274" i="196"/>
  <c r="AQ50" i="196"/>
  <c r="AQ89" i="196"/>
  <c r="AQ142" i="196"/>
  <c r="AM291" i="196"/>
  <c r="AP291" i="196" s="1"/>
  <c r="AM55" i="196"/>
  <c r="AM277" i="196"/>
  <c r="AN177" i="196"/>
  <c r="AN260" i="196"/>
  <c r="AJ77" i="196"/>
  <c r="AK77" i="196" s="1"/>
  <c r="AJ59" i="196"/>
  <c r="AK59" i="196" s="1"/>
  <c r="AJ83" i="196"/>
  <c r="AK83" i="196" s="1"/>
  <c r="AQ177" i="196"/>
  <c r="AN264" i="196"/>
  <c r="AQ60" i="196"/>
  <c r="AJ126" i="196"/>
  <c r="AK126" i="196" s="1"/>
  <c r="AJ186" i="196"/>
  <c r="AK186" i="196" s="1"/>
  <c r="AJ53" i="196"/>
  <c r="AK53" i="196" s="1"/>
  <c r="AQ192" i="196"/>
  <c r="AN89" i="196"/>
  <c r="AQ224" i="196"/>
  <c r="AQ82" i="196"/>
  <c r="AZ89" i="196"/>
  <c r="AM68" i="196"/>
  <c r="AJ292" i="196"/>
  <c r="AK292" i="196" s="1"/>
  <c r="AO97" i="196"/>
  <c r="AN142" i="196"/>
  <c r="AJ202" i="196"/>
  <c r="AK202" i="196" s="1"/>
  <c r="AM259" i="196"/>
  <c r="AP259" i="196" s="1"/>
  <c r="AO109" i="196"/>
  <c r="AM201" i="196"/>
  <c r="AO60" i="196"/>
  <c r="AJ301" i="196"/>
  <c r="AK301" i="196" s="1"/>
  <c r="AN60" i="196"/>
  <c r="AO264" i="196"/>
  <c r="AO47" i="196"/>
  <c r="AM58" i="196"/>
  <c r="AZ95" i="196"/>
  <c r="AZ249" i="196"/>
  <c r="AO249" i="196"/>
  <c r="AO142" i="196"/>
  <c r="AJ70" i="196"/>
  <c r="AK70" i="196" s="1"/>
  <c r="AJ141" i="196"/>
  <c r="AK141" i="196" s="1"/>
  <c r="AM192" i="196"/>
  <c r="AN192" i="196"/>
  <c r="AO220" i="196"/>
  <c r="AP220" i="196" s="1"/>
  <c r="AO201" i="196"/>
  <c r="AP201" i="196" s="1"/>
  <c r="AM260" i="196"/>
  <c r="AJ100" i="196"/>
  <c r="AK100" i="196" s="1"/>
  <c r="AO274" i="196"/>
  <c r="AO288" i="196"/>
  <c r="AP288" i="196" s="1"/>
  <c r="AO92" i="196"/>
  <c r="AN88" i="196"/>
  <c r="AN58" i="196"/>
  <c r="AO260" i="196"/>
  <c r="AM60" i="196"/>
  <c r="AZ177" i="196"/>
  <c r="AO78" i="196"/>
  <c r="AP78" i="196" s="1"/>
  <c r="AO224" i="196"/>
  <c r="AJ286" i="196"/>
  <c r="AK286" i="196" s="1"/>
  <c r="AO95" i="196"/>
  <c r="AM182" i="196"/>
  <c r="AN179" i="196"/>
  <c r="AO292" i="196"/>
  <c r="AJ153" i="196"/>
  <c r="AK153" i="196" s="1"/>
  <c r="AN78" i="196"/>
  <c r="AQ249" i="196"/>
  <c r="AJ82" i="196"/>
  <c r="AK82" i="196" s="1"/>
  <c r="AM238" i="196"/>
  <c r="AP238" i="196" s="1"/>
  <c r="AJ189" i="196"/>
  <c r="AK189" i="196" s="1"/>
  <c r="AZ260" i="196"/>
  <c r="AM92" i="196"/>
  <c r="AQ55" i="196"/>
  <c r="AQ78" i="196"/>
  <c r="AO192" i="196"/>
  <c r="AN220" i="196"/>
  <c r="AN201" i="196"/>
  <c r="AO265" i="196"/>
  <c r="AN265" i="196"/>
  <c r="AM88" i="196"/>
  <c r="AP88" i="196" s="1"/>
  <c r="AN285" i="196"/>
  <c r="AM265" i="196"/>
  <c r="AQ238" i="196"/>
  <c r="AN71" i="196"/>
  <c r="AJ258" i="196"/>
  <c r="AK258" i="196" s="1"/>
  <c r="AM292" i="196"/>
  <c r="AM109" i="196"/>
  <c r="AJ107" i="196"/>
  <c r="AK107" i="196" s="1"/>
  <c r="AJ225" i="196"/>
  <c r="AK225" i="196" s="1"/>
  <c r="AJ213" i="196"/>
  <c r="AK213" i="196" s="1"/>
  <c r="AJ64" i="196"/>
  <c r="AK64" i="196" s="1"/>
  <c r="AJ104" i="196"/>
  <c r="AK104" i="196" s="1"/>
  <c r="AJ257" i="196"/>
  <c r="AK257" i="196" s="1"/>
  <c r="AZ285" i="196"/>
  <c r="AJ241" i="196"/>
  <c r="AK241" i="196" s="1"/>
  <c r="AJ214" i="196"/>
  <c r="AK214" i="196" s="1"/>
  <c r="AO285" i="196"/>
  <c r="AQ259" i="196"/>
  <c r="AQ201" i="196"/>
  <c r="AJ291" i="196"/>
  <c r="AK291" i="196" s="1"/>
  <c r="AJ80" i="196"/>
  <c r="AK80" i="196" s="1"/>
  <c r="AN238" i="196"/>
  <c r="AJ68" i="196"/>
  <c r="AK68" i="196" s="1"/>
  <c r="AQ71" i="196"/>
  <c r="AJ296" i="196"/>
  <c r="AK296" i="196" s="1"/>
  <c r="AJ89" i="196"/>
  <c r="AK89" i="196" s="1"/>
  <c r="AJ149" i="196"/>
  <c r="AK149" i="196" s="1"/>
  <c r="AJ245" i="196"/>
  <c r="AK245" i="196" s="1"/>
  <c r="AJ255" i="196"/>
  <c r="AK255" i="196" s="1"/>
  <c r="AJ309" i="196"/>
  <c r="AK309" i="196" s="1"/>
  <c r="AJ267" i="196"/>
  <c r="AK267" i="196" s="1"/>
  <c r="AJ180" i="196"/>
  <c r="AK180" i="196" s="1"/>
  <c r="AJ187" i="196"/>
  <c r="AK187" i="196" s="1"/>
  <c r="AJ115" i="196"/>
  <c r="AK115" i="196" s="1"/>
  <c r="AJ207" i="196"/>
  <c r="AK207" i="196" s="1"/>
  <c r="AJ235" i="196"/>
  <c r="AK235" i="196" s="1"/>
  <c r="AJ305" i="196"/>
  <c r="AK305" i="196" s="1"/>
  <c r="AJ176" i="196"/>
  <c r="AK176" i="196" s="1"/>
  <c r="AJ252" i="196"/>
  <c r="AK252" i="196" s="1"/>
  <c r="AJ119" i="196"/>
  <c r="AK119" i="196" s="1"/>
  <c r="AJ228" i="196"/>
  <c r="AK228" i="196" s="1"/>
  <c r="AJ288" i="196"/>
  <c r="AK288" i="196" s="1"/>
  <c r="AJ65" i="196"/>
  <c r="AK65" i="196" s="1"/>
  <c r="AM274" i="196"/>
  <c r="AG110" i="198"/>
  <c r="AJ110" i="198" s="1"/>
  <c r="AG266" i="198"/>
  <c r="AG313" i="198"/>
  <c r="AK73" i="198"/>
  <c r="AG134" i="198"/>
  <c r="AK250" i="198"/>
  <c r="AH158" i="198"/>
  <c r="AH102" i="198"/>
  <c r="AH232" i="198"/>
  <c r="AI140" i="198"/>
  <c r="AH274" i="198"/>
  <c r="AD124" i="198"/>
  <c r="AE124" i="198" s="1"/>
  <c r="AG96" i="198"/>
  <c r="AD239" i="198"/>
  <c r="AE239" i="198" s="1"/>
  <c r="AD186" i="198"/>
  <c r="AE186" i="198" s="1"/>
  <c r="AH307" i="198"/>
  <c r="AG137" i="198"/>
  <c r="AD42" i="198"/>
  <c r="AE42" i="198" s="1"/>
  <c r="AQ110" i="198"/>
  <c r="AH266" i="198"/>
  <c r="AI73" i="198"/>
  <c r="AH134" i="198"/>
  <c r="AG250" i="198"/>
  <c r="AG158" i="198"/>
  <c r="AQ158" i="198"/>
  <c r="AK102" i="198"/>
  <c r="AG232" i="198"/>
  <c r="AG140" i="198"/>
  <c r="AK274" i="198"/>
  <c r="AI245" i="198"/>
  <c r="AJ245" i="198" s="1"/>
  <c r="AQ307" i="198"/>
  <c r="AD290" i="198"/>
  <c r="AE290" i="198" s="1"/>
  <c r="AD283" i="198"/>
  <c r="AE283" i="198" s="1"/>
  <c r="AH83" i="198"/>
  <c r="AD67" i="198"/>
  <c r="AE67" i="198" s="1"/>
  <c r="AD54" i="198"/>
  <c r="AE54" i="198" s="1"/>
  <c r="AH253" i="198"/>
  <c r="AI250" i="198"/>
  <c r="AJ250" i="198" s="1"/>
  <c r="AK245" i="198"/>
  <c r="AD170" i="198"/>
  <c r="AE170" i="198" s="1"/>
  <c r="AD210" i="198"/>
  <c r="AE210" i="198" s="1"/>
  <c r="AG83" i="198"/>
  <c r="AD271" i="198"/>
  <c r="AE271" i="198" s="1"/>
  <c r="AK286" i="198"/>
  <c r="AI242" i="198"/>
  <c r="AD257" i="198"/>
  <c r="AE257" i="198" s="1"/>
  <c r="AI289" i="198"/>
  <c r="AJ289" i="198" s="1"/>
  <c r="AH194" i="198"/>
  <c r="AI86" i="198"/>
  <c r="AI265" i="198"/>
  <c r="AK302" i="198"/>
  <c r="AI310" i="198"/>
  <c r="AH209" i="198"/>
  <c r="AH165" i="198"/>
  <c r="AD197" i="198"/>
  <c r="AE197" i="198" s="1"/>
  <c r="AK295" i="198"/>
  <c r="AH289" i="198"/>
  <c r="AI294" i="198"/>
  <c r="AH278" i="198"/>
  <c r="AH218" i="198"/>
  <c r="AD276" i="198"/>
  <c r="AE276" i="198" s="1"/>
  <c r="AD236" i="198"/>
  <c r="AE236" i="198" s="1"/>
  <c r="AD316" i="198"/>
  <c r="AE316" i="198" s="1"/>
  <c r="AD141" i="198"/>
  <c r="AE141" i="198" s="1"/>
  <c r="AD261" i="198"/>
  <c r="AE261" i="198" s="1"/>
  <c r="AP68" i="196"/>
  <c r="AP77" i="196"/>
  <c r="AP111" i="196"/>
  <c r="AP285" i="196"/>
  <c r="AP140" i="196"/>
  <c r="AD201" i="198"/>
  <c r="AE201" i="198" s="1"/>
  <c r="AD111" i="198"/>
  <c r="AE111" i="198" s="1"/>
  <c r="AD253" i="198"/>
  <c r="AE253" i="198" s="1"/>
  <c r="AD137" i="198"/>
  <c r="AE137" i="198" s="1"/>
  <c r="AD105" i="198"/>
  <c r="AE105" i="198" s="1"/>
  <c r="AD265" i="198"/>
  <c r="AE265" i="198" s="1"/>
  <c r="AD181" i="198"/>
  <c r="AE181" i="198" s="1"/>
  <c r="AD108" i="198"/>
  <c r="AE108" i="198" s="1"/>
  <c r="AD43" i="198"/>
  <c r="AE43" i="198" s="1"/>
  <c r="AJ35" i="198"/>
  <c r="AD129" i="198"/>
  <c r="AE129" i="198" s="1"/>
  <c r="AJ47" i="198"/>
  <c r="AD273" i="198"/>
  <c r="AE273" i="198" s="1"/>
  <c r="AJ57" i="196"/>
  <c r="AK57" i="196" s="1"/>
  <c r="AP97" i="196"/>
  <c r="BE17" i="200"/>
  <c r="AK210" i="198"/>
  <c r="AG210" i="198"/>
  <c r="AI210" i="198"/>
  <c r="AH210" i="198"/>
  <c r="AG178" i="198"/>
  <c r="AI178" i="198"/>
  <c r="AK178" i="198"/>
  <c r="AH178" i="198"/>
  <c r="AQ120" i="198"/>
  <c r="AG294" i="198"/>
  <c r="AH127" i="198"/>
  <c r="AG286" i="198"/>
  <c r="AG95" i="198"/>
  <c r="AD138" i="198"/>
  <c r="AE138" i="198" s="1"/>
  <c r="AK270" i="198"/>
  <c r="AI270" i="198"/>
  <c r="AG270" i="198"/>
  <c r="AH270" i="198"/>
  <c r="AG154" i="198"/>
  <c r="AK154" i="198"/>
  <c r="AI154" i="198"/>
  <c r="AH154" i="198"/>
  <c r="AH138" i="198"/>
  <c r="AK138" i="198"/>
  <c r="AI138" i="198"/>
  <c r="AG138" i="198"/>
  <c r="AI106" i="198"/>
  <c r="AH106" i="198"/>
  <c r="AK106" i="198"/>
  <c r="AG106" i="198"/>
  <c r="AI308" i="198"/>
  <c r="AH308" i="198"/>
  <c r="AK308" i="198"/>
  <c r="AG308" i="198"/>
  <c r="AH300" i="198"/>
  <c r="AK300" i="198"/>
  <c r="AG300" i="198"/>
  <c r="AI300" i="198"/>
  <c r="AG284" i="198"/>
  <c r="AI284" i="198"/>
  <c r="AH284" i="198"/>
  <c r="AK284" i="198"/>
  <c r="AK276" i="198"/>
  <c r="AH276" i="198"/>
  <c r="AI276" i="198"/>
  <c r="AG276" i="198"/>
  <c r="AH240" i="198"/>
  <c r="AG240" i="198"/>
  <c r="AI240" i="198"/>
  <c r="AK240" i="198"/>
  <c r="AG72" i="198"/>
  <c r="AH72" i="198"/>
  <c r="AK72" i="198"/>
  <c r="AI72" i="198"/>
  <c r="AK64" i="198"/>
  <c r="AI64" i="198"/>
  <c r="AH64" i="198"/>
  <c r="AG64" i="198"/>
  <c r="AH56" i="198"/>
  <c r="AK56" i="198"/>
  <c r="AG56" i="198"/>
  <c r="AI56" i="198"/>
  <c r="AK127" i="198"/>
  <c r="AH62" i="198"/>
  <c r="AG62" i="198"/>
  <c r="AK62" i="198"/>
  <c r="AI62" i="198"/>
  <c r="AG264" i="198"/>
  <c r="AI264" i="198"/>
  <c r="AK264" i="198"/>
  <c r="AH264" i="198"/>
  <c r="AG112" i="198"/>
  <c r="AH112" i="198"/>
  <c r="AK112" i="198"/>
  <c r="AI112" i="198"/>
  <c r="P20" i="181"/>
  <c r="AQ278" i="198"/>
  <c r="AH155" i="198"/>
  <c r="AI164" i="198"/>
  <c r="AG194" i="198"/>
  <c r="AJ194" i="198" s="1"/>
  <c r="AH185" i="198"/>
  <c r="AI78" i="198"/>
  <c r="AG120" i="198"/>
  <c r="AG86" i="198"/>
  <c r="AK170" i="198"/>
  <c r="AI302" i="198"/>
  <c r="AK51" i="198"/>
  <c r="AH242" i="198"/>
  <c r="AG218" i="198"/>
  <c r="AH128" i="198"/>
  <c r="AI239" i="198"/>
  <c r="AD81" i="198"/>
  <c r="AE81" i="198" s="1"/>
  <c r="AQ294" i="198"/>
  <c r="AQ297" i="198"/>
  <c r="AQ218" i="198"/>
  <c r="AQ164" i="198"/>
  <c r="AQ113" i="198"/>
  <c r="AD88" i="198"/>
  <c r="AE88" i="198" s="1"/>
  <c r="AQ272" i="198"/>
  <c r="AQ119" i="198"/>
  <c r="AK155" i="198"/>
  <c r="AG262" i="198"/>
  <c r="AG164" i="198"/>
  <c r="AH122" i="198"/>
  <c r="AQ122" i="198"/>
  <c r="AK194" i="198"/>
  <c r="AI185" i="198"/>
  <c r="AK185" i="198"/>
  <c r="AH78" i="198"/>
  <c r="AK172" i="198"/>
  <c r="AH120" i="198"/>
  <c r="AK86" i="198"/>
  <c r="AQ86" i="198"/>
  <c r="AK316" i="198"/>
  <c r="AH170" i="198"/>
  <c r="AH46" i="198"/>
  <c r="AG200" i="198"/>
  <c r="AH294" i="198"/>
  <c r="AI127" i="198"/>
  <c r="AJ127" i="198" s="1"/>
  <c r="AK248" i="198"/>
  <c r="AH208" i="198"/>
  <c r="AG167" i="198"/>
  <c r="AJ167" i="198" s="1"/>
  <c r="AH73" i="198"/>
  <c r="AG292" i="198"/>
  <c r="AQ247" i="198"/>
  <c r="AH239" i="198"/>
  <c r="AH146" i="198"/>
  <c r="AG302" i="198"/>
  <c r="AH114" i="198"/>
  <c r="AH51" i="198"/>
  <c r="AK310" i="198"/>
  <c r="AK156" i="198"/>
  <c r="AI254" i="198"/>
  <c r="AH286" i="198"/>
  <c r="AG253" i="198"/>
  <c r="AJ253" i="198" s="1"/>
  <c r="AK242" i="198"/>
  <c r="AI95" i="198"/>
  <c r="AK104" i="198"/>
  <c r="AK191" i="198"/>
  <c r="AH259" i="198"/>
  <c r="AQ259" i="198"/>
  <c r="AK79" i="198"/>
  <c r="AK199" i="198"/>
  <c r="AH98" i="198"/>
  <c r="AG256" i="198"/>
  <c r="AK232" i="198"/>
  <c r="AK140" i="198"/>
  <c r="AG245" i="198"/>
  <c r="AI278" i="198"/>
  <c r="AG115" i="198"/>
  <c r="AJ115" i="198" s="1"/>
  <c r="AG272" i="198"/>
  <c r="AJ272" i="198" s="1"/>
  <c r="AI218" i="198"/>
  <c r="AG128" i="198"/>
  <c r="AJ128" i="198" s="1"/>
  <c r="AK96" i="198"/>
  <c r="AD114" i="198"/>
  <c r="AE114" i="198" s="1"/>
  <c r="AG307" i="198"/>
  <c r="AH251" i="198"/>
  <c r="AG251" i="198"/>
  <c r="AJ251" i="198" s="1"/>
  <c r="AG107" i="198"/>
  <c r="AH119" i="198"/>
  <c r="AG119" i="198"/>
  <c r="AH107" i="198"/>
  <c r="AH205" i="198"/>
  <c r="AG121" i="198"/>
  <c r="AH297" i="198"/>
  <c r="AG222" i="198"/>
  <c r="AI222" i="198"/>
  <c r="AK222" i="198"/>
  <c r="AH222" i="198"/>
  <c r="AK214" i="198"/>
  <c r="AG214" i="198"/>
  <c r="AH214" i="198"/>
  <c r="AI214" i="198"/>
  <c r="AG166" i="198"/>
  <c r="AH166" i="198"/>
  <c r="AK166" i="198"/>
  <c r="AI166" i="198"/>
  <c r="AI309" i="198"/>
  <c r="AJ309" i="198" s="1"/>
  <c r="AH309" i="198"/>
  <c r="AK297" i="198"/>
  <c r="AH184" i="198"/>
  <c r="AG184" i="198"/>
  <c r="AI184" i="198"/>
  <c r="AK184" i="198"/>
  <c r="AH168" i="198"/>
  <c r="AG168" i="198"/>
  <c r="AK168" i="198"/>
  <c r="AI168" i="198"/>
  <c r="AH160" i="198"/>
  <c r="AK160" i="198"/>
  <c r="AI160" i="198"/>
  <c r="AG160" i="198"/>
  <c r="AI152" i="198"/>
  <c r="AK152" i="198"/>
  <c r="AG152" i="198"/>
  <c r="AH152" i="198"/>
  <c r="AK124" i="198"/>
  <c r="AI124" i="198"/>
  <c r="AH124" i="198"/>
  <c r="AG124" i="198"/>
  <c r="AG40" i="198"/>
  <c r="AI40" i="198"/>
  <c r="AH40" i="198"/>
  <c r="AK40" i="198"/>
  <c r="AK119" i="198"/>
  <c r="AK107" i="198"/>
  <c r="AK318" i="198"/>
  <c r="AG318" i="198"/>
  <c r="AH318" i="198"/>
  <c r="AI318" i="198"/>
  <c r="AH226" i="198"/>
  <c r="AI226" i="198"/>
  <c r="AG226" i="198"/>
  <c r="AK226" i="198"/>
  <c r="AK202" i="198"/>
  <c r="AG202" i="198"/>
  <c r="AH202" i="198"/>
  <c r="AI202" i="198"/>
  <c r="AI186" i="198"/>
  <c r="AH186" i="198"/>
  <c r="AK186" i="198"/>
  <c r="AG186" i="198"/>
  <c r="AI70" i="198"/>
  <c r="AH70" i="198"/>
  <c r="AG70" i="198"/>
  <c r="AK70" i="198"/>
  <c r="AK188" i="198"/>
  <c r="AG188" i="198"/>
  <c r="AI188" i="198"/>
  <c r="AH188" i="198"/>
  <c r="AH148" i="198"/>
  <c r="AG148" i="198"/>
  <c r="AI148" i="198"/>
  <c r="AK148" i="198"/>
  <c r="AG44" i="198"/>
  <c r="AK44" i="198"/>
  <c r="AH44" i="198"/>
  <c r="AI44" i="198"/>
  <c r="AQ155" i="198"/>
  <c r="AQ210" i="198"/>
  <c r="AH247" i="198"/>
  <c r="AG247" i="198"/>
  <c r="AJ247" i="198" s="1"/>
  <c r="AG310" i="198"/>
  <c r="AG156" i="198"/>
  <c r="AJ156" i="198" s="1"/>
  <c r="AK95" i="198"/>
  <c r="AK256" i="198"/>
  <c r="AG278" i="198"/>
  <c r="AJ278" i="198" s="1"/>
  <c r="AH115" i="198"/>
  <c r="AQ70" i="198"/>
  <c r="AH272" i="198"/>
  <c r="AD107" i="198"/>
  <c r="AE107" i="198" s="1"/>
  <c r="AQ264" i="198"/>
  <c r="AQ114" i="198"/>
  <c r="AQ186" i="198"/>
  <c r="AQ170" i="198"/>
  <c r="AQ138" i="198"/>
  <c r="AQ98" i="198"/>
  <c r="AQ245" i="198"/>
  <c r="AQ146" i="198"/>
  <c r="AQ140" i="198"/>
  <c r="AD130" i="198"/>
  <c r="AE130" i="198" s="1"/>
  <c r="AG78" i="198"/>
  <c r="AH172" i="198"/>
  <c r="AI316" i="198"/>
  <c r="AG73" i="198"/>
  <c r="AK146" i="198"/>
  <c r="AH310" i="198"/>
  <c r="AI286" i="198"/>
  <c r="AJ286" i="198" s="1"/>
  <c r="AQ106" i="198"/>
  <c r="AD227" i="198"/>
  <c r="AE227" i="198" s="1"/>
  <c r="AD288" i="198"/>
  <c r="AE288" i="198" s="1"/>
  <c r="AD153" i="198"/>
  <c r="AE153" i="198" s="1"/>
  <c r="AD139" i="198"/>
  <c r="AE139" i="198" s="1"/>
  <c r="AD151" i="198"/>
  <c r="AE151" i="198" s="1"/>
  <c r="AD165" i="198"/>
  <c r="AE165" i="198" s="1"/>
  <c r="AG297" i="198"/>
  <c r="AJ297" i="198" s="1"/>
  <c r="AI258" i="198"/>
  <c r="AH258" i="198"/>
  <c r="AG258" i="198"/>
  <c r="AK258" i="198"/>
  <c r="AG150" i="198"/>
  <c r="AK150" i="198"/>
  <c r="AH150" i="198"/>
  <c r="AI150" i="198"/>
  <c r="AK142" i="198"/>
  <c r="AH142" i="198"/>
  <c r="AG142" i="198"/>
  <c r="AI142" i="198"/>
  <c r="AI118" i="198"/>
  <c r="AG118" i="198"/>
  <c r="AK118" i="198"/>
  <c r="AH118" i="198"/>
  <c r="AK94" i="198"/>
  <c r="AI94" i="198"/>
  <c r="AH94" i="198"/>
  <c r="AG94" i="198"/>
  <c r="AH50" i="198"/>
  <c r="AI50" i="198"/>
  <c r="AG50" i="198"/>
  <c r="AK50" i="198"/>
  <c r="AK309" i="198"/>
  <c r="AG312" i="198"/>
  <c r="AI312" i="198"/>
  <c r="AH312" i="198"/>
  <c r="AK312" i="198"/>
  <c r="AK296" i="198"/>
  <c r="AG296" i="198"/>
  <c r="AI296" i="198"/>
  <c r="AH296" i="198"/>
  <c r="AI288" i="198"/>
  <c r="AK288" i="198"/>
  <c r="AG288" i="198"/>
  <c r="AH288" i="198"/>
  <c r="AG228" i="198"/>
  <c r="AH228" i="198"/>
  <c r="AK228" i="198"/>
  <c r="AI228" i="198"/>
  <c r="AK220" i="198"/>
  <c r="AG220" i="198"/>
  <c r="AH220" i="198"/>
  <c r="AI220" i="198"/>
  <c r="AI204" i="198"/>
  <c r="AG204" i="198"/>
  <c r="AH204" i="198"/>
  <c r="AK204" i="198"/>
  <c r="AI196" i="198"/>
  <c r="AG196" i="198"/>
  <c r="AK196" i="198"/>
  <c r="AH196" i="198"/>
  <c r="AH60" i="198"/>
  <c r="AG60" i="198"/>
  <c r="AJ60" i="198" s="1"/>
  <c r="AK52" i="198"/>
  <c r="AG52" i="198"/>
  <c r="AI52" i="198"/>
  <c r="AH52" i="198"/>
  <c r="AD145" i="198"/>
  <c r="AE145" i="198" s="1"/>
  <c r="AQ229" i="198"/>
  <c r="AH27" i="198"/>
  <c r="AG201" i="198"/>
  <c r="AJ201" i="198" s="1"/>
  <c r="AH257" i="198"/>
  <c r="AH301" i="198"/>
  <c r="AH63" i="198"/>
  <c r="AD156" i="198"/>
  <c r="AE156" i="198" s="1"/>
  <c r="AD221" i="198"/>
  <c r="AE221" i="198" s="1"/>
  <c r="AD77" i="198"/>
  <c r="AE77" i="198" s="1"/>
  <c r="AD191" i="198"/>
  <c r="AE191" i="198" s="1"/>
  <c r="AG175" i="198"/>
  <c r="AD291" i="198"/>
  <c r="AE291" i="198" s="1"/>
  <c r="AK133" i="198"/>
  <c r="AH271" i="198"/>
  <c r="AK27" i="198"/>
  <c r="AH201" i="198"/>
  <c r="AG229" i="198"/>
  <c r="AG301" i="198"/>
  <c r="AJ239" i="198"/>
  <c r="AK63" i="198"/>
  <c r="AH97" i="198"/>
  <c r="AD262" i="198"/>
  <c r="AE262" i="198" s="1"/>
  <c r="AD235" i="198"/>
  <c r="AE235" i="198" s="1"/>
  <c r="AH43" i="198"/>
  <c r="AD303" i="198"/>
  <c r="AE303" i="198" s="1"/>
  <c r="AQ123" i="198"/>
  <c r="AD267" i="198"/>
  <c r="AE267" i="198" s="1"/>
  <c r="AD279" i="198"/>
  <c r="AE279" i="198" s="1"/>
  <c r="AQ43" i="198"/>
  <c r="AQ133" i="198"/>
  <c r="AQ317" i="198"/>
  <c r="AH229" i="198"/>
  <c r="AG241" i="198"/>
  <c r="AJ241" i="198" s="1"/>
  <c r="AI97" i="198"/>
  <c r="AK123" i="198"/>
  <c r="AQ175" i="198"/>
  <c r="AD157" i="198"/>
  <c r="AE157" i="198" s="1"/>
  <c r="AD317" i="198"/>
  <c r="AE317" i="198" s="1"/>
  <c r="AD231" i="198"/>
  <c r="AE231" i="198" s="1"/>
  <c r="AD189" i="198"/>
  <c r="AE189" i="198" s="1"/>
  <c r="AD183" i="198"/>
  <c r="AE183" i="198" s="1"/>
  <c r="AD125" i="198"/>
  <c r="AE125" i="198" s="1"/>
  <c r="AD97" i="198"/>
  <c r="AE97" i="198" s="1"/>
  <c r="AD27" i="198"/>
  <c r="AE27" i="198" s="1"/>
  <c r="AI43" i="198"/>
  <c r="AH217" i="198"/>
  <c r="AI175" i="198"/>
  <c r="AG147" i="198"/>
  <c r="AJ147" i="198" s="1"/>
  <c r="AG43" i="198"/>
  <c r="AJ281" i="196"/>
  <c r="AK281" i="196" s="1"/>
  <c r="AN125" i="196"/>
  <c r="AJ197" i="196"/>
  <c r="AK197" i="196" s="1"/>
  <c r="AQ316" i="196"/>
  <c r="AQ125" i="196"/>
  <c r="AN112" i="196"/>
  <c r="AQ112" i="196"/>
  <c r="AM106" i="196"/>
  <c r="AP106" i="196" s="1"/>
  <c r="AJ129" i="196"/>
  <c r="AK129" i="196" s="1"/>
  <c r="AZ217" i="196"/>
  <c r="AM217" i="196"/>
  <c r="AQ189" i="196"/>
  <c r="AQ293" i="196"/>
  <c r="AZ293" i="196"/>
  <c r="AO293" i="196"/>
  <c r="AN293" i="196"/>
  <c r="AM293" i="196"/>
  <c r="AN261" i="196"/>
  <c r="AM261" i="196"/>
  <c r="AZ261" i="196"/>
  <c r="AO261" i="196"/>
  <c r="AZ54" i="196"/>
  <c r="AN54" i="196"/>
  <c r="AO54" i="196"/>
  <c r="AQ54" i="196"/>
  <c r="AM54" i="196"/>
  <c r="AO44" i="196"/>
  <c r="AP44" i="196" s="1"/>
  <c r="AM224" i="196"/>
  <c r="AZ274" i="196"/>
  <c r="AM94" i="196"/>
  <c r="AO94" i="196"/>
  <c r="AZ94" i="196"/>
  <c r="AJ205" i="196"/>
  <c r="AK205" i="196" s="1"/>
  <c r="AN109" i="196"/>
  <c r="AJ300" i="196"/>
  <c r="AK300" i="196" s="1"/>
  <c r="AN237" i="196"/>
  <c r="AJ209" i="196"/>
  <c r="AK209" i="196" s="1"/>
  <c r="AM53" i="196"/>
  <c r="AN316" i="196"/>
  <c r="AM296" i="196"/>
  <c r="AJ45" i="196"/>
  <c r="AK45" i="196" s="1"/>
  <c r="AO125" i="196"/>
  <c r="AP125" i="196" s="1"/>
  <c r="AJ185" i="196"/>
  <c r="AK185" i="196" s="1"/>
  <c r="AN296" i="196"/>
  <c r="AQ106" i="196"/>
  <c r="AN97" i="196"/>
  <c r="AO53" i="196"/>
  <c r="AQ45" i="196"/>
  <c r="AO112" i="196"/>
  <c r="AP112" i="196" s="1"/>
  <c r="AZ112" i="196"/>
  <c r="AN53" i="196"/>
  <c r="AQ94" i="196"/>
  <c r="AJ284" i="196"/>
  <c r="AK284" i="196" s="1"/>
  <c r="AJ256" i="196"/>
  <c r="AK256" i="196" s="1"/>
  <c r="AN70" i="196"/>
  <c r="AZ70" i="196"/>
  <c r="AM70" i="196"/>
  <c r="AO70" i="196"/>
  <c r="AQ70" i="196"/>
  <c r="AJ240" i="196"/>
  <c r="AK240" i="196" s="1"/>
  <c r="AJ131" i="196"/>
  <c r="AK131" i="196" s="1"/>
  <c r="AZ183" i="196"/>
  <c r="AO153" i="196"/>
  <c r="AP107" i="196"/>
  <c r="AP46" i="196"/>
  <c r="AI208" i="197"/>
  <c r="AJ208" i="197" s="1"/>
  <c r="AI121" i="197"/>
  <c r="AJ121" i="197" s="1"/>
  <c r="AD34" i="198"/>
  <c r="AE34" i="198" s="1"/>
  <c r="AI30" i="197"/>
  <c r="AJ30" i="197" s="1"/>
  <c r="AP297" i="196"/>
  <c r="AJ69" i="196"/>
  <c r="AK69" i="196" s="1"/>
  <c r="AI20" i="197"/>
  <c r="AJ20" i="197" s="1"/>
  <c r="AO162" i="197"/>
  <c r="AJ307" i="198"/>
  <c r="AO274" i="197"/>
  <c r="AO22" i="197"/>
  <c r="AO262" i="197"/>
  <c r="AO118" i="197"/>
  <c r="AJ242" i="198"/>
  <c r="AJ158" i="198"/>
  <c r="AI83" i="197"/>
  <c r="AJ83" i="197" s="1"/>
  <c r="AI212" i="197"/>
  <c r="AJ212" i="197" s="1"/>
  <c r="AJ227" i="198"/>
  <c r="AJ191" i="198"/>
  <c r="AJ79" i="198"/>
  <c r="AD53" i="198"/>
  <c r="AE53" i="198" s="1"/>
  <c r="AI316" i="197"/>
  <c r="AJ316" i="197" s="1"/>
  <c r="AI148" i="197"/>
  <c r="AJ148" i="197" s="1"/>
  <c r="AP256" i="196"/>
  <c r="AO246" i="197"/>
  <c r="AD35" i="198"/>
  <c r="AE35" i="198" s="1"/>
  <c r="AO250" i="197"/>
  <c r="AO310" i="197"/>
  <c r="AJ119" i="198"/>
  <c r="AO190" i="197"/>
  <c r="AP284" i="196"/>
  <c r="AI46" i="197"/>
  <c r="AD211" i="198"/>
  <c r="AE211" i="198" s="1"/>
  <c r="AD73" i="198"/>
  <c r="AE73" i="198" s="1"/>
  <c r="AJ275" i="196"/>
  <c r="AK275" i="196" s="1"/>
  <c r="AI269" i="197"/>
  <c r="AI37" i="197"/>
  <c r="AP145" i="196"/>
  <c r="AI202" i="197"/>
  <c r="AJ202" i="197" s="1"/>
  <c r="AI124" i="197"/>
  <c r="AD121" i="198"/>
  <c r="AE121" i="198" s="1"/>
  <c r="AD259" i="198"/>
  <c r="AE259" i="198" s="1"/>
  <c r="AI210" i="197"/>
  <c r="AI108" i="197"/>
  <c r="AI301" i="197"/>
  <c r="AJ301" i="197" s="1"/>
  <c r="AJ24" i="198"/>
  <c r="AI223" i="197"/>
  <c r="AJ223" i="197" s="1"/>
  <c r="AI75" i="197"/>
  <c r="AD85" i="198"/>
  <c r="AE85" i="198" s="1"/>
  <c r="AI188" i="197"/>
  <c r="AJ188" i="197" s="1"/>
  <c r="AI28" i="197"/>
  <c r="AI111" i="197"/>
  <c r="AJ111" i="197" s="1"/>
  <c r="AI297" i="197"/>
  <c r="AJ297" i="197" s="1"/>
  <c r="AI145" i="197"/>
  <c r="AJ145" i="197" s="1"/>
  <c r="AI29" i="197"/>
  <c r="AJ29" i="197" s="1"/>
  <c r="AI31" i="197"/>
  <c r="AJ31" i="197" s="1"/>
  <c r="AI291" i="197"/>
  <c r="AJ291" i="197" s="1"/>
  <c r="AI257" i="197"/>
  <c r="AI41" i="197"/>
  <c r="AD109" i="198"/>
  <c r="AE109" i="198" s="1"/>
  <c r="AI99" i="197"/>
  <c r="AI144" i="197"/>
  <c r="AJ144" i="197" s="1"/>
  <c r="AO210" i="197"/>
  <c r="AI64" i="197"/>
  <c r="AJ64" i="197" s="1"/>
  <c r="AI220" i="197"/>
  <c r="AI136" i="197"/>
  <c r="AD295" i="198"/>
  <c r="AE295" i="198" s="1"/>
  <c r="AD127" i="198"/>
  <c r="AE127" i="198" s="1"/>
  <c r="AJ101" i="196"/>
  <c r="AK101" i="196" s="1"/>
  <c r="AI261" i="197"/>
  <c r="AJ261" i="197" s="1"/>
  <c r="AI141" i="197"/>
  <c r="AJ141" i="197" s="1"/>
  <c r="AI23" i="197"/>
  <c r="AJ23" i="197" s="1"/>
  <c r="AI94" i="197"/>
  <c r="AI268" i="197"/>
  <c r="AJ268" i="197" s="1"/>
  <c r="AI199" i="197"/>
  <c r="AJ199" i="197" s="1"/>
  <c r="AI53" i="197"/>
  <c r="AJ53" i="197" s="1"/>
  <c r="AI266" i="197"/>
  <c r="AI107" i="197"/>
  <c r="AJ107" i="197" s="1"/>
  <c r="AI59" i="197"/>
  <c r="AJ59" i="197" s="1"/>
  <c r="AI270" i="197"/>
  <c r="AJ270" i="197" s="1"/>
  <c r="AI214" i="197"/>
  <c r="AI24" i="197"/>
  <c r="AJ24" i="197" s="1"/>
  <c r="AI19" i="197"/>
  <c r="AJ19" i="197" s="1"/>
  <c r="AI143" i="197"/>
  <c r="AJ143" i="197" s="1"/>
  <c r="AI155" i="197"/>
  <c r="AJ304" i="198"/>
  <c r="AI196" i="197"/>
  <c r="AJ196" i="197" s="1"/>
  <c r="AO90" i="197"/>
  <c r="AI34" i="197"/>
  <c r="AJ34" i="197" s="1"/>
  <c r="AI230" i="197"/>
  <c r="AJ230" i="197" s="1"/>
  <c r="AI164" i="197"/>
  <c r="AJ164" i="197" s="1"/>
  <c r="AI56" i="197"/>
  <c r="AJ56" i="197" s="1"/>
  <c r="AI113" i="197"/>
  <c r="AI89" i="197"/>
  <c r="AJ89" i="197" s="1"/>
  <c r="AI52" i="197"/>
  <c r="AJ52" i="197" s="1"/>
  <c r="AI190" i="197"/>
  <c r="AJ190" i="197" s="1"/>
  <c r="AI54" i="197"/>
  <c r="AI312" i="197"/>
  <c r="AJ312" i="197" s="1"/>
  <c r="AI65" i="197"/>
  <c r="AJ65" i="197" s="1"/>
  <c r="AI18" i="197"/>
  <c r="AJ18" i="197" s="1"/>
  <c r="AI131" i="197"/>
  <c r="AJ28" i="197"/>
  <c r="AI88" i="197"/>
  <c r="AJ88" i="197" s="1"/>
  <c r="AI138" i="197"/>
  <c r="AJ138" i="197" s="1"/>
  <c r="AI90" i="197"/>
  <c r="AI174" i="197"/>
  <c r="AJ174" i="197" s="1"/>
  <c r="AI258" i="197"/>
  <c r="AJ258" i="197" s="1"/>
  <c r="AI102" i="197"/>
  <c r="AJ102" i="197" s="1"/>
  <c r="AI198" i="197"/>
  <c r="AI78" i="197"/>
  <c r="AJ78" i="197" s="1"/>
  <c r="AJ41" i="196"/>
  <c r="AK41" i="196" s="1"/>
  <c r="AI70" i="197"/>
  <c r="AJ70" i="197" s="1"/>
  <c r="AJ32" i="197"/>
  <c r="AI101" i="197"/>
  <c r="AJ101" i="197" s="1"/>
  <c r="AI93" i="197"/>
  <c r="AJ93" i="197" s="1"/>
  <c r="AI81" i="197"/>
  <c r="AJ81" i="197" s="1"/>
  <c r="AJ35" i="197"/>
  <c r="AI26" i="197"/>
  <c r="AJ26" i="197" s="1"/>
  <c r="AI21" i="197"/>
  <c r="AJ21" i="197" s="1"/>
  <c r="AI25" i="197"/>
  <c r="AJ25" i="197" s="1"/>
  <c r="AI17" i="197"/>
  <c r="AJ17" i="197" s="1"/>
  <c r="AI308" i="197"/>
  <c r="AJ308" i="197" s="1"/>
  <c r="AI265" i="197"/>
  <c r="AJ265" i="197" s="1"/>
  <c r="AJ257" i="197"/>
  <c r="AI278" i="197"/>
  <c r="AJ278" i="197" s="1"/>
  <c r="AI189" i="197"/>
  <c r="AJ189" i="197" s="1"/>
  <c r="AJ108" i="197"/>
  <c r="AJ233" i="197"/>
  <c r="AI179" i="197"/>
  <c r="AJ179" i="197" s="1"/>
  <c r="AI169" i="197"/>
  <c r="AJ169" i="197" s="1"/>
  <c r="AI286" i="197"/>
  <c r="AJ286" i="197" s="1"/>
  <c r="AI275" i="197"/>
  <c r="AJ275" i="197" s="1"/>
  <c r="AI62" i="197"/>
  <c r="AJ62" i="197" s="1"/>
  <c r="AI126" i="197"/>
  <c r="AJ126" i="197" s="1"/>
  <c r="AJ94" i="197"/>
  <c r="AI158" i="197"/>
  <c r="AJ158" i="197" s="1"/>
  <c r="AI201" i="197"/>
  <c r="AJ201" i="197" s="1"/>
  <c r="AI116" i="197"/>
  <c r="AJ116" i="197" s="1"/>
  <c r="AJ41" i="197"/>
  <c r="AI73" i="197"/>
  <c r="AJ73" i="197" s="1"/>
  <c r="AI222" i="197"/>
  <c r="AJ222" i="197" s="1"/>
  <c r="AI254" i="197"/>
  <c r="AJ254" i="197" s="1"/>
  <c r="AI137" i="197"/>
  <c r="AJ137" i="197" s="1"/>
  <c r="AI105" i="197"/>
  <c r="AJ105" i="197" s="1"/>
  <c r="AI256" i="197"/>
  <c r="AJ256" i="197" s="1"/>
  <c r="AJ155" i="197"/>
  <c r="AI313" i="197"/>
  <c r="AJ313" i="197" s="1"/>
  <c r="AJ54" i="197"/>
  <c r="AI86" i="197"/>
  <c r="AJ86" i="197" s="1"/>
  <c r="AI234" i="197"/>
  <c r="AJ234" i="197" s="1"/>
  <c r="AI290" i="197"/>
  <c r="AJ290" i="197" s="1"/>
  <c r="AI300" i="197"/>
  <c r="AJ300" i="197" s="1"/>
  <c r="AI109" i="197"/>
  <c r="AJ109" i="197" s="1"/>
  <c r="AI245" i="197"/>
  <c r="AJ245" i="197" s="1"/>
  <c r="AI200" i="197"/>
  <c r="AJ200" i="197" s="1"/>
  <c r="AI166" i="197"/>
  <c r="AJ166" i="197" s="1"/>
  <c r="AI98" i="197"/>
  <c r="AJ98" i="197" s="1"/>
  <c r="AJ210" i="197"/>
  <c r="AJ131" i="197"/>
  <c r="AJ75" i="197"/>
  <c r="AI154" i="197"/>
  <c r="AJ154" i="197" s="1"/>
  <c r="AI177" i="197"/>
  <c r="AJ177" i="197" s="1"/>
  <c r="AI244" i="197"/>
  <c r="AJ244" i="197" s="1"/>
  <c r="AI232" i="197"/>
  <c r="AJ232" i="197" s="1"/>
  <c r="AI172" i="197"/>
  <c r="AJ172" i="197" s="1"/>
  <c r="AI306" i="197"/>
  <c r="AJ306" i="197" s="1"/>
  <c r="AI150" i="197"/>
  <c r="AJ150" i="197" s="1"/>
  <c r="AI238" i="197"/>
  <c r="AJ238" i="197" s="1"/>
  <c r="AI178" i="197"/>
  <c r="AJ178" i="197" s="1"/>
  <c r="AJ250" i="197"/>
  <c r="AI298" i="197"/>
  <c r="AJ298" i="197" s="1"/>
  <c r="AI58" i="197"/>
  <c r="AJ58" i="197" s="1"/>
  <c r="AI274" i="197"/>
  <c r="AJ274" i="197" s="1"/>
  <c r="AJ266" i="197"/>
  <c r="AI236" i="197"/>
  <c r="AJ236" i="197" s="1"/>
  <c r="AJ184" i="197"/>
  <c r="AI176" i="197"/>
  <c r="AJ176" i="197" s="1"/>
  <c r="AI140" i="197"/>
  <c r="AJ140" i="197" s="1"/>
  <c r="AJ124" i="197"/>
  <c r="AI122" i="197"/>
  <c r="AJ122" i="197" s="1"/>
  <c r="AJ46" i="197"/>
  <c r="AJ267" i="197"/>
  <c r="AI273" i="197"/>
  <c r="AJ273" i="197" s="1"/>
  <c r="AI165" i="197"/>
  <c r="AJ165" i="197" s="1"/>
  <c r="AI161" i="197"/>
  <c r="AJ161" i="197" s="1"/>
  <c r="AI157" i="197"/>
  <c r="AJ157" i="197" s="1"/>
  <c r="AI125" i="197"/>
  <c r="AJ125" i="197" s="1"/>
  <c r="AI115" i="197"/>
  <c r="AJ115" i="197" s="1"/>
  <c r="AI195" i="197"/>
  <c r="AJ195" i="197" s="1"/>
  <c r="AI191" i="197"/>
  <c r="AJ191" i="197" s="1"/>
  <c r="AI44" i="197"/>
  <c r="AJ44" i="197" s="1"/>
  <c r="AI197" i="197"/>
  <c r="AJ197" i="197" s="1"/>
  <c r="AI120" i="197"/>
  <c r="AJ120" i="197" s="1"/>
  <c r="AI160" i="197"/>
  <c r="AJ160" i="197" s="1"/>
  <c r="AI180" i="197"/>
  <c r="AJ180" i="197" s="1"/>
  <c r="AI149" i="197"/>
  <c r="AJ149" i="197" s="1"/>
  <c r="AI182" i="197"/>
  <c r="AJ182" i="197" s="1"/>
  <c r="AI206" i="197"/>
  <c r="AJ206" i="197" s="1"/>
  <c r="AI247" i="197"/>
  <c r="AJ247" i="197" s="1"/>
  <c r="AI123" i="197"/>
  <c r="AJ123" i="197" s="1"/>
  <c r="AI61" i="197"/>
  <c r="AJ61" i="197" s="1"/>
  <c r="AI151" i="197"/>
  <c r="AJ151" i="197" s="1"/>
  <c r="AI187" i="197"/>
  <c r="AJ187" i="197" s="1"/>
  <c r="AI229" i="197"/>
  <c r="AJ229" i="197" s="1"/>
  <c r="AI259" i="197"/>
  <c r="AJ259" i="197" s="1"/>
  <c r="AI307" i="197"/>
  <c r="AJ307" i="197" s="1"/>
  <c r="AI228" i="197"/>
  <c r="AJ228" i="197" s="1"/>
  <c r="AI305" i="197"/>
  <c r="AJ305" i="197" s="1"/>
  <c r="AJ99" i="197"/>
  <c r="AI87" i="197"/>
  <c r="AJ87" i="197" s="1"/>
  <c r="AJ76" i="197"/>
  <c r="AJ220" i="197"/>
  <c r="AJ136" i="197"/>
  <c r="AI280" i="197"/>
  <c r="AJ280" i="197" s="1"/>
  <c r="AI112" i="197"/>
  <c r="AJ112" i="197" s="1"/>
  <c r="AI42" i="197"/>
  <c r="AJ42" i="197" s="1"/>
  <c r="AJ90" i="197"/>
  <c r="AJ198" i="197"/>
  <c r="AI114" i="197"/>
  <c r="AJ114" i="197" s="1"/>
  <c r="AJ186" i="197"/>
  <c r="AI66" i="197"/>
  <c r="AJ66" i="197" s="1"/>
  <c r="AI294" i="197"/>
  <c r="AJ294" i="197" s="1"/>
  <c r="AI162" i="197"/>
  <c r="AJ162" i="197" s="1"/>
  <c r="AI246" i="197"/>
  <c r="AJ246" i="197" s="1"/>
  <c r="AJ214" i="197"/>
  <c r="AI106" i="197"/>
  <c r="AJ106" i="197" s="1"/>
  <c r="AI118" i="197"/>
  <c r="AJ118" i="197" s="1"/>
  <c r="AI82" i="197"/>
  <c r="AJ82" i="197" s="1"/>
  <c r="AJ130" i="197"/>
  <c r="AI310" i="197"/>
  <c r="AJ310" i="197" s="1"/>
  <c r="AI142" i="197"/>
  <c r="AJ142" i="197" s="1"/>
  <c r="AI262" i="197"/>
  <c r="AJ262" i="197" s="1"/>
  <c r="AI304" i="197"/>
  <c r="AJ304" i="197" s="1"/>
  <c r="AJ292" i="197"/>
  <c r="AJ284" i="197"/>
  <c r="AJ224" i="197"/>
  <c r="AJ218" i="197"/>
  <c r="AJ216" i="197"/>
  <c r="AJ74" i="197"/>
  <c r="AJ60" i="197"/>
  <c r="AI299" i="197"/>
  <c r="AJ299" i="197" s="1"/>
  <c r="AI295" i="197"/>
  <c r="AJ295" i="197" s="1"/>
  <c r="AI277" i="197"/>
  <c r="AJ277" i="197" s="1"/>
  <c r="AJ269" i="197"/>
  <c r="AI253" i="197"/>
  <c r="AJ253" i="197" s="1"/>
  <c r="AI243" i="197"/>
  <c r="AJ243" i="197" s="1"/>
  <c r="AI237" i="197"/>
  <c r="AJ237" i="197" s="1"/>
  <c r="AI235" i="197"/>
  <c r="AJ235" i="197" s="1"/>
  <c r="AI231" i="197"/>
  <c r="AJ231" i="197" s="1"/>
  <c r="AI209" i="197"/>
  <c r="AJ209" i="197" s="1"/>
  <c r="AI207" i="197"/>
  <c r="AJ207" i="197" s="1"/>
  <c r="AI205" i="197"/>
  <c r="AJ205" i="197" s="1"/>
  <c r="AI183" i="197"/>
  <c r="AJ183" i="197" s="1"/>
  <c r="AI181" i="197"/>
  <c r="AJ181" i="197" s="1"/>
  <c r="AI175" i="197"/>
  <c r="AJ175" i="197" s="1"/>
  <c r="AI173" i="197"/>
  <c r="AJ173" i="197" s="1"/>
  <c r="AI171" i="197"/>
  <c r="AJ171" i="197" s="1"/>
  <c r="AI147" i="197"/>
  <c r="AJ147" i="197" s="1"/>
  <c r="AI133" i="197"/>
  <c r="AJ133" i="197" s="1"/>
  <c r="AI129" i="197"/>
  <c r="AJ129" i="197" s="1"/>
  <c r="AJ113" i="197"/>
  <c r="AI103" i="197"/>
  <c r="AJ103" i="197" s="1"/>
  <c r="AI97" i="197"/>
  <c r="AJ97" i="197" s="1"/>
  <c r="AJ95" i="197"/>
  <c r="AI91" i="197"/>
  <c r="AJ91" i="197" s="1"/>
  <c r="AI79" i="197"/>
  <c r="AJ79" i="197" s="1"/>
  <c r="AI71" i="197"/>
  <c r="AJ71" i="197" s="1"/>
  <c r="AN69" i="197"/>
  <c r="AI67" i="197"/>
  <c r="AJ67" i="197" s="1"/>
  <c r="AN65" i="197"/>
  <c r="AL65" i="197"/>
  <c r="AJ63" i="197"/>
  <c r="AI55" i="197"/>
  <c r="AJ55" i="197" s="1"/>
  <c r="AI51" i="197"/>
  <c r="AJ51" i="197" s="1"/>
  <c r="AM49" i="197"/>
  <c r="AI47" i="197"/>
  <c r="AJ47" i="197" s="1"/>
  <c r="AI43" i="197"/>
  <c r="AJ43" i="197" s="1"/>
  <c r="AJ37" i="197"/>
  <c r="AI309" i="197"/>
  <c r="AJ309" i="197" s="1"/>
  <c r="AI193" i="197"/>
  <c r="AJ193" i="197" s="1"/>
  <c r="AI167" i="197"/>
  <c r="AJ167" i="197" s="1"/>
  <c r="AI104" i="197"/>
  <c r="AJ104" i="197" s="1"/>
  <c r="AI68" i="197"/>
  <c r="AJ68" i="197" s="1"/>
  <c r="AI170" i="197"/>
  <c r="AJ170" i="197" s="1"/>
  <c r="AI303" i="197"/>
  <c r="AJ303" i="197" s="1"/>
  <c r="AI72" i="197"/>
  <c r="AJ72" i="197" s="1"/>
  <c r="AI49" i="197"/>
  <c r="AJ49" i="197" s="1"/>
  <c r="AI139" i="197"/>
  <c r="AJ139" i="197" s="1"/>
  <c r="AI168" i="197"/>
  <c r="AJ168" i="197" s="1"/>
  <c r="AI204" i="197"/>
  <c r="AJ204" i="197" s="1"/>
  <c r="AI226" i="197"/>
  <c r="AJ226" i="197" s="1"/>
  <c r="AI159" i="197"/>
  <c r="AJ159" i="197" s="1"/>
  <c r="AI119" i="197"/>
  <c r="AJ119" i="197" s="1"/>
  <c r="AI185" i="197"/>
  <c r="AJ185" i="197" s="1"/>
  <c r="AI215" i="197"/>
  <c r="AJ215" i="197" s="1"/>
  <c r="AI221" i="197"/>
  <c r="AJ221" i="197" s="1"/>
  <c r="AI239" i="197"/>
  <c r="AJ239" i="197" s="1"/>
  <c r="AI39" i="197"/>
  <c r="AJ39" i="197" s="1"/>
  <c r="AI117" i="197"/>
  <c r="AJ117" i="197" s="1"/>
  <c r="AI40" i="197"/>
  <c r="AJ40" i="197" s="1"/>
  <c r="AI127" i="197"/>
  <c r="AJ127" i="197" s="1"/>
  <c r="AI163" i="197"/>
  <c r="AJ163" i="197" s="1"/>
  <c r="AI219" i="197"/>
  <c r="AJ219" i="197" s="1"/>
  <c r="AI255" i="197"/>
  <c r="AJ255" i="197" s="1"/>
  <c r="AI315" i="197"/>
  <c r="AJ315" i="197" s="1"/>
  <c r="AI293" i="197"/>
  <c r="AJ293" i="197" s="1"/>
  <c r="AI283" i="197"/>
  <c r="AJ283" i="197" s="1"/>
  <c r="AI314" i="197"/>
  <c r="AJ314" i="197" s="1"/>
  <c r="AI288" i="197"/>
  <c r="AJ288" i="197" s="1"/>
  <c r="AI289" i="197"/>
  <c r="AJ289" i="197" s="1"/>
  <c r="AO142" i="197"/>
  <c r="AO46" i="197"/>
  <c r="AO58" i="197"/>
  <c r="AO36" i="197"/>
  <c r="AO257" i="197"/>
  <c r="AN238" i="197"/>
  <c r="AM238" i="197"/>
  <c r="AM162" i="197"/>
  <c r="AN275" i="197"/>
  <c r="AO275" i="197" s="1"/>
  <c r="AL169" i="197"/>
  <c r="AO169" i="197" s="1"/>
  <c r="AM151" i="197"/>
  <c r="AL151" i="197"/>
  <c r="AO151" i="197" s="1"/>
  <c r="AM77" i="197"/>
  <c r="AM25" i="197"/>
  <c r="AJ195" i="196"/>
  <c r="AK195" i="196" s="1"/>
  <c r="AJ253" i="196"/>
  <c r="AK253" i="196" s="1"/>
  <c r="AJ290" i="198"/>
  <c r="AD21" i="198"/>
  <c r="AE21" i="198" s="1"/>
  <c r="AD203" i="198"/>
  <c r="AE203" i="198" s="1"/>
  <c r="AO294" i="197"/>
  <c r="AO306" i="197"/>
  <c r="AJ171" i="196"/>
  <c r="AK171" i="196" s="1"/>
  <c r="AJ260" i="196"/>
  <c r="AK260" i="196" s="1"/>
  <c r="AD169" i="198"/>
  <c r="AE169" i="198" s="1"/>
  <c r="AD93" i="198"/>
  <c r="AE93" i="198" s="1"/>
  <c r="AD41" i="198"/>
  <c r="AE41" i="198" s="1"/>
  <c r="AD19" i="198"/>
  <c r="AE19" i="198" s="1"/>
  <c r="AH175" i="198"/>
  <c r="AH147" i="198"/>
  <c r="AT257" i="197"/>
  <c r="AM257" i="197"/>
  <c r="AT117" i="197"/>
  <c r="AL117" i="197"/>
  <c r="AO117" i="197" s="1"/>
  <c r="AT115" i="197"/>
  <c r="AL115" i="197"/>
  <c r="AO115" i="197" s="1"/>
  <c r="AT111" i="197"/>
  <c r="AN111" i="197"/>
  <c r="AL111" i="197"/>
  <c r="AL105" i="197"/>
  <c r="AO105" i="197" s="1"/>
  <c r="AT103" i="197"/>
  <c r="AM103" i="197"/>
  <c r="AL103" i="197"/>
  <c r="AO103" i="197" s="1"/>
  <c r="AT101" i="197"/>
  <c r="AM101" i="197"/>
  <c r="AL101" i="197"/>
  <c r="AN101" i="197"/>
  <c r="AT97" i="197"/>
  <c r="AL97" i="197"/>
  <c r="AO97" i="197" s="1"/>
  <c r="AT91" i="197"/>
  <c r="AN91" i="197"/>
  <c r="AL91" i="197"/>
  <c r="AM91" i="197"/>
  <c r="AT89" i="197"/>
  <c r="AN89" i="197"/>
  <c r="AL89" i="197"/>
  <c r="AL81" i="197"/>
  <c r="AO81" i="197" s="1"/>
  <c r="AL79" i="197"/>
  <c r="AO79" i="197" s="1"/>
  <c r="AN77" i="197"/>
  <c r="AL77" i="197"/>
  <c r="AT69" i="197"/>
  <c r="AL69" i="197"/>
  <c r="AT67" i="197"/>
  <c r="AM67" i="197"/>
  <c r="AL67" i="197"/>
  <c r="AN67" i="197"/>
  <c r="AT63" i="197"/>
  <c r="AL63" i="197"/>
  <c r="AO63" i="197" s="1"/>
  <c r="AT61" i="197"/>
  <c r="AM61" i="197"/>
  <c r="AL61" i="197"/>
  <c r="AO61" i="197" s="1"/>
  <c r="AT55" i="197"/>
  <c r="AL55" i="197"/>
  <c r="AO55" i="197" s="1"/>
  <c r="AM55" i="197"/>
  <c r="AT51" i="197"/>
  <c r="AL51" i="197"/>
  <c r="AO51" i="197" s="1"/>
  <c r="AT47" i="197"/>
  <c r="AN47" i="197"/>
  <c r="AO47" i="197" s="1"/>
  <c r="AM47" i="197"/>
  <c r="AM39" i="197"/>
  <c r="AT37" i="197"/>
  <c r="AN37" i="197"/>
  <c r="AL37" i="197"/>
  <c r="AT35" i="197"/>
  <c r="AN35" i="197"/>
  <c r="AL35" i="197"/>
  <c r="AT33" i="197"/>
  <c r="AM33" i="197"/>
  <c r="AL33" i="197"/>
  <c r="AO33" i="197" s="1"/>
  <c r="AM29" i="197"/>
  <c r="AN29" i="197"/>
  <c r="AO29" i="197" s="1"/>
  <c r="AT27" i="197"/>
  <c r="AM27" i="197"/>
  <c r="AL27" i="197"/>
  <c r="AN27" i="197"/>
  <c r="AN25" i="197"/>
  <c r="AO25" i="197" s="1"/>
  <c r="AL23" i="197"/>
  <c r="AO23" i="197" s="1"/>
  <c r="AM177" i="196"/>
  <c r="AJ39" i="198"/>
  <c r="AJ107" i="198"/>
  <c r="AJ83" i="198"/>
  <c r="AD55" i="198"/>
  <c r="AE55" i="198" s="1"/>
  <c r="AD91" i="198"/>
  <c r="AE91" i="198" s="1"/>
  <c r="AD293" i="198"/>
  <c r="AE293" i="198" s="1"/>
  <c r="AD277" i="198"/>
  <c r="AE277" i="198" s="1"/>
  <c r="AD247" i="198"/>
  <c r="AE247" i="198" s="1"/>
  <c r="AD233" i="198"/>
  <c r="AE233" i="198" s="1"/>
  <c r="AD207" i="198"/>
  <c r="AE207" i="198" s="1"/>
  <c r="AG183" i="198"/>
  <c r="AJ183" i="198" s="1"/>
  <c r="AJ105" i="196"/>
  <c r="AK105" i="196" s="1"/>
  <c r="AP273" i="196"/>
  <c r="AM301" i="197"/>
  <c r="AT139" i="197"/>
  <c r="AL139" i="197"/>
  <c r="AN139" i="197"/>
  <c r="AT119" i="197"/>
  <c r="AL119" i="197"/>
  <c r="AO119" i="197" s="1"/>
  <c r="AM119" i="197"/>
  <c r="AT113" i="197"/>
  <c r="AL113" i="197"/>
  <c r="AN113" i="197"/>
  <c r="AM113" i="197"/>
  <c r="AT107" i="197"/>
  <c r="AN107" i="197"/>
  <c r="AO107" i="197" s="1"/>
  <c r="AM107" i="197"/>
  <c r="AT93" i="197"/>
  <c r="AL93" i="197"/>
  <c r="AN93" i="197"/>
  <c r="AT85" i="197"/>
  <c r="AL85" i="197"/>
  <c r="AN85" i="197"/>
  <c r="AT79" i="197"/>
  <c r="AM79" i="197"/>
  <c r="AT71" i="197"/>
  <c r="AL71" i="197"/>
  <c r="AO71" i="197" s="1"/>
  <c r="AT59" i="197"/>
  <c r="AN59" i="197"/>
  <c r="AO59" i="197" s="1"/>
  <c r="AM59" i="197"/>
  <c r="AT57" i="197"/>
  <c r="AL57" i="197"/>
  <c r="AO57" i="197" s="1"/>
  <c r="AT49" i="197"/>
  <c r="AN49" i="197"/>
  <c r="AO49" i="197" s="1"/>
  <c r="AT45" i="197"/>
  <c r="AM45" i="197"/>
  <c r="AT23" i="197"/>
  <c r="AM23" i="197"/>
  <c r="AT19" i="197"/>
  <c r="AM19" i="197"/>
  <c r="AT17" i="197"/>
  <c r="AL17" i="197"/>
  <c r="AM17" i="197"/>
  <c r="AN17" i="197"/>
  <c r="AQ275" i="196"/>
  <c r="AO275" i="196"/>
  <c r="AZ275" i="196"/>
  <c r="AK269" i="198"/>
  <c r="AI269" i="198"/>
  <c r="AK211" i="198"/>
  <c r="AH211" i="198"/>
  <c r="AK163" i="198"/>
  <c r="AH163" i="198"/>
  <c r="AK151" i="198"/>
  <c r="AH151" i="198"/>
  <c r="AK113" i="198"/>
  <c r="AH113" i="198"/>
  <c r="AK101" i="198"/>
  <c r="AG101" i="198"/>
  <c r="AH101" i="198"/>
  <c r="AK65" i="198"/>
  <c r="AH65" i="198"/>
  <c r="AK59" i="198"/>
  <c r="AH59" i="198"/>
  <c r="AK55" i="198"/>
  <c r="AI55" i="198"/>
  <c r="AJ55" i="198" s="1"/>
  <c r="AJ54" i="196"/>
  <c r="AK54" i="196" s="1"/>
  <c r="AJ32" i="196"/>
  <c r="AK32" i="196" s="1"/>
  <c r="AN19" i="196"/>
  <c r="AD226" i="198"/>
  <c r="AE226" i="198" s="1"/>
  <c r="AD214" i="198"/>
  <c r="AE214" i="198" s="1"/>
  <c r="AQ239" i="196"/>
  <c r="AZ105" i="196"/>
  <c r="AN105" i="196"/>
  <c r="AO34" i="196"/>
  <c r="AP34" i="196" s="1"/>
  <c r="AO69" i="196"/>
  <c r="AP69" i="196" s="1"/>
  <c r="AM135" i="196"/>
  <c r="AM172" i="196"/>
  <c r="AP172" i="196" s="1"/>
  <c r="AZ284" i="196"/>
  <c r="AM153" i="196"/>
  <c r="AZ57" i="196"/>
  <c r="AO57" i="196"/>
  <c r="AP57" i="196" s="1"/>
  <c r="AN135" i="196"/>
  <c r="AQ135" i="196"/>
  <c r="AQ292" i="196"/>
  <c r="AJ227" i="196"/>
  <c r="AK227" i="196" s="1"/>
  <c r="AZ101" i="196"/>
  <c r="AJ79" i="196"/>
  <c r="AK79" i="196" s="1"/>
  <c r="AL144" i="197"/>
  <c r="AO144" i="197" s="1"/>
  <c r="AM76" i="197"/>
  <c r="AL76" i="197"/>
  <c r="AO76" i="197" s="1"/>
  <c r="AQ63" i="198"/>
  <c r="AQ27" i="198"/>
  <c r="AD174" i="198"/>
  <c r="AE174" i="198" s="1"/>
  <c r="AH133" i="198"/>
  <c r="AI133" i="198"/>
  <c r="AJ133" i="198" s="1"/>
  <c r="AI271" i="198"/>
  <c r="AJ271" i="198" s="1"/>
  <c r="AK271" i="198"/>
  <c r="AK121" i="198"/>
  <c r="AI27" i="198"/>
  <c r="AJ27" i="198" s="1"/>
  <c r="AG317" i="198"/>
  <c r="AJ317" i="198" s="1"/>
  <c r="AH317" i="198"/>
  <c r="AI277" i="198"/>
  <c r="AJ277" i="198" s="1"/>
  <c r="AH277" i="198"/>
  <c r="AK201" i="198"/>
  <c r="AK257" i="198"/>
  <c r="AI149" i="198"/>
  <c r="AJ149" i="198" s="1"/>
  <c r="AH137" i="198"/>
  <c r="AI229" i="198"/>
  <c r="AK301" i="198"/>
  <c r="AI301" i="198"/>
  <c r="AJ301" i="198" s="1"/>
  <c r="AN101" i="196"/>
  <c r="AO101" i="196"/>
  <c r="AP101" i="196" s="1"/>
  <c r="AM275" i="196"/>
  <c r="AJ93" i="196"/>
  <c r="AK93" i="196" s="1"/>
  <c r="AJ203" i="196"/>
  <c r="AK203" i="196" s="1"/>
  <c r="AZ53" i="196"/>
  <c r="AQ115" i="196"/>
  <c r="AJ299" i="196"/>
  <c r="AK299" i="196" s="1"/>
  <c r="AO169" i="196"/>
  <c r="AJ159" i="196"/>
  <c r="AK159" i="196" s="1"/>
  <c r="AM236" i="196"/>
  <c r="AQ101" i="198"/>
  <c r="AQ241" i="198"/>
  <c r="AG63" i="198"/>
  <c r="AJ63" i="198" s="1"/>
  <c r="AK241" i="198"/>
  <c r="AG97" i="198"/>
  <c r="AK97" i="198"/>
  <c r="AI123" i="198"/>
  <c r="AJ123" i="198" s="1"/>
  <c r="AD49" i="198"/>
  <c r="AE49" i="198" s="1"/>
  <c r="AQ205" i="198"/>
  <c r="AO189" i="196"/>
  <c r="AL292" i="197"/>
  <c r="AM124" i="197"/>
  <c r="AL124" i="197"/>
  <c r="AN124" i="197"/>
  <c r="AN292" i="197"/>
  <c r="AO292" i="197" s="1"/>
  <c r="AM221" i="196"/>
  <c r="AM169" i="196"/>
  <c r="AQ273" i="196"/>
  <c r="AZ273" i="196"/>
  <c r="AN221" i="196"/>
  <c r="AO221" i="196"/>
  <c r="AQ95" i="196"/>
  <c r="AZ64" i="196"/>
  <c r="AD209" i="198"/>
  <c r="AE209" i="198" s="1"/>
  <c r="AD185" i="198"/>
  <c r="AE185" i="198" s="1"/>
  <c r="AG59" i="198"/>
  <c r="AL296" i="197"/>
  <c r="AT315" i="197"/>
  <c r="AN315" i="197"/>
  <c r="AM315" i="197"/>
  <c r="AL315" i="197"/>
  <c r="AT311" i="197"/>
  <c r="AL311" i="197"/>
  <c r="AM311" i="197"/>
  <c r="AN311" i="197"/>
  <c r="AT309" i="197"/>
  <c r="AM309" i="197"/>
  <c r="AL309" i="197"/>
  <c r="AN309" i="197"/>
  <c r="AT307" i="197"/>
  <c r="AM307" i="197"/>
  <c r="AN307" i="197"/>
  <c r="AL307" i="197"/>
  <c r="AT305" i="197"/>
  <c r="AM305" i="197"/>
  <c r="AL305" i="197"/>
  <c r="AN305" i="197"/>
  <c r="AT303" i="197"/>
  <c r="AL303" i="197"/>
  <c r="AM303" i="197"/>
  <c r="AN303" i="197"/>
  <c r="AT299" i="197"/>
  <c r="AN299" i="197"/>
  <c r="AL299" i="197"/>
  <c r="AM299" i="197"/>
  <c r="AT295" i="197"/>
  <c r="AL295" i="197"/>
  <c r="AM295" i="197"/>
  <c r="AN295" i="197"/>
  <c r="AT293" i="197"/>
  <c r="AM293" i="197"/>
  <c r="AN293" i="197"/>
  <c r="AL293" i="197"/>
  <c r="AT289" i="197"/>
  <c r="AN289" i="197"/>
  <c r="AL289" i="197"/>
  <c r="AM289" i="197"/>
  <c r="AT287" i="197"/>
  <c r="AL287" i="197"/>
  <c r="AM287" i="197"/>
  <c r="AN287" i="197"/>
  <c r="AT285" i="197"/>
  <c r="AL285" i="197"/>
  <c r="AM285" i="197"/>
  <c r="AN285" i="197"/>
  <c r="AT283" i="197"/>
  <c r="AN283" i="197"/>
  <c r="AM283" i="197"/>
  <c r="AL283" i="197"/>
  <c r="AT281" i="197"/>
  <c r="AL281" i="197"/>
  <c r="AM281" i="197"/>
  <c r="AN281" i="197"/>
  <c r="AT279" i="197"/>
  <c r="AN279" i="197"/>
  <c r="AO279" i="197" s="1"/>
  <c r="AT277" i="197"/>
  <c r="AN277" i="197"/>
  <c r="AM277" i="197"/>
  <c r="AL277" i="197"/>
  <c r="AT273" i="197"/>
  <c r="AN273" i="197"/>
  <c r="AM273" i="197"/>
  <c r="AL273" i="197"/>
  <c r="AT271" i="197"/>
  <c r="AL271" i="197"/>
  <c r="AM271" i="197"/>
  <c r="AN271" i="197"/>
  <c r="AT269" i="197"/>
  <c r="AL269" i="197"/>
  <c r="AM269" i="197"/>
  <c r="AN269" i="197"/>
  <c r="AT263" i="197"/>
  <c r="AN263" i="197"/>
  <c r="AL263" i="197"/>
  <c r="AM263" i="197"/>
  <c r="AT261" i="197"/>
  <c r="AN261" i="197"/>
  <c r="AL261" i="197"/>
  <c r="AM261" i="197"/>
  <c r="AT259" i="197"/>
  <c r="AL259" i="197"/>
  <c r="AN259" i="197"/>
  <c r="AM259" i="197"/>
  <c r="AT255" i="197"/>
  <c r="AN255" i="197"/>
  <c r="AM255" i="197"/>
  <c r="AL255" i="197"/>
  <c r="AT253" i="197"/>
  <c r="AN253" i="197"/>
  <c r="AM253" i="197"/>
  <c r="AL253" i="197"/>
  <c r="AT251" i="197"/>
  <c r="AL251" i="197"/>
  <c r="AM251" i="197"/>
  <c r="AN251" i="197"/>
  <c r="AT249" i="197"/>
  <c r="AN249" i="197"/>
  <c r="AL249" i="197"/>
  <c r="AM249" i="197"/>
  <c r="AT247" i="197"/>
  <c r="AL247" i="197"/>
  <c r="AM247" i="197"/>
  <c r="AN247" i="197"/>
  <c r="AT243" i="197"/>
  <c r="AM243" i="197"/>
  <c r="AN243" i="197"/>
  <c r="AL243" i="197"/>
  <c r="AT241" i="197"/>
  <c r="AL241" i="197"/>
  <c r="AN241" i="197"/>
  <c r="AM241" i="197"/>
  <c r="AT239" i="197"/>
  <c r="AN239" i="197"/>
  <c r="AL239" i="197"/>
  <c r="AM239" i="197"/>
  <c r="AT237" i="197"/>
  <c r="AN237" i="197"/>
  <c r="AL237" i="197"/>
  <c r="AM237" i="197"/>
  <c r="AT235" i="197"/>
  <c r="AM235" i="197"/>
  <c r="AL235" i="197"/>
  <c r="AN235" i="197"/>
  <c r="AT231" i="197"/>
  <c r="AM231" i="197"/>
  <c r="AN231" i="197"/>
  <c r="AL231" i="197"/>
  <c r="AT229" i="197"/>
  <c r="AN229" i="197"/>
  <c r="AL229" i="197"/>
  <c r="AM229" i="197"/>
  <c r="AT227" i="197"/>
  <c r="AN227" i="197"/>
  <c r="AL227" i="197"/>
  <c r="AM227" i="197"/>
  <c r="AT225" i="197"/>
  <c r="AN225" i="197"/>
  <c r="AM225" i="197"/>
  <c r="AL225" i="197"/>
  <c r="AT221" i="197"/>
  <c r="AM221" i="197"/>
  <c r="AN221" i="197"/>
  <c r="AL221" i="197"/>
  <c r="AT219" i="197"/>
  <c r="AL219" i="197"/>
  <c r="AM219" i="197"/>
  <c r="AN219" i="197"/>
  <c r="AT217" i="197"/>
  <c r="AL217" i="197"/>
  <c r="AM217" i="197"/>
  <c r="AN217" i="197"/>
  <c r="AT215" i="197"/>
  <c r="AL215" i="197"/>
  <c r="AN215" i="197"/>
  <c r="AM215" i="197"/>
  <c r="AT213" i="197"/>
  <c r="AN213" i="197"/>
  <c r="AM213" i="197"/>
  <c r="AL213" i="197"/>
  <c r="AT209" i="197"/>
  <c r="AN209" i="197"/>
  <c r="AL209" i="197"/>
  <c r="AM209" i="197"/>
  <c r="AT207" i="197"/>
  <c r="AN207" i="197"/>
  <c r="AM207" i="197"/>
  <c r="AL207" i="197"/>
  <c r="AT205" i="197"/>
  <c r="AM205" i="197"/>
  <c r="AN205" i="197"/>
  <c r="AL205" i="197"/>
  <c r="AT203" i="197"/>
  <c r="AM203" i="197"/>
  <c r="AL203" i="197"/>
  <c r="AN203" i="197"/>
  <c r="AT197" i="197"/>
  <c r="AL197" i="197"/>
  <c r="AM197" i="197"/>
  <c r="AN197" i="197"/>
  <c r="AT195" i="197"/>
  <c r="AM195" i="197"/>
  <c r="AL195" i="197"/>
  <c r="AN195" i="197"/>
  <c r="AT193" i="197"/>
  <c r="AN193" i="197"/>
  <c r="AL193" i="197"/>
  <c r="AM193" i="197"/>
  <c r="AT191" i="197"/>
  <c r="AN191" i="197"/>
  <c r="AM191" i="197"/>
  <c r="AL191" i="197"/>
  <c r="AT187" i="197"/>
  <c r="AN187" i="197"/>
  <c r="AM187" i="197"/>
  <c r="AL187" i="197"/>
  <c r="AT185" i="197"/>
  <c r="AL185" i="197"/>
  <c r="AM185" i="197"/>
  <c r="AN185" i="197"/>
  <c r="AT183" i="197"/>
  <c r="AM183" i="197"/>
  <c r="AN183" i="197"/>
  <c r="AL183" i="197"/>
  <c r="AT181" i="197"/>
  <c r="AN181" i="197"/>
  <c r="AM181" i="197"/>
  <c r="AL181" i="197"/>
  <c r="AT175" i="197"/>
  <c r="AN175" i="197"/>
  <c r="AL175" i="197"/>
  <c r="AM175" i="197"/>
  <c r="AT173" i="197"/>
  <c r="AL173" i="197"/>
  <c r="AN173" i="197"/>
  <c r="AM173" i="197"/>
  <c r="AT171" i="197"/>
  <c r="AM171" i="197"/>
  <c r="AN171" i="197"/>
  <c r="AL171" i="197"/>
  <c r="AT167" i="197"/>
  <c r="AM167" i="197"/>
  <c r="AL167" i="197"/>
  <c r="AN167" i="197"/>
  <c r="AT165" i="197"/>
  <c r="AN165" i="197"/>
  <c r="AM165" i="197"/>
  <c r="AL165" i="197"/>
  <c r="AT163" i="197"/>
  <c r="AN163" i="197"/>
  <c r="AM163" i="197"/>
  <c r="AL163" i="197"/>
  <c r="AT161" i="197"/>
  <c r="AL161" i="197"/>
  <c r="AM161" i="197"/>
  <c r="AN161" i="197"/>
  <c r="AT159" i="197"/>
  <c r="AL159" i="197"/>
  <c r="AN159" i="197"/>
  <c r="AM159" i="197"/>
  <c r="AT157" i="197"/>
  <c r="AL157" i="197"/>
  <c r="AN157" i="197"/>
  <c r="AM157" i="197"/>
  <c r="AT153" i="197"/>
  <c r="AL153" i="197"/>
  <c r="AN153" i="197"/>
  <c r="AM153" i="197"/>
  <c r="AT147" i="197"/>
  <c r="AM147" i="197"/>
  <c r="AL147" i="197"/>
  <c r="AN147" i="197"/>
  <c r="AT145" i="197"/>
  <c r="AM145" i="197"/>
  <c r="AN145" i="197"/>
  <c r="AL145" i="197"/>
  <c r="AT141" i="197"/>
  <c r="AN141" i="197"/>
  <c r="AM141" i="197"/>
  <c r="AL141" i="197"/>
  <c r="AT135" i="197"/>
  <c r="AN135" i="197"/>
  <c r="AL135" i="197"/>
  <c r="AM135" i="197"/>
  <c r="AT133" i="197"/>
  <c r="AL133" i="197"/>
  <c r="AN133" i="197"/>
  <c r="AM133" i="197"/>
  <c r="AT129" i="197"/>
  <c r="AL129" i="197"/>
  <c r="AM129" i="197"/>
  <c r="AN129" i="197"/>
  <c r="AT125" i="197"/>
  <c r="AM125" i="197"/>
  <c r="AN125" i="197"/>
  <c r="AL125" i="197"/>
  <c r="AT123" i="197"/>
  <c r="AL123" i="197"/>
  <c r="AM123" i="197"/>
  <c r="AN123" i="197"/>
  <c r="AG211" i="198"/>
  <c r="AH223" i="198"/>
  <c r="AH269" i="198"/>
  <c r="AG65" i="198"/>
  <c r="AG269" i="198"/>
  <c r="AG223" i="198"/>
  <c r="AJ223" i="198" s="1"/>
  <c r="AI217" i="198"/>
  <c r="AG217" i="198"/>
  <c r="AI211" i="198"/>
  <c r="AJ211" i="198" s="1"/>
  <c r="AG205" i="198"/>
  <c r="AJ205" i="198" s="1"/>
  <c r="AI163" i="198"/>
  <c r="AJ163" i="198" s="1"/>
  <c r="AG151" i="198"/>
  <c r="AJ151" i="198" s="1"/>
  <c r="AG113" i="198"/>
  <c r="AJ113" i="198" s="1"/>
  <c r="AI101" i="198"/>
  <c r="AI65" i="198"/>
  <c r="AI59" i="198"/>
  <c r="AH55" i="198"/>
  <c r="AQ93" i="196"/>
  <c r="AO93" i="196"/>
  <c r="AP93" i="196" s="1"/>
  <c r="AJ91" i="196"/>
  <c r="AK91" i="196" s="1"/>
  <c r="AJ102" i="198"/>
  <c r="AJ298" i="196"/>
  <c r="AK298" i="196" s="1"/>
  <c r="AT302" i="197"/>
  <c r="AM302" i="197"/>
  <c r="AL302" i="197"/>
  <c r="AO302" i="197" s="1"/>
  <c r="AN296" i="197"/>
  <c r="AT266" i="197"/>
  <c r="AL266" i="197"/>
  <c r="AM266" i="197"/>
  <c r="AN266" i="197"/>
  <c r="AT264" i="197"/>
  <c r="AM264" i="197"/>
  <c r="AL264" i="197"/>
  <c r="AN264" i="197"/>
  <c r="AT248" i="197"/>
  <c r="AN248" i="197"/>
  <c r="AM248" i="197"/>
  <c r="AL248" i="197"/>
  <c r="AT242" i="197"/>
  <c r="AL242" i="197"/>
  <c r="AM242" i="197"/>
  <c r="AN242" i="197"/>
  <c r="AT240" i="197"/>
  <c r="AL240" i="197"/>
  <c r="AM240" i="197"/>
  <c r="AN240" i="197"/>
  <c r="AT230" i="197"/>
  <c r="AN230" i="197"/>
  <c r="AL230" i="197"/>
  <c r="AM230" i="197"/>
  <c r="AT228" i="197"/>
  <c r="AN228" i="197"/>
  <c r="AL228" i="197"/>
  <c r="AM228" i="197"/>
  <c r="AT224" i="197"/>
  <c r="AL224" i="197"/>
  <c r="AN224" i="197"/>
  <c r="AM224" i="197"/>
  <c r="AT218" i="197"/>
  <c r="AM218" i="197"/>
  <c r="AL218" i="197"/>
  <c r="AN218" i="197"/>
  <c r="AT216" i="197"/>
  <c r="AN216" i="197"/>
  <c r="AL216" i="197"/>
  <c r="AM216" i="197"/>
  <c r="AM200" i="197"/>
  <c r="AT194" i="197"/>
  <c r="AN194" i="197"/>
  <c r="AM194" i="197"/>
  <c r="AL194" i="197"/>
  <c r="AT192" i="197"/>
  <c r="AN192" i="197"/>
  <c r="AL192" i="197"/>
  <c r="AM192" i="197"/>
  <c r="AT182" i="197"/>
  <c r="AN182" i="197"/>
  <c r="AL182" i="197"/>
  <c r="AM182" i="197"/>
  <c r="AT180" i="197"/>
  <c r="AN180" i="197"/>
  <c r="AL180" i="197"/>
  <c r="AM180" i="197"/>
  <c r="AT164" i="197"/>
  <c r="AL164" i="197"/>
  <c r="AM164" i="197"/>
  <c r="AN164" i="197"/>
  <c r="AT156" i="197"/>
  <c r="AM156" i="197"/>
  <c r="AN156" i="197"/>
  <c r="AL156" i="197"/>
  <c r="AT152" i="197"/>
  <c r="AM152" i="197"/>
  <c r="AN152" i="197"/>
  <c r="AL152" i="197"/>
  <c r="AT140" i="197"/>
  <c r="AM140" i="197"/>
  <c r="AL140" i="197"/>
  <c r="AN140" i="197"/>
  <c r="AT134" i="197"/>
  <c r="AM134" i="197"/>
  <c r="AN134" i="197"/>
  <c r="AL134" i="197"/>
  <c r="AT132" i="197"/>
  <c r="AN132" i="197"/>
  <c r="AO132" i="197" s="1"/>
  <c r="AT122" i="197"/>
  <c r="AL122" i="197"/>
  <c r="AN122" i="197"/>
  <c r="AM122" i="197"/>
  <c r="AT110" i="197"/>
  <c r="AM110" i="197"/>
  <c r="AN110" i="197"/>
  <c r="AL110" i="197"/>
  <c r="AT104" i="197"/>
  <c r="AL104" i="197"/>
  <c r="AM104" i="197"/>
  <c r="AN104" i="197"/>
  <c r="AT100" i="197"/>
  <c r="AN100" i="197"/>
  <c r="AO100" i="197" s="1"/>
  <c r="AT96" i="197"/>
  <c r="AL96" i="197"/>
  <c r="AO96" i="197" s="1"/>
  <c r="AT56" i="197"/>
  <c r="AN56" i="197"/>
  <c r="AL56" i="197"/>
  <c r="AM56" i="197"/>
  <c r="AT50" i="197"/>
  <c r="AN50" i="197"/>
  <c r="AL50" i="197"/>
  <c r="AM50" i="197"/>
  <c r="AT48" i="197"/>
  <c r="AL48" i="197"/>
  <c r="AN48" i="197"/>
  <c r="AM48" i="197"/>
  <c r="AT44" i="197"/>
  <c r="AN44" i="197"/>
  <c r="AM44" i="197"/>
  <c r="AL44" i="197"/>
  <c r="AT38" i="197"/>
  <c r="AL38" i="197"/>
  <c r="AM38" i="197"/>
  <c r="AN38" i="197"/>
  <c r="AT36" i="197"/>
  <c r="AM36" i="197"/>
  <c r="AT24" i="197"/>
  <c r="AL24" i="197"/>
  <c r="AN24" i="197"/>
  <c r="AM24" i="197"/>
  <c r="AH285" i="198"/>
  <c r="AG285" i="198"/>
  <c r="AI285" i="198"/>
  <c r="AK285" i="198"/>
  <c r="AK281" i="198"/>
  <c r="AH281" i="198"/>
  <c r="AG281" i="198"/>
  <c r="AI281" i="198"/>
  <c r="AH183" i="198"/>
  <c r="AK183" i="198"/>
  <c r="AH169" i="198"/>
  <c r="AK169" i="198"/>
  <c r="AI169" i="198"/>
  <c r="AG169" i="198"/>
  <c r="AH157" i="198"/>
  <c r="AK157" i="198"/>
  <c r="AG157" i="198"/>
  <c r="AI157" i="198"/>
  <c r="AI139" i="198"/>
  <c r="AK139" i="198"/>
  <c r="AG139" i="198"/>
  <c r="AH139" i="198"/>
  <c r="AK129" i="198"/>
  <c r="AG129" i="198"/>
  <c r="AH129" i="198"/>
  <c r="AI129" i="198"/>
  <c r="AH125" i="198"/>
  <c r="AK125" i="198"/>
  <c r="AI125" i="198"/>
  <c r="AG125" i="198"/>
  <c r="AH69" i="198"/>
  <c r="AK69" i="198"/>
  <c r="AG69" i="198"/>
  <c r="AI69" i="198"/>
  <c r="AI23" i="198"/>
  <c r="AJ23" i="198" s="1"/>
  <c r="AP133" i="196"/>
  <c r="AT314" i="197"/>
  <c r="AL314" i="197"/>
  <c r="AN314" i="197"/>
  <c r="AM314" i="197"/>
  <c r="AT288" i="197"/>
  <c r="AM288" i="197"/>
  <c r="AN288" i="197"/>
  <c r="AL288" i="197"/>
  <c r="AT284" i="197"/>
  <c r="AL284" i="197"/>
  <c r="AM284" i="197"/>
  <c r="AN284" i="197"/>
  <c r="AT276" i="197"/>
  <c r="AM276" i="197"/>
  <c r="AN276" i="197"/>
  <c r="AL276" i="197"/>
  <c r="AT272" i="197"/>
  <c r="AL272" i="197"/>
  <c r="AN272" i="197"/>
  <c r="AM272" i="197"/>
  <c r="AT260" i="197"/>
  <c r="AL260" i="197"/>
  <c r="AM260" i="197"/>
  <c r="AN260" i="197"/>
  <c r="AT252" i="197"/>
  <c r="AL252" i="197"/>
  <c r="AN252" i="197"/>
  <c r="AM252" i="197"/>
  <c r="AT236" i="197"/>
  <c r="AL236" i="197"/>
  <c r="AM236" i="197"/>
  <c r="AN236" i="197"/>
  <c r="AL226" i="197"/>
  <c r="AO226" i="197" s="1"/>
  <c r="AT206" i="197"/>
  <c r="AL206" i="197"/>
  <c r="AO206" i="197" s="1"/>
  <c r="AM206" i="197"/>
  <c r="AT204" i="197"/>
  <c r="AN204" i="197"/>
  <c r="AL204" i="197"/>
  <c r="AM204" i="197"/>
  <c r="AT176" i="197"/>
  <c r="AL176" i="197"/>
  <c r="AM176" i="197"/>
  <c r="AN176" i="197"/>
  <c r="AT170" i="197"/>
  <c r="AM170" i="197"/>
  <c r="AL170" i="197"/>
  <c r="AN170" i="197"/>
  <c r="AT168" i="197"/>
  <c r="AN168" i="197"/>
  <c r="AM168" i="197"/>
  <c r="AL168" i="197"/>
  <c r="AT146" i="197"/>
  <c r="AN146" i="197"/>
  <c r="AL146" i="197"/>
  <c r="AM146" i="197"/>
  <c r="AT144" i="197"/>
  <c r="AM144" i="197"/>
  <c r="AT128" i="197"/>
  <c r="AL128" i="197"/>
  <c r="AM128" i="197"/>
  <c r="AN128" i="197"/>
  <c r="AT92" i="197"/>
  <c r="AN92" i="197"/>
  <c r="AL92" i="197"/>
  <c r="AM92" i="197"/>
  <c r="AT84" i="197"/>
  <c r="AN84" i="197"/>
  <c r="AL84" i="197"/>
  <c r="AM84" i="197"/>
  <c r="AT80" i="197"/>
  <c r="AM80" i="197"/>
  <c r="AL80" i="197"/>
  <c r="AN80" i="197"/>
  <c r="AT74" i="197"/>
  <c r="AN74" i="197"/>
  <c r="AM74" i="197"/>
  <c r="AL74" i="197"/>
  <c r="AT72" i="197"/>
  <c r="AM72" i="197"/>
  <c r="AN72" i="197"/>
  <c r="AL72" i="197"/>
  <c r="AT68" i="197"/>
  <c r="AL68" i="197"/>
  <c r="AM68" i="197"/>
  <c r="AN68" i="197"/>
  <c r="AT60" i="197"/>
  <c r="AM60" i="197"/>
  <c r="AN60" i="197"/>
  <c r="AL60" i="197"/>
  <c r="AT32" i="197"/>
  <c r="AL32" i="197"/>
  <c r="AN32" i="197"/>
  <c r="AZ286" i="196"/>
  <c r="AO286" i="196"/>
  <c r="AN286" i="196"/>
  <c r="AQ286" i="196"/>
  <c r="AM286" i="196"/>
  <c r="AZ262" i="196"/>
  <c r="AO262" i="196"/>
  <c r="AP262" i="196" s="1"/>
  <c r="AN262" i="196"/>
  <c r="AK305" i="198"/>
  <c r="AH305" i="198"/>
  <c r="AG305" i="198"/>
  <c r="AJ305" i="198" s="1"/>
  <c r="AI293" i="198"/>
  <c r="AH293" i="198"/>
  <c r="AK293" i="198"/>
  <c r="AG293" i="198"/>
  <c r="AH193" i="198"/>
  <c r="AK193" i="198"/>
  <c r="AI193" i="198"/>
  <c r="AG193" i="198"/>
  <c r="AI181" i="198"/>
  <c r="AG181" i="198"/>
  <c r="AH181" i="198"/>
  <c r="AK181" i="198"/>
  <c r="AH105" i="198"/>
  <c r="AI105" i="198"/>
  <c r="AK105" i="198"/>
  <c r="AG105" i="198"/>
  <c r="AH93" i="198"/>
  <c r="AK93" i="198"/>
  <c r="AG93" i="198"/>
  <c r="AI93" i="198"/>
  <c r="AK89" i="198"/>
  <c r="AI89" i="198"/>
  <c r="AH89" i="198"/>
  <c r="AG89" i="198"/>
  <c r="AK87" i="198"/>
  <c r="AH87" i="198"/>
  <c r="AG87" i="198"/>
  <c r="AI87" i="198"/>
  <c r="AI85" i="198"/>
  <c r="AK85" i="198"/>
  <c r="AG85" i="198"/>
  <c r="AH85" i="198"/>
  <c r="AI77" i="198"/>
  <c r="AK77" i="198"/>
  <c r="AG77" i="198"/>
  <c r="AH77" i="198"/>
  <c r="AK61" i="198"/>
  <c r="AI61" i="198"/>
  <c r="AG61" i="198"/>
  <c r="AH61" i="198"/>
  <c r="AK53" i="198"/>
  <c r="AH53" i="198"/>
  <c r="AG53" i="198"/>
  <c r="AI53" i="198"/>
  <c r="AG49" i="198"/>
  <c r="AH49" i="198"/>
  <c r="AI49" i="198"/>
  <c r="AK49" i="198"/>
  <c r="AK41" i="198"/>
  <c r="AG41" i="198"/>
  <c r="AI41" i="198"/>
  <c r="AH41" i="198"/>
  <c r="AK37" i="198"/>
  <c r="AH37" i="198"/>
  <c r="AI37" i="198"/>
  <c r="AJ37" i="198" s="1"/>
  <c r="AK31" i="198"/>
  <c r="AH31" i="198"/>
  <c r="AI31" i="198"/>
  <c r="AJ31" i="198" s="1"/>
  <c r="AK29" i="198"/>
  <c r="AG29" i="198"/>
  <c r="AJ29" i="198" s="1"/>
  <c r="AK25" i="198"/>
  <c r="AH25" i="198"/>
  <c r="AG25" i="198"/>
  <c r="AI25" i="198"/>
  <c r="AK19" i="198"/>
  <c r="AG19" i="198"/>
  <c r="AH19" i="198"/>
  <c r="AI19" i="198"/>
  <c r="AD252" i="198"/>
  <c r="AE252" i="198" s="1"/>
  <c r="AD307" i="198"/>
  <c r="AE307" i="198" s="1"/>
  <c r="AD95" i="198"/>
  <c r="AE95" i="198" s="1"/>
  <c r="AD310" i="198"/>
  <c r="AE310" i="198" s="1"/>
  <c r="AD44" i="198"/>
  <c r="AE44" i="198" s="1"/>
  <c r="AD215" i="198"/>
  <c r="AE215" i="198" s="1"/>
  <c r="AD228" i="198"/>
  <c r="AE228" i="198" s="1"/>
  <c r="AD119" i="198"/>
  <c r="AE119" i="198" s="1"/>
  <c r="AD190" i="198"/>
  <c r="AE190" i="198" s="1"/>
  <c r="AO82" i="197"/>
  <c r="AO308" i="196"/>
  <c r="AM155" i="196"/>
  <c r="AQ183" i="196"/>
  <c r="AM308" i="196"/>
  <c r="AN223" i="196"/>
  <c r="AQ123" i="196"/>
  <c r="AJ310" i="196"/>
  <c r="AK310" i="196" s="1"/>
  <c r="AM81" i="196"/>
  <c r="AJ47" i="196"/>
  <c r="AK47" i="196" s="1"/>
  <c r="AN40" i="196"/>
  <c r="AQ223" i="196"/>
  <c r="AP66" i="196"/>
  <c r="AO81" i="196"/>
  <c r="AJ307" i="196"/>
  <c r="AK307" i="196" s="1"/>
  <c r="AM52" i="196"/>
  <c r="AP52" i="196" s="1"/>
  <c r="AJ165" i="196"/>
  <c r="AK165" i="196" s="1"/>
  <c r="AN185" i="196"/>
  <c r="AM225" i="196"/>
  <c r="AP55" i="196"/>
  <c r="AO64" i="196"/>
  <c r="AQ64" i="196"/>
  <c r="AN248" i="196"/>
  <c r="AM64" i="196"/>
  <c r="AO225" i="196"/>
  <c r="AJ43" i="196"/>
  <c r="AK43" i="196" s="1"/>
  <c r="AZ185" i="196"/>
  <c r="AM165" i="196"/>
  <c r="AO175" i="196"/>
  <c r="AN52" i="196"/>
  <c r="AJ17" i="196"/>
  <c r="AK17" i="196" s="1"/>
  <c r="BF17" i="200"/>
  <c r="BF16" i="200" s="1"/>
  <c r="AJ36" i="196"/>
  <c r="AK36" i="196" s="1"/>
  <c r="AJ155" i="198"/>
  <c r="AP113" i="196"/>
  <c r="AD217" i="198"/>
  <c r="AE217" i="198" s="1"/>
  <c r="AD166" i="198"/>
  <c r="AE166" i="198" s="1"/>
  <c r="AD94" i="198"/>
  <c r="AE94" i="198" s="1"/>
  <c r="AM71" i="196"/>
  <c r="AO298" i="197"/>
  <c r="AD264" i="198"/>
  <c r="AE264" i="198" s="1"/>
  <c r="AD274" i="198"/>
  <c r="AE274" i="198" s="1"/>
  <c r="AP270" i="196"/>
  <c r="AO202" i="197"/>
  <c r="AO238" i="197"/>
  <c r="AO223" i="197"/>
  <c r="AO70" i="197"/>
  <c r="AO112" i="197"/>
  <c r="AO34" i="197"/>
  <c r="AO211" i="197"/>
  <c r="AO158" i="197"/>
  <c r="AO160" i="197"/>
  <c r="AO312" i="197"/>
  <c r="AO232" i="197"/>
  <c r="AD237" i="198"/>
  <c r="AE237" i="198" s="1"/>
  <c r="AD143" i="198"/>
  <c r="AE143" i="198" s="1"/>
  <c r="AJ236" i="198"/>
  <c r="AJ46" i="198"/>
  <c r="AJ295" i="198"/>
  <c r="AD24" i="198"/>
  <c r="AE24" i="198" s="1"/>
  <c r="AD70" i="198"/>
  <c r="AE70" i="198" s="1"/>
  <c r="AQ108" i="198"/>
  <c r="AQ282" i="198"/>
  <c r="AJ22" i="198"/>
  <c r="AJ292" i="198"/>
  <c r="AD57" i="198"/>
  <c r="AE57" i="198" s="1"/>
  <c r="AJ95" i="198"/>
  <c r="AD250" i="198"/>
  <c r="AE250" i="198" s="1"/>
  <c r="AD58" i="198"/>
  <c r="AE58" i="198" s="1"/>
  <c r="AJ134" i="198"/>
  <c r="AD101" i="198"/>
  <c r="AE101" i="198" s="1"/>
  <c r="AD33" i="198"/>
  <c r="AE33" i="198" s="1"/>
  <c r="AD106" i="198"/>
  <c r="AE106" i="198" s="1"/>
  <c r="AD83" i="198"/>
  <c r="AE83" i="198" s="1"/>
  <c r="AJ96" i="198"/>
  <c r="AD305" i="198"/>
  <c r="AE305" i="198" s="1"/>
  <c r="AO270" i="197"/>
  <c r="AZ162" i="196"/>
  <c r="AJ175" i="196"/>
  <c r="AK175" i="196" s="1"/>
  <c r="AM143" i="196"/>
  <c r="AZ143" i="196"/>
  <c r="AZ191" i="196"/>
  <c r="AM139" i="196"/>
  <c r="AJ215" i="196"/>
  <c r="AK215" i="196" s="1"/>
  <c r="AO139" i="196"/>
  <c r="AO223" i="196"/>
  <c r="AZ223" i="196"/>
  <c r="AZ120" i="196"/>
  <c r="AZ180" i="196"/>
  <c r="AZ207" i="196"/>
  <c r="AZ123" i="196"/>
  <c r="AZ302" i="196"/>
  <c r="AN171" i="196"/>
  <c r="AZ144" i="196"/>
  <c r="AQ173" i="196"/>
  <c r="AZ139" i="196"/>
  <c r="AN308" i="196"/>
  <c r="AJ314" i="196"/>
  <c r="AK314" i="196" s="1"/>
  <c r="AJ113" i="196"/>
  <c r="AK113" i="196" s="1"/>
  <c r="AO183" i="196"/>
  <c r="AZ175" i="196"/>
  <c r="AN175" i="196"/>
  <c r="AQ236" i="196"/>
  <c r="AQ302" i="196"/>
  <c r="AO115" i="196"/>
  <c r="AP115" i="196" s="1"/>
  <c r="AM233" i="196"/>
  <c r="AZ47" i="196"/>
  <c r="AN69" i="196"/>
  <c r="AZ163" i="196"/>
  <c r="AZ174" i="196"/>
  <c r="AM146" i="196"/>
  <c r="AP271" i="196"/>
  <c r="AZ182" i="196"/>
  <c r="AQ171" i="196"/>
  <c r="AZ231" i="196"/>
  <c r="AM175" i="196"/>
  <c r="AN153" i="196"/>
  <c r="AZ153" i="196"/>
  <c r="AZ103" i="196"/>
  <c r="AM103" i="196"/>
  <c r="AP103" i="196" s="1"/>
  <c r="AQ103" i="196"/>
  <c r="AN56" i="196"/>
  <c r="AZ56" i="196"/>
  <c r="AZ165" i="196"/>
  <c r="AZ225" i="196"/>
  <c r="AO71" i="196"/>
  <c r="AZ71" i="196"/>
  <c r="AN235" i="196"/>
  <c r="AZ235" i="196"/>
  <c r="AZ19" i="196"/>
  <c r="AZ40" i="196"/>
  <c r="AZ198" i="196"/>
  <c r="AZ173" i="196"/>
  <c r="AZ171" i="196"/>
  <c r="AZ189" i="196"/>
  <c r="AM183" i="196"/>
  <c r="AJ109" i="196"/>
  <c r="AK109" i="196" s="1"/>
  <c r="AN236" i="196"/>
  <c r="AN189" i="196"/>
  <c r="AN143" i="196"/>
  <c r="AJ132" i="196"/>
  <c r="AK132" i="196" s="1"/>
  <c r="AP157" i="196"/>
  <c r="AN225" i="196"/>
  <c r="AO185" i="196"/>
  <c r="AM185" i="196"/>
  <c r="AQ163" i="196"/>
  <c r="AJ229" i="196"/>
  <c r="AK229" i="196" s="1"/>
  <c r="AJ231" i="196"/>
  <c r="AK231" i="196" s="1"/>
  <c r="AO173" i="196"/>
  <c r="AM173" i="196"/>
  <c r="AJ168" i="196"/>
  <c r="AK168" i="196" s="1"/>
  <c r="AM223" i="196"/>
  <c r="AN163" i="196"/>
  <c r="AO163" i="196"/>
  <c r="AM163" i="196"/>
  <c r="AJ29" i="196"/>
  <c r="AK29" i="196" s="1"/>
  <c r="AM123" i="196"/>
  <c r="AO123" i="196"/>
  <c r="AN123" i="196"/>
  <c r="AN115" i="196"/>
  <c r="AZ115" i="196"/>
  <c r="AM278" i="196"/>
  <c r="AN116" i="196"/>
  <c r="AN178" i="196"/>
  <c r="AO42" i="196"/>
  <c r="AZ49" i="196"/>
  <c r="AN84" i="196"/>
  <c r="AZ232" i="196"/>
  <c r="AQ281" i="196"/>
  <c r="AZ17" i="196"/>
  <c r="AZ34" i="196"/>
  <c r="AO235" i="196"/>
  <c r="AP235" i="196" s="1"/>
  <c r="AN91" i="196"/>
  <c r="AO31" i="196"/>
  <c r="AO170" i="196"/>
  <c r="AO314" i="196"/>
  <c r="AZ263" i="196"/>
  <c r="AQ36" i="196"/>
  <c r="AQ172" i="196"/>
  <c r="AZ35" i="196"/>
  <c r="AN23" i="196"/>
  <c r="AO304" i="196"/>
  <c r="AN148" i="196"/>
  <c r="AZ283" i="196"/>
  <c r="AQ234" i="196"/>
  <c r="AN239" i="196"/>
  <c r="AN198" i="196"/>
  <c r="AQ29" i="196"/>
  <c r="AQ122" i="196"/>
  <c r="AZ184" i="196"/>
  <c r="AN182" i="196"/>
  <c r="AQ41" i="196"/>
  <c r="AO141" i="196"/>
  <c r="AM280" i="196"/>
  <c r="AN108" i="196"/>
  <c r="AQ72" i="196"/>
  <c r="AN303" i="196"/>
  <c r="AQ86" i="196"/>
  <c r="AQ180" i="196"/>
  <c r="AZ197" i="196"/>
  <c r="AO158" i="196"/>
  <c r="AN194" i="196"/>
  <c r="AZ228" i="196"/>
  <c r="AN176" i="196"/>
  <c r="AO21" i="196"/>
  <c r="AJ58" i="196"/>
  <c r="AK58" i="196" s="1"/>
  <c r="AJ145" i="196"/>
  <c r="AK145" i="196" s="1"/>
  <c r="AO210" i="196"/>
  <c r="AQ146" i="196"/>
  <c r="AP272" i="196"/>
  <c r="AN305" i="196"/>
  <c r="AM282" i="196"/>
  <c r="AZ242" i="196"/>
  <c r="AN279" i="196"/>
  <c r="AN124" i="196"/>
  <c r="AN306" i="196"/>
  <c r="AQ289" i="196"/>
  <c r="AO38" i="196"/>
  <c r="AZ193" i="196"/>
  <c r="AQ250" i="196"/>
  <c r="AQ308" i="196"/>
  <c r="AN174" i="196"/>
  <c r="AN162" i="196"/>
  <c r="AZ251" i="196"/>
  <c r="AM47" i="196"/>
  <c r="AO315" i="196"/>
  <c r="AN96" i="196"/>
  <c r="AZ208" i="196"/>
  <c r="AN74" i="196"/>
  <c r="AM41" i="196"/>
  <c r="AQ52" i="196"/>
  <c r="AQ114" i="196"/>
  <c r="AM203" i="196"/>
  <c r="AP203" i="196" s="1"/>
  <c r="AO227" i="196"/>
  <c r="AZ240" i="196"/>
  <c r="AM99" i="196"/>
  <c r="AQ22" i="196"/>
  <c r="AN222" i="196"/>
  <c r="AO130" i="196"/>
  <c r="AM253" i="196"/>
  <c r="AJ219" i="196"/>
  <c r="AK219" i="196" s="1"/>
  <c r="AO25" i="196"/>
  <c r="AN134" i="196"/>
  <c r="AZ218" i="196"/>
  <c r="AO301" i="196"/>
  <c r="AO266" i="196"/>
  <c r="AN196" i="196"/>
  <c r="AN110" i="196"/>
  <c r="AO62" i="196"/>
  <c r="AQ186" i="196"/>
  <c r="AZ246" i="196"/>
  <c r="AM181" i="196"/>
  <c r="AQ248" i="196"/>
  <c r="AO19" i="196"/>
  <c r="AP19" i="196" s="1"/>
  <c r="AN48" i="196"/>
  <c r="AN160" i="196"/>
  <c r="AM56" i="196"/>
  <c r="AZ206" i="196"/>
  <c r="AQ150" i="196"/>
  <c r="AJ25" i="196"/>
  <c r="AK25" i="196" s="1"/>
  <c r="AJ316" i="196"/>
  <c r="AK316" i="196" s="1"/>
  <c r="AN210" i="196"/>
  <c r="AQ197" i="196"/>
  <c r="AJ18" i="196"/>
  <c r="AK18" i="196" s="1"/>
  <c r="AN246" i="196"/>
  <c r="AO41" i="196"/>
  <c r="AN180" i="196"/>
  <c r="AJ173" i="196"/>
  <c r="AK173" i="196" s="1"/>
  <c r="AO197" i="196"/>
  <c r="AJ234" i="196"/>
  <c r="AK234" i="196" s="1"/>
  <c r="AP296" i="196"/>
  <c r="AN129" i="196"/>
  <c r="AM129" i="196"/>
  <c r="AO129" i="196"/>
  <c r="AZ129" i="196"/>
  <c r="AQ129" i="196"/>
  <c r="AJ22" i="196"/>
  <c r="AK22" i="196" s="1"/>
  <c r="AJ230" i="196"/>
  <c r="AK230" i="196" s="1"/>
  <c r="AO206" i="196"/>
  <c r="AO180" i="196"/>
  <c r="AP180" i="196" s="1"/>
  <c r="AM198" i="196"/>
  <c r="AP198" i="196" s="1"/>
  <c r="AN197" i="196"/>
  <c r="AQ40" i="196"/>
  <c r="AM40" i="196"/>
  <c r="AO40" i="196"/>
  <c r="AQ165" i="196"/>
  <c r="AN165" i="196"/>
  <c r="AO165" i="196"/>
  <c r="AJ224" i="196"/>
  <c r="AK224" i="196" s="1"/>
  <c r="AZ91" i="196"/>
  <c r="AM246" i="196"/>
  <c r="AN141" i="196"/>
  <c r="AM141" i="196"/>
  <c r="AJ27" i="196"/>
  <c r="AK27" i="196" s="1"/>
  <c r="AZ29" i="196"/>
  <c r="AZ289" i="196"/>
  <c r="AZ305" i="196"/>
  <c r="AM197" i="196"/>
  <c r="AM91" i="196"/>
  <c r="AO254" i="197"/>
  <c r="AO150" i="197"/>
  <c r="AO282" i="197"/>
  <c r="AO154" i="197"/>
  <c r="AO304" i="197"/>
  <c r="AO290" i="197"/>
  <c r="AO174" i="197"/>
  <c r="AO234" i="197"/>
  <c r="AO186" i="197"/>
  <c r="AJ260" i="198"/>
  <c r="AJ57" i="198"/>
  <c r="AD82" i="198"/>
  <c r="AE82" i="198" s="1"/>
  <c r="AJ36" i="198"/>
  <c r="AD71" i="198"/>
  <c r="AE71" i="198" s="1"/>
  <c r="AQ126" i="198"/>
  <c r="AJ206" i="198"/>
  <c r="AJ104" i="198"/>
  <c r="AJ259" i="198"/>
  <c r="AJ221" i="198"/>
  <c r="AJ237" i="198"/>
  <c r="AJ121" i="198"/>
  <c r="AJ316" i="198"/>
  <c r="AJ200" i="198"/>
  <c r="AD79" i="198"/>
  <c r="AE79" i="198" s="1"/>
  <c r="AD202" i="198"/>
  <c r="AE202" i="198" s="1"/>
  <c r="AD238" i="198"/>
  <c r="AE238" i="198" s="1"/>
  <c r="AJ248" i="198"/>
  <c r="AJ238" i="198"/>
  <c r="AJ165" i="198"/>
  <c r="AD32" i="198"/>
  <c r="AE32" i="198" s="1"/>
  <c r="AJ140" i="198"/>
  <c r="AL31" i="200"/>
  <c r="AG31" i="200"/>
  <c r="AO143" i="197"/>
  <c r="AJ132" i="198"/>
  <c r="AO280" i="197"/>
  <c r="AO316" i="197"/>
  <c r="AO121" i="197"/>
  <c r="AO86" i="197"/>
  <c r="AP205" i="196"/>
  <c r="AO256" i="197"/>
  <c r="AJ34" i="198"/>
  <c r="AJ176" i="198"/>
  <c r="AJ76" i="198"/>
  <c r="AJ298" i="198"/>
  <c r="AO28" i="197"/>
  <c r="AD46" i="198"/>
  <c r="AE46" i="198" s="1"/>
  <c r="AD113" i="198"/>
  <c r="AE113" i="198" s="1"/>
  <c r="AJ314" i="198"/>
  <c r="AD298" i="198"/>
  <c r="AE298" i="198" s="1"/>
  <c r="AD45" i="198"/>
  <c r="AE45" i="198" s="1"/>
  <c r="AD222" i="198"/>
  <c r="AE222" i="198" s="1"/>
  <c r="AJ120" i="198"/>
  <c r="AJ283" i="198"/>
  <c r="AJ274" i="198"/>
  <c r="AD68" i="198"/>
  <c r="AE68" i="198" s="1"/>
  <c r="AD147" i="198"/>
  <c r="AE147" i="198" s="1"/>
  <c r="AD59" i="198"/>
  <c r="AE59" i="198" s="1"/>
  <c r="AD309" i="198"/>
  <c r="AE309" i="198" s="1"/>
  <c r="AD122" i="198"/>
  <c r="AE122" i="198" s="1"/>
  <c r="AJ91" i="198"/>
  <c r="AD56" i="198"/>
  <c r="AE56" i="198" s="1"/>
  <c r="AJ265" i="198"/>
  <c r="AJ306" i="198"/>
  <c r="AJ203" i="198"/>
  <c r="AJ310" i="198"/>
  <c r="AJ92" i="198"/>
  <c r="AD178" i="198"/>
  <c r="AE178" i="198" s="1"/>
  <c r="AD47" i="198"/>
  <c r="AE47" i="198" s="1"/>
  <c r="AD39" i="198"/>
  <c r="AE39" i="198" s="1"/>
  <c r="AO301" i="197"/>
  <c r="AO136" i="197"/>
  <c r="AO300" i="197"/>
  <c r="AO267" i="197"/>
  <c r="AO196" i="197"/>
  <c r="AO199" i="197"/>
  <c r="AO120" i="197"/>
  <c r="AO40" i="197"/>
  <c r="AO18" i="197"/>
  <c r="AO172" i="197"/>
  <c r="AO88" i="197"/>
  <c r="AO64" i="197"/>
  <c r="AO75" i="197"/>
  <c r="AQ91" i="196"/>
  <c r="AJ246" i="196"/>
  <c r="AK246" i="196" s="1"/>
  <c r="AQ204" i="196"/>
  <c r="AN204" i="196"/>
  <c r="AM204" i="196"/>
  <c r="AZ204" i="196"/>
  <c r="AO204" i="196"/>
  <c r="AP138" i="196"/>
  <c r="AQ181" i="196"/>
  <c r="AQ240" i="196"/>
  <c r="AQ144" i="196"/>
  <c r="AN144" i="196"/>
  <c r="AO144" i="196"/>
  <c r="AP144" i="196" s="1"/>
  <c r="AJ86" i="196"/>
  <c r="AK86" i="196" s="1"/>
  <c r="AJ130" i="196"/>
  <c r="AK130" i="196" s="1"/>
  <c r="AP287" i="196"/>
  <c r="AO146" i="196"/>
  <c r="AJ193" i="196"/>
  <c r="AK193" i="196" s="1"/>
  <c r="AZ168" i="196"/>
  <c r="AO168" i="196"/>
  <c r="AM168" i="196"/>
  <c r="AN168" i="196"/>
  <c r="AQ168" i="196"/>
  <c r="AN228" i="196"/>
  <c r="AM228" i="196"/>
  <c r="AP228" i="196" s="1"/>
  <c r="AN146" i="196"/>
  <c r="AN34" i="196"/>
  <c r="AZ41" i="196"/>
  <c r="AJ251" i="196"/>
  <c r="AK251" i="196" s="1"/>
  <c r="AZ233" i="196"/>
  <c r="AO233" i="196"/>
  <c r="AN233" i="196"/>
  <c r="AQ233" i="196"/>
  <c r="AM207" i="196"/>
  <c r="AN207" i="196"/>
  <c r="AO207" i="196"/>
  <c r="AM240" i="196"/>
  <c r="AN240" i="196"/>
  <c r="AO240" i="196"/>
  <c r="AJ249" i="196"/>
  <c r="AK249" i="196" s="1"/>
  <c r="AM22" i="196"/>
  <c r="AN186" i="196"/>
  <c r="AO91" i="196"/>
  <c r="AN41" i="196"/>
  <c r="AZ255" i="196"/>
  <c r="AN255" i="196"/>
  <c r="AM255" i="196"/>
  <c r="AQ255" i="196"/>
  <c r="AO255" i="196"/>
  <c r="AM222" i="196"/>
  <c r="AO306" i="196"/>
  <c r="AQ228" i="196"/>
  <c r="AJ201" i="196"/>
  <c r="AK201" i="196" s="1"/>
  <c r="AM227" i="196"/>
  <c r="AN120" i="196"/>
  <c r="AM120" i="196"/>
  <c r="AQ120" i="196"/>
  <c r="AO120" i="196"/>
  <c r="AQ130" i="198"/>
  <c r="AQ144" i="198"/>
  <c r="AQ249" i="198"/>
  <c r="AQ161" i="198"/>
  <c r="AQ192" i="198"/>
  <c r="AQ233" i="198"/>
  <c r="AQ216" i="198"/>
  <c r="AQ224" i="198"/>
  <c r="AQ116" i="198"/>
  <c r="AQ299" i="198"/>
  <c r="AJ209" i="198"/>
  <c r="AQ74" i="198"/>
  <c r="AQ179" i="198"/>
  <c r="AQ42" i="198"/>
  <c r="AQ145" i="198"/>
  <c r="AD175" i="198"/>
  <c r="AE175" i="198" s="1"/>
  <c r="AJ313" i="198"/>
  <c r="AQ195" i="198"/>
  <c r="AQ162" i="198"/>
  <c r="AQ71" i="198"/>
  <c r="AQ111" i="198"/>
  <c r="AQ303" i="198"/>
  <c r="AQ189" i="198"/>
  <c r="AQ315" i="198"/>
  <c r="AQ103" i="198"/>
  <c r="AD159" i="198"/>
  <c r="AE159" i="198" s="1"/>
  <c r="AQ136" i="198"/>
  <c r="AQ159" i="198"/>
  <c r="AQ135" i="198"/>
  <c r="AQ255" i="198"/>
  <c r="AD240" i="198"/>
  <c r="AE240" i="198" s="1"/>
  <c r="AQ80" i="198"/>
  <c r="AQ153" i="198"/>
  <c r="AQ187" i="198"/>
  <c r="AQ246" i="198"/>
  <c r="AQ143" i="198"/>
  <c r="P21" i="181"/>
  <c r="AQ215" i="198"/>
  <c r="AQ267" i="198"/>
  <c r="AQ54" i="198"/>
  <c r="AQ81" i="198"/>
  <c r="AQ261" i="198"/>
  <c r="AQ88" i="198"/>
  <c r="AD313" i="198"/>
  <c r="AE313" i="198" s="1"/>
  <c r="AQ48" i="198"/>
  <c r="AK48" i="198"/>
  <c r="AI48" i="198"/>
  <c r="AH48" i="198"/>
  <c r="AG48" i="198"/>
  <c r="AD182" i="198"/>
  <c r="AE182" i="198" s="1"/>
  <c r="AD269" i="198"/>
  <c r="AE269" i="198" s="1"/>
  <c r="AQ30" i="198"/>
  <c r="AJ266" i="198"/>
  <c r="AD194" i="198"/>
  <c r="AE194" i="198" s="1"/>
  <c r="AJ84" i="198"/>
  <c r="AJ45" i="198"/>
  <c r="AD87" i="198"/>
  <c r="AE87" i="198" s="1"/>
  <c r="AD289" i="198"/>
  <c r="AE289" i="198" s="1"/>
  <c r="AD154" i="198"/>
  <c r="AE154" i="198" s="1"/>
  <c r="AD135" i="198"/>
  <c r="AE135" i="198" s="1"/>
  <c r="AJ173" i="198"/>
  <c r="AJ82" i="198"/>
  <c r="AF31" i="200"/>
  <c r="AJ263" i="198"/>
  <c r="AJ256" i="198"/>
  <c r="AJ66" i="198"/>
  <c r="AJ137" i="198"/>
  <c r="AJ51" i="198"/>
  <c r="AD144" i="198"/>
  <c r="AE144" i="198" s="1"/>
  <c r="AD86" i="198"/>
  <c r="AE86" i="198" s="1"/>
  <c r="AJ86" i="198"/>
  <c r="AJ182" i="198"/>
  <c r="AJ114" i="198"/>
  <c r="AJ232" i="198"/>
  <c r="AK136" i="198"/>
  <c r="AI136" i="198"/>
  <c r="AH136" i="198"/>
  <c r="AG136" i="198"/>
  <c r="AJ268" i="198"/>
  <c r="AJ254" i="198"/>
  <c r="AD136" i="198"/>
  <c r="AE136" i="198" s="1"/>
  <c r="AD167" i="198"/>
  <c r="AE167" i="198" s="1"/>
  <c r="AD31" i="198"/>
  <c r="AE31" i="198" s="1"/>
  <c r="AD184" i="198"/>
  <c r="AE184" i="198" s="1"/>
  <c r="AD22" i="198"/>
  <c r="AE22" i="198" s="1"/>
  <c r="AD72" i="198"/>
  <c r="AE72" i="198" s="1"/>
  <c r="AJ244" i="198"/>
  <c r="AI282" i="198"/>
  <c r="AH282" i="198"/>
  <c r="AK282" i="198"/>
  <c r="AG282" i="198"/>
  <c r="AD160" i="198"/>
  <c r="AE160" i="198" s="1"/>
  <c r="AD64" i="198"/>
  <c r="AE64" i="198" s="1"/>
  <c r="AJ235" i="198"/>
  <c r="AQ275" i="198"/>
  <c r="AG275" i="198"/>
  <c r="AI275" i="198"/>
  <c r="AH275" i="198"/>
  <c r="AK275" i="198"/>
  <c r="AD213" i="198"/>
  <c r="AE213" i="198" s="1"/>
  <c r="AD192" i="198"/>
  <c r="AE192" i="198" s="1"/>
  <c r="AD115" i="198"/>
  <c r="AE115" i="198" s="1"/>
  <c r="AJ122" i="198"/>
  <c r="AJ78" i="198"/>
  <c r="AJ230" i="198"/>
  <c r="AK192" i="198"/>
  <c r="AI192" i="198"/>
  <c r="AG192" i="198"/>
  <c r="AH192" i="198"/>
  <c r="AJ98" i="198"/>
  <c r="AD212" i="198"/>
  <c r="AE212" i="198" s="1"/>
  <c r="AI108" i="198"/>
  <c r="AK108" i="198"/>
  <c r="AG108" i="198"/>
  <c r="AH108" i="198"/>
  <c r="AO149" i="197"/>
  <c r="AO31" i="197"/>
  <c r="AO54" i="197"/>
  <c r="AO268" i="197"/>
  <c r="AO53" i="197"/>
  <c r="AO188" i="197"/>
  <c r="AO179" i="197"/>
  <c r="AN281" i="196"/>
  <c r="AO17" i="196"/>
  <c r="AM186" i="196"/>
  <c r="AQ131" i="196"/>
  <c r="AZ131" i="196"/>
  <c r="AM131" i="196"/>
  <c r="AN131" i="196"/>
  <c r="AO131" i="196"/>
  <c r="AJ279" i="196"/>
  <c r="AK279" i="196" s="1"/>
  <c r="AQ187" i="196"/>
  <c r="AN187" i="196"/>
  <c r="AM187" i="196"/>
  <c r="AO187" i="196"/>
  <c r="AZ187" i="196"/>
  <c r="AO127" i="196"/>
  <c r="AN127" i="196"/>
  <c r="AQ127" i="196"/>
  <c r="AM127" i="196"/>
  <c r="AZ127" i="196"/>
  <c r="AM195" i="196"/>
  <c r="AZ195" i="196"/>
  <c r="AO195" i="196"/>
  <c r="AN195" i="196"/>
  <c r="AN43" i="196"/>
  <c r="AM43" i="196"/>
  <c r="AQ43" i="196"/>
  <c r="AO43" i="196"/>
  <c r="AZ43" i="196"/>
  <c r="AQ203" i="196"/>
  <c r="AN203" i="196"/>
  <c r="AZ203" i="196"/>
  <c r="AO65" i="196"/>
  <c r="AZ65" i="196"/>
  <c r="AM65" i="196"/>
  <c r="AQ65" i="196"/>
  <c r="AN119" i="196"/>
  <c r="AQ119" i="196"/>
  <c r="AZ119" i="196"/>
  <c r="AM119" i="196"/>
  <c r="AO119" i="196"/>
  <c r="AO22" i="196"/>
  <c r="AZ243" i="196"/>
  <c r="AQ243" i="196"/>
  <c r="AM243" i="196"/>
  <c r="AN151" i="196"/>
  <c r="AQ151" i="196"/>
  <c r="AO151" i="196"/>
  <c r="AZ151" i="196"/>
  <c r="AM151" i="196"/>
  <c r="AO191" i="196"/>
  <c r="AM191" i="196"/>
  <c r="AQ147" i="196"/>
  <c r="AO147" i="196"/>
  <c r="AZ147" i="196"/>
  <c r="AN147" i="196"/>
  <c r="AM147" i="196"/>
  <c r="AN231" i="196"/>
  <c r="AO231" i="196"/>
  <c r="AQ231" i="196"/>
  <c r="AM231" i="196"/>
  <c r="AO179" i="196"/>
  <c r="AP179" i="196" s="1"/>
  <c r="AQ179" i="196"/>
  <c r="AZ199" i="196"/>
  <c r="AN199" i="196"/>
  <c r="AM199" i="196"/>
  <c r="AO199" i="196"/>
  <c r="AQ199" i="196"/>
  <c r="AZ227" i="196"/>
  <c r="AN227" i="196"/>
  <c r="AQ227" i="196"/>
  <c r="AN298" i="196"/>
  <c r="AO298" i="196"/>
  <c r="AQ298" i="196"/>
  <c r="AZ298" i="196"/>
  <c r="AM298" i="196"/>
  <c r="AQ211" i="196"/>
  <c r="AZ211" i="196"/>
  <c r="AM211" i="196"/>
  <c r="AO211" i="196"/>
  <c r="AN211" i="196"/>
  <c r="AM315" i="196"/>
  <c r="AQ253" i="196"/>
  <c r="AO253" i="196"/>
  <c r="AN253" i="196"/>
  <c r="AZ253" i="196"/>
  <c r="AN251" i="196"/>
  <c r="AQ251" i="196"/>
  <c r="AM251" i="196"/>
  <c r="AO251" i="196"/>
  <c r="AO215" i="196"/>
  <c r="AM215" i="196"/>
  <c r="AJ62" i="196"/>
  <c r="AK62" i="196" s="1"/>
  <c r="AJ206" i="196"/>
  <c r="AK206" i="196" s="1"/>
  <c r="AM162" i="196"/>
  <c r="AN65" i="196"/>
  <c r="AJ184" i="196"/>
  <c r="AK184" i="196" s="1"/>
  <c r="AN22" i="196"/>
  <c r="AN243" i="196"/>
  <c r="AO305" i="196"/>
  <c r="AM305" i="196"/>
  <c r="AJ148" i="196"/>
  <c r="AK148" i="196" s="1"/>
  <c r="AM281" i="196"/>
  <c r="AJ221" i="196"/>
  <c r="AK221" i="196" s="1"/>
  <c r="AM206" i="196"/>
  <c r="AQ216" i="196"/>
  <c r="AM216" i="196"/>
  <c r="AO216" i="196"/>
  <c r="AN216" i="196"/>
  <c r="AZ186" i="196"/>
  <c r="AJ306" i="196"/>
  <c r="AK306" i="196" s="1"/>
  <c r="AN250" i="196"/>
  <c r="AJ313" i="196"/>
  <c r="AK313" i="196" s="1"/>
  <c r="AO242" i="196"/>
  <c r="AQ295" i="196"/>
  <c r="AO295" i="196"/>
  <c r="AN295" i="196"/>
  <c r="AZ295" i="196"/>
  <c r="AM295" i="196"/>
  <c r="AO117" i="196"/>
  <c r="AN117" i="196"/>
  <c r="AM117" i="196"/>
  <c r="AZ117" i="196"/>
  <c r="AQ117" i="196"/>
  <c r="AM234" i="196"/>
  <c r="AN234" i="196"/>
  <c r="AO162" i="196"/>
  <c r="AZ161" i="196"/>
  <c r="AQ161" i="196"/>
  <c r="AN161" i="196"/>
  <c r="AM161" i="196"/>
  <c r="AO161" i="196"/>
  <c r="AZ234" i="196"/>
  <c r="AZ209" i="196"/>
  <c r="AN209" i="196"/>
  <c r="AM209" i="196"/>
  <c r="AQ209" i="196"/>
  <c r="AO209" i="196"/>
  <c r="AN61" i="196"/>
  <c r="AQ61" i="196"/>
  <c r="AZ61" i="196"/>
  <c r="AM61" i="196"/>
  <c r="AO61" i="196"/>
  <c r="AZ237" i="196"/>
  <c r="AQ237" i="196"/>
  <c r="AM237" i="196"/>
  <c r="AQ252" i="196"/>
  <c r="AM252" i="196"/>
  <c r="AO252" i="196"/>
  <c r="AZ252" i="196"/>
  <c r="AN252" i="196"/>
  <c r="AM248" i="196"/>
  <c r="AO248" i="196"/>
  <c r="AN156" i="196"/>
  <c r="AM156" i="196"/>
  <c r="AO156" i="196"/>
  <c r="AQ156" i="196"/>
  <c r="AJ122" i="196"/>
  <c r="AK122" i="196" s="1"/>
  <c r="AJ198" i="196"/>
  <c r="AK198" i="196" s="1"/>
  <c r="AZ181" i="196"/>
  <c r="AN181" i="196"/>
  <c r="AO181" i="196"/>
  <c r="AJ24" i="196"/>
  <c r="AK24" i="196" s="1"/>
  <c r="AM150" i="196"/>
  <c r="AM114" i="196"/>
  <c r="AZ150" i="196"/>
  <c r="AZ122" i="196"/>
  <c r="AZ301" i="196"/>
  <c r="AJ220" i="196"/>
  <c r="AK220" i="196" s="1"/>
  <c r="AM86" i="196"/>
  <c r="AM25" i="196"/>
  <c r="AM194" i="196"/>
  <c r="AZ22" i="196"/>
  <c r="AZ114" i="196"/>
  <c r="AZ266" i="196"/>
  <c r="AJ110" i="196"/>
  <c r="AK110" i="196" s="1"/>
  <c r="AN25" i="196"/>
  <c r="AJ74" i="196"/>
  <c r="AK74" i="196" s="1"/>
  <c r="AJ138" i="196"/>
  <c r="AK138" i="196" s="1"/>
  <c r="AQ33" i="196"/>
  <c r="AM33" i="196"/>
  <c r="AZ33" i="196"/>
  <c r="AO33" i="196"/>
  <c r="AN33" i="196"/>
  <c r="AM250" i="196"/>
  <c r="AJ31" i="196"/>
  <c r="AK31" i="196" s="1"/>
  <c r="AN304" i="196"/>
  <c r="AJ84" i="196"/>
  <c r="AK84" i="196" s="1"/>
  <c r="AJ48" i="196"/>
  <c r="AK48" i="196" s="1"/>
  <c r="AO186" i="196"/>
  <c r="AM130" i="196"/>
  <c r="AZ130" i="196"/>
  <c r="AQ130" i="196"/>
  <c r="AM174" i="196"/>
  <c r="AQ246" i="196"/>
  <c r="AO246" i="196"/>
  <c r="AZ304" i="196"/>
  <c r="AO84" i="196"/>
  <c r="AM306" i="196"/>
  <c r="AQ210" i="196"/>
  <c r="AM210" i="196"/>
  <c r="AO234" i="196"/>
  <c r="AO174" i="196"/>
  <c r="AZ250" i="196"/>
  <c r="AO250" i="196"/>
  <c r="AN150" i="196"/>
  <c r="AM218" i="196"/>
  <c r="AM314" i="196"/>
  <c r="AO289" i="196"/>
  <c r="AN206" i="196"/>
  <c r="AQ206" i="196"/>
  <c r="AO114" i="196"/>
  <c r="AZ210" i="196"/>
  <c r="AN114" i="196"/>
  <c r="AZ146" i="196"/>
  <c r="AJ30" i="196"/>
  <c r="AK30" i="196" s="1"/>
  <c r="AO150" i="196"/>
  <c r="AN122" i="196"/>
  <c r="AQ182" i="196"/>
  <c r="AO182" i="196"/>
  <c r="AD168" i="198"/>
  <c r="AE168" i="198" s="1"/>
  <c r="AD65" i="198"/>
  <c r="AE65" i="198" s="1"/>
  <c r="AJ164" i="198"/>
  <c r="AJ185" i="198"/>
  <c r="AJ131" i="198"/>
  <c r="AJ208" i="198"/>
  <c r="AJ33" i="198"/>
  <c r="AD297" i="198"/>
  <c r="AE297" i="198" s="1"/>
  <c r="AD268" i="198"/>
  <c r="AE268" i="198" s="1"/>
  <c r="AJ294" i="198"/>
  <c r="AD256" i="198"/>
  <c r="AE256" i="198" s="1"/>
  <c r="AJ262" i="198"/>
  <c r="AD23" i="198"/>
  <c r="AE23" i="198" s="1"/>
  <c r="AD223" i="198"/>
  <c r="AE223" i="198" s="1"/>
  <c r="AJ58" i="198"/>
  <c r="AK71" i="198"/>
  <c r="AG71" i="198"/>
  <c r="AH71" i="198"/>
  <c r="AI71" i="198"/>
  <c r="AD230" i="198"/>
  <c r="AE230" i="198" s="1"/>
  <c r="AD205" i="198"/>
  <c r="AE205" i="198" s="1"/>
  <c r="AJ21" i="198"/>
  <c r="AO62" i="197"/>
  <c r="AO109" i="197"/>
  <c r="AO177" i="197"/>
  <c r="AO222" i="197"/>
  <c r="AO108" i="197"/>
  <c r="AO99" i="197"/>
  <c r="AO166" i="197"/>
  <c r="AO200" i="197"/>
  <c r="AO278" i="197"/>
  <c r="AO131" i="197"/>
  <c r="AO155" i="197"/>
  <c r="AO42" i="197"/>
  <c r="AO48" i="196"/>
  <c r="AM289" i="196"/>
  <c r="AQ17" i="196"/>
  <c r="AM17" i="196"/>
  <c r="AN17" i="196"/>
  <c r="AM158" i="196"/>
  <c r="AO72" i="196"/>
  <c r="AN62" i="196"/>
  <c r="AZ222" i="196"/>
  <c r="AO222" i="196"/>
  <c r="AO29" i="196"/>
  <c r="AM72" i="196"/>
  <c r="AQ222" i="196"/>
  <c r="AO160" i="196"/>
  <c r="AO281" i="196"/>
  <c r="AP80" i="196"/>
  <c r="AQ307" i="196"/>
  <c r="AO307" i="196"/>
  <c r="AZ307" i="196"/>
  <c r="AN307" i="196"/>
  <c r="AM307" i="196"/>
  <c r="AM213" i="196"/>
  <c r="AQ213" i="196"/>
  <c r="AO213" i="196"/>
  <c r="AZ213" i="196"/>
  <c r="AN213" i="196"/>
  <c r="AO56" i="196"/>
  <c r="AQ56" i="196"/>
  <c r="AM170" i="196"/>
  <c r="AN218" i="196"/>
  <c r="AM232" i="196"/>
  <c r="AJ50" i="196"/>
  <c r="AK50" i="196" s="1"/>
  <c r="AJ295" i="196"/>
  <c r="AK295" i="196" s="1"/>
  <c r="AJ170" i="196"/>
  <c r="AK170" i="196" s="1"/>
  <c r="AO122" i="196"/>
  <c r="AN263" i="196"/>
  <c r="AJ242" i="196"/>
  <c r="AK242" i="196" s="1"/>
  <c r="AZ196" i="196"/>
  <c r="AN132" i="196"/>
  <c r="AQ132" i="196"/>
  <c r="AM132" i="196"/>
  <c r="AO132" i="196"/>
  <c r="AN149" i="196"/>
  <c r="AQ149" i="196"/>
  <c r="AM149" i="196"/>
  <c r="AO149" i="196"/>
  <c r="AN170" i="196"/>
  <c r="AJ146" i="196"/>
  <c r="AK146" i="196" s="1"/>
  <c r="AM245" i="196"/>
  <c r="AO245" i="196"/>
  <c r="AQ245" i="196"/>
  <c r="AZ245" i="196"/>
  <c r="AN245" i="196"/>
  <c r="AZ137" i="196"/>
  <c r="AO137" i="196"/>
  <c r="AM137" i="196"/>
  <c r="AN137" i="196"/>
  <c r="AQ137" i="196"/>
  <c r="AM193" i="196"/>
  <c r="AO193" i="196"/>
  <c r="AQ193" i="196"/>
  <c r="AN193" i="196"/>
  <c r="AQ126" i="196"/>
  <c r="AZ126" i="196"/>
  <c r="AM126" i="196"/>
  <c r="AO126" i="196"/>
  <c r="AN126" i="196"/>
  <c r="AZ79" i="196"/>
  <c r="AQ79" i="196"/>
  <c r="AN79" i="196"/>
  <c r="AM79" i="196"/>
  <c r="AO79" i="196"/>
  <c r="AP310" i="196"/>
  <c r="AO283" i="196"/>
  <c r="AN283" i="196"/>
  <c r="AM283" i="196"/>
  <c r="AQ283" i="196"/>
  <c r="AN158" i="196"/>
  <c r="AN72" i="196"/>
  <c r="AP200" i="196"/>
  <c r="AN247" i="196"/>
  <c r="AQ247" i="196"/>
  <c r="AZ247" i="196"/>
  <c r="AM247" i="196"/>
  <c r="AO247" i="196"/>
  <c r="AQ100" i="196"/>
  <c r="AM100" i="196"/>
  <c r="AZ100" i="196"/>
  <c r="AO100" i="196"/>
  <c r="AN100" i="196"/>
  <c r="AN289" i="196"/>
  <c r="AN311" i="196"/>
  <c r="AQ311" i="196"/>
  <c r="AZ311" i="196"/>
  <c r="AM311" i="196"/>
  <c r="AO311" i="196"/>
  <c r="AP50" i="196"/>
  <c r="AO308" i="197"/>
  <c r="AO212" i="197"/>
  <c r="AP30" i="196"/>
  <c r="AO201" i="197"/>
  <c r="AZ278" i="196"/>
  <c r="AZ282" i="196"/>
  <c r="AP27" i="196"/>
  <c r="AM29" i="196"/>
  <c r="AZ230" i="196"/>
  <c r="AO230" i="196"/>
  <c r="AM230" i="196"/>
  <c r="AN230" i="196"/>
  <c r="AQ230" i="196"/>
  <c r="AZ72" i="196"/>
  <c r="AM160" i="196"/>
  <c r="AZ160" i="196"/>
  <c r="AQ160" i="196"/>
  <c r="AM124" i="196"/>
  <c r="AQ306" i="196"/>
  <c r="AN86" i="196"/>
  <c r="AN29" i="196"/>
  <c r="AJ158" i="196"/>
  <c r="AK158" i="196" s="1"/>
  <c r="AM122" i="196"/>
  <c r="AJ218" i="196"/>
  <c r="AK218" i="196" s="1"/>
  <c r="AJ194" i="196"/>
  <c r="AK194" i="196" s="1"/>
  <c r="AJ263" i="196"/>
  <c r="AK263" i="196" s="1"/>
  <c r="AJ72" i="196"/>
  <c r="AK72" i="196" s="1"/>
  <c r="AN36" i="196"/>
  <c r="AJ196" i="196"/>
  <c r="AK196" i="196" s="1"/>
  <c r="AZ281" i="196"/>
  <c r="AM96" i="196"/>
  <c r="AO96" i="196"/>
  <c r="AQ96" i="196"/>
  <c r="AZ96" i="196"/>
  <c r="AQ124" i="196"/>
  <c r="AO124" i="196"/>
  <c r="AO86" i="196"/>
  <c r="AQ158" i="196"/>
  <c r="AZ158" i="196"/>
  <c r="AQ218" i="196"/>
  <c r="AO218" i="196"/>
  <c r="AQ194" i="196"/>
  <c r="AO194" i="196"/>
  <c r="AJ124" i="196"/>
  <c r="AK124" i="196" s="1"/>
  <c r="AM208" i="196"/>
  <c r="AJ304" i="196"/>
  <c r="AK304" i="196" s="1"/>
  <c r="AQ263" i="196"/>
  <c r="AO263" i="196"/>
  <c r="AJ60" i="196"/>
  <c r="AK60" i="196" s="1"/>
  <c r="AZ36" i="196"/>
  <c r="AQ184" i="196"/>
  <c r="AN184" i="196"/>
  <c r="AM184" i="196"/>
  <c r="AO184" i="196"/>
  <c r="AZ124" i="196"/>
  <c r="AN208" i="196"/>
  <c r="AZ110" i="196"/>
  <c r="AQ110" i="196"/>
  <c r="AM110" i="196"/>
  <c r="AO110" i="196"/>
  <c r="AZ31" i="196"/>
  <c r="AQ31" i="196"/>
  <c r="AQ304" i="196"/>
  <c r="AM304" i="196"/>
  <c r="AQ279" i="196"/>
  <c r="AM279" i="196"/>
  <c r="AO279" i="196"/>
  <c r="AZ279" i="196"/>
  <c r="AO36" i="196"/>
  <c r="AN268" i="196"/>
  <c r="AM268" i="196"/>
  <c r="AQ268" i="196"/>
  <c r="AZ268" i="196"/>
  <c r="AO268" i="196"/>
  <c r="AQ98" i="196"/>
  <c r="AZ98" i="196"/>
  <c r="AN98" i="196"/>
  <c r="AM98" i="196"/>
  <c r="AO98" i="196"/>
  <c r="AM74" i="196"/>
  <c r="AO74" i="196"/>
  <c r="AZ74" i="196"/>
  <c r="AQ74" i="196"/>
  <c r="AQ35" i="196"/>
  <c r="AM35" i="196"/>
  <c r="AO35" i="196"/>
  <c r="AN35" i="196"/>
  <c r="AM242" i="196"/>
  <c r="AQ242" i="196"/>
  <c r="AN242" i="196"/>
  <c r="AQ84" i="196"/>
  <c r="AZ84" i="196"/>
  <c r="AM84" i="196"/>
  <c r="AM36" i="196"/>
  <c r="AQ148" i="196"/>
  <c r="AM148" i="196"/>
  <c r="AO148" i="196"/>
  <c r="AZ148" i="196"/>
  <c r="AQ244" i="196"/>
  <c r="AM244" i="196"/>
  <c r="AZ244" i="196"/>
  <c r="AO244" i="196"/>
  <c r="AN20" i="196"/>
  <c r="AQ20" i="196"/>
  <c r="AM20" i="196"/>
  <c r="AZ314" i="196"/>
  <c r="AN244" i="196"/>
  <c r="AQ170" i="196"/>
  <c r="AZ170" i="196"/>
  <c r="AQ108" i="196"/>
  <c r="AM108" i="196"/>
  <c r="AO108" i="196"/>
  <c r="AZ108" i="196"/>
  <c r="AZ136" i="196"/>
  <c r="AQ136" i="196"/>
  <c r="AN136" i="196"/>
  <c r="AM136" i="196"/>
  <c r="AJ208" i="196"/>
  <c r="AK208" i="196" s="1"/>
  <c r="AQ303" i="196"/>
  <c r="AM303" i="196"/>
  <c r="AO303" i="196"/>
  <c r="AJ98" i="196"/>
  <c r="AK98" i="196" s="1"/>
  <c r="AQ62" i="196"/>
  <c r="AM62" i="196"/>
  <c r="AZ20" i="196"/>
  <c r="AN31" i="196"/>
  <c r="AQ314" i="196"/>
  <c r="AN314" i="196"/>
  <c r="AQ208" i="196"/>
  <c r="AO208" i="196"/>
  <c r="AN38" i="196"/>
  <c r="AM38" i="196"/>
  <c r="AQ38" i="196"/>
  <c r="AO20" i="196"/>
  <c r="AQ134" i="196"/>
  <c r="AM134" i="196"/>
  <c r="AO134" i="196"/>
  <c r="AZ134" i="196"/>
  <c r="AN266" i="196"/>
  <c r="AQ266" i="196"/>
  <c r="AM266" i="196"/>
  <c r="AQ48" i="196"/>
  <c r="AZ48" i="196"/>
  <c r="AQ232" i="196"/>
  <c r="AO232" i="196"/>
  <c r="AJ289" i="196"/>
  <c r="AK289" i="196" s="1"/>
  <c r="AZ38" i="196"/>
  <c r="AQ25" i="196"/>
  <c r="AZ25" i="196"/>
  <c r="AM301" i="196"/>
  <c r="AN301" i="196"/>
  <c r="AQ301" i="196"/>
  <c r="AM263" i="196"/>
  <c r="AM48" i="196"/>
  <c r="AO136" i="196"/>
  <c r="AQ196" i="196"/>
  <c r="AO196" i="196"/>
  <c r="AM196" i="196"/>
  <c r="AZ303" i="196"/>
  <c r="AZ86" i="196"/>
  <c r="AZ62" i="196"/>
  <c r="AJ38" i="196"/>
  <c r="AK38" i="196" s="1"/>
  <c r="AM31" i="196"/>
  <c r="AP32" i="196"/>
  <c r="AJ154" i="196"/>
  <c r="AK154" i="196" s="1"/>
  <c r="AJ142" i="196"/>
  <c r="AK142" i="196" s="1"/>
  <c r="AD161" i="198"/>
  <c r="AE161" i="198" s="1"/>
  <c r="AD219" i="198"/>
  <c r="AE219" i="198" s="1"/>
  <c r="AD249" i="198"/>
  <c r="AE249" i="198" s="1"/>
  <c r="AO245" i="197"/>
  <c r="AJ290" i="196"/>
  <c r="AK290" i="196" s="1"/>
  <c r="AJ166" i="196"/>
  <c r="AK166" i="196" s="1"/>
  <c r="AP24" i="196"/>
  <c r="AJ111" i="196"/>
  <c r="AK111" i="196" s="1"/>
  <c r="AJ254" i="196"/>
  <c r="AK254" i="196" s="1"/>
  <c r="AF17" i="200"/>
  <c r="AG27" i="200"/>
  <c r="AG26" i="200" s="1"/>
  <c r="AG14" i="200"/>
  <c r="AF22" i="200"/>
  <c r="AF21" i="200" s="1"/>
  <c r="AR14" i="200"/>
  <c r="AR13" i="200"/>
  <c r="BE13" i="200" s="1"/>
  <c r="AR26" i="200"/>
  <c r="AL26" i="200" s="1"/>
  <c r="AF27" i="200"/>
  <c r="AH14" i="200"/>
  <c r="AH39" i="200" s="1"/>
  <c r="AS13" i="200"/>
  <c r="AS26" i="200"/>
  <c r="AM26" i="200" s="1"/>
  <c r="AG17" i="200"/>
  <c r="AI12" i="200"/>
  <c r="AI37" i="200" s="1"/>
  <c r="AQ16" i="200"/>
  <c r="AQ12" i="200"/>
  <c r="AH13" i="200"/>
  <c r="AH38" i="200" s="1"/>
  <c r="AF18" i="200"/>
  <c r="AF13" i="200" s="1"/>
  <c r="AY13" i="200" s="1"/>
  <c r="AG22" i="200"/>
  <c r="AS16" i="200"/>
  <c r="AP21" i="200"/>
  <c r="BE16" i="200"/>
  <c r="AS15" i="200"/>
  <c r="BF15" i="200" s="1"/>
  <c r="AN11" i="200"/>
  <c r="AR12" i="200"/>
  <c r="AS14" i="200"/>
  <c r="BF14" i="200" s="1"/>
  <c r="AO11" i="200"/>
  <c r="AF20" i="200"/>
  <c r="AF15" i="200" s="1"/>
  <c r="AY15" i="200" s="1"/>
  <c r="AH15" i="200"/>
  <c r="AH40" i="200" s="1"/>
  <c r="AS21" i="200"/>
  <c r="AS12" i="200"/>
  <c r="AK12" i="200"/>
  <c r="AK37" i="200" s="1"/>
  <c r="AG20" i="200"/>
  <c r="AG15" i="200" s="1"/>
  <c r="AZ15" i="200" s="1"/>
  <c r="AI15" i="200"/>
  <c r="AI40" i="200" s="1"/>
  <c r="AH12" i="200"/>
  <c r="AH37" i="200" s="1"/>
  <c r="AR16" i="200"/>
  <c r="AR21" i="200"/>
  <c r="AI13" i="200"/>
  <c r="AI38" i="200" s="1"/>
  <c r="AQ21" i="200"/>
  <c r="AJ12" i="200"/>
  <c r="AJ37" i="200" s="1"/>
  <c r="AR15" i="200"/>
  <c r="BE15" i="200" s="1"/>
  <c r="AI14" i="200"/>
  <c r="AI39" i="200" s="1"/>
  <c r="AP16" i="200"/>
  <c r="AP12" i="200"/>
  <c r="AG13" i="200"/>
  <c r="AZ13" i="200" s="1"/>
  <c r="AF14" i="200"/>
  <c r="AY14" i="200" s="1"/>
  <c r="AG303" i="198"/>
  <c r="AK303" i="198"/>
  <c r="AH303" i="198"/>
  <c r="AI303" i="198"/>
  <c r="AG195" i="198"/>
  <c r="AI195" i="198"/>
  <c r="AK195" i="198"/>
  <c r="AH195" i="198"/>
  <c r="AG216" i="198"/>
  <c r="AK216" i="198"/>
  <c r="AH216" i="198"/>
  <c r="AI216" i="198"/>
  <c r="AG67" i="198"/>
  <c r="AK67" i="198"/>
  <c r="AI67" i="198"/>
  <c r="AH67" i="198"/>
  <c r="AD224" i="198"/>
  <c r="AE224" i="198" s="1"/>
  <c r="AI81" i="198"/>
  <c r="AG81" i="198"/>
  <c r="AH81" i="198"/>
  <c r="AK81" i="198"/>
  <c r="AH315" i="198"/>
  <c r="AK315" i="198"/>
  <c r="AG315" i="198"/>
  <c r="AI315" i="198"/>
  <c r="AK162" i="198"/>
  <c r="AH162" i="198"/>
  <c r="AG162" i="198"/>
  <c r="AI162" i="198"/>
  <c r="AK30" i="198"/>
  <c r="AH30" i="198"/>
  <c r="AI30" i="198"/>
  <c r="AG30" i="198"/>
  <c r="AH42" i="198"/>
  <c r="AI42" i="198"/>
  <c r="AG42" i="198"/>
  <c r="AK42" i="198"/>
  <c r="AK299" i="198"/>
  <c r="AI299" i="198"/>
  <c r="AH299" i="198"/>
  <c r="AG299" i="198"/>
  <c r="AH116" i="198"/>
  <c r="AK116" i="198"/>
  <c r="AG116" i="198"/>
  <c r="AI116" i="198"/>
  <c r="AH273" i="198"/>
  <c r="AK273" i="198"/>
  <c r="AG273" i="198"/>
  <c r="AI273" i="198"/>
  <c r="AI144" i="198"/>
  <c r="AK144" i="198"/>
  <c r="AH144" i="198"/>
  <c r="AG144" i="198"/>
  <c r="AI141" i="198"/>
  <c r="AK141" i="198"/>
  <c r="AG141" i="198"/>
  <c r="AH141" i="198"/>
  <c r="AH224" i="198"/>
  <c r="AK224" i="198"/>
  <c r="AI224" i="198"/>
  <c r="AG224" i="198"/>
  <c r="AI126" i="198"/>
  <c r="AG126" i="198"/>
  <c r="AK126" i="198"/>
  <c r="AH126" i="198"/>
  <c r="AD255" i="198"/>
  <c r="AE255" i="198" s="1"/>
  <c r="AI197" i="198"/>
  <c r="AK197" i="198"/>
  <c r="AG197" i="198"/>
  <c r="AH197" i="198"/>
  <c r="AI198" i="198"/>
  <c r="AG198" i="198"/>
  <c r="AK198" i="198"/>
  <c r="AH198" i="198"/>
  <c r="AH179" i="198"/>
  <c r="AG179" i="198"/>
  <c r="AK179" i="198"/>
  <c r="AI179" i="198"/>
  <c r="AI90" i="198"/>
  <c r="AG90" i="198"/>
  <c r="AK90" i="198"/>
  <c r="AH90" i="198"/>
  <c r="AI291" i="198"/>
  <c r="AK291" i="198"/>
  <c r="AG291" i="198"/>
  <c r="AH291" i="198"/>
  <c r="AI171" i="198"/>
  <c r="AH171" i="198"/>
  <c r="AK171" i="198"/>
  <c r="AG171" i="198"/>
  <c r="AH252" i="198"/>
  <c r="AG252" i="198"/>
  <c r="AK252" i="198"/>
  <c r="AI252" i="198"/>
  <c r="AQ90" i="198"/>
  <c r="AI279" i="198"/>
  <c r="AH279" i="198"/>
  <c r="AK279" i="198"/>
  <c r="AG279" i="198"/>
  <c r="AH225" i="198"/>
  <c r="AK225" i="198"/>
  <c r="AG225" i="198"/>
  <c r="AI225" i="198"/>
  <c r="AI117" i="198"/>
  <c r="AK117" i="198"/>
  <c r="AG117" i="198"/>
  <c r="AH117" i="198"/>
  <c r="AQ198" i="198"/>
  <c r="AG145" i="198"/>
  <c r="AI145" i="198"/>
  <c r="AK145" i="198"/>
  <c r="AH145" i="198"/>
  <c r="AG219" i="198"/>
  <c r="AH219" i="198"/>
  <c r="AK219" i="198"/>
  <c r="AI219" i="198"/>
  <c r="AH249" i="198"/>
  <c r="AG249" i="198"/>
  <c r="AK249" i="198"/>
  <c r="AI249" i="198"/>
  <c r="AQ291" i="198"/>
  <c r="AQ171" i="198"/>
  <c r="AQ252" i="198"/>
  <c r="AH246" i="198"/>
  <c r="AK246" i="198"/>
  <c r="AG246" i="198"/>
  <c r="AI246" i="198"/>
  <c r="AI189" i="198"/>
  <c r="AK189" i="198"/>
  <c r="AG189" i="198"/>
  <c r="AH189" i="198"/>
  <c r="AQ279" i="198"/>
  <c r="AQ225" i="198"/>
  <c r="AQ117" i="198"/>
  <c r="AK135" i="198"/>
  <c r="AI135" i="198"/>
  <c r="AH135" i="198"/>
  <c r="AG135" i="198"/>
  <c r="AK88" i="198"/>
  <c r="AG88" i="198"/>
  <c r="AH88" i="198"/>
  <c r="AI88" i="198"/>
  <c r="AI255" i="198"/>
  <c r="AH255" i="198"/>
  <c r="AG255" i="198"/>
  <c r="AK255" i="198"/>
  <c r="AI54" i="198"/>
  <c r="AG54" i="198"/>
  <c r="AH54" i="198"/>
  <c r="AK54" i="198"/>
  <c r="AG159" i="198"/>
  <c r="AI159" i="198"/>
  <c r="AK159" i="198"/>
  <c r="AH159" i="198"/>
  <c r="AH153" i="198"/>
  <c r="AI153" i="198"/>
  <c r="AK153" i="198"/>
  <c r="AG153" i="198"/>
  <c r="AH287" i="198"/>
  <c r="AK287" i="198"/>
  <c r="AG287" i="198"/>
  <c r="AI287" i="198"/>
  <c r="AH80" i="198"/>
  <c r="AI80" i="198"/>
  <c r="AK80" i="198"/>
  <c r="AG80" i="198"/>
  <c r="AI207" i="198"/>
  <c r="AG207" i="198"/>
  <c r="AK207" i="198"/>
  <c r="AH207" i="198"/>
  <c r="AH180" i="198"/>
  <c r="AI180" i="198"/>
  <c r="AG180" i="198"/>
  <c r="AK180" i="198"/>
  <c r="AG231" i="198"/>
  <c r="AH231" i="198"/>
  <c r="AK231" i="198"/>
  <c r="AI231" i="198"/>
  <c r="AK99" i="198"/>
  <c r="AG99" i="198"/>
  <c r="AI99" i="198"/>
  <c r="AH99" i="198"/>
  <c r="AK215" i="198"/>
  <c r="AH215" i="198"/>
  <c r="AI215" i="198"/>
  <c r="AG215" i="198"/>
  <c r="AQ273" i="198"/>
  <c r="AG243" i="198"/>
  <c r="AK243" i="198"/>
  <c r="AI243" i="198"/>
  <c r="AH243" i="198"/>
  <c r="AQ243" i="198"/>
  <c r="AG111" i="198"/>
  <c r="AI111" i="198"/>
  <c r="AH111" i="198"/>
  <c r="AK111" i="198"/>
  <c r="AQ207" i="198"/>
  <c r="AQ180" i="198"/>
  <c r="AQ231" i="198"/>
  <c r="AQ99" i="198"/>
  <c r="AH267" i="198"/>
  <c r="AG267" i="198"/>
  <c r="AK267" i="198"/>
  <c r="AI267" i="198"/>
  <c r="AK103" i="198"/>
  <c r="AG103" i="198"/>
  <c r="AH103" i="198"/>
  <c r="AI103" i="198"/>
  <c r="AI74" i="198"/>
  <c r="AH74" i="198"/>
  <c r="AG74" i="198"/>
  <c r="AK74" i="198"/>
  <c r="AD299" i="198"/>
  <c r="AE299" i="198" s="1"/>
  <c r="AG187" i="198"/>
  <c r="AK187" i="198"/>
  <c r="AI187" i="198"/>
  <c r="AH187" i="198"/>
  <c r="AG234" i="198"/>
  <c r="AH234" i="198"/>
  <c r="AK234" i="198"/>
  <c r="AI234" i="198"/>
  <c r="AI213" i="198"/>
  <c r="AG213" i="198"/>
  <c r="AK213" i="198"/>
  <c r="AH213" i="198"/>
  <c r="AK75" i="198"/>
  <c r="AI75" i="198"/>
  <c r="AG75" i="198"/>
  <c r="AH75" i="198"/>
  <c r="AI177" i="198"/>
  <c r="AG177" i="198"/>
  <c r="AH177" i="198"/>
  <c r="AK177" i="198"/>
  <c r="AQ213" i="198"/>
  <c r="AK233" i="198"/>
  <c r="AI233" i="198"/>
  <c r="AG233" i="198"/>
  <c r="AH233" i="198"/>
  <c r="AH311" i="198"/>
  <c r="AI311" i="198"/>
  <c r="AG311" i="198"/>
  <c r="AK311" i="198"/>
  <c r="AH143" i="198"/>
  <c r="AG143" i="198"/>
  <c r="AI143" i="198"/>
  <c r="AK143" i="198"/>
  <c r="AI261" i="198"/>
  <c r="AH261" i="198"/>
  <c r="AG261" i="198"/>
  <c r="AK261" i="198"/>
  <c r="AQ75" i="198"/>
  <c r="AQ177" i="198"/>
  <c r="AQ67" i="198"/>
  <c r="AK161" i="198"/>
  <c r="AI161" i="198"/>
  <c r="AH161" i="198"/>
  <c r="AG161" i="198"/>
  <c r="AI130" i="198"/>
  <c r="AK130" i="198"/>
  <c r="AH130" i="198"/>
  <c r="AG130" i="198"/>
  <c r="AQ234" i="198"/>
  <c r="AO94" i="197"/>
  <c r="AO30" i="197"/>
  <c r="AO73" i="197"/>
  <c r="AO52" i="197"/>
  <c r="AO265" i="197"/>
  <c r="AO83" i="197"/>
  <c r="AO297" i="197"/>
  <c r="AO137" i="197"/>
  <c r="AO244" i="197"/>
  <c r="AO148" i="197"/>
  <c r="AO233" i="197"/>
  <c r="AO95" i="197"/>
  <c r="AO127" i="197"/>
  <c r="AO126" i="197"/>
  <c r="AO41" i="197"/>
  <c r="AO286" i="197"/>
  <c r="AQ290" i="196"/>
  <c r="AN290" i="196"/>
  <c r="AN312" i="196"/>
  <c r="AQ312" i="196"/>
  <c r="AZ312" i="196"/>
  <c r="AM312" i="196"/>
  <c r="AO312" i="196"/>
  <c r="AQ21" i="196"/>
  <c r="AQ118" i="196"/>
  <c r="AZ118" i="196"/>
  <c r="AO118" i="196"/>
  <c r="AN118" i="196"/>
  <c r="AJ238" i="196"/>
  <c r="AK238" i="196" s="1"/>
  <c r="AM290" i="196"/>
  <c r="AQ75" i="196"/>
  <c r="AN75" i="196"/>
  <c r="AO75" i="196"/>
  <c r="AZ75" i="196"/>
  <c r="AM75" i="196"/>
  <c r="AQ315" i="196"/>
  <c r="AZ315" i="196"/>
  <c r="AN315" i="196"/>
  <c r="AN166" i="196"/>
  <c r="AM166" i="196"/>
  <c r="AO166" i="196"/>
  <c r="AQ166" i="196"/>
  <c r="AZ166" i="196"/>
  <c r="AJ217" i="196"/>
  <c r="AK217" i="196" s="1"/>
  <c r="AJ164" i="196"/>
  <c r="AK164" i="196" s="1"/>
  <c r="AJ152" i="196"/>
  <c r="AK152" i="196" s="1"/>
  <c r="AJ278" i="196"/>
  <c r="AK278" i="196" s="1"/>
  <c r="AQ73" i="196"/>
  <c r="AZ73" i="196"/>
  <c r="AN73" i="196"/>
  <c r="AM73" i="196"/>
  <c r="AO73" i="196"/>
  <c r="AM118" i="196"/>
  <c r="AJ282" i="196"/>
  <c r="AK282" i="196" s="1"/>
  <c r="AM21" i="196"/>
  <c r="AZ21" i="196"/>
  <c r="AQ26" i="196"/>
  <c r="AZ26" i="196"/>
  <c r="AN26" i="196"/>
  <c r="AM26" i="196"/>
  <c r="AO26" i="196"/>
  <c r="AQ23" i="196"/>
  <c r="AZ23" i="196"/>
  <c r="AM23" i="196"/>
  <c r="AO23" i="196"/>
  <c r="AQ309" i="196"/>
  <c r="AZ309" i="196"/>
  <c r="AM309" i="196"/>
  <c r="AN309" i="196"/>
  <c r="AO309" i="196"/>
  <c r="AQ39" i="196"/>
  <c r="AZ39" i="196"/>
  <c r="AM39" i="196"/>
  <c r="AO39" i="196"/>
  <c r="AN42" i="196"/>
  <c r="AQ254" i="196"/>
  <c r="AZ254" i="196"/>
  <c r="AN254" i="196"/>
  <c r="AM254" i="196"/>
  <c r="AO254" i="196"/>
  <c r="AN278" i="196"/>
  <c r="AQ278" i="196"/>
  <c r="AJ61" i="196"/>
  <c r="AK61" i="196" s="1"/>
  <c r="AN154" i="196"/>
  <c r="AO154" i="196"/>
  <c r="AQ154" i="196"/>
  <c r="AZ154" i="196"/>
  <c r="AM154" i="196"/>
  <c r="AQ282" i="196"/>
  <c r="AN282" i="196"/>
  <c r="AQ190" i="196"/>
  <c r="AN190" i="196"/>
  <c r="AZ190" i="196"/>
  <c r="AM190" i="196"/>
  <c r="AO190" i="196"/>
  <c r="AN63" i="196"/>
  <c r="AQ63" i="196"/>
  <c r="AZ63" i="196"/>
  <c r="AM63" i="196"/>
  <c r="AO63" i="196"/>
  <c r="AP28" i="196"/>
  <c r="AM116" i="196"/>
  <c r="AO116" i="196"/>
  <c r="AQ116" i="196"/>
  <c r="AZ116" i="196"/>
  <c r="AM226" i="196"/>
  <c r="AO226" i="196"/>
  <c r="AQ226" i="196"/>
  <c r="AN226" i="196"/>
  <c r="AZ226" i="196"/>
  <c r="AM51" i="196"/>
  <c r="AQ51" i="196"/>
  <c r="AO51" i="196"/>
  <c r="AN241" i="196"/>
  <c r="AZ241" i="196"/>
  <c r="AQ241" i="196"/>
  <c r="AM241" i="196"/>
  <c r="AO241" i="196"/>
  <c r="AQ152" i="196"/>
  <c r="AN152" i="196"/>
  <c r="AM152" i="196"/>
  <c r="AO152" i="196"/>
  <c r="AZ152" i="196"/>
  <c r="AJ280" i="196"/>
  <c r="AK280" i="196" s="1"/>
  <c r="AJ190" i="196"/>
  <c r="AK190" i="196" s="1"/>
  <c r="AN214" i="196"/>
  <c r="AM214" i="196"/>
  <c r="AO214" i="196"/>
  <c r="AQ214" i="196"/>
  <c r="AZ214" i="196"/>
  <c r="AZ269" i="196"/>
  <c r="AQ269" i="196"/>
  <c r="AN269" i="196"/>
  <c r="AM269" i="196"/>
  <c r="AO269" i="196"/>
  <c r="AJ99" i="196"/>
  <c r="AK99" i="196" s="1"/>
  <c r="AO282" i="196"/>
  <c r="AM121" i="196"/>
  <c r="AN121" i="196"/>
  <c r="AQ121" i="196"/>
  <c r="AO121" i="196"/>
  <c r="AZ280" i="196"/>
  <c r="AO280" i="196"/>
  <c r="AQ280" i="196"/>
  <c r="AN280" i="196"/>
  <c r="AJ97" i="196"/>
  <c r="AK97" i="196" s="1"/>
  <c r="AO49" i="196"/>
  <c r="AN49" i="196"/>
  <c r="AQ49" i="196"/>
  <c r="AM49" i="196"/>
  <c r="AJ269" i="196"/>
  <c r="AK269" i="196" s="1"/>
  <c r="AN51" i="196"/>
  <c r="AZ290" i="196"/>
  <c r="AP18" i="196"/>
  <c r="AQ188" i="196"/>
  <c r="AN188" i="196"/>
  <c r="AM188" i="196"/>
  <c r="AO188" i="196"/>
  <c r="AN39" i="196"/>
  <c r="AQ42" i="196"/>
  <c r="AM42" i="196"/>
  <c r="AM300" i="196"/>
  <c r="AN300" i="196"/>
  <c r="AQ300" i="196"/>
  <c r="AO300" i="196"/>
  <c r="AJ200" i="196"/>
  <c r="AK200" i="196" s="1"/>
  <c r="AZ267" i="196"/>
  <c r="AN267" i="196"/>
  <c r="AQ267" i="196"/>
  <c r="AM267" i="196"/>
  <c r="AO267" i="196"/>
  <c r="AQ37" i="196"/>
  <c r="AN37" i="196"/>
  <c r="AZ37" i="196"/>
  <c r="AM37" i="196"/>
  <c r="AO37" i="196"/>
  <c r="AO290" i="196"/>
  <c r="AN99" i="196"/>
  <c r="AO99" i="196"/>
  <c r="AQ99" i="196"/>
  <c r="AZ99" i="196"/>
  <c r="AJ21" i="196"/>
  <c r="AK21" i="196" s="1"/>
  <c r="AQ128" i="196"/>
  <c r="AZ128" i="196"/>
  <c r="AM128" i="196"/>
  <c r="AO128" i="196"/>
  <c r="AN128" i="196"/>
  <c r="AJ85" i="196"/>
  <c r="AK85" i="196" s="1"/>
  <c r="AM202" i="196"/>
  <c r="AZ202" i="196"/>
  <c r="AN202" i="196"/>
  <c r="AO202" i="196"/>
  <c r="AQ202" i="196"/>
  <c r="AJ87" i="196"/>
  <c r="AK87" i="196" s="1"/>
  <c r="AJ39" i="196"/>
  <c r="AK39" i="196" s="1"/>
  <c r="AQ229" i="196"/>
  <c r="AN229" i="196"/>
  <c r="AM229" i="196"/>
  <c r="AO229" i="196"/>
  <c r="AQ176" i="196"/>
  <c r="AM176" i="196"/>
  <c r="AZ176" i="196"/>
  <c r="AO176" i="196"/>
  <c r="AO278" i="196"/>
  <c r="AQ85" i="196"/>
  <c r="AM85" i="196"/>
  <c r="AO85" i="196"/>
  <c r="AN85" i="196"/>
  <c r="AZ85" i="196"/>
  <c r="AQ178" i="196"/>
  <c r="AM178" i="196"/>
  <c r="AZ178" i="196"/>
  <c r="AO178" i="196"/>
  <c r="AJ118" i="196"/>
  <c r="AK118" i="196" s="1"/>
  <c r="AQ87" i="196"/>
  <c r="AN87" i="196"/>
  <c r="AZ87" i="196"/>
  <c r="AM87" i="196"/>
  <c r="AO87" i="196"/>
  <c r="AP313" i="196"/>
  <c r="AN21" i="196"/>
  <c r="AP237" i="196" l="1"/>
  <c r="AP236" i="196"/>
  <c r="AJ148" i="198"/>
  <c r="AP274" i="196"/>
  <c r="AP192" i="196"/>
  <c r="AP90" i="196"/>
  <c r="AP164" i="196"/>
  <c r="AP155" i="196"/>
  <c r="AP177" i="196"/>
  <c r="AP212" i="196"/>
  <c r="AP135" i="196"/>
  <c r="AP243" i="196"/>
  <c r="AP95" i="196"/>
  <c r="AJ68" i="198"/>
  <c r="AJ56" i="198"/>
  <c r="AJ218" i="198"/>
  <c r="AP217" i="196"/>
  <c r="AP59" i="196"/>
  <c r="AP189" i="196"/>
  <c r="AP264" i="196"/>
  <c r="AP76" i="196"/>
  <c r="AP277" i="196"/>
  <c r="AP159" i="196"/>
  <c r="AJ73" i="198"/>
  <c r="AJ38" i="198"/>
  <c r="AJ20" i="198"/>
  <c r="AP260" i="196"/>
  <c r="AP276" i="196"/>
  <c r="AP92" i="196"/>
  <c r="AJ28" i="198"/>
  <c r="AJ32" i="198"/>
  <c r="AO161" i="197"/>
  <c r="AO185" i="197"/>
  <c r="AO197" i="197"/>
  <c r="AO217" i="197"/>
  <c r="AO219" i="197"/>
  <c r="AO247" i="197"/>
  <c r="AO251" i="197"/>
  <c r="AO269" i="197"/>
  <c r="AO271" i="197"/>
  <c r="AP265" i="196"/>
  <c r="AP182" i="196"/>
  <c r="AP153" i="196"/>
  <c r="AP47" i="196"/>
  <c r="AP143" i="196"/>
  <c r="AP224" i="196"/>
  <c r="AP292" i="196"/>
  <c r="AP258" i="196"/>
  <c r="AP249" i="196"/>
  <c r="AP142" i="196"/>
  <c r="AP58" i="196"/>
  <c r="AP109" i="196"/>
  <c r="AP60" i="196"/>
  <c r="AJ40" i="198"/>
  <c r="AJ308" i="198"/>
  <c r="AJ175" i="198"/>
  <c r="AJ186" i="198"/>
  <c r="AJ302" i="198"/>
  <c r="AJ152" i="198"/>
  <c r="AJ312" i="198"/>
  <c r="AJ264" i="198"/>
  <c r="AJ138" i="198"/>
  <c r="AJ178" i="198"/>
  <c r="AP70" i="196"/>
  <c r="AP218" i="196"/>
  <c r="AP282" i="196"/>
  <c r="AP53" i="196"/>
  <c r="AP314" i="196"/>
  <c r="AJ188" i="198"/>
  <c r="AJ210" i="198"/>
  <c r="AJ52" i="198"/>
  <c r="AJ288" i="198"/>
  <c r="AJ94" i="198"/>
  <c r="AJ124" i="198"/>
  <c r="AJ112" i="198"/>
  <c r="AJ62" i="198"/>
  <c r="AJ106" i="198"/>
  <c r="AJ214" i="198"/>
  <c r="AJ240" i="198"/>
  <c r="AP293" i="196"/>
  <c r="AJ196" i="198"/>
  <c r="AJ204" i="198"/>
  <c r="AJ50" i="198"/>
  <c r="AJ226" i="198"/>
  <c r="AJ166" i="198"/>
  <c r="AJ72" i="198"/>
  <c r="AJ300" i="198"/>
  <c r="AJ220" i="198"/>
  <c r="AJ228" i="198"/>
  <c r="AJ118" i="198"/>
  <c r="AJ258" i="198"/>
  <c r="AJ70" i="198"/>
  <c r="AJ168" i="198"/>
  <c r="AJ276" i="198"/>
  <c r="AJ154" i="198"/>
  <c r="AJ296" i="198"/>
  <c r="AJ142" i="198"/>
  <c r="AJ150" i="198"/>
  <c r="AJ44" i="198"/>
  <c r="AJ202" i="198"/>
  <c r="AJ318" i="198"/>
  <c r="AJ160" i="198"/>
  <c r="AJ184" i="198"/>
  <c r="AJ222" i="198"/>
  <c r="AJ64" i="198"/>
  <c r="AJ284" i="198"/>
  <c r="AJ270" i="198"/>
  <c r="AJ97" i="198"/>
  <c r="AJ229" i="198"/>
  <c r="AJ43" i="198"/>
  <c r="AP261" i="196"/>
  <c r="AP94" i="196"/>
  <c r="AP54" i="196"/>
  <c r="AP301" i="196"/>
  <c r="AP221" i="196"/>
  <c r="AP233" i="196"/>
  <c r="AP99" i="196"/>
  <c r="AP42" i="196"/>
  <c r="AP165" i="196"/>
  <c r="AO124" i="197"/>
  <c r="AP280" i="196"/>
  <c r="AP170" i="196"/>
  <c r="AP62" i="196"/>
  <c r="AP56" i="196"/>
  <c r="AP315" i="196"/>
  <c r="AP308" i="196"/>
  <c r="AN16" i="197"/>
  <c r="AM16" i="197"/>
  <c r="AP304" i="196"/>
  <c r="AJ59" i="198"/>
  <c r="AO240" i="197"/>
  <c r="AO242" i="197"/>
  <c r="AO266" i="197"/>
  <c r="AO69" i="197"/>
  <c r="AJ101" i="198"/>
  <c r="AP278" i="196"/>
  <c r="AP21" i="196"/>
  <c r="AP175" i="196"/>
  <c r="AO68" i="197"/>
  <c r="AO128" i="197"/>
  <c r="AO164" i="197"/>
  <c r="AO123" i="197"/>
  <c r="AO129" i="197"/>
  <c r="AO141" i="197"/>
  <c r="AP225" i="196"/>
  <c r="AP81" i="196"/>
  <c r="AJ285" i="198"/>
  <c r="AP194" i="196"/>
  <c r="AJ19" i="198"/>
  <c r="AO176" i="197"/>
  <c r="AO236" i="197"/>
  <c r="AO260" i="197"/>
  <c r="AO284" i="197"/>
  <c r="AJ129" i="198"/>
  <c r="AO38" i="197"/>
  <c r="AO104" i="197"/>
  <c r="AO281" i="197"/>
  <c r="AO285" i="197"/>
  <c r="AO287" i="197"/>
  <c r="AO295" i="197"/>
  <c r="AO303" i="197"/>
  <c r="AO311" i="197"/>
  <c r="AP275" i="196"/>
  <c r="AP71" i="196"/>
  <c r="AJ49" i="198"/>
  <c r="AJ125" i="198"/>
  <c r="AJ169" i="198"/>
  <c r="AO17" i="197"/>
  <c r="AJ65" i="198"/>
  <c r="AO24" i="197"/>
  <c r="AO48" i="197"/>
  <c r="AO296" i="197"/>
  <c r="AO65" i="197"/>
  <c r="AO227" i="197"/>
  <c r="AO229" i="197"/>
  <c r="AO235" i="197"/>
  <c r="AO237" i="197"/>
  <c r="AO239" i="197"/>
  <c r="AO243" i="197"/>
  <c r="AO249" i="197"/>
  <c r="AO261" i="197"/>
  <c r="AO263" i="197"/>
  <c r="AO289" i="197"/>
  <c r="AO299" i="197"/>
  <c r="AO305" i="197"/>
  <c r="AO309" i="197"/>
  <c r="AO93" i="197"/>
  <c r="AO139" i="197"/>
  <c r="AO27" i="197"/>
  <c r="AO35" i="197"/>
  <c r="AO77" i="197"/>
  <c r="AO89" i="197"/>
  <c r="AO91" i="197"/>
  <c r="AO101" i="197"/>
  <c r="AO110" i="197"/>
  <c r="AO122" i="197"/>
  <c r="AO134" i="197"/>
  <c r="AO152" i="197"/>
  <c r="AO156" i="197"/>
  <c r="AO216" i="197"/>
  <c r="AO218" i="197"/>
  <c r="AO228" i="197"/>
  <c r="AO230" i="197"/>
  <c r="AO264" i="197"/>
  <c r="AJ217" i="198"/>
  <c r="AO125" i="197"/>
  <c r="AO133" i="197"/>
  <c r="AO145" i="197"/>
  <c r="AO153" i="197"/>
  <c r="AO157" i="197"/>
  <c r="AO159" i="197"/>
  <c r="AO171" i="197"/>
  <c r="AO173" i="197"/>
  <c r="AO183" i="197"/>
  <c r="AO205" i="197"/>
  <c r="AO209" i="197"/>
  <c r="AO215" i="197"/>
  <c r="AO85" i="197"/>
  <c r="AO113" i="197"/>
  <c r="AO37" i="197"/>
  <c r="AO67" i="197"/>
  <c r="AO111" i="197"/>
  <c r="AJ41" i="198"/>
  <c r="AJ181" i="198"/>
  <c r="AJ193" i="198"/>
  <c r="AJ293" i="198"/>
  <c r="AP286" i="196"/>
  <c r="AO32" i="197"/>
  <c r="AO60" i="197"/>
  <c r="AO72" i="197"/>
  <c r="AO252" i="197"/>
  <c r="AO272" i="197"/>
  <c r="AO276" i="197"/>
  <c r="AO288" i="197"/>
  <c r="AO314" i="197"/>
  <c r="AO135" i="197"/>
  <c r="AO147" i="197"/>
  <c r="AO163" i="197"/>
  <c r="AO165" i="197"/>
  <c r="AO167" i="197"/>
  <c r="AO175" i="197"/>
  <c r="AO181" i="197"/>
  <c r="AO187" i="197"/>
  <c r="AO191" i="197"/>
  <c r="AO193" i="197"/>
  <c r="AO195" i="197"/>
  <c r="AO203" i="197"/>
  <c r="AO207" i="197"/>
  <c r="AO213" i="197"/>
  <c r="AO225" i="197"/>
  <c r="AO253" i="197"/>
  <c r="AO255" i="197"/>
  <c r="AO273" i="197"/>
  <c r="AO277" i="197"/>
  <c r="AO283" i="197"/>
  <c r="AO315" i="197"/>
  <c r="AJ269" i="198"/>
  <c r="AO221" i="197"/>
  <c r="AO231" i="197"/>
  <c r="AO241" i="197"/>
  <c r="AO259" i="197"/>
  <c r="AO293" i="197"/>
  <c r="AO307" i="197"/>
  <c r="AP169" i="196"/>
  <c r="AJ25" i="198"/>
  <c r="AJ53" i="198"/>
  <c r="AJ61" i="198"/>
  <c r="AJ87" i="198"/>
  <c r="AJ89" i="198"/>
  <c r="AJ93" i="198"/>
  <c r="AJ105" i="198"/>
  <c r="AO74" i="197"/>
  <c r="AO80" i="197"/>
  <c r="AO84" i="197"/>
  <c r="AO92" i="197"/>
  <c r="AO146" i="197"/>
  <c r="AO168" i="197"/>
  <c r="AO170" i="197"/>
  <c r="AO204" i="197"/>
  <c r="AJ69" i="198"/>
  <c r="AJ157" i="198"/>
  <c r="AJ281" i="198"/>
  <c r="AO44" i="197"/>
  <c r="AO50" i="197"/>
  <c r="AO56" i="197"/>
  <c r="AO140" i="197"/>
  <c r="AO180" i="197"/>
  <c r="AO182" i="197"/>
  <c r="AO192" i="197"/>
  <c r="AO194" i="197"/>
  <c r="AO224" i="197"/>
  <c r="AJ77" i="198"/>
  <c r="AJ85" i="198"/>
  <c r="AJ139" i="198"/>
  <c r="AT16" i="197"/>
  <c r="G26" i="182" s="1"/>
  <c r="AO248" i="197"/>
  <c r="AP158" i="196"/>
  <c r="AP173" i="196"/>
  <c r="AP253" i="196"/>
  <c r="AP227" i="196"/>
  <c r="AP22" i="196"/>
  <c r="AP114" i="196"/>
  <c r="AP64" i="196"/>
  <c r="AP163" i="196"/>
  <c r="AP146" i="196"/>
  <c r="BF12" i="200"/>
  <c r="AG39" i="200"/>
  <c r="AZ14" i="200"/>
  <c r="AZ39" i="200" s="1"/>
  <c r="AS38" i="200"/>
  <c r="BF13" i="200"/>
  <c r="BF38" i="200" s="1"/>
  <c r="BE12" i="200"/>
  <c r="BE37" i="200" s="1"/>
  <c r="AR39" i="200"/>
  <c r="BE14" i="200"/>
  <c r="BE39" i="200" s="1"/>
  <c r="AP38" i="196"/>
  <c r="AP206" i="196"/>
  <c r="AP41" i="196"/>
  <c r="AP31" i="196"/>
  <c r="AP266" i="196"/>
  <c r="AP183" i="196"/>
  <c r="AP185" i="196"/>
  <c r="AP210" i="196"/>
  <c r="AP141" i="196"/>
  <c r="AP223" i="196"/>
  <c r="AP139" i="196"/>
  <c r="AP246" i="196"/>
  <c r="AP25" i="196"/>
  <c r="AP123" i="196"/>
  <c r="AP130" i="196"/>
  <c r="AP181" i="196"/>
  <c r="AP91" i="196"/>
  <c r="AP197" i="196"/>
  <c r="AP40" i="196"/>
  <c r="AP122" i="196"/>
  <c r="AP204" i="196"/>
  <c r="AP240" i="196"/>
  <c r="AP29" i="196"/>
  <c r="AP129" i="196"/>
  <c r="AP242" i="196"/>
  <c r="AP137" i="196"/>
  <c r="AP162" i="196"/>
  <c r="AP298" i="196"/>
  <c r="AP72" i="196"/>
  <c r="AP281" i="196"/>
  <c r="AP127" i="196"/>
  <c r="AP191" i="196"/>
  <c r="AP187" i="196"/>
  <c r="AP306" i="196"/>
  <c r="AP222" i="196"/>
  <c r="AP168" i="196"/>
  <c r="AP211" i="196"/>
  <c r="AP65" i="196"/>
  <c r="AP131" i="196"/>
  <c r="AP251" i="196"/>
  <c r="AP147" i="196"/>
  <c r="AP136" i="196"/>
  <c r="AP255" i="196"/>
  <c r="AP43" i="196"/>
  <c r="AP120" i="196"/>
  <c r="AP207" i="196"/>
  <c r="AJ48" i="198"/>
  <c r="AJ144" i="198"/>
  <c r="AJ88" i="198"/>
  <c r="AJ145" i="198"/>
  <c r="AJ116" i="198"/>
  <c r="AJ108" i="198"/>
  <c r="AR38" i="200"/>
  <c r="BE38" i="200"/>
  <c r="AJ136" i="198"/>
  <c r="AJ192" i="198"/>
  <c r="AJ71" i="198"/>
  <c r="AJ282" i="198"/>
  <c r="AJ275" i="198"/>
  <c r="AJ189" i="198"/>
  <c r="AP17" i="196"/>
  <c r="AP195" i="196"/>
  <c r="AP193" i="196"/>
  <c r="AP215" i="196"/>
  <c r="AP199" i="196"/>
  <c r="AP186" i="196"/>
  <c r="AP117" i="196"/>
  <c r="AP305" i="196"/>
  <c r="AP61" i="196"/>
  <c r="AP216" i="196"/>
  <c r="AP119" i="196"/>
  <c r="AP289" i="196"/>
  <c r="AP248" i="196"/>
  <c r="AP231" i="196"/>
  <c r="AP151" i="196"/>
  <c r="AP209" i="196"/>
  <c r="AP84" i="196"/>
  <c r="AP100" i="196"/>
  <c r="AP156" i="196"/>
  <c r="AP161" i="196"/>
  <c r="AP150" i="196"/>
  <c r="AP250" i="196"/>
  <c r="AP33" i="196"/>
  <c r="AP295" i="196"/>
  <c r="AP48" i="196"/>
  <c r="AP232" i="196"/>
  <c r="AP79" i="196"/>
  <c r="AP252" i="196"/>
  <c r="AP160" i="196"/>
  <c r="AP234" i="196"/>
  <c r="AP86" i="196"/>
  <c r="AP174" i="196"/>
  <c r="AP149" i="196"/>
  <c r="AP126" i="196"/>
  <c r="AJ153" i="198"/>
  <c r="AJ233" i="198"/>
  <c r="AP279" i="196"/>
  <c r="AP132" i="196"/>
  <c r="AP247" i="196"/>
  <c r="AP283" i="196"/>
  <c r="AP307" i="196"/>
  <c r="AP311" i="196"/>
  <c r="AP245" i="196"/>
  <c r="AP35" i="196"/>
  <c r="AP268" i="196"/>
  <c r="AP208" i="196"/>
  <c r="AP124" i="196"/>
  <c r="AP213" i="196"/>
  <c r="AJ234" i="198"/>
  <c r="AJ54" i="198"/>
  <c r="AJ75" i="198"/>
  <c r="AJ179" i="198"/>
  <c r="AJ81" i="198"/>
  <c r="AP37" i="196"/>
  <c r="AJ117" i="198"/>
  <c r="AJ225" i="198"/>
  <c r="AJ111" i="198"/>
  <c r="AP74" i="196"/>
  <c r="AP36" i="196"/>
  <c r="AP196" i="196"/>
  <c r="AP134" i="196"/>
  <c r="AP244" i="196"/>
  <c r="AJ141" i="198"/>
  <c r="AJ243" i="198"/>
  <c r="AJ130" i="198"/>
  <c r="AJ246" i="198"/>
  <c r="AJ198" i="198"/>
  <c r="AJ216" i="198"/>
  <c r="AP148" i="196"/>
  <c r="AP303" i="196"/>
  <c r="AP184" i="196"/>
  <c r="AP96" i="196"/>
  <c r="AP230" i="196"/>
  <c r="AP166" i="196"/>
  <c r="AP241" i="196"/>
  <c r="AP39" i="196"/>
  <c r="AP110" i="196"/>
  <c r="AP263" i="196"/>
  <c r="AP20" i="196"/>
  <c r="AP108" i="196"/>
  <c r="AP98" i="196"/>
  <c r="AP178" i="196"/>
  <c r="AP309" i="196"/>
  <c r="AP85" i="196"/>
  <c r="AP128" i="196"/>
  <c r="AP152" i="196"/>
  <c r="G46" i="182"/>
  <c r="AJ180" i="198"/>
  <c r="AL18" i="198"/>
  <c r="AJ255" i="198"/>
  <c r="AJ213" i="198"/>
  <c r="AJ90" i="198"/>
  <c r="AJ311" i="198"/>
  <c r="AJ177" i="198"/>
  <c r="AJ74" i="198"/>
  <c r="AJ171" i="198"/>
  <c r="AJ261" i="198"/>
  <c r="AJ195" i="198"/>
  <c r="AJ67" i="198"/>
  <c r="AJ224" i="198"/>
  <c r="AJ187" i="198"/>
  <c r="AP176" i="196"/>
  <c r="AP267" i="196"/>
  <c r="AP121" i="196"/>
  <c r="AP63" i="196"/>
  <c r="AP214" i="196"/>
  <c r="AP226" i="196"/>
  <c r="AP75" i="196"/>
  <c r="AN16" i="196"/>
  <c r="AR16" i="196"/>
  <c r="AP154" i="196"/>
  <c r="AP290" i="196"/>
  <c r="AP190" i="196"/>
  <c r="AP73" i="196"/>
  <c r="AP26" i="196"/>
  <c r="AY17" i="200"/>
  <c r="AY16" i="200" s="1"/>
  <c r="AF12" i="200"/>
  <c r="AF37" i="200" s="1"/>
  <c r="AF26" i="200"/>
  <c r="AM21" i="200"/>
  <c r="AL16" i="200"/>
  <c r="AM16" i="200"/>
  <c r="AL21" i="200"/>
  <c r="AF39" i="200"/>
  <c r="AY39" i="200"/>
  <c r="AO36" i="200"/>
  <c r="AS39" i="200"/>
  <c r="BF39" i="200"/>
  <c r="AR40" i="200"/>
  <c r="BE40" i="200"/>
  <c r="AS37" i="200"/>
  <c r="AS11" i="200"/>
  <c r="AS36" i="200" s="1"/>
  <c r="AG16" i="200"/>
  <c r="AG12" i="200"/>
  <c r="AS40" i="200"/>
  <c r="BF40" i="200"/>
  <c r="AQ37" i="200"/>
  <c r="AQ11" i="200"/>
  <c r="AQ36" i="200" s="1"/>
  <c r="AG40" i="200"/>
  <c r="AZ40" i="200"/>
  <c r="AF40" i="200"/>
  <c r="AY40" i="200"/>
  <c r="AG38" i="200"/>
  <c r="AZ38" i="200"/>
  <c r="AR11" i="200"/>
  <c r="AR36" i="200" s="1"/>
  <c r="AR37" i="200"/>
  <c r="AG21" i="200"/>
  <c r="AZ17" i="200"/>
  <c r="AZ16" i="200" s="1"/>
  <c r="AP11" i="200"/>
  <c r="AP36" i="200" s="1"/>
  <c r="AP37" i="200"/>
  <c r="AN36" i="200"/>
  <c r="AF38" i="200"/>
  <c r="AY38" i="200"/>
  <c r="AF16" i="200"/>
  <c r="AJ215" i="198"/>
  <c r="AK18" i="198"/>
  <c r="AJ135" i="198"/>
  <c r="AJ162" i="198"/>
  <c r="AJ99" i="198"/>
  <c r="AJ287" i="198"/>
  <c r="AJ159" i="198"/>
  <c r="AJ252" i="198"/>
  <c r="AJ291" i="198"/>
  <c r="AJ126" i="198"/>
  <c r="AJ315" i="198"/>
  <c r="AJ161" i="198"/>
  <c r="AJ103" i="198"/>
  <c r="AJ231" i="198"/>
  <c r="AJ249" i="198"/>
  <c r="AJ42" i="198"/>
  <c r="AJ143" i="198"/>
  <c r="AJ207" i="198"/>
  <c r="AJ303" i="198"/>
  <c r="AI18" i="198"/>
  <c r="AJ30" i="198"/>
  <c r="AH18" i="198"/>
  <c r="AQ18" i="198"/>
  <c r="AJ267" i="198"/>
  <c r="AJ80" i="198"/>
  <c r="AJ219" i="198"/>
  <c r="AJ279" i="198"/>
  <c r="AJ197" i="198"/>
  <c r="AJ273" i="198"/>
  <c r="AJ299" i="198"/>
  <c r="AP300" i="196"/>
  <c r="AP188" i="196"/>
  <c r="AP312" i="196"/>
  <c r="AP202" i="196"/>
  <c r="AP254" i="196"/>
  <c r="AP49" i="196"/>
  <c r="AZ16" i="196"/>
  <c r="G15" i="182" s="1"/>
  <c r="AP87" i="196"/>
  <c r="AP229" i="196"/>
  <c r="AO16" i="196"/>
  <c r="AP118" i="196"/>
  <c r="AP269" i="196"/>
  <c r="AP51" i="196"/>
  <c r="AP116" i="196"/>
  <c r="AP23" i="196"/>
  <c r="AQ16" i="196"/>
  <c r="AO16" i="197" l="1"/>
  <c r="BC16" i="200"/>
  <c r="BA16" i="200" s="1"/>
  <c r="BC31" i="200"/>
  <c r="BA31" i="200" s="1"/>
  <c r="BD16" i="200"/>
  <c r="BB16" i="200" s="1"/>
  <c r="BD31" i="200"/>
  <c r="BB31" i="200" s="1"/>
  <c r="BC11" i="200"/>
  <c r="BD11" i="200"/>
  <c r="AP16" i="196"/>
  <c r="AM11" i="200"/>
  <c r="AM36" i="200" s="1"/>
  <c r="AF11" i="200"/>
  <c r="AY12" i="200"/>
  <c r="AY37" i="200" s="1"/>
  <c r="AY36" i="200" s="1"/>
  <c r="AL11" i="200"/>
  <c r="AL36" i="200" s="1"/>
  <c r="AF36" i="200"/>
  <c r="AZ12" i="200"/>
  <c r="AG11" i="200"/>
  <c r="AG37" i="200"/>
  <c r="AG36" i="200" s="1"/>
  <c r="BE36" i="200"/>
  <c r="BE11" i="200"/>
  <c r="BF11" i="200"/>
  <c r="BF37" i="200"/>
  <c r="BF36" i="200" s="1"/>
  <c r="AJ18" i="198"/>
  <c r="BA11" i="200" l="1"/>
  <c r="BA36" i="200" s="1"/>
  <c r="BB11" i="200"/>
  <c r="BB36" i="200" s="1"/>
  <c r="BC36" i="200"/>
  <c r="AY11" i="200"/>
  <c r="AZ37" i="200"/>
  <c r="AZ36" i="200" s="1"/>
  <c r="AZ11" i="200"/>
  <c r="BD36" i="2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B10" authorId="0" shapeId="0" xr:uid="{00000000-0006-0000-08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W12" authorId="0" shapeId="0" xr:uid="{00000000-0006-0000-09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<sst xmlns="http://schemas.openxmlformats.org/spreadsheetml/2006/main" count="2103" uniqueCount="904">
  <si>
    <t>秘</t>
    <rPh sb="0" eb="1">
      <t>ヒ</t>
    </rPh>
    <phoneticPr fontId="3"/>
  </si>
  <si>
    <t>農林水産省</t>
    <rPh sb="0" eb="2">
      <t>ノウリン</t>
    </rPh>
    <rPh sb="2" eb="5">
      <t>スイサンショウ</t>
    </rPh>
    <phoneticPr fontId="3"/>
  </si>
  <si>
    <t>その他</t>
    <rPh sb="2" eb="3">
      <t>タ</t>
    </rPh>
    <phoneticPr fontId="3"/>
  </si>
  <si>
    <t>単位</t>
    <rPh sb="0" eb="2">
      <t>タンイ</t>
    </rPh>
    <phoneticPr fontId="3"/>
  </si>
  <si>
    <t>田</t>
    <rPh sb="0" eb="1">
      <t>デン</t>
    </rPh>
    <phoneticPr fontId="3"/>
  </si>
  <si>
    <t>家族</t>
    <rPh sb="0" eb="2">
      <t>カゾク</t>
    </rPh>
    <phoneticPr fontId="3"/>
  </si>
  <si>
    <t>農業就業者</t>
    <rPh sb="0" eb="2">
      <t>ノウギョウ</t>
    </rPh>
    <rPh sb="2" eb="5">
      <t>シュウギョウシャ</t>
    </rPh>
    <phoneticPr fontId="3"/>
  </si>
  <si>
    <t>150日以上</t>
    <rPh sb="3" eb="6">
      <t>ニチイジョウ</t>
    </rPh>
    <phoneticPr fontId="3"/>
  </si>
  <si>
    <t>農業年雇</t>
    <rPh sb="0" eb="2">
      <t>ノウギョウ</t>
    </rPh>
    <rPh sb="2" eb="3">
      <t>ネン</t>
    </rPh>
    <rPh sb="3" eb="4">
      <t>コ</t>
    </rPh>
    <phoneticPr fontId="3"/>
  </si>
  <si>
    <t>大麦</t>
    <rPh sb="0" eb="2">
      <t>オオムギ</t>
    </rPh>
    <phoneticPr fontId="14"/>
  </si>
  <si>
    <t>その他の麦</t>
    <rPh sb="2" eb="3">
      <t>タ</t>
    </rPh>
    <rPh sb="4" eb="5">
      <t>ムギ</t>
    </rPh>
    <phoneticPr fontId="14"/>
  </si>
  <si>
    <t>その他</t>
    <rPh sb="2" eb="3">
      <t>タ</t>
    </rPh>
    <phoneticPr fontId="14"/>
  </si>
  <si>
    <t>配合飼料</t>
    <rPh sb="0" eb="2">
      <t>ハイゴウ</t>
    </rPh>
    <rPh sb="2" eb="4">
      <t>シリョウ</t>
    </rPh>
    <phoneticPr fontId="14"/>
  </si>
  <si>
    <t>いも類及び野菜類</t>
    <rPh sb="2" eb="3">
      <t>ルイ</t>
    </rPh>
    <rPh sb="3" eb="4">
      <t>オヨ</t>
    </rPh>
    <rPh sb="5" eb="8">
      <t>ヤサイルイ</t>
    </rPh>
    <phoneticPr fontId="14"/>
  </si>
  <si>
    <t>稲わら</t>
    <rPh sb="0" eb="1">
      <t>イナ</t>
    </rPh>
    <phoneticPr fontId="14"/>
  </si>
  <si>
    <t>穀類</t>
    <rPh sb="0" eb="2">
      <t>コクルイ</t>
    </rPh>
    <phoneticPr fontId="14"/>
  </si>
  <si>
    <t>ぬか・
ふすま類</t>
    <rPh sb="7" eb="8">
      <t>ルイ</t>
    </rPh>
    <phoneticPr fontId="14"/>
  </si>
  <si>
    <t>購入</t>
    <rPh sb="0" eb="2">
      <t>コウニュウ</t>
    </rPh>
    <phoneticPr fontId="3"/>
  </si>
  <si>
    <t>番号</t>
    <rPh sb="0" eb="2">
      <t>バンゴウ</t>
    </rPh>
    <phoneticPr fontId="14"/>
  </si>
  <si>
    <t>自動車取得税</t>
    <rPh sb="0" eb="3">
      <t>ジドウシャ</t>
    </rPh>
    <rPh sb="3" eb="6">
      <t>シュトクゼイ</t>
    </rPh>
    <phoneticPr fontId="3"/>
  </si>
  <si>
    <t>共同施設税</t>
    <rPh sb="0" eb="2">
      <t>キョウドウ</t>
    </rPh>
    <rPh sb="2" eb="4">
      <t>シセツ</t>
    </rPh>
    <rPh sb="4" eb="5">
      <t>ゼイ</t>
    </rPh>
    <phoneticPr fontId="3"/>
  </si>
  <si>
    <t>集落協議会費</t>
    <rPh sb="0" eb="2">
      <t>シュウラク</t>
    </rPh>
    <rPh sb="2" eb="4">
      <t>キョウギ</t>
    </rPh>
    <rPh sb="4" eb="6">
      <t>カイヒ</t>
    </rPh>
    <phoneticPr fontId="3"/>
  </si>
  <si>
    <t>農業協同組合費</t>
    <rPh sb="0" eb="2">
      <t>ノウギョウ</t>
    </rPh>
    <rPh sb="2" eb="4">
      <t>キョウドウ</t>
    </rPh>
    <rPh sb="4" eb="7">
      <t>クミアイヒ</t>
    </rPh>
    <phoneticPr fontId="3"/>
  </si>
  <si>
    <t>農事実行組合費</t>
    <rPh sb="0" eb="2">
      <t>ノウジ</t>
    </rPh>
    <rPh sb="2" eb="4">
      <t>ジッコウ</t>
    </rPh>
    <rPh sb="4" eb="7">
      <t>クミアイヒ</t>
    </rPh>
    <phoneticPr fontId="3"/>
  </si>
  <si>
    <t>自賠責保険</t>
    <rPh sb="0" eb="3">
      <t>ジバイセキ</t>
    </rPh>
    <rPh sb="3" eb="5">
      <t>ホケン</t>
    </rPh>
    <phoneticPr fontId="3"/>
  </si>
  <si>
    <t>重油</t>
    <rPh sb="0" eb="2">
      <t>ジュウユ</t>
    </rPh>
    <phoneticPr fontId="14"/>
  </si>
  <si>
    <t>軽油</t>
    <rPh sb="0" eb="2">
      <t>ケイユ</t>
    </rPh>
    <phoneticPr fontId="14"/>
  </si>
  <si>
    <t>電力料</t>
    <rPh sb="0" eb="3">
      <t>デンリョクリョウ</t>
    </rPh>
    <phoneticPr fontId="14"/>
  </si>
  <si>
    <t>計</t>
    <rPh sb="0" eb="1">
      <t>ケイ</t>
    </rPh>
    <phoneticPr fontId="3"/>
  </si>
  <si>
    <t>建物敷地</t>
    <rPh sb="0" eb="2">
      <t>タテモノ</t>
    </rPh>
    <rPh sb="2" eb="4">
      <t>シキチ</t>
    </rPh>
    <phoneticPr fontId="3"/>
  </si>
  <si>
    <t>採草地</t>
    <rPh sb="0" eb="3">
      <t>サイソウチ</t>
    </rPh>
    <phoneticPr fontId="3"/>
  </si>
  <si>
    <t>支払地代（円）</t>
    <rPh sb="0" eb="3">
      <t>シハライチ</t>
    </rPh>
    <rPh sb="3" eb="4">
      <t>ダイ</t>
    </rPh>
    <rPh sb="5" eb="6">
      <t>エン</t>
    </rPh>
    <phoneticPr fontId="3"/>
  </si>
  <si>
    <t>共同負担金</t>
    <rPh sb="0" eb="2">
      <t>キョウドウ</t>
    </rPh>
    <rPh sb="2" eb="5">
      <t>フタンキン</t>
    </rPh>
    <phoneticPr fontId="3"/>
  </si>
  <si>
    <t>農機具借料</t>
    <rPh sb="0" eb="3">
      <t>ノウキグ</t>
    </rPh>
    <rPh sb="3" eb="5">
      <t>シャクリョウ</t>
    </rPh>
    <phoneticPr fontId="3"/>
  </si>
  <si>
    <t>月</t>
    <rPh sb="0" eb="1">
      <t>ツキ</t>
    </rPh>
    <phoneticPr fontId="3"/>
  </si>
  <si>
    <t>獣医師料</t>
    <rPh sb="0" eb="4">
      <t>ジュウイシリョウ</t>
    </rPh>
    <phoneticPr fontId="3"/>
  </si>
  <si>
    <t>疾病共済掛金</t>
    <rPh sb="0" eb="2">
      <t>シッペイ</t>
    </rPh>
    <rPh sb="2" eb="4">
      <t>キョウサイ</t>
    </rPh>
    <rPh sb="4" eb="5">
      <t>カ</t>
    </rPh>
    <rPh sb="5" eb="6">
      <t>キン</t>
    </rPh>
    <phoneticPr fontId="3"/>
  </si>
  <si>
    <t>医薬品費</t>
    <rPh sb="0" eb="3">
      <t>イヤクヒン</t>
    </rPh>
    <rPh sb="3" eb="4">
      <t>ヒ</t>
    </rPh>
    <phoneticPr fontId="3"/>
  </si>
  <si>
    <t>その他医療費等</t>
    <rPh sb="2" eb="3">
      <t>タ</t>
    </rPh>
    <rPh sb="3" eb="5">
      <t>イリョウ</t>
    </rPh>
    <rPh sb="5" eb="6">
      <t>ヒ</t>
    </rPh>
    <rPh sb="6" eb="7">
      <t>トウ</t>
    </rPh>
    <phoneticPr fontId="3"/>
  </si>
  <si>
    <t>調査対象畜
負担割合</t>
    <rPh sb="0" eb="2">
      <t>チョウサ</t>
    </rPh>
    <rPh sb="2" eb="4">
      <t>タイショウ</t>
    </rPh>
    <rPh sb="4" eb="5">
      <t>チク</t>
    </rPh>
    <rPh sb="6" eb="8">
      <t>フタン</t>
    </rPh>
    <rPh sb="8" eb="10">
      <t>ワリアイ</t>
    </rPh>
    <phoneticPr fontId="3"/>
  </si>
  <si>
    <t>新古
区分</t>
    <rPh sb="0" eb="1">
      <t>シン</t>
    </rPh>
    <rPh sb="1" eb="2">
      <t>コ</t>
    </rPh>
    <rPh sb="3" eb="5">
      <t>クブン</t>
    </rPh>
    <phoneticPr fontId="14"/>
  </si>
  <si>
    <t>販売金額（円）</t>
    <rPh sb="0" eb="2">
      <t>ハンバイ</t>
    </rPh>
    <rPh sb="2" eb="4">
      <t>キンガク</t>
    </rPh>
    <rPh sb="5" eb="6">
      <t>エン</t>
    </rPh>
    <phoneticPr fontId="3"/>
  </si>
  <si>
    <t>廃棄</t>
    <rPh sb="0" eb="2">
      <t>ハイキ</t>
    </rPh>
    <phoneticPr fontId="3"/>
  </si>
  <si>
    <t>2015センサス
番号</t>
    <rPh sb="9" eb="11">
      <t>バンゴウ</t>
    </rPh>
    <phoneticPr fontId="3"/>
  </si>
  <si>
    <t>取得年月</t>
    <rPh sb="2" eb="4">
      <t>ネンゲツ</t>
    </rPh>
    <phoneticPr fontId="14"/>
  </si>
  <si>
    <t>灯油</t>
    <rPh sb="0" eb="2">
      <t>トウユ</t>
    </rPh>
    <phoneticPr fontId="14"/>
  </si>
  <si>
    <t>水道料</t>
    <rPh sb="0" eb="3">
      <t>スイドウリョウ</t>
    </rPh>
    <phoneticPr fontId="14"/>
  </si>
  <si>
    <t>支払利子額
（円）</t>
    <rPh sb="0" eb="2">
      <t>シハライ</t>
    </rPh>
    <rPh sb="2" eb="4">
      <t>リシ</t>
    </rPh>
    <rPh sb="4" eb="5">
      <t>ガク</t>
    </rPh>
    <rPh sb="7" eb="8">
      <t>エン</t>
    </rPh>
    <phoneticPr fontId="3"/>
  </si>
  <si>
    <t>自家利用</t>
    <rPh sb="0" eb="2">
      <t>ジカ</t>
    </rPh>
    <rPh sb="2" eb="4">
      <t>リヨウ</t>
    </rPh>
    <phoneticPr fontId="3"/>
  </si>
  <si>
    <t>氏　名</t>
    <rPh sb="0" eb="1">
      <t>シ</t>
    </rPh>
    <rPh sb="2" eb="3">
      <t>メイ</t>
    </rPh>
    <phoneticPr fontId="3"/>
  </si>
  <si>
    <t>性別</t>
    <rPh sb="0" eb="2">
      <t>セイベツ</t>
    </rPh>
    <phoneticPr fontId="3"/>
  </si>
  <si>
    <t>年齢</t>
    <rPh sb="0" eb="2">
      <t>ネンレイ</t>
    </rPh>
    <phoneticPr fontId="3"/>
  </si>
  <si>
    <t>家族
・
雇用</t>
    <rPh sb="0" eb="2">
      <t>カゾク</t>
    </rPh>
    <rPh sb="5" eb="7">
      <t>コヨウ</t>
    </rPh>
    <phoneticPr fontId="3"/>
  </si>
  <si>
    <t>数　　量</t>
    <rPh sb="0" eb="1">
      <t>カズ</t>
    </rPh>
    <rPh sb="3" eb="4">
      <t>リョウ</t>
    </rPh>
    <phoneticPr fontId="3"/>
  </si>
  <si>
    <t>稲 わ ら</t>
    <rPh sb="0" eb="1">
      <t>イナ</t>
    </rPh>
    <phoneticPr fontId="14"/>
  </si>
  <si>
    <t>乾 牧 草</t>
    <rPh sb="0" eb="1">
      <t>イヌイ</t>
    </rPh>
    <rPh sb="2" eb="3">
      <t>マキ</t>
    </rPh>
    <rPh sb="4" eb="5">
      <t>クサ</t>
    </rPh>
    <phoneticPr fontId="14"/>
  </si>
  <si>
    <t>そ の 他</t>
    <rPh sb="4" eb="5">
      <t>タ</t>
    </rPh>
    <phoneticPr fontId="14"/>
  </si>
  <si>
    <t>麦 わ ら</t>
    <rPh sb="0" eb="1">
      <t>ムギ</t>
    </rPh>
    <phoneticPr fontId="14"/>
  </si>
  <si>
    <t>ほ　場　名</t>
    <rPh sb="2" eb="3">
      <t>ジョウ</t>
    </rPh>
    <rPh sb="4" eb="5">
      <t>メイ</t>
    </rPh>
    <phoneticPr fontId="3"/>
  </si>
  <si>
    <t>その他の穀類</t>
    <rPh sb="2" eb="3">
      <t>タ</t>
    </rPh>
    <rPh sb="4" eb="6">
      <t>コクルイ</t>
    </rPh>
    <phoneticPr fontId="14"/>
  </si>
  <si>
    <t>その他の
ぬか・ふすま類</t>
    <rPh sb="2" eb="3">
      <t>タ</t>
    </rPh>
    <rPh sb="11" eb="12">
      <t>ルイ</t>
    </rPh>
    <phoneticPr fontId="14"/>
  </si>
  <si>
    <t>上記以外の購入飼料</t>
    <rPh sb="0" eb="2">
      <t>ジョウキ</t>
    </rPh>
    <rPh sb="2" eb="4">
      <t>イガイ</t>
    </rPh>
    <rPh sb="5" eb="7">
      <t>コウニュウ</t>
    </rPh>
    <rPh sb="7" eb="9">
      <t>シリョウ</t>
    </rPh>
    <phoneticPr fontId="14"/>
  </si>
  <si>
    <t>飼料用米</t>
    <rPh sb="0" eb="3">
      <t>シリョウヨウ</t>
    </rPh>
    <rPh sb="3" eb="4">
      <t>マイ</t>
    </rPh>
    <phoneticPr fontId="3"/>
  </si>
  <si>
    <t>おがくず</t>
  </si>
  <si>
    <t>　</t>
    <phoneticPr fontId="3"/>
  </si>
  <si>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3"/>
  </si>
  <si>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3"/>
  </si>
  <si>
    <t>建　　物</t>
    <rPh sb="0" eb="1">
      <t>ケン</t>
    </rPh>
    <rPh sb="3" eb="4">
      <t>ブツ</t>
    </rPh>
    <phoneticPr fontId="3"/>
  </si>
  <si>
    <t>固　定
資産税</t>
    <rPh sb="0" eb="1">
      <t>カタム</t>
    </rPh>
    <rPh sb="2" eb="3">
      <t>サダム</t>
    </rPh>
    <rPh sb="4" eb="7">
      <t>シサンゼイ</t>
    </rPh>
    <phoneticPr fontId="3"/>
  </si>
  <si>
    <t>地域集落等の会費</t>
    <rPh sb="0" eb="2">
      <t>チイキ</t>
    </rPh>
    <rPh sb="2" eb="4">
      <t>シュウラク</t>
    </rPh>
    <rPh sb="4" eb="5">
      <t>トウ</t>
    </rPh>
    <rPh sb="6" eb="8">
      <t>カイヒ</t>
    </rPh>
    <phoneticPr fontId="3"/>
  </si>
  <si>
    <t>農業協同組合の組合費、賦課金</t>
    <rPh sb="0" eb="2">
      <t>ノウギョウ</t>
    </rPh>
    <rPh sb="2" eb="4">
      <t>キョウドウ</t>
    </rPh>
    <rPh sb="4" eb="6">
      <t>クミアイ</t>
    </rPh>
    <rPh sb="7" eb="10">
      <t>クミアイヒ</t>
    </rPh>
    <rPh sb="11" eb="14">
      <t>フカキン</t>
    </rPh>
    <phoneticPr fontId="3"/>
  </si>
  <si>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3"/>
  </si>
  <si>
    <t>賃借料及び料金の例示</t>
    <rPh sb="0" eb="3">
      <t>チンシャクリョウ</t>
    </rPh>
    <rPh sb="3" eb="4">
      <t>オヨ</t>
    </rPh>
    <rPh sb="5" eb="7">
      <t>リョウキン</t>
    </rPh>
    <rPh sb="8" eb="10">
      <t>レイジ</t>
    </rPh>
    <phoneticPr fontId="3"/>
  </si>
  <si>
    <t>農 機 具</t>
    <rPh sb="0" eb="1">
      <t>ノウ</t>
    </rPh>
    <rPh sb="2" eb="3">
      <t>キ</t>
    </rPh>
    <rPh sb="4" eb="5">
      <t>グ</t>
    </rPh>
    <phoneticPr fontId="3"/>
  </si>
  <si>
    <t>公課諸負担の例示</t>
    <rPh sb="0" eb="2">
      <t>コウカ</t>
    </rPh>
    <rPh sb="2" eb="3">
      <t>ショ</t>
    </rPh>
    <rPh sb="3" eb="5">
      <t>フタン</t>
    </rPh>
    <rPh sb="6" eb="8">
      <t>レイジ</t>
    </rPh>
    <phoneticPr fontId="3"/>
  </si>
  <si>
    <t>通信欄（農業に関することを何でもお書きください。）</t>
    <rPh sb="0" eb="3">
      <t>ツウシンラン</t>
    </rPh>
    <rPh sb="4" eb="6">
      <t>ノウギョウ</t>
    </rPh>
    <rPh sb="7" eb="8">
      <t>カン</t>
    </rPh>
    <rPh sb="13" eb="14">
      <t>ナン</t>
    </rPh>
    <rPh sb="17" eb="18">
      <t>カ</t>
    </rPh>
    <phoneticPr fontId="3"/>
  </si>
  <si>
    <t>用語の説明</t>
    <rPh sb="0" eb="2">
      <t>ヨウゴ</t>
    </rPh>
    <rPh sb="3" eb="5">
      <t>セツメイ</t>
    </rPh>
    <phoneticPr fontId="3"/>
  </si>
  <si>
    <t>獣医師料及び医薬品費の例示</t>
    <rPh sb="0" eb="3">
      <t>ジュウイシ</t>
    </rPh>
    <rPh sb="3" eb="4">
      <t>リョウ</t>
    </rPh>
    <rPh sb="4" eb="5">
      <t>オヨ</t>
    </rPh>
    <rPh sb="6" eb="9">
      <t>イヤクヒン</t>
    </rPh>
    <rPh sb="9" eb="10">
      <t>ヒ</t>
    </rPh>
    <rPh sb="11" eb="13">
      <t>レイジ</t>
    </rPh>
    <phoneticPr fontId="3"/>
  </si>
  <si>
    <t>種類コード</t>
    <rPh sb="0" eb="2">
      <t>シュルイ</t>
    </rPh>
    <phoneticPr fontId="3"/>
  </si>
  <si>
    <t>金　額（円）</t>
    <rPh sb="0" eb="1">
      <t>キン</t>
    </rPh>
    <rPh sb="2" eb="3">
      <t>ガク</t>
    </rPh>
    <rPh sb="4" eb="5">
      <t>エン</t>
    </rPh>
    <phoneticPr fontId="3"/>
  </si>
  <si>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3"/>
  </si>
  <si>
    <t>【４】物件税及び公課諸負担</t>
    <rPh sb="3" eb="5">
      <t>ブッケン</t>
    </rPh>
    <rPh sb="5" eb="6">
      <t>ゼイ</t>
    </rPh>
    <rPh sb="6" eb="7">
      <t>オヨ</t>
    </rPh>
    <rPh sb="8" eb="10">
      <t>コウカ</t>
    </rPh>
    <rPh sb="10" eb="11">
      <t>ショ</t>
    </rPh>
    <rPh sb="11" eb="13">
      <t>フタン</t>
    </rPh>
    <phoneticPr fontId="3"/>
  </si>
  <si>
    <t>世帯員</t>
    <rPh sb="0" eb="3">
      <t>セタイイン</t>
    </rPh>
    <phoneticPr fontId="3"/>
  </si>
  <si>
    <t>金　額（円）</t>
    <rPh sb="0" eb="1">
      <t>キン</t>
    </rPh>
    <rPh sb="2" eb="3">
      <t>ガク</t>
    </rPh>
    <phoneticPr fontId="3"/>
  </si>
  <si>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3"/>
  </si>
  <si>
    <t>調査対象畜負担割合 ＝</t>
    <rPh sb="0" eb="5">
      <t>チョウサタイショウチク</t>
    </rPh>
    <rPh sb="5" eb="7">
      <t>フタン</t>
    </rPh>
    <rPh sb="7" eb="9">
      <t>ワリアイ</t>
    </rPh>
    <phoneticPr fontId="3"/>
  </si>
  <si>
    <t>倉庫の全面積</t>
    <rPh sb="0" eb="2">
      <t>ソウコ</t>
    </rPh>
    <rPh sb="3" eb="4">
      <t>ゼン</t>
    </rPh>
    <rPh sb="4" eb="6">
      <t>メンセキ</t>
    </rPh>
    <phoneticPr fontId="3"/>
  </si>
  <si>
    <t>金額（円）</t>
    <rPh sb="0" eb="1">
      <t>キン</t>
    </rPh>
    <rPh sb="1" eb="2">
      <t>ガク</t>
    </rPh>
    <rPh sb="3" eb="4">
      <t>エン</t>
    </rPh>
    <phoneticPr fontId="3"/>
  </si>
  <si>
    <t>金額（円）</t>
    <rPh sb="0" eb="1">
      <t>キン</t>
    </rPh>
    <rPh sb="1" eb="2">
      <t>ガク</t>
    </rPh>
    <phoneticPr fontId="3"/>
  </si>
  <si>
    <t>（１）配合飼料の場合</t>
    <rPh sb="3" eb="5">
      <t>ハイゴウ</t>
    </rPh>
    <rPh sb="5" eb="7">
      <t>シリョウ</t>
    </rPh>
    <rPh sb="8" eb="10">
      <t>バアイ</t>
    </rPh>
    <phoneticPr fontId="3"/>
  </si>
  <si>
    <t>×100</t>
    <phoneticPr fontId="3"/>
  </si>
  <si>
    <t>経営全体の家畜の飼養頭数</t>
    <rPh sb="0" eb="2">
      <t>ケイエイ</t>
    </rPh>
    <rPh sb="2" eb="4">
      <t>ゼンタイ</t>
    </rPh>
    <rPh sb="5" eb="7">
      <t>カチク</t>
    </rPh>
    <rPh sb="8" eb="10">
      <t>シヨウ</t>
    </rPh>
    <rPh sb="10" eb="12">
      <t>トウスウ</t>
    </rPh>
    <phoneticPr fontId="3"/>
  </si>
  <si>
    <t>（３）農機具（トラクター）の場合</t>
    <rPh sb="3" eb="6">
      <t>ノウキグ</t>
    </rPh>
    <rPh sb="14" eb="16">
      <t>バアイ</t>
    </rPh>
    <phoneticPr fontId="3"/>
  </si>
  <si>
    <t>トラクターの全使用日数</t>
    <rPh sb="6" eb="7">
      <t>ゼン</t>
    </rPh>
    <rPh sb="7" eb="9">
      <t>シヨウ</t>
    </rPh>
    <rPh sb="9" eb="11">
      <t>ニッスウ</t>
    </rPh>
    <phoneticPr fontId="3"/>
  </si>
  <si>
    <t>調査対象畜負担割合 ＝</t>
    <rPh sb="0" eb="2">
      <t>チョウサ</t>
    </rPh>
    <rPh sb="2" eb="4">
      <t>タイショウ</t>
    </rPh>
    <rPh sb="4" eb="5">
      <t>チク</t>
    </rPh>
    <rPh sb="5" eb="7">
      <t>フタン</t>
    </rPh>
    <rPh sb="7" eb="9">
      <t>ワリアイ</t>
    </rPh>
    <phoneticPr fontId="3"/>
  </si>
  <si>
    <t>調査対象畜に使用した倉庫の面積</t>
    <rPh sb="0" eb="5">
      <t>チョウサタイショウチク</t>
    </rPh>
    <rPh sb="6" eb="8">
      <t>シヨウ</t>
    </rPh>
    <rPh sb="10" eb="12">
      <t>ソウコ</t>
    </rPh>
    <rPh sb="13" eb="15">
      <t>メンセキ</t>
    </rPh>
    <phoneticPr fontId="3"/>
  </si>
  <si>
    <t>調査対象畜に使用した日数</t>
    <rPh sb="0" eb="2">
      <t>チョウサ</t>
    </rPh>
    <rPh sb="2" eb="4">
      <t>タイショウ</t>
    </rPh>
    <rPh sb="4" eb="5">
      <t>チク</t>
    </rPh>
    <rPh sb="6" eb="8">
      <t>シヨウ</t>
    </rPh>
    <rPh sb="10" eb="12">
      <t>ニッスウ</t>
    </rPh>
    <phoneticPr fontId="3"/>
  </si>
  <si>
    <t>家畜共済組合賦課金</t>
    <rPh sb="0" eb="2">
      <t>カチク</t>
    </rPh>
    <rPh sb="2" eb="4">
      <t>キョウサイ</t>
    </rPh>
    <rPh sb="4" eb="6">
      <t>クミアイ</t>
    </rPh>
    <rPh sb="6" eb="9">
      <t>フカキン</t>
    </rPh>
    <phoneticPr fontId="3"/>
  </si>
  <si>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20">
      <t>キュウヨリョウ</t>
    </rPh>
    <rPh sb="21" eb="23">
      <t>キンガク</t>
    </rPh>
    <rPh sb="30" eb="32">
      <t>バアイ</t>
    </rPh>
    <phoneticPr fontId="3"/>
  </si>
  <si>
    <t>【５】消費税</t>
    <rPh sb="3" eb="6">
      <t>ショウヒゼイ</t>
    </rPh>
    <phoneticPr fontId="3"/>
  </si>
  <si>
    <t>調査対象畜</t>
    <rPh sb="0" eb="2">
      <t>チョウサ</t>
    </rPh>
    <rPh sb="2" eb="4">
      <t>タイショウ</t>
    </rPh>
    <rPh sb="4" eb="5">
      <t>チク</t>
    </rPh>
    <phoneticPr fontId="3"/>
  </si>
  <si>
    <t>運動場</t>
    <rPh sb="0" eb="3">
      <t>ウンドウジョウ</t>
    </rPh>
    <phoneticPr fontId="3"/>
  </si>
  <si>
    <t>物々交換した場合</t>
    <rPh sb="0" eb="4">
      <t>ブツブツコウカン</t>
    </rPh>
    <rPh sb="6" eb="8">
      <t>バアイ</t>
    </rPh>
    <phoneticPr fontId="3"/>
  </si>
  <si>
    <t>　２　世帯員数と農業就業者数等</t>
    <rPh sb="3" eb="6">
      <t>セタイイン</t>
    </rPh>
    <rPh sb="6" eb="7">
      <t>カズ</t>
    </rPh>
    <rPh sb="8" eb="10">
      <t>ノウギョウ</t>
    </rPh>
    <rPh sb="10" eb="13">
      <t>シュウギョウシャ</t>
    </rPh>
    <rPh sb="13" eb="14">
      <t>スウ</t>
    </rPh>
    <rPh sb="14" eb="15">
      <t>ナド</t>
    </rPh>
    <phoneticPr fontId="3"/>
  </si>
  <si>
    <t>　１　購入飼料</t>
    <rPh sb="3" eb="5">
      <t>コウニュウ</t>
    </rPh>
    <rPh sb="5" eb="7">
      <t>シリョウ</t>
    </rPh>
    <phoneticPr fontId="3"/>
  </si>
  <si>
    <t>　２　自給飼料</t>
    <rPh sb="3" eb="5">
      <t>ジキュウ</t>
    </rPh>
    <rPh sb="5" eb="7">
      <t>シリョウ</t>
    </rPh>
    <phoneticPr fontId="3"/>
  </si>
  <si>
    <t>　３　種付料</t>
    <rPh sb="3" eb="5">
      <t>タネツケ</t>
    </rPh>
    <rPh sb="5" eb="6">
      <t>リョウ</t>
    </rPh>
    <phoneticPr fontId="3"/>
  </si>
  <si>
    <t>　４　敷料費</t>
    <rPh sb="3" eb="5">
      <t>シキリョウ</t>
    </rPh>
    <rPh sb="5" eb="6">
      <t>ヒ</t>
    </rPh>
    <phoneticPr fontId="3"/>
  </si>
  <si>
    <t>(1) 購入</t>
    <rPh sb="4" eb="6">
      <t>コウニュウ</t>
    </rPh>
    <phoneticPr fontId="3"/>
  </si>
  <si>
    <t>(2) 自給</t>
    <rPh sb="4" eb="6">
      <t>ジキュウ</t>
    </rPh>
    <phoneticPr fontId="3"/>
  </si>
  <si>
    <t>　６　獣医師料及び医薬品費</t>
    <rPh sb="3" eb="6">
      <t>ジュウイシ</t>
    </rPh>
    <rPh sb="6" eb="7">
      <t>リョウ</t>
    </rPh>
    <rPh sb="7" eb="8">
      <t>オヨ</t>
    </rPh>
    <rPh sb="9" eb="12">
      <t>イヤクヒン</t>
    </rPh>
    <rPh sb="12" eb="13">
      <t>ヒ</t>
    </rPh>
    <phoneticPr fontId="3"/>
  </si>
  <si>
    <t>　１　物件税</t>
    <rPh sb="3" eb="5">
      <t>ブッケン</t>
    </rPh>
    <rPh sb="5" eb="6">
      <t>ゼイ</t>
    </rPh>
    <phoneticPr fontId="3"/>
  </si>
  <si>
    <t>　２　公課諸負担</t>
    <rPh sb="3" eb="8">
      <t>コウカショフタン</t>
    </rPh>
    <phoneticPr fontId="3"/>
  </si>
  <si>
    <t>名　　称　　等</t>
    <rPh sb="0" eb="1">
      <t>メイ</t>
    </rPh>
    <rPh sb="3" eb="4">
      <t>ショウ</t>
    </rPh>
    <rPh sb="6" eb="7">
      <t>トウ</t>
    </rPh>
    <phoneticPr fontId="3"/>
  </si>
  <si>
    <t>種類コード</t>
    <phoneticPr fontId="14"/>
  </si>
  <si>
    <t>構造コード</t>
    <phoneticPr fontId="14"/>
  </si>
  <si>
    <t>耐用年数(年)</t>
    <rPh sb="0" eb="2">
      <t>タイヨウ</t>
    </rPh>
    <rPh sb="2" eb="4">
      <t>ネンスウ</t>
    </rPh>
    <rPh sb="5" eb="6">
      <t>ネン</t>
    </rPh>
    <phoneticPr fontId="14"/>
  </si>
  <si>
    <t>取得価額</t>
    <rPh sb="0" eb="2">
      <t>シュトク</t>
    </rPh>
    <rPh sb="2" eb="4">
      <t>カガク</t>
    </rPh>
    <phoneticPr fontId="3"/>
  </si>
  <si>
    <t>農業経営基盤
強化準備金</t>
    <rPh sb="0" eb="2">
      <t>ノウギョウ</t>
    </rPh>
    <rPh sb="2" eb="4">
      <t>ケイエイ</t>
    </rPh>
    <rPh sb="4" eb="6">
      <t>キバン</t>
    </rPh>
    <rPh sb="7" eb="9">
      <t>キョウカ</t>
    </rPh>
    <rPh sb="9" eb="12">
      <t>ジュンビキン</t>
    </rPh>
    <phoneticPr fontId="3"/>
  </si>
  <si>
    <t>修繕費</t>
    <rPh sb="0" eb="2">
      <t>シュウゼン</t>
    </rPh>
    <rPh sb="2" eb="3">
      <t>ヒ</t>
    </rPh>
    <phoneticPr fontId="3"/>
  </si>
  <si>
    <t>保険料</t>
    <rPh sb="0" eb="3">
      <t>ホケンリョウ</t>
    </rPh>
    <phoneticPr fontId="3"/>
  </si>
  <si>
    <t>年内異動状況</t>
    <rPh sb="0" eb="2">
      <t>ネンナイ</t>
    </rPh>
    <rPh sb="2" eb="4">
      <t>イドウ</t>
    </rPh>
    <rPh sb="4" eb="6">
      <t>ジョウキョウ</t>
    </rPh>
    <phoneticPr fontId="3"/>
  </si>
  <si>
    <t>（円）</t>
    <rPh sb="1" eb="2">
      <t>エン</t>
    </rPh>
    <phoneticPr fontId="3"/>
  </si>
  <si>
    <t>異動コード</t>
    <rPh sb="0" eb="2">
      <t>イドウ</t>
    </rPh>
    <phoneticPr fontId="3"/>
  </si>
  <si>
    <t xml:space="preserve">異動に伴う発生金額（円）
</t>
    <rPh sb="0" eb="2">
      <t>イドウ</t>
    </rPh>
    <rPh sb="3" eb="4">
      <t>トモナ</t>
    </rPh>
    <rPh sb="5" eb="7">
      <t>ハッセイ</t>
    </rPh>
    <rPh sb="7" eb="8">
      <t>キン</t>
    </rPh>
    <rPh sb="8" eb="9">
      <t>ガク</t>
    </rPh>
    <rPh sb="10" eb="11">
      <t>エン</t>
    </rPh>
    <phoneticPr fontId="14"/>
  </si>
  <si>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</si>
  <si>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　（２）自動車（自動二輪・三輪を含む。）</t>
    <rPh sb="4" eb="7">
      <t>ジドウシャ</t>
    </rPh>
    <rPh sb="8" eb="10">
      <t>ジドウ</t>
    </rPh>
    <rPh sb="10" eb="12">
      <t>ニリン</t>
    </rPh>
    <rPh sb="13" eb="15">
      <t>サンリン</t>
    </rPh>
    <rPh sb="16" eb="17">
      <t>フク</t>
    </rPh>
    <phoneticPr fontId="3"/>
  </si>
  <si>
    <t>名　称　等</t>
    <rPh sb="0" eb="1">
      <t>メイ</t>
    </rPh>
    <rPh sb="2" eb="3">
      <t>ショウ</t>
    </rPh>
    <rPh sb="4" eb="5">
      <t>トウ</t>
    </rPh>
    <phoneticPr fontId="3"/>
  </si>
  <si>
    <t>型式コード</t>
    <rPh sb="0" eb="2">
      <t>カタシキ</t>
    </rPh>
    <phoneticPr fontId="3"/>
  </si>
  <si>
    <t>自動車保険料</t>
    <rPh sb="0" eb="3">
      <t>ジドウシャ</t>
    </rPh>
    <rPh sb="3" eb="6">
      <t>ホケンリョウ</t>
    </rPh>
    <phoneticPr fontId="3"/>
  </si>
  <si>
    <t>自動車・
軽自動車税</t>
    <rPh sb="0" eb="3">
      <t>ジドウシャ</t>
    </rPh>
    <rPh sb="5" eb="9">
      <t>ケイジドウシャ</t>
    </rPh>
    <rPh sb="9" eb="10">
      <t>ゼイ</t>
    </rPh>
    <phoneticPr fontId="3"/>
  </si>
  <si>
    <t>売　却　金　額
（円）</t>
    <rPh sb="0" eb="1">
      <t>バイ</t>
    </rPh>
    <rPh sb="2" eb="3">
      <t>キャク</t>
    </rPh>
    <rPh sb="4" eb="5">
      <t>キン</t>
    </rPh>
    <rPh sb="6" eb="7">
      <t>ガク</t>
    </rPh>
    <rPh sb="9" eb="10">
      <t>エン</t>
    </rPh>
    <phoneticPr fontId="3"/>
  </si>
  <si>
    <t>自動車重量税</t>
    <rPh sb="0" eb="3">
      <t>ジドウシャ</t>
    </rPh>
    <rPh sb="3" eb="5">
      <t>ジュウリョウ</t>
    </rPh>
    <rPh sb="5" eb="6">
      <t>ゼイ</t>
    </rPh>
    <phoneticPr fontId="3"/>
  </si>
  <si>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3"/>
  </si>
  <si>
    <t>種類コード</t>
    <rPh sb="0" eb="2">
      <t>シュルイ</t>
    </rPh>
    <phoneticPr fontId="14"/>
  </si>
  <si>
    <t>型式コード</t>
    <rPh sb="0" eb="2">
      <t>カタシキ</t>
    </rPh>
    <phoneticPr fontId="14"/>
  </si>
  <si>
    <t>軽自動車税</t>
    <rPh sb="0" eb="4">
      <t>ケイジドウシャ</t>
    </rPh>
    <rPh sb="4" eb="5">
      <t>ゼイ</t>
    </rPh>
    <phoneticPr fontId="3"/>
  </si>
  <si>
    <t>内容例示</t>
    <rPh sb="0" eb="2">
      <t>ナイヨウ</t>
    </rPh>
    <rPh sb="2" eb="4">
      <t>レイジ</t>
    </rPh>
    <phoneticPr fontId="3"/>
  </si>
  <si>
    <t>（計）</t>
    <rPh sb="1" eb="2">
      <t>ケイ</t>
    </rPh>
    <phoneticPr fontId="3"/>
  </si>
  <si>
    <t>生産管理関係の費用</t>
    <rPh sb="0" eb="2">
      <t>セイサン</t>
    </rPh>
    <rPh sb="2" eb="4">
      <t>カンリ</t>
    </rPh>
    <rPh sb="4" eb="6">
      <t>カンケイ</t>
    </rPh>
    <rPh sb="7" eb="9">
      <t>ヒヨウ</t>
    </rPh>
    <phoneticPr fontId="3"/>
  </si>
  <si>
    <t>【12】作業別労働時間</t>
    <rPh sb="4" eb="7">
      <t>サギョウベツ</t>
    </rPh>
    <rPh sb="7" eb="9">
      <t>ロウドウ</t>
    </rPh>
    <rPh sb="9" eb="11">
      <t>ジカン</t>
    </rPh>
    <phoneticPr fontId="3"/>
  </si>
  <si>
    <t>【13】地代（所有地及び借入地）</t>
    <rPh sb="4" eb="6">
      <t>チダイ</t>
    </rPh>
    <phoneticPr fontId="3"/>
  </si>
  <si>
    <t>　７　賃借料及び料金</t>
    <rPh sb="3" eb="6">
      <t>チンシャクリョウ</t>
    </rPh>
    <rPh sb="6" eb="7">
      <t>オヨ</t>
    </rPh>
    <rPh sb="8" eb="10">
      <t>リョウキン</t>
    </rPh>
    <phoneticPr fontId="3"/>
  </si>
  <si>
    <t>　１年間に調査対象畜に給与した購入飼料について、</t>
    <rPh sb="17" eb="19">
      <t>シリョウ</t>
    </rPh>
    <phoneticPr fontId="3"/>
  </si>
  <si>
    <t>ふすま</t>
    <phoneticPr fontId="14"/>
  </si>
  <si>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3"/>
  </si>
  <si>
    <t>農機具のリース代</t>
    <rPh sb="0" eb="3">
      <t>ノウキグ</t>
    </rPh>
    <rPh sb="7" eb="8">
      <t>ダイ</t>
    </rPh>
    <phoneticPr fontId="3"/>
  </si>
  <si>
    <t>耕地以外で過去１年間に調査対象畜用の野草を採草した土地</t>
    <phoneticPr fontId="3"/>
  </si>
  <si>
    <t>ほ場の例示</t>
    <rPh sb="1" eb="2">
      <t>ジョウ</t>
    </rPh>
    <rPh sb="3" eb="5">
      <t>レイジ</t>
    </rPh>
    <phoneticPr fontId="3"/>
  </si>
  <si>
    <t>区　分</t>
    <rPh sb="0" eb="1">
      <t>ク</t>
    </rPh>
    <rPh sb="2" eb="3">
      <t>ブン</t>
    </rPh>
    <phoneticPr fontId="3"/>
  </si>
  <si>
    <t>区　　分</t>
    <rPh sb="0" eb="1">
      <t>ク</t>
    </rPh>
    <rPh sb="3" eb="4">
      <t>ブン</t>
    </rPh>
    <phoneticPr fontId="3"/>
  </si>
  <si>
    <t>区　　　分</t>
    <rPh sb="0" eb="1">
      <t>ク</t>
    </rPh>
    <rPh sb="4" eb="5">
      <t>ブン</t>
    </rPh>
    <phoneticPr fontId="3"/>
  </si>
  <si>
    <t>区　　　　分</t>
    <rPh sb="0" eb="1">
      <t>ク</t>
    </rPh>
    <rPh sb="5" eb="6">
      <t>ブン</t>
    </rPh>
    <phoneticPr fontId="3"/>
  </si>
  <si>
    <t>男</t>
    <rPh sb="0" eb="1">
      <t>オトコ</t>
    </rPh>
    <phoneticPr fontId="3"/>
  </si>
  <si>
    <t>女</t>
    <rPh sb="0" eb="1">
      <t>オンナ</t>
    </rPh>
    <phoneticPr fontId="3"/>
  </si>
  <si>
    <t>構造コード</t>
    <rPh sb="0" eb="2">
      <t>コウゾウ</t>
    </rPh>
    <phoneticPr fontId="3"/>
  </si>
  <si>
    <t xml:space="preserve"> </t>
    <phoneticPr fontId="3"/>
  </si>
  <si>
    <t>調査にご協力いただき、ありがとうございます。</t>
    <rPh sb="0" eb="2">
      <t>チョウサ</t>
    </rPh>
    <rPh sb="4" eb="6">
      <t>キョウリョク</t>
    </rPh>
    <phoneticPr fontId="3"/>
  </si>
  <si>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3"/>
  </si>
  <si>
    <t>都市計画税
（土地以外）</t>
    <rPh sb="0" eb="2">
      <t>トシ</t>
    </rPh>
    <rPh sb="2" eb="4">
      <t>ケイカク</t>
    </rPh>
    <rPh sb="4" eb="5">
      <t>ゼイ</t>
    </rPh>
    <rPh sb="7" eb="9">
      <t>トチ</t>
    </rPh>
    <rPh sb="9" eb="11">
      <t>イガイ</t>
    </rPh>
    <phoneticPr fontId="3"/>
  </si>
  <si>
    <t>不動産取得税
（土地以外）</t>
    <rPh sb="0" eb="3">
      <t>フドウサン</t>
    </rPh>
    <rPh sb="3" eb="6">
      <t>シュトクゼイ</t>
    </rPh>
    <rPh sb="8" eb="10">
      <t>トチ</t>
    </rPh>
    <rPh sb="10" eb="12">
      <t>イガイ</t>
    </rPh>
    <phoneticPr fontId="3"/>
  </si>
  <si>
    <t>区 分</t>
    <rPh sb="0" eb="1">
      <t>ク</t>
    </rPh>
    <rPh sb="2" eb="3">
      <t>ブン</t>
    </rPh>
    <phoneticPr fontId="3"/>
  </si>
  <si>
    <t>資材名等</t>
    <rPh sb="0" eb="3">
      <t>シザイメイ</t>
    </rPh>
    <rPh sb="3" eb="4">
      <t>トウ</t>
    </rPh>
    <phoneticPr fontId="3"/>
  </si>
  <si>
    <t>数量</t>
    <rPh sb="0" eb="1">
      <t>カズ</t>
    </rPh>
    <rPh sb="1" eb="2">
      <t>リョウ</t>
    </rPh>
    <phoneticPr fontId="3"/>
  </si>
  <si>
    <t>金　額 （円）</t>
    <rPh sb="0" eb="1">
      <t>キン</t>
    </rPh>
    <rPh sb="2" eb="3">
      <t>ガク</t>
    </rPh>
    <rPh sb="5" eb="6">
      <t>エン</t>
    </rPh>
    <phoneticPr fontId="3"/>
  </si>
  <si>
    <t>自給</t>
    <rPh sb="0" eb="2">
      <t>ジキュウ</t>
    </rPh>
    <phoneticPr fontId="3"/>
  </si>
  <si>
    <t>　１　所有地</t>
    <rPh sb="3" eb="6">
      <t>ショユウチ</t>
    </rPh>
    <phoneticPr fontId="3"/>
  </si>
  <si>
    <t>　２　借入地</t>
    <rPh sb="3" eb="6">
      <t>カリイレチ</t>
    </rPh>
    <phoneticPr fontId="3"/>
  </si>
  <si>
    <t>消　費　税　（納付額）</t>
    <rPh sb="0" eb="1">
      <t>ケ</t>
    </rPh>
    <rPh sb="2" eb="3">
      <t>ヒ</t>
    </rPh>
    <rPh sb="4" eb="5">
      <t>ゼイ</t>
    </rPh>
    <rPh sb="7" eb="10">
      <t>ノウフガク</t>
    </rPh>
    <phoneticPr fontId="3"/>
  </si>
  <si>
    <t xml:space="preserve">
年
（西暦）</t>
    <rPh sb="1" eb="2">
      <t>ネン</t>
    </rPh>
    <rPh sb="4" eb="6">
      <t>セイレキ</t>
    </rPh>
    <phoneticPr fontId="3"/>
  </si>
  <si>
    <t>農業経営統計調査</t>
    <rPh sb="0" eb="1">
      <t>ノウ</t>
    </rPh>
    <rPh sb="1" eb="2">
      <t>ギョウ</t>
    </rPh>
    <rPh sb="2" eb="3">
      <t>キョウ</t>
    </rPh>
    <rPh sb="3" eb="4">
      <t>エイ</t>
    </rPh>
    <rPh sb="4" eb="5">
      <t>オサム</t>
    </rPh>
    <rPh sb="5" eb="6">
      <t>ケイ</t>
    </rPh>
    <rPh sb="6" eb="7">
      <t>チョウ</t>
    </rPh>
    <rPh sb="7" eb="8">
      <t>サ</t>
    </rPh>
    <phoneticPr fontId="3"/>
  </si>
  <si>
    <t>名 　称 　等</t>
    <rPh sb="0" eb="1">
      <t>メイ</t>
    </rPh>
    <rPh sb="3" eb="4">
      <t>ショウ</t>
    </rPh>
    <rPh sb="6" eb="7">
      <t>トウ</t>
    </rPh>
    <phoneticPr fontId="3"/>
  </si>
  <si>
    <t>借　入　金　種　類</t>
    <rPh sb="0" eb="1">
      <t>シャク</t>
    </rPh>
    <rPh sb="2" eb="3">
      <t>イリ</t>
    </rPh>
    <rPh sb="4" eb="5">
      <t>キン</t>
    </rPh>
    <rPh sb="6" eb="7">
      <t>シュ</t>
    </rPh>
    <rPh sb="8" eb="9">
      <t>タグイ</t>
    </rPh>
    <phoneticPr fontId="3"/>
  </si>
  <si>
    <t>買　掛　未　払　金</t>
    <rPh sb="0" eb="1">
      <t>バイ</t>
    </rPh>
    <rPh sb="2" eb="3">
      <t>カカリ</t>
    </rPh>
    <rPh sb="4" eb="5">
      <t>ミ</t>
    </rPh>
    <rPh sb="6" eb="7">
      <t>バライ</t>
    </rPh>
    <rPh sb="8" eb="9">
      <t>キン</t>
    </rPh>
    <phoneticPr fontId="3"/>
  </si>
  <si>
    <t>　３　支払賃金</t>
    <rPh sb="3" eb="5">
      <t>シハラ</t>
    </rPh>
    <rPh sb="5" eb="7">
      <t>チンギン</t>
    </rPh>
    <phoneticPr fontId="3"/>
  </si>
  <si>
    <t>牧草栽培</t>
    <rPh sb="0" eb="2">
      <t>ボクソウ</t>
    </rPh>
    <rPh sb="2" eb="4">
      <t>サイバイ</t>
    </rPh>
    <phoneticPr fontId="3"/>
  </si>
  <si>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3"/>
  </si>
  <si>
    <t xml:space="preserve"> してください。</t>
    <phoneticPr fontId="3"/>
  </si>
  <si>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1"/>
  </si>
  <si>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1"/>
  </si>
  <si>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3"/>
  </si>
  <si>
    <t>調査開始時
未償還残高（円）</t>
    <rPh sb="0" eb="2">
      <t>チョウサ</t>
    </rPh>
    <rPh sb="2" eb="5">
      <t>カイシジ</t>
    </rPh>
    <rPh sb="6" eb="9">
      <t>ミショウカン</t>
    </rPh>
    <rPh sb="9" eb="11">
      <t>ザンダカ</t>
    </rPh>
    <rPh sb="12" eb="13">
      <t>エン</t>
    </rPh>
    <phoneticPr fontId="3"/>
  </si>
  <si>
    <t>　３　認定農業者の状況</t>
    <rPh sb="3" eb="5">
      <t>ニンテイ</t>
    </rPh>
    <rPh sb="5" eb="8">
      <t>ノウギョウシャ</t>
    </rPh>
    <rPh sb="9" eb="11">
      <t>ジョウキョウ</t>
    </rPh>
    <phoneticPr fontId="3"/>
  </si>
  <si>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</si>
  <si>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夫婦とその血縁関係者を中心に構成され、共同生活の単位となる集団（15歳未満を除く。）</t>
    <rPh sb="34" eb="35">
      <t>サイ</t>
    </rPh>
    <rPh sb="35" eb="37">
      <t>ミマン</t>
    </rPh>
    <rPh sb="38" eb="39">
      <t>ノゾ</t>
    </rPh>
    <phoneticPr fontId="3"/>
  </si>
  <si>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3"/>
  </si>
  <si>
    <t>男（人）</t>
    <rPh sb="0" eb="1">
      <t>オトコ</t>
    </rPh>
    <rPh sb="2" eb="3">
      <t>ニン</t>
    </rPh>
    <phoneticPr fontId="3"/>
  </si>
  <si>
    <t>女（人）</t>
    <rPh sb="0" eb="1">
      <t>オンナ</t>
    </rPh>
    <phoneticPr fontId="3"/>
  </si>
  <si>
    <t>販売用</t>
    <rPh sb="0" eb="1">
      <t>ハン</t>
    </rPh>
    <rPh sb="1" eb="2">
      <t>バイ</t>
    </rPh>
    <rPh sb="2" eb="3">
      <t>ヨウ</t>
    </rPh>
    <phoneticPr fontId="3"/>
  </si>
  <si>
    <t>耐用年数（年）</t>
    <rPh sb="0" eb="2">
      <t>タイヨウ</t>
    </rPh>
    <rPh sb="2" eb="4">
      <t>ネンスウ</t>
    </rPh>
    <rPh sb="5" eb="6">
      <t>ネン</t>
    </rPh>
    <phoneticPr fontId="14"/>
  </si>
  <si>
    <t>総搬出量
の割合
（％）</t>
    <rPh sb="0" eb="1">
      <t>ソウ</t>
    </rPh>
    <rPh sb="1" eb="2">
      <t>ハン</t>
    </rPh>
    <rPh sb="2" eb="3">
      <t>デ</t>
    </rPh>
    <rPh sb="3" eb="4">
      <t>リョウ</t>
    </rPh>
    <rPh sb="6" eb="8">
      <t>ワリアイ</t>
    </rPh>
    <phoneticPr fontId="3"/>
  </si>
  <si>
    <t>農具・農業被服等の購入費</t>
    <rPh sb="0" eb="2">
      <t>ノウグ</t>
    </rPh>
    <rPh sb="3" eb="5">
      <t>ノウギョウ</t>
    </rPh>
    <rPh sb="5" eb="7">
      <t>ヒフク</t>
    </rPh>
    <rPh sb="7" eb="8">
      <t>トウ</t>
    </rPh>
    <rPh sb="9" eb="12">
      <t>コウニュウヒ</t>
    </rPh>
    <phoneticPr fontId="3"/>
  </si>
  <si>
    <t>延べ面積
（㎡）
又は
施設数
（基）</t>
    <rPh sb="0" eb="1">
      <t>ノ</t>
    </rPh>
    <rPh sb="2" eb="4">
      <t>メンセキ</t>
    </rPh>
    <rPh sb="9" eb="10">
      <t>マタ</t>
    </rPh>
    <rPh sb="12" eb="15">
      <t>シセツスウ</t>
    </rPh>
    <rPh sb="17" eb="18">
      <t>キ</t>
    </rPh>
    <phoneticPr fontId="3"/>
  </si>
  <si>
    <t>種付料金
（円）</t>
    <rPh sb="0" eb="2">
      <t>タネツケ</t>
    </rPh>
    <rPh sb="2" eb="4">
      <t>リョウキン</t>
    </rPh>
    <rPh sb="6" eb="7">
      <t>エン</t>
    </rPh>
    <phoneticPr fontId="3"/>
  </si>
  <si>
    <t>　１　経営耕地</t>
    <rPh sb="3" eb="5">
      <t>ケイエイ</t>
    </rPh>
    <rPh sb="5" eb="7">
      <t>コウチ</t>
    </rPh>
    <phoneticPr fontId="3"/>
  </si>
  <si>
    <t>ｔ</t>
    <phoneticPr fontId="3"/>
  </si>
  <si>
    <t>してください。</t>
    <phoneticPr fontId="3"/>
  </si>
  <si>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3"/>
  </si>
  <si>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3"/>
  </si>
  <si>
    <t>普　通　畑</t>
    <rPh sb="0" eb="1">
      <t>ススム</t>
    </rPh>
    <rPh sb="2" eb="3">
      <t>ツウ</t>
    </rPh>
    <rPh sb="4" eb="5">
      <t>ハタケ</t>
    </rPh>
    <phoneticPr fontId="3"/>
  </si>
  <si>
    <t>樹　園　地</t>
    <rPh sb="0" eb="1">
      <t>ジュ</t>
    </rPh>
    <rPh sb="2" eb="3">
      <t>エン</t>
    </rPh>
    <rPh sb="4" eb="5">
      <t>チ</t>
    </rPh>
    <phoneticPr fontId="3"/>
  </si>
  <si>
    <t>牧　草　地</t>
    <rPh sb="0" eb="1">
      <t>マキ</t>
    </rPh>
    <rPh sb="2" eb="3">
      <t>クサ</t>
    </rPh>
    <rPh sb="4" eb="5">
      <t>チ</t>
    </rPh>
    <phoneticPr fontId="3"/>
  </si>
  <si>
    <t>年間の農業労働日数が60日以上の者</t>
    <phoneticPr fontId="3"/>
  </si>
  <si>
    <t>年間の農業労働日数が150日以上の者</t>
    <phoneticPr fontId="3"/>
  </si>
  <si>
    <t>【１】経営の概況</t>
    <rPh sb="3" eb="5">
      <t>ケイエイ</t>
    </rPh>
    <rPh sb="6" eb="8">
      <t>ガイキョウ</t>
    </rPh>
    <phoneticPr fontId="3"/>
  </si>
  <si>
    <t>数量（㎏）</t>
    <rPh sb="0" eb="2">
      <t>スウリョウ</t>
    </rPh>
    <phoneticPr fontId="3"/>
  </si>
  <si>
    <t>調査対象畜
負担割合(%)</t>
    <rPh sb="0" eb="2">
      <t>チョウサ</t>
    </rPh>
    <rPh sb="2" eb="4">
      <t>タイショウ</t>
    </rPh>
    <rPh sb="4" eb="5">
      <t>チク</t>
    </rPh>
    <rPh sb="6" eb="8">
      <t>フタン</t>
    </rPh>
    <rPh sb="8" eb="10">
      <t>ワリアイ</t>
    </rPh>
    <phoneticPr fontId="3"/>
  </si>
  <si>
    <t>新築
・
中古</t>
    <rPh sb="1" eb="2">
      <t>チク</t>
    </rPh>
    <phoneticPr fontId="14"/>
  </si>
  <si>
    <t>新品
・
中古</t>
    <rPh sb="0" eb="2">
      <t>シンピン</t>
    </rPh>
    <phoneticPr fontId="14"/>
  </si>
  <si>
    <t>シート名</t>
    <rPh sb="3" eb="4">
      <t>メイ</t>
    </rPh>
    <phoneticPr fontId="3"/>
  </si>
  <si>
    <t>3_目次・経営概要①</t>
    <phoneticPr fontId="3"/>
  </si>
  <si>
    <t>項目名</t>
    <rPh sb="0" eb="3">
      <t>コウモクメイ</t>
    </rPh>
    <phoneticPr fontId="3"/>
  </si>
  <si>
    <t>【１】経営の概況</t>
    <phoneticPr fontId="3"/>
  </si>
  <si>
    <t>３　認定農業者の状況</t>
    <rPh sb="2" eb="4">
      <t>ニンテイ</t>
    </rPh>
    <rPh sb="4" eb="7">
      <t>ノウギョウシャ</t>
    </rPh>
    <rPh sb="8" eb="10">
      <t>ジョウキョウ</t>
    </rPh>
    <phoneticPr fontId="3"/>
  </si>
  <si>
    <t>１　家族労働時間</t>
  </si>
  <si>
    <t>リスト名</t>
    <rPh sb="3" eb="4">
      <t>メイ</t>
    </rPh>
    <phoneticPr fontId="3"/>
  </si>
  <si>
    <t>認定農業者の状況</t>
    <rPh sb="0" eb="2">
      <t>ニンテイ</t>
    </rPh>
    <rPh sb="2" eb="5">
      <t>ノウギョウシャ</t>
    </rPh>
    <rPh sb="6" eb="8">
      <t>ジョウキョウ</t>
    </rPh>
    <phoneticPr fontId="3"/>
  </si>
  <si>
    <t>種類コード</t>
    <phoneticPr fontId="3"/>
  </si>
  <si>
    <t>新築・中古区分</t>
    <rPh sb="0" eb="2">
      <t>シンチク</t>
    </rPh>
    <rPh sb="3" eb="5">
      <t>チュウコ</t>
    </rPh>
    <rPh sb="5" eb="7">
      <t>クブン</t>
    </rPh>
    <phoneticPr fontId="3"/>
  </si>
  <si>
    <t>種類コード</t>
  </si>
  <si>
    <t>型式コード</t>
    <rPh sb="0" eb="2">
      <t>カタシキ</t>
    </rPh>
    <phoneticPr fontId="59"/>
  </si>
  <si>
    <t>新品・中古区分</t>
    <rPh sb="0" eb="2">
      <t>シンピン</t>
    </rPh>
    <rPh sb="3" eb="5">
      <t>チュウコ</t>
    </rPh>
    <rPh sb="5" eb="7">
      <t>クブン</t>
    </rPh>
    <phoneticPr fontId="59"/>
  </si>
  <si>
    <t>性別</t>
    <rPh sb="0" eb="2">
      <t>セイベツ</t>
    </rPh>
    <phoneticPr fontId="59"/>
  </si>
  <si>
    <t>建築物</t>
    <rPh sb="0" eb="3">
      <t>ケンチクブツ</t>
    </rPh>
    <phoneticPr fontId="59"/>
  </si>
  <si>
    <t>1：新築</t>
    <rPh sb="2" eb="4">
      <t>シンチク</t>
    </rPh>
    <phoneticPr fontId="59"/>
  </si>
  <si>
    <t>1：取り壊し</t>
    <phoneticPr fontId="3"/>
  </si>
  <si>
    <t>[1]貨物自動車</t>
    <rPh sb="3" eb="5">
      <t>カモツ</t>
    </rPh>
    <rPh sb="5" eb="8">
      <t>ジドウシャ</t>
    </rPh>
    <phoneticPr fontId="3"/>
  </si>
  <si>
    <t>[1]貨物自動車</t>
    <phoneticPr fontId="59"/>
  </si>
  <si>
    <t>[1]軽自動車</t>
    <rPh sb="3" eb="7">
      <t>ケイジドウシャ</t>
    </rPh>
    <phoneticPr fontId="35"/>
  </si>
  <si>
    <t>1：新品</t>
    <rPh sb="2" eb="4">
      <t>シンピン</t>
    </rPh>
    <phoneticPr fontId="59"/>
  </si>
  <si>
    <t>1：売却</t>
    <rPh sb="2" eb="4">
      <t>バイキャク</t>
    </rPh>
    <phoneticPr fontId="3"/>
  </si>
  <si>
    <t>1：男</t>
    <rPh sb="2" eb="3">
      <t>オトコ</t>
    </rPh>
    <phoneticPr fontId="59"/>
  </si>
  <si>
    <t>[02]事務所</t>
    <rPh sb="4" eb="7">
      <t>ジムショ</t>
    </rPh>
    <phoneticPr fontId="11"/>
  </si>
  <si>
    <t>2：中古</t>
    <rPh sb="2" eb="4">
      <t>チュウコ</t>
    </rPh>
    <phoneticPr fontId="59"/>
  </si>
  <si>
    <t>2：部分取り壊し</t>
    <phoneticPr fontId="3"/>
  </si>
  <si>
    <t>[2]その他の自動車</t>
    <rPh sb="5" eb="6">
      <t>タ</t>
    </rPh>
    <rPh sb="7" eb="10">
      <t>ジドウシャ</t>
    </rPh>
    <phoneticPr fontId="3"/>
  </si>
  <si>
    <t>[2]普通自動車（ダンプ式）</t>
    <rPh sb="3" eb="5">
      <t>フツウ</t>
    </rPh>
    <rPh sb="5" eb="8">
      <t>ジドウシャ</t>
    </rPh>
    <rPh sb="12" eb="13">
      <t>シキ</t>
    </rPh>
    <phoneticPr fontId="35"/>
  </si>
  <si>
    <t>2：廃棄等</t>
    <rPh sb="2" eb="4">
      <t>ハイキ</t>
    </rPh>
    <rPh sb="4" eb="5">
      <t>ナド</t>
    </rPh>
    <phoneticPr fontId="3"/>
  </si>
  <si>
    <t>2：女</t>
    <rPh sb="2" eb="3">
      <t>オンナ</t>
    </rPh>
    <phoneticPr fontId="59"/>
  </si>
  <si>
    <t>[03]納屋・倉庫</t>
    <rPh sb="4" eb="6">
      <t>ナヤ</t>
    </rPh>
    <rPh sb="7" eb="8">
      <t>クラ</t>
    </rPh>
    <rPh sb="8" eb="9">
      <t>コ</t>
    </rPh>
    <phoneticPr fontId="11"/>
  </si>
  <si>
    <t>3：売　却</t>
    <phoneticPr fontId="3"/>
  </si>
  <si>
    <t>[3]普通自動車（ダンプ式以外）</t>
    <rPh sb="3" eb="5">
      <t>フツウ</t>
    </rPh>
    <rPh sb="5" eb="8">
      <t>ジドウシャ</t>
    </rPh>
    <rPh sb="12" eb="13">
      <t>シキ</t>
    </rPh>
    <rPh sb="13" eb="15">
      <t>イガイ</t>
    </rPh>
    <phoneticPr fontId="35"/>
  </si>
  <si>
    <t>[04]作業場</t>
    <rPh sb="4" eb="7">
      <t>サギョウバ</t>
    </rPh>
    <phoneticPr fontId="11"/>
  </si>
  <si>
    <t>[2]その他の自動車</t>
    <phoneticPr fontId="59"/>
  </si>
  <si>
    <t>[2]普通自動車</t>
    <rPh sb="3" eb="5">
      <t>フツウ</t>
    </rPh>
    <rPh sb="5" eb="8">
      <t>ジドウシャ</t>
    </rPh>
    <phoneticPr fontId="35"/>
  </si>
  <si>
    <t>[3]自動二輪・三輪</t>
    <rPh sb="3" eb="5">
      <t>ジドウ</t>
    </rPh>
    <rPh sb="5" eb="7">
      <t>ニリン</t>
    </rPh>
    <rPh sb="8" eb="10">
      <t>サンリン</t>
    </rPh>
    <phoneticPr fontId="35"/>
  </si>
  <si>
    <t>[13]その他の建築物</t>
    <rPh sb="6" eb="7">
      <t>タ</t>
    </rPh>
    <rPh sb="8" eb="11">
      <t>ケンチクブツ</t>
    </rPh>
    <phoneticPr fontId="3"/>
  </si>
  <si>
    <t>構築物</t>
    <rPh sb="0" eb="3">
      <t>コウチクブツ</t>
    </rPh>
    <phoneticPr fontId="59"/>
  </si>
  <si>
    <t>[56]その他の農機具</t>
    <phoneticPr fontId="35"/>
  </si>
  <si>
    <t>都道府県</t>
    <rPh sb="0" eb="4">
      <t>トドウフケン</t>
    </rPh>
    <phoneticPr fontId="3"/>
  </si>
  <si>
    <t>賃借料及び料金</t>
    <rPh sb="0" eb="3">
      <t>チンシャクリョウ</t>
    </rPh>
    <rPh sb="3" eb="4">
      <t>オヨ</t>
    </rPh>
    <rPh sb="5" eb="7">
      <t>リョウキン</t>
    </rPh>
    <phoneticPr fontId="3"/>
  </si>
  <si>
    <t>品目名</t>
    <rPh sb="0" eb="2">
      <t>ヒンモク</t>
    </rPh>
    <rPh sb="2" eb="3">
      <t>メイ</t>
    </rPh>
    <phoneticPr fontId="3"/>
  </si>
  <si>
    <t>単価</t>
    <rPh sb="0" eb="2">
      <t>タンカ</t>
    </rPh>
    <phoneticPr fontId="3"/>
  </si>
  <si>
    <t>[05]畜舎・ﾌﾘｰｽﾄｰﾙ</t>
    <rPh sb="4" eb="6">
      <t>チクシャ</t>
    </rPh>
    <phoneticPr fontId="3"/>
  </si>
  <si>
    <t>[06]畜舎・ﾌﾘｰｽﾄｰﾙ以外</t>
    <rPh sb="4" eb="6">
      <t>チクシャ</t>
    </rPh>
    <rPh sb="14" eb="16">
      <t>イガイ</t>
    </rPh>
    <phoneticPr fontId="3"/>
  </si>
  <si>
    <t>[07]クーラー室</t>
    <rPh sb="8" eb="9">
      <t>シツ</t>
    </rPh>
    <phoneticPr fontId="3"/>
  </si>
  <si>
    <t>[08]車庫</t>
    <rPh sb="4" eb="6">
      <t>シャコ</t>
    </rPh>
    <phoneticPr fontId="3"/>
  </si>
  <si>
    <t>[09]たい肥舎・たい肥盤</t>
    <rPh sb="6" eb="7">
      <t>ヒ</t>
    </rPh>
    <rPh sb="7" eb="8">
      <t>シャ</t>
    </rPh>
    <rPh sb="11" eb="12">
      <t>ヒ</t>
    </rPh>
    <rPh sb="12" eb="13">
      <t>バン</t>
    </rPh>
    <phoneticPr fontId="3"/>
  </si>
  <si>
    <t>[10]乾牧草収納庫</t>
    <rPh sb="4" eb="5">
      <t>イヌイ</t>
    </rPh>
    <rPh sb="5" eb="7">
      <t>ボクソウ</t>
    </rPh>
    <rPh sb="7" eb="10">
      <t>シュウノウコ</t>
    </rPh>
    <phoneticPr fontId="3"/>
  </si>
  <si>
    <t>[20]牧柵</t>
    <rPh sb="4" eb="5">
      <t>ボク</t>
    </rPh>
    <rPh sb="5" eb="6">
      <t>サク</t>
    </rPh>
    <phoneticPr fontId="3"/>
  </si>
  <si>
    <t>[21]電気牧柵</t>
    <rPh sb="4" eb="6">
      <t>デンキ</t>
    </rPh>
    <rPh sb="6" eb="7">
      <t>ボク</t>
    </rPh>
    <rPh sb="7" eb="8">
      <t>サク</t>
    </rPh>
    <phoneticPr fontId="3"/>
  </si>
  <si>
    <t>[22]給水配管・パイプ</t>
    <rPh sb="4" eb="6">
      <t>キュウスイ</t>
    </rPh>
    <rPh sb="6" eb="8">
      <t>ハイカン</t>
    </rPh>
    <phoneticPr fontId="3"/>
  </si>
  <si>
    <t>[24]飼料用タンク</t>
    <rPh sb="4" eb="7">
      <t>シリョウヨウ</t>
    </rPh>
    <phoneticPr fontId="3"/>
  </si>
  <si>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</si>
  <si>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</si>
  <si>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</si>
  <si>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</si>
  <si>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</si>
  <si>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</si>
  <si>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</si>
  <si>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</si>
  <si>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</si>
  <si>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</si>
  <si>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</si>
  <si>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</si>
  <si>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</si>
  <si>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</si>
  <si>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</si>
  <si>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</si>
  <si>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</si>
  <si>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</si>
  <si>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</si>
  <si>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</si>
  <si>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</si>
  <si>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</si>
  <si>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</si>
  <si>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</si>
  <si>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</si>
  <si>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</si>
  <si>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</si>
  <si>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</si>
  <si>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</si>
  <si>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</si>
  <si>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</si>
  <si>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</si>
  <si>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</si>
  <si>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3"/>
  </si>
  <si>
    <t>敷料費</t>
    <rPh sb="0" eb="3">
      <t>シキリョウヒ</t>
    </rPh>
    <phoneticPr fontId="3"/>
  </si>
  <si>
    <t>獣医師料及び医薬品費</t>
    <rPh sb="0" eb="3">
      <t>ジュウイシ</t>
    </rPh>
    <rPh sb="3" eb="4">
      <t>リョウ</t>
    </rPh>
    <rPh sb="4" eb="5">
      <t>オヨ</t>
    </rPh>
    <rPh sb="6" eb="9">
      <t>イヤクヒン</t>
    </rPh>
    <rPh sb="9" eb="10">
      <t>ヒ</t>
    </rPh>
    <phoneticPr fontId="3"/>
  </si>
  <si>
    <t>物件税</t>
    <rPh sb="0" eb="2">
      <t>ブッケン</t>
    </rPh>
    <rPh sb="2" eb="3">
      <t>ゼイ</t>
    </rPh>
    <phoneticPr fontId="3"/>
  </si>
  <si>
    <t>消費税</t>
    <rPh sb="0" eb="3">
      <t>ショウヒゼイ</t>
    </rPh>
    <phoneticPr fontId="3"/>
  </si>
  <si>
    <t>農具・農業被服等</t>
    <rPh sb="0" eb="2">
      <t>ノウグ</t>
    </rPh>
    <rPh sb="3" eb="5">
      <t>ノウギョウ</t>
    </rPh>
    <rPh sb="5" eb="7">
      <t>ヒフク</t>
    </rPh>
    <rPh sb="7" eb="8">
      <t>トウ</t>
    </rPh>
    <phoneticPr fontId="3"/>
  </si>
  <si>
    <t>12_建物</t>
  </si>
  <si>
    <t>13_自動車</t>
  </si>
  <si>
    <t>14_農機・PC</t>
  </si>
  <si>
    <t>【11】搾乳牛等の所有状況</t>
    <rPh sb="4" eb="6">
      <t>サクニュウ</t>
    </rPh>
    <rPh sb="6" eb="8">
      <t>ウシナド</t>
    </rPh>
    <rPh sb="9" eb="11">
      <t>ショユウ</t>
    </rPh>
    <rPh sb="11" eb="13">
      <t>ジョウキョウ</t>
    </rPh>
    <phoneticPr fontId="3"/>
  </si>
  <si>
    <t>転入・転出コード</t>
    <rPh sb="0" eb="2">
      <t>テンニュウ</t>
    </rPh>
    <rPh sb="3" eb="5">
      <t>テンシュツ</t>
    </rPh>
    <phoneticPr fontId="3"/>
  </si>
  <si>
    <t>16_牛</t>
    <rPh sb="3" eb="4">
      <t>ウシ</t>
    </rPh>
    <phoneticPr fontId="3"/>
  </si>
  <si>
    <t>入牧・下牧コード</t>
    <rPh sb="0" eb="1">
      <t>ニュウ</t>
    </rPh>
    <rPh sb="1" eb="2">
      <t>ボク</t>
    </rPh>
    <rPh sb="3" eb="5">
      <t>ゲボク</t>
    </rPh>
    <phoneticPr fontId="3"/>
  </si>
  <si>
    <t>生産費区分</t>
    <rPh sb="0" eb="3">
      <t>セイサンヒ</t>
    </rPh>
    <rPh sb="3" eb="5">
      <t>クブン</t>
    </rPh>
    <phoneticPr fontId="3"/>
  </si>
  <si>
    <t>耐用年数</t>
    <rPh sb="0" eb="2">
      <t>タイヨウ</t>
    </rPh>
    <rPh sb="2" eb="4">
      <t>ネンスウ</t>
    </rPh>
    <phoneticPr fontId="3"/>
  </si>
  <si>
    <t>コード</t>
    <phoneticPr fontId="3"/>
  </si>
  <si>
    <t>肉用牛</t>
    <rPh sb="0" eb="3">
      <t>ニクヨウギュウ</t>
    </rPh>
    <phoneticPr fontId="8"/>
  </si>
  <si>
    <t>乳用種</t>
  </si>
  <si>
    <t>繁殖牛</t>
    <rPh sb="0" eb="2">
      <t>ハンショク</t>
    </rPh>
    <rPh sb="2" eb="3">
      <t>ギュウ</t>
    </rPh>
    <phoneticPr fontId="8"/>
  </si>
  <si>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</si>
  <si>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</si>
  <si>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</si>
  <si>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</si>
  <si>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</si>
  <si>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</si>
  <si>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</si>
  <si>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</si>
  <si>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</si>
  <si>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</si>
  <si>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9"/>
  </si>
  <si>
    <t>購入</t>
    <rPh sb="0" eb="2">
      <t>コウニュウ</t>
    </rPh>
    <phoneticPr fontId="8"/>
  </si>
  <si>
    <t>生産</t>
    <rPh sb="0" eb="2">
      <t>セイサン</t>
    </rPh>
    <phoneticPr fontId="8"/>
  </si>
  <si>
    <t>成畜</t>
    <rPh sb="0" eb="1">
      <t>セイ</t>
    </rPh>
    <rPh sb="1" eb="2">
      <t>チク</t>
    </rPh>
    <phoneticPr fontId="8"/>
  </si>
  <si>
    <t>調査年</t>
    <rPh sb="0" eb="2">
      <t>チョウサ</t>
    </rPh>
    <rPh sb="2" eb="3">
      <t>ネン</t>
    </rPh>
    <phoneticPr fontId="3"/>
  </si>
  <si>
    <t>16_労働</t>
    <phoneticPr fontId="3"/>
  </si>
  <si>
    <t>家族・雇用</t>
    <rPh sb="0" eb="2">
      <t>カゾク</t>
    </rPh>
    <rPh sb="3" eb="5">
      <t>コヨウ</t>
    </rPh>
    <phoneticPr fontId="3"/>
  </si>
  <si>
    <t>1：家族</t>
    <rPh sb="2" eb="4">
      <t>カゾク</t>
    </rPh>
    <phoneticPr fontId="59"/>
  </si>
  <si>
    <t>2：雇用</t>
    <rPh sb="2" eb="4">
      <t>コヨウ</t>
    </rPh>
    <phoneticPr fontId="59"/>
  </si>
  <si>
    <t>1：男
2：女</t>
    <rPh sb="2" eb="3">
      <t>オトコ</t>
    </rPh>
    <phoneticPr fontId="3"/>
  </si>
  <si>
    <t>２　酪農に関する１以外の作業</t>
    <rPh sb="2" eb="4">
      <t>ラクノウ</t>
    </rPh>
    <rPh sb="5" eb="6">
      <t>カン</t>
    </rPh>
    <rPh sb="9" eb="11">
      <t>イガイ</t>
    </rPh>
    <rPh sb="12" eb="14">
      <t>サギョウ</t>
    </rPh>
    <phoneticPr fontId="3"/>
  </si>
  <si>
    <t>自給飼料の
生産</t>
    <rPh sb="0" eb="2">
      <t>ジキュウ</t>
    </rPh>
    <rPh sb="2" eb="4">
      <t>シリョウ</t>
    </rPh>
    <rPh sb="6" eb="8">
      <t>セイサン</t>
    </rPh>
    <phoneticPr fontId="3"/>
  </si>
  <si>
    <t>建物等の修繕
購入付帯労働</t>
    <rPh sb="0" eb="2">
      <t>タテモノ</t>
    </rPh>
    <rPh sb="2" eb="3">
      <t>トウ</t>
    </rPh>
    <rPh sb="4" eb="6">
      <t>シュウゼン</t>
    </rPh>
    <rPh sb="7" eb="9">
      <t>コウニュウ</t>
    </rPh>
    <rPh sb="9" eb="11">
      <t>フタイ</t>
    </rPh>
    <rPh sb="11" eb="13">
      <t>ロウドウ</t>
    </rPh>
    <phoneticPr fontId="3"/>
  </si>
  <si>
    <t>近傍類地
10ａ当たり地代
（円）</t>
    <rPh sb="8" eb="9">
      <t>ア</t>
    </rPh>
    <rPh sb="11" eb="13">
      <t>チダイ</t>
    </rPh>
    <rPh sb="15" eb="16">
      <t>エン</t>
    </rPh>
    <phoneticPr fontId="3"/>
  </si>
  <si>
    <t>種類＋構造</t>
    <rPh sb="0" eb="2">
      <t>シュルイ</t>
    </rPh>
    <rPh sb="3" eb="5">
      <t>コウゾウ</t>
    </rPh>
    <phoneticPr fontId="3"/>
  </si>
  <si>
    <t>10万円未満なら[1]</t>
    <rPh sb="2" eb="4">
      <t>マンエン</t>
    </rPh>
    <rPh sb="4" eb="6">
      <t>ミマン</t>
    </rPh>
    <phoneticPr fontId="3"/>
  </si>
  <si>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3"/>
  </si>
  <si>
    <t>フラグ</t>
    <phoneticPr fontId="3"/>
  </si>
  <si>
    <t>経過年数</t>
    <rPh sb="0" eb="2">
      <t>ケイカ</t>
    </rPh>
    <rPh sb="2" eb="4">
      <t>ネンスウ</t>
    </rPh>
    <phoneticPr fontId="3"/>
  </si>
  <si>
    <t>年始現在価</t>
    <rPh sb="0" eb="2">
      <t>ネンハジ</t>
    </rPh>
    <rPh sb="2" eb="4">
      <t>ゲンザイ</t>
    </rPh>
    <rPh sb="4" eb="5">
      <t>カ</t>
    </rPh>
    <phoneticPr fontId="3"/>
  </si>
  <si>
    <t>基本</t>
    <rPh sb="0" eb="2">
      <t>キホン</t>
    </rPh>
    <phoneticPr fontId="1"/>
  </si>
  <si>
    <t>減価償却</t>
    <rPh sb="0" eb="2">
      <t>ゲンカ</t>
    </rPh>
    <rPh sb="2" eb="4">
      <t>ショウキャク</t>
    </rPh>
    <phoneticPr fontId="3"/>
  </si>
  <si>
    <t>調査対象畜負担分</t>
    <rPh sb="0" eb="2">
      <t>チョウサ</t>
    </rPh>
    <rPh sb="2" eb="4">
      <t>タイショウ</t>
    </rPh>
    <rPh sb="4" eb="5">
      <t>チク</t>
    </rPh>
    <rPh sb="5" eb="8">
      <t>フタンブン</t>
    </rPh>
    <phoneticPr fontId="3"/>
  </si>
  <si>
    <t>資産計</t>
    <rPh sb="0" eb="2">
      <t>シサン</t>
    </rPh>
    <rPh sb="2" eb="3">
      <t>ケイ</t>
    </rPh>
    <phoneticPr fontId="3"/>
  </si>
  <si>
    <t>修繕費</t>
    <rPh sb="0" eb="3">
      <t>シュウゼンヒ</t>
    </rPh>
    <phoneticPr fontId="3"/>
  </si>
  <si>
    <t>種類＋型式</t>
    <rPh sb="0" eb="2">
      <t>シュルイ</t>
    </rPh>
    <rPh sb="3" eb="5">
      <t>カタシキ</t>
    </rPh>
    <phoneticPr fontId="3"/>
  </si>
  <si>
    <t>自動車
保険料</t>
    <rPh sb="0" eb="3">
      <t>ジドウシャ</t>
    </rPh>
    <rPh sb="4" eb="7">
      <t>ホケンリョウ</t>
    </rPh>
    <phoneticPr fontId="3"/>
  </si>
  <si>
    <t>自動車・
軽自動車税</t>
    <phoneticPr fontId="3"/>
  </si>
  <si>
    <t>自動車
重量税</t>
    <phoneticPr fontId="3"/>
  </si>
  <si>
    <t>軽自動車税</t>
    <phoneticPr fontId="3"/>
  </si>
  <si>
    <t>金額（円）</t>
    <rPh sb="0" eb="2">
      <t>キンガク</t>
    </rPh>
    <rPh sb="3" eb="4">
      <t>エン</t>
    </rPh>
    <phoneticPr fontId="3"/>
  </si>
  <si>
    <t>麦わら</t>
    <rPh sb="0" eb="1">
      <t>ムギ</t>
    </rPh>
    <phoneticPr fontId="14"/>
  </si>
  <si>
    <t>乾牧草</t>
    <rPh sb="0" eb="1">
      <t>イヌイ</t>
    </rPh>
    <rPh sb="1" eb="2">
      <t>マキ</t>
    </rPh>
    <rPh sb="2" eb="3">
      <t>クサ</t>
    </rPh>
    <phoneticPr fontId="14"/>
  </si>
  <si>
    <t>2015年農林業センサス　基本指標番号</t>
    <rPh sb="4" eb="5">
      <t>ネン</t>
    </rPh>
    <rPh sb="5" eb="8">
      <t>ノウリンギョウ</t>
    </rPh>
    <rPh sb="13" eb="15">
      <t>キホン</t>
    </rPh>
    <rPh sb="15" eb="17">
      <t>シヒョウ</t>
    </rPh>
    <rPh sb="17" eb="19">
      <t>バンゴウ</t>
    </rPh>
    <phoneticPr fontId="3"/>
  </si>
  <si>
    <t>市区町村</t>
    <rPh sb="0" eb="4">
      <t>シクチョウソン</t>
    </rPh>
    <phoneticPr fontId="3"/>
  </si>
  <si>
    <t>旧市区町村</t>
    <rPh sb="0" eb="1">
      <t>キュウ</t>
    </rPh>
    <rPh sb="1" eb="5">
      <t>シクチョウソン</t>
    </rPh>
    <phoneticPr fontId="3"/>
  </si>
  <si>
    <t>農業集落</t>
    <rPh sb="0" eb="2">
      <t>ノウギョウ</t>
    </rPh>
    <rPh sb="2" eb="4">
      <t>シュウラク</t>
    </rPh>
    <phoneticPr fontId="3"/>
  </si>
  <si>
    <t>調査区</t>
    <rPh sb="0" eb="3">
      <t>チョウサク</t>
    </rPh>
    <phoneticPr fontId="3"/>
  </si>
  <si>
    <t>客体番号</t>
    <rPh sb="0" eb="2">
      <t>キャクタイ</t>
    </rPh>
    <rPh sb="2" eb="4">
      <t>バンゴウ</t>
    </rPh>
    <phoneticPr fontId="3"/>
  </si>
  <si>
    <t>法人番号（13桁）</t>
    <rPh sb="0" eb="2">
      <t>ホウジン</t>
    </rPh>
    <rPh sb="2" eb="4">
      <t>バンゴウ</t>
    </rPh>
    <rPh sb="7" eb="8">
      <t>ケタ</t>
    </rPh>
    <phoneticPr fontId="3"/>
  </si>
  <si>
    <t>数量</t>
    <rPh sb="0" eb="2">
      <t>スウリョウ</t>
    </rPh>
    <phoneticPr fontId="3"/>
  </si>
  <si>
    <t>単位
（㎏）</t>
    <rPh sb="0" eb="2">
      <t>タンイ</t>
    </rPh>
    <phoneticPr fontId="3"/>
  </si>
  <si>
    <t>使用数量</t>
    <rPh sb="0" eb="2">
      <t>シヨウ</t>
    </rPh>
    <rPh sb="2" eb="4">
      <t>スウリョウ</t>
    </rPh>
    <phoneticPr fontId="3"/>
  </si>
  <si>
    <t>【３】調査対象畜の生産に使用した資材等</t>
    <phoneticPr fontId="3"/>
  </si>
  <si>
    <t>㎏</t>
    <phoneticPr fontId="59"/>
  </si>
  <si>
    <t>ｔ</t>
    <phoneticPr fontId="59"/>
  </si>
  <si>
    <t>実面積
（ａ）</t>
    <rPh sb="0" eb="3">
      <t>ジツメンセキ</t>
    </rPh>
    <phoneticPr fontId="3"/>
  </si>
  <si>
    <t>作業内容</t>
    <rPh sb="0" eb="2">
      <t>サギョウ</t>
    </rPh>
    <rPh sb="2" eb="4">
      <t>ナイヨウ</t>
    </rPh>
    <phoneticPr fontId="59"/>
  </si>
  <si>
    <t>作業者</t>
    <rPh sb="0" eb="3">
      <t>サギョウシャ</t>
    </rPh>
    <phoneticPr fontId="59"/>
  </si>
  <si>
    <t>部分取り
壊しを行
った面積
（㎡）</t>
    <rPh sb="0" eb="2">
      <t>ブブン</t>
    </rPh>
    <rPh sb="2" eb="3">
      <t>ト</t>
    </rPh>
    <rPh sb="5" eb="6">
      <t>コワ</t>
    </rPh>
    <rPh sb="8" eb="9">
      <t>オコナ</t>
    </rPh>
    <rPh sb="12" eb="14">
      <t>メンセキ</t>
    </rPh>
    <phoneticPr fontId="3"/>
  </si>
  <si>
    <t>[23]サイロ</t>
  </si>
  <si>
    <t>[26]ふん尿貯留槽</t>
  </si>
  <si>
    <t>[27]浄化処理施設</t>
  </si>
  <si>
    <t>1：購入</t>
    <rPh sb="2" eb="4">
      <t>コウニュウ</t>
    </rPh>
    <phoneticPr fontId="3"/>
  </si>
  <si>
    <t>2：売却</t>
    <rPh sb="2" eb="4">
      <t>バイキャク</t>
    </rPh>
    <phoneticPr fontId="3"/>
  </si>
  <si>
    <t>1：出（入牧）</t>
    <rPh sb="2" eb="3">
      <t>デ</t>
    </rPh>
    <rPh sb="4" eb="5">
      <t>ニュウ</t>
    </rPh>
    <rPh sb="5" eb="6">
      <t>ボク</t>
    </rPh>
    <phoneticPr fontId="3"/>
  </si>
  <si>
    <t>2：戻（下牧）</t>
    <rPh sb="2" eb="3">
      <t>モド</t>
    </rPh>
    <rPh sb="4" eb="6">
      <t>ゲボク</t>
    </rPh>
    <phoneticPr fontId="3"/>
  </si>
  <si>
    <t>ゆい・手間替え受け</t>
    <rPh sb="7" eb="8">
      <t>ウ</t>
    </rPh>
    <phoneticPr fontId="59"/>
  </si>
  <si>
    <t>手伝い・共同作業受け</t>
    <phoneticPr fontId="59"/>
  </si>
  <si>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3"/>
  </si>
  <si>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3"/>
  </si>
  <si>
    <t>給与数量及び購入金額を入力してください。</t>
  </si>
  <si>
    <t>「販売用」に該当がある場合、その販売金額を入力してください。</t>
    <rPh sb="1" eb="3">
      <t>ハンバイ</t>
    </rPh>
    <rPh sb="3" eb="4">
      <t>ヨウ</t>
    </rPh>
    <rPh sb="6" eb="8">
      <t>ガイトウ</t>
    </rPh>
    <rPh sb="11" eb="13">
      <t>バアイ</t>
    </rPh>
    <phoneticPr fontId="3"/>
  </si>
  <si>
    <t>品目名
（具体的に入力）</t>
    <rPh sb="0" eb="2">
      <t>ヒンモク</t>
    </rPh>
    <rPh sb="2" eb="3">
      <t>メイ</t>
    </rPh>
    <rPh sb="5" eb="8">
      <t>グタイテキ</t>
    </rPh>
    <phoneticPr fontId="3"/>
  </si>
  <si>
    <t>作　物　名
（具体的に入力）</t>
    <rPh sb="0" eb="1">
      <t>サク</t>
    </rPh>
    <rPh sb="2" eb="3">
      <t>ブツ</t>
    </rPh>
    <rPh sb="4" eb="5">
      <t>メイ</t>
    </rPh>
    <rPh sb="7" eb="10">
      <t>グタイテキ</t>
    </rPh>
    <phoneticPr fontId="3"/>
  </si>
  <si>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3"/>
  </si>
  <si>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3"/>
  </si>
  <si>
    <t>　　「資材名」欄は具体的に入力してください。</t>
    <rPh sb="3" eb="5">
      <t>シザイ</t>
    </rPh>
    <rPh sb="5" eb="6">
      <t>メイ</t>
    </rPh>
    <rPh sb="7" eb="8">
      <t>ラン</t>
    </rPh>
    <rPh sb="9" eb="12">
      <t>グタイテキ</t>
    </rPh>
    <phoneticPr fontId="3"/>
  </si>
  <si>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3"/>
  </si>
  <si>
    <t>注：土地の取得に関する借入金を除いて入力してください。</t>
    <rPh sb="0" eb="1">
      <t>チュウ</t>
    </rPh>
    <rPh sb="15" eb="16">
      <t>ノゾ</t>
    </rPh>
    <phoneticPr fontId="3"/>
  </si>
  <si>
    <t xml:space="preserve"> に入力してください。</t>
    <phoneticPr fontId="3"/>
  </si>
  <si>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1"/>
  </si>
  <si>
    <t>当年、車検を受けた自動車等について入力してください。</t>
    <rPh sb="0" eb="2">
      <t>トウネン</t>
    </rPh>
    <rPh sb="3" eb="5">
      <t>シャケン</t>
    </rPh>
    <rPh sb="6" eb="7">
      <t>ウ</t>
    </rPh>
    <rPh sb="9" eb="12">
      <t>ジドウシャ</t>
    </rPh>
    <rPh sb="12" eb="13">
      <t>トウ</t>
    </rPh>
    <phoneticPr fontId="3"/>
  </si>
  <si>
    <t xml:space="preserve"> 「負担割合」欄に入力してください。</t>
  </si>
  <si>
    <t>【職員入力欄】</t>
    <phoneticPr fontId="3"/>
  </si>
  <si>
    <t>【職員入力欄】</t>
    <phoneticPr fontId="5"/>
  </si>
  <si>
    <t>【入力上の留意事項】</t>
    <phoneticPr fontId="3"/>
  </si>
  <si>
    <t>【提出方法】</t>
    <rPh sb="1" eb="3">
      <t>テイシュツ</t>
    </rPh>
    <rPh sb="3" eb="5">
      <t>ホウホウ</t>
    </rPh>
    <phoneticPr fontId="3"/>
  </si>
  <si>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3"/>
  </si>
  <si>
    <t>生産管理労働時間</t>
    <rPh sb="0" eb="2">
      <t>セイサン</t>
    </rPh>
    <rPh sb="2" eb="4">
      <t>カンリ</t>
    </rPh>
    <rPh sb="4" eb="6">
      <t>ロウドウ</t>
    </rPh>
    <rPh sb="6" eb="8">
      <t>ジカン</t>
    </rPh>
    <phoneticPr fontId="59"/>
  </si>
  <si>
    <t>集会出席時間</t>
    <rPh sb="0" eb="2">
      <t>シュウカイ</t>
    </rPh>
    <rPh sb="2" eb="4">
      <t>シュッセキ</t>
    </rPh>
    <rPh sb="4" eb="6">
      <t>ジカン</t>
    </rPh>
    <phoneticPr fontId="59"/>
  </si>
  <si>
    <t>技術習得時間</t>
    <rPh sb="0" eb="2">
      <t>ギジュツ</t>
    </rPh>
    <rPh sb="2" eb="4">
      <t>シュウトク</t>
    </rPh>
    <rPh sb="4" eb="6">
      <t>ジカン</t>
    </rPh>
    <phoneticPr fontId="59"/>
  </si>
  <si>
    <t>簿記記帳時間</t>
    <rPh sb="0" eb="2">
      <t>ボキ</t>
    </rPh>
    <rPh sb="2" eb="4">
      <t>キチョウ</t>
    </rPh>
    <rPh sb="4" eb="6">
      <t>ジカン</t>
    </rPh>
    <phoneticPr fontId="59"/>
  </si>
  <si>
    <t>自給飼料の生産</t>
    <rPh sb="0" eb="2">
      <t>ジキュウ</t>
    </rPh>
    <rPh sb="2" eb="4">
      <t>シリョウ</t>
    </rPh>
    <rPh sb="5" eb="7">
      <t>セイサン</t>
    </rPh>
    <phoneticPr fontId="59"/>
  </si>
  <si>
    <t>間接労働時間</t>
    <rPh sb="0" eb="2">
      <t>カンセツ</t>
    </rPh>
    <rPh sb="2" eb="4">
      <t>ロウドウ</t>
    </rPh>
    <rPh sb="4" eb="6">
      <t>ジカン</t>
    </rPh>
    <phoneticPr fontId="59"/>
  </si>
  <si>
    <t>建物・農機具等の修繕</t>
    <rPh sb="0" eb="2">
      <t>タテモノ</t>
    </rPh>
    <rPh sb="3" eb="6">
      <t>ノウキグ</t>
    </rPh>
    <rPh sb="6" eb="7">
      <t>トウ</t>
    </rPh>
    <rPh sb="8" eb="10">
      <t>シュウゼン</t>
    </rPh>
    <phoneticPr fontId="59"/>
  </si>
  <si>
    <t>購入付帯労働時間</t>
    <rPh sb="0" eb="2">
      <t>コウニュウ</t>
    </rPh>
    <rPh sb="2" eb="4">
      <t>フタイ</t>
    </rPh>
    <rPh sb="4" eb="6">
      <t>ロウドウ</t>
    </rPh>
    <rPh sb="6" eb="8">
      <t>ジカン</t>
    </rPh>
    <phoneticPr fontId="59"/>
  </si>
  <si>
    <t>経営管理労働時間</t>
    <rPh sb="0" eb="2">
      <t>ケイエイ</t>
    </rPh>
    <rPh sb="2" eb="4">
      <t>カンリ</t>
    </rPh>
    <rPh sb="4" eb="6">
      <t>ロウドウ</t>
    </rPh>
    <rPh sb="6" eb="8">
      <t>ジカン</t>
    </rPh>
    <phoneticPr fontId="59"/>
  </si>
  <si>
    <t>建物・構築物</t>
    <rPh sb="0" eb="2">
      <t>タテモノ</t>
    </rPh>
    <rPh sb="3" eb="6">
      <t>コウチクブツ</t>
    </rPh>
    <phoneticPr fontId="3"/>
  </si>
  <si>
    <t>[1]木造</t>
    <rPh sb="3" eb="5">
      <t>モクゾウ</t>
    </rPh>
    <phoneticPr fontId="59"/>
  </si>
  <si>
    <t>[2]合成樹脂造</t>
    <rPh sb="3" eb="5">
      <t>ゴウセイ</t>
    </rPh>
    <rPh sb="5" eb="7">
      <t>ジュシ</t>
    </rPh>
    <rPh sb="7" eb="8">
      <t>ツク</t>
    </rPh>
    <phoneticPr fontId="59"/>
  </si>
  <si>
    <t>[3]鉄筋コンクリート</t>
    <rPh sb="3" eb="5">
      <t>テッキン</t>
    </rPh>
    <phoneticPr fontId="59"/>
  </si>
  <si>
    <t>[4]コンクリートブロック</t>
  </si>
  <si>
    <t>[5]鉄骨造</t>
    <rPh sb="3" eb="5">
      <t>テッコツ</t>
    </rPh>
    <phoneticPr fontId="59"/>
  </si>
  <si>
    <t>[6]木造モルタル</t>
    <rPh sb="3" eb="5">
      <t>モクゾウ</t>
    </rPh>
    <phoneticPr fontId="59"/>
  </si>
  <si>
    <t>[7]金属</t>
    <rPh sb="3" eb="5">
      <t>キンゾク</t>
    </rPh>
    <phoneticPr fontId="59"/>
  </si>
  <si>
    <t>-</t>
  </si>
  <si>
    <t>[8]その他</t>
    <rPh sb="5" eb="6">
      <t>タ</t>
    </rPh>
    <phoneticPr fontId="59"/>
  </si>
  <si>
    <t>[08]車　庫</t>
    <rPh sb="4" eb="5">
      <t>クルマ</t>
    </rPh>
    <rPh sb="6" eb="7">
      <t>コ</t>
    </rPh>
    <phoneticPr fontId="3"/>
  </si>
  <si>
    <t>[2]金属</t>
    <rPh sb="3" eb="5">
      <t>キンゾク</t>
    </rPh>
    <phoneticPr fontId="59"/>
  </si>
  <si>
    <t>[4]土管</t>
    <rPh sb="3" eb="5">
      <t>ドカン</t>
    </rPh>
    <phoneticPr fontId="3"/>
  </si>
  <si>
    <t>注：○は耐用年数欄の年数を使用</t>
    <rPh sb="0" eb="1">
      <t>チュウ</t>
    </rPh>
    <rPh sb="4" eb="6">
      <t>タイヨウ</t>
    </rPh>
    <rPh sb="6" eb="8">
      <t>ネンスウ</t>
    </rPh>
    <rPh sb="8" eb="9">
      <t>ラン</t>
    </rPh>
    <rPh sb="10" eb="12">
      <t>ネンスウ</t>
    </rPh>
    <rPh sb="13" eb="15">
      <t>シヨウ</t>
    </rPh>
    <phoneticPr fontId="3"/>
  </si>
  <si>
    <t>自動車</t>
    <rPh sb="0" eb="3">
      <t>ジドウシャ</t>
    </rPh>
    <phoneticPr fontId="3"/>
  </si>
  <si>
    <t>[11]</t>
    <phoneticPr fontId="3"/>
  </si>
  <si>
    <t>[12]</t>
    <phoneticPr fontId="3"/>
  </si>
  <si>
    <t>[13]</t>
    <phoneticPr fontId="3"/>
  </si>
  <si>
    <t>[21]</t>
    <phoneticPr fontId="3"/>
  </si>
  <si>
    <t>[22]</t>
    <phoneticPr fontId="3"/>
  </si>
  <si>
    <t>[23]</t>
    <phoneticPr fontId="3"/>
  </si>
  <si>
    <t>[6]その他</t>
  </si>
  <si>
    <t>[1]コンクリート、れんが、石、ブロック</t>
    <rPh sb="14" eb="15">
      <t>イシ</t>
    </rPh>
    <phoneticPr fontId="59"/>
  </si>
  <si>
    <t>[3]木造</t>
    <rPh sb="3" eb="5">
      <t>モクゾウ</t>
    </rPh>
    <phoneticPr fontId="59"/>
  </si>
  <si>
    <t>[5]合成樹脂</t>
    <rPh sb="3" eb="5">
      <t>ゴウセイ</t>
    </rPh>
    <rPh sb="5" eb="7">
      <t>ジュシ</t>
    </rPh>
    <phoneticPr fontId="59"/>
  </si>
  <si>
    <t>[6]塩化ビニール</t>
    <rPh sb="3" eb="5">
      <t>エンカ</t>
    </rPh>
    <phoneticPr fontId="59"/>
  </si>
  <si>
    <t>[7]その他</t>
    <rPh sb="5" eb="6">
      <t>タ</t>
    </rPh>
    <phoneticPr fontId="59"/>
  </si>
  <si>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</si>
  <si>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</si>
  <si>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</si>
  <si>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</si>
  <si>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5"/>
  </si>
  <si>
    <t>[2]耐用年数４年</t>
    <rPh sb="3" eb="5">
      <t>タイヨウ</t>
    </rPh>
    <rPh sb="5" eb="7">
      <t>ネンスウ</t>
    </rPh>
    <rPh sb="8" eb="9">
      <t>ネン</t>
    </rPh>
    <phoneticPr fontId="35"/>
  </si>
  <si>
    <t>[3]耐用年数５年</t>
    <rPh sb="3" eb="5">
      <t>タイヨウ</t>
    </rPh>
    <rPh sb="5" eb="7">
      <t>ネンスウ</t>
    </rPh>
    <rPh sb="8" eb="9">
      <t>ネン</t>
    </rPh>
    <phoneticPr fontId="35"/>
  </si>
  <si>
    <t>[4]耐用年数６年</t>
    <rPh sb="3" eb="5">
      <t>タイヨウ</t>
    </rPh>
    <rPh sb="5" eb="7">
      <t>ネンスウ</t>
    </rPh>
    <rPh sb="8" eb="9">
      <t>ネン</t>
    </rPh>
    <phoneticPr fontId="35"/>
  </si>
  <si>
    <t>[5]耐用年数７年</t>
    <rPh sb="3" eb="5">
      <t>タイヨウ</t>
    </rPh>
    <rPh sb="5" eb="7">
      <t>ネンスウ</t>
    </rPh>
    <rPh sb="8" eb="9">
      <t>ネン</t>
    </rPh>
    <phoneticPr fontId="35"/>
  </si>
  <si>
    <t>農機具</t>
    <rPh sb="0" eb="3">
      <t>ノウキグ</t>
    </rPh>
    <phoneticPr fontId="3"/>
  </si>
  <si>
    <t>牛</t>
    <rPh sb="0" eb="1">
      <t>ウシ</t>
    </rPh>
    <phoneticPr fontId="3"/>
  </si>
  <si>
    <t>品種コード</t>
    <rPh sb="0" eb="2">
      <t>ヒンシュ</t>
    </rPh>
    <phoneticPr fontId="3"/>
  </si>
  <si>
    <t>ジャージー</t>
  </si>
  <si>
    <t>肉用牛</t>
    <rPh sb="0" eb="3">
      <t>ニクヨウギュウ</t>
    </rPh>
    <phoneticPr fontId="59"/>
  </si>
  <si>
    <t>繁殖牛</t>
    <rPh sb="0" eb="2">
      <t>ハンショク</t>
    </rPh>
    <rPh sb="2" eb="3">
      <t>ギュウ</t>
    </rPh>
    <phoneticPr fontId="59"/>
  </si>
  <si>
    <t>性別コード</t>
    <rPh sb="0" eb="2">
      <t>セイベツ</t>
    </rPh>
    <phoneticPr fontId="3"/>
  </si>
  <si>
    <t>雄</t>
    <rPh sb="0" eb="1">
      <t>オス</t>
    </rPh>
    <phoneticPr fontId="8"/>
  </si>
  <si>
    <t>雌</t>
    <rPh sb="0" eb="1">
      <t>メス</t>
    </rPh>
    <phoneticPr fontId="8"/>
  </si>
  <si>
    <t>[02]繁殖牛</t>
    <rPh sb="4" eb="6">
      <t>ハンショク</t>
    </rPh>
    <rPh sb="6" eb="7">
      <t>ギュウ</t>
    </rPh>
    <phoneticPr fontId="8"/>
  </si>
  <si>
    <t>[01]ホルスタイン</t>
    <phoneticPr fontId="59"/>
  </si>
  <si>
    <t>[02]ジャージー</t>
    <phoneticPr fontId="59"/>
  </si>
  <si>
    <t>[03]その他の乳用種</t>
    <rPh sb="6" eb="7">
      <t>タ</t>
    </rPh>
    <rPh sb="8" eb="10">
      <t>ニュウヨウ</t>
    </rPh>
    <rPh sb="10" eb="11">
      <t>シュ</t>
    </rPh>
    <phoneticPr fontId="69"/>
  </si>
  <si>
    <t>[05]黒毛和種</t>
    <phoneticPr fontId="59"/>
  </si>
  <si>
    <t>[06]褐毛和種</t>
    <phoneticPr fontId="59"/>
  </si>
  <si>
    <t>[07]日本短角種</t>
    <phoneticPr fontId="59"/>
  </si>
  <si>
    <t>[08]無角和種</t>
    <phoneticPr fontId="59"/>
  </si>
  <si>
    <t>[10]外国種</t>
    <phoneticPr fontId="59"/>
  </si>
  <si>
    <t>[99]その他</t>
    <phoneticPr fontId="59"/>
  </si>
  <si>
    <t>[01]雄</t>
    <rPh sb="4" eb="5">
      <t>オス</t>
    </rPh>
    <phoneticPr fontId="8"/>
  </si>
  <si>
    <t>[02]雌</t>
    <rPh sb="4" eb="5">
      <t>メス</t>
    </rPh>
    <phoneticPr fontId="8"/>
  </si>
  <si>
    <t>[1]ｺﾝｸﾘｰﾄ、れんが、石、ﾌﾞﾛｯｸ</t>
    <rPh sb="14" eb="15">
      <t>イシ</t>
    </rPh>
    <phoneticPr fontId="3"/>
  </si>
  <si>
    <t>[3]木造</t>
    <rPh sb="3" eb="5">
      <t>モクゾウ</t>
    </rPh>
    <phoneticPr fontId="3"/>
  </si>
  <si>
    <t>[5]合成樹脂</t>
    <rPh sb="3" eb="5">
      <t>ゴウセイ</t>
    </rPh>
    <rPh sb="5" eb="7">
      <t>ジュシ</t>
    </rPh>
    <phoneticPr fontId="3"/>
  </si>
  <si>
    <t>[6]塩化ビニール</t>
    <rPh sb="3" eb="5">
      <t>エンカ</t>
    </rPh>
    <phoneticPr fontId="3"/>
  </si>
  <si>
    <t>[7]その他</t>
    <rPh sb="5" eb="6">
      <t>タ</t>
    </rPh>
    <phoneticPr fontId="3"/>
  </si>
  <si>
    <t>償却率</t>
    <rPh sb="0" eb="2">
      <t>ショウキャク</t>
    </rPh>
    <rPh sb="2" eb="3">
      <t>リツ</t>
    </rPh>
    <phoneticPr fontId="3"/>
  </si>
  <si>
    <t>耐用年数</t>
    <rPh sb="0" eb="2">
      <t>タイヨウ</t>
    </rPh>
    <rPh sb="2" eb="4">
      <t>ネンスウ</t>
    </rPh>
    <phoneticPr fontId="1"/>
  </si>
  <si>
    <t>償却率</t>
    <rPh sb="0" eb="3">
      <t>ショウキャクリツ</t>
    </rPh>
    <phoneticPr fontId="1"/>
  </si>
  <si>
    <t>償却率</t>
    <rPh sb="0" eb="2">
      <t>ショウキャク</t>
    </rPh>
    <rPh sb="2" eb="3">
      <t>リツ</t>
    </rPh>
    <phoneticPr fontId="59"/>
  </si>
  <si>
    <t>１年当たりの償却額</t>
    <rPh sb="1" eb="2">
      <t>ネン</t>
    </rPh>
    <rPh sb="2" eb="3">
      <t>ア</t>
    </rPh>
    <rPh sb="6" eb="8">
      <t>ショウキャク</t>
    </rPh>
    <rPh sb="8" eb="9">
      <t>ガク</t>
    </rPh>
    <phoneticPr fontId="3"/>
  </si>
  <si>
    <t>年末</t>
    <rPh sb="0" eb="2">
      <t>ネンマツ</t>
    </rPh>
    <phoneticPr fontId="3"/>
  </si>
  <si>
    <t>部分取り壊し後の
延べ面積</t>
    <rPh sb="0" eb="3">
      <t>ブブント</t>
    </rPh>
    <rPh sb="4" eb="5">
      <t>コワ</t>
    </rPh>
    <rPh sb="6" eb="7">
      <t>ゴ</t>
    </rPh>
    <phoneticPr fontId="3"/>
  </si>
  <si>
    <t>部分取り壊し後の
取得価額</t>
    <rPh sb="0" eb="3">
      <t>ブブント</t>
    </rPh>
    <rPh sb="4" eb="5">
      <t>コワ</t>
    </rPh>
    <rPh sb="6" eb="7">
      <t>ゴ</t>
    </rPh>
    <rPh sb="9" eb="13">
      <t>シュトクカガク</t>
    </rPh>
    <phoneticPr fontId="3"/>
  </si>
  <si>
    <t>年始現在価
又は
取得価額</t>
    <rPh sb="0" eb="2">
      <t>ネンハジ</t>
    </rPh>
    <rPh sb="2" eb="4">
      <t>ゲンザイ</t>
    </rPh>
    <rPh sb="4" eb="5">
      <t>カ</t>
    </rPh>
    <rPh sb="6" eb="7">
      <t>マタ</t>
    </rPh>
    <rPh sb="9" eb="11">
      <t>シュトク</t>
    </rPh>
    <rPh sb="11" eb="13">
      <t>カガク</t>
    </rPh>
    <phoneticPr fontId="3"/>
  </si>
  <si>
    <t>[1]その他・耐用年数３年</t>
    <rPh sb="5" eb="6">
      <t>タ</t>
    </rPh>
    <rPh sb="7" eb="9">
      <t>タイヨウ</t>
    </rPh>
    <rPh sb="9" eb="11">
      <t>ネンスウ</t>
    </rPh>
    <rPh sb="12" eb="13">
      <t>ネン</t>
    </rPh>
    <phoneticPr fontId="35"/>
  </si>
  <si>
    <t>[2]その他・耐用年数４年</t>
    <rPh sb="5" eb="6">
      <t>タ</t>
    </rPh>
    <rPh sb="7" eb="9">
      <t>タイヨウ</t>
    </rPh>
    <rPh sb="9" eb="11">
      <t>ネンスウ</t>
    </rPh>
    <rPh sb="12" eb="13">
      <t>ネン</t>
    </rPh>
    <phoneticPr fontId="35"/>
  </si>
  <si>
    <t>[3]その他・耐用年数５年</t>
    <rPh sb="5" eb="6">
      <t>タ</t>
    </rPh>
    <rPh sb="7" eb="9">
      <t>タイヨウ</t>
    </rPh>
    <rPh sb="9" eb="11">
      <t>ネンスウ</t>
    </rPh>
    <rPh sb="12" eb="13">
      <t>ネン</t>
    </rPh>
    <phoneticPr fontId="35"/>
  </si>
  <si>
    <t>[4]その他・耐用年数６年</t>
    <rPh sb="5" eb="6">
      <t>タ</t>
    </rPh>
    <rPh sb="7" eb="9">
      <t>タイヨウ</t>
    </rPh>
    <rPh sb="9" eb="11">
      <t>ネンスウ</t>
    </rPh>
    <rPh sb="12" eb="13">
      <t>ネン</t>
    </rPh>
    <phoneticPr fontId="35"/>
  </si>
  <si>
    <t>[5]その他・耐用年数７年</t>
    <rPh sb="5" eb="6">
      <t>タ</t>
    </rPh>
    <rPh sb="7" eb="9">
      <t>タイヨウ</t>
    </rPh>
    <rPh sb="9" eb="11">
      <t>ネンスウ</t>
    </rPh>
    <rPh sb="12" eb="13">
      <t>ネン</t>
    </rPh>
    <phoneticPr fontId="35"/>
  </si>
  <si>
    <t>[6]その他</t>
    <phoneticPr fontId="3"/>
  </si>
  <si>
    <t>異動事由コード</t>
    <rPh sb="0" eb="2">
      <t>イドウ</t>
    </rPh>
    <rPh sb="2" eb="4">
      <t>ジユウ</t>
    </rPh>
    <phoneticPr fontId="3"/>
  </si>
  <si>
    <t>売却</t>
    <rPh sb="0" eb="2">
      <t>バイキャク</t>
    </rPh>
    <phoneticPr fontId="8"/>
  </si>
  <si>
    <t>仮売却</t>
    <rPh sb="0" eb="1">
      <t>カリ</t>
    </rPh>
    <rPh sb="1" eb="3">
      <t>バイキャク</t>
    </rPh>
    <phoneticPr fontId="8"/>
  </si>
  <si>
    <t>事故売却</t>
    <rPh sb="0" eb="2">
      <t>ジコ</t>
    </rPh>
    <rPh sb="2" eb="4">
      <t>バイキャク</t>
    </rPh>
    <phoneticPr fontId="8"/>
  </si>
  <si>
    <t>死亡等</t>
    <rPh sb="0" eb="2">
      <t>シボウ</t>
    </rPh>
    <rPh sb="2" eb="3">
      <t>トウ</t>
    </rPh>
    <phoneticPr fontId="8"/>
  </si>
  <si>
    <t>短期売却区分コード</t>
    <rPh sb="0" eb="2">
      <t>タンキ</t>
    </rPh>
    <rPh sb="2" eb="4">
      <t>バイキャク</t>
    </rPh>
    <rPh sb="4" eb="6">
      <t>クブン</t>
    </rPh>
    <phoneticPr fontId="3"/>
  </si>
  <si>
    <t>飼育予定</t>
    <phoneticPr fontId="59"/>
  </si>
  <si>
    <t>売却</t>
    <rPh sb="0" eb="2">
      <t>バイキャク</t>
    </rPh>
    <phoneticPr fontId="59"/>
  </si>
  <si>
    <t>死亡</t>
    <rPh sb="0" eb="2">
      <t>シボウ</t>
    </rPh>
    <phoneticPr fontId="59"/>
  </si>
  <si>
    <t>農業経営基盤強化準備金</t>
    <rPh sb="0" eb="2">
      <t>ノウギョウ</t>
    </rPh>
    <rPh sb="2" eb="4">
      <t>ケイエイ</t>
    </rPh>
    <rPh sb="4" eb="6">
      <t>キバン</t>
    </rPh>
    <rPh sb="6" eb="8">
      <t>キョウカ</t>
    </rPh>
    <rPh sb="8" eb="11">
      <t>ジュンビキン</t>
    </rPh>
    <phoneticPr fontId="3"/>
  </si>
  <si>
    <t>減価償却額（処分差込）</t>
    <rPh sb="0" eb="2">
      <t>ゲンカ</t>
    </rPh>
    <rPh sb="2" eb="5">
      <t>ショウキャクガク</t>
    </rPh>
    <rPh sb="6" eb="8">
      <t>ショブン</t>
    </rPh>
    <rPh sb="8" eb="9">
      <t>サ</t>
    </rPh>
    <rPh sb="9" eb="10">
      <t>コ</t>
    </rPh>
    <phoneticPr fontId="3"/>
  </si>
  <si>
    <t>当年修繕費相当額</t>
    <rPh sb="0" eb="2">
      <t>トウネン</t>
    </rPh>
    <rPh sb="2" eb="5">
      <t>シュウゼンヒ</t>
    </rPh>
    <rPh sb="5" eb="7">
      <t>ソウトウ</t>
    </rPh>
    <rPh sb="7" eb="8">
      <t>ガク</t>
    </rPh>
    <phoneticPr fontId="3"/>
  </si>
  <si>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3"/>
  </si>
  <si>
    <t>うち処分差損失</t>
    <rPh sb="2" eb="4">
      <t>ショブン</t>
    </rPh>
    <rPh sb="4" eb="5">
      <t>サ</t>
    </rPh>
    <rPh sb="5" eb="7">
      <t>ソンシツ</t>
    </rPh>
    <phoneticPr fontId="3"/>
  </si>
  <si>
    <t>認定農業者はいますか。
該当を選択してください。</t>
    <rPh sb="0" eb="2">
      <t>ニンテイ</t>
    </rPh>
    <rPh sb="2" eb="5">
      <t>ノウギョウシャ</t>
    </rPh>
    <phoneticPr fontId="3"/>
  </si>
  <si>
    <t>所有地
（ａ）</t>
    <rPh sb="0" eb="3">
      <t>ショユウチ</t>
    </rPh>
    <phoneticPr fontId="3"/>
  </si>
  <si>
    <t>借入地
（ａ）</t>
    <rPh sb="0" eb="3">
      <t>カリイレチ</t>
    </rPh>
    <phoneticPr fontId="3"/>
  </si>
  <si>
    <t>取得価額</t>
    <rPh sb="0" eb="1">
      <t>トリ</t>
    </rPh>
    <rPh sb="1" eb="2">
      <t>エ</t>
    </rPh>
    <rPh sb="2" eb="3">
      <t>アタイ</t>
    </rPh>
    <rPh sb="3" eb="4">
      <t>ガク</t>
    </rPh>
    <phoneticPr fontId="3"/>
  </si>
  <si>
    <t>　５　光熱動力費</t>
    <rPh sb="3" eb="5">
      <t>コウネツ</t>
    </rPh>
    <rPh sb="5" eb="7">
      <t>ドウリョク</t>
    </rPh>
    <rPh sb="7" eb="8">
      <t>ヒ</t>
    </rPh>
    <phoneticPr fontId="3"/>
  </si>
  <si>
    <t>資材名
（具体的に入力）</t>
    <rPh sb="0" eb="2">
      <t>シザイ</t>
    </rPh>
    <rPh sb="2" eb="3">
      <t>メイ</t>
    </rPh>
    <rPh sb="5" eb="8">
      <t>グタイテキ</t>
    </rPh>
    <phoneticPr fontId="3"/>
  </si>
  <si>
    <t>　　１年間に使用した自給敷料の数量を入力してください。</t>
    <rPh sb="3" eb="5">
      <t>ネンカン</t>
    </rPh>
    <rPh sb="6" eb="8">
      <t>シヨウ</t>
    </rPh>
    <rPh sb="10" eb="12">
      <t>ジキュウ</t>
    </rPh>
    <rPh sb="12" eb="14">
      <t>シキリョウ</t>
    </rPh>
    <rPh sb="15" eb="17">
      <t>スウリョウ</t>
    </rPh>
    <phoneticPr fontId="3"/>
  </si>
  <si>
    <t>【計算結果】</t>
    <rPh sb="1" eb="5">
      <t>ケイサンケッカ</t>
    </rPh>
    <phoneticPr fontId="5"/>
  </si>
  <si>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3"/>
  </si>
  <si>
    <t>　物々交換した場合は、きゅう肥との交換により</t>
    <rPh sb="1" eb="5">
      <t>ブツブツコウカン</t>
    </rPh>
    <rPh sb="7" eb="9">
      <t>バアイ</t>
    </rPh>
    <phoneticPr fontId="3"/>
  </si>
  <si>
    <t>搬出量</t>
    <rPh sb="0" eb="3">
      <t>ハンシュツリョウ</t>
    </rPh>
    <phoneticPr fontId="3"/>
  </si>
  <si>
    <t>販売</t>
    <rPh sb="0" eb="2">
      <t>ハンバイ</t>
    </rPh>
    <phoneticPr fontId="3"/>
  </si>
  <si>
    <t>自家農業仕向</t>
    <rPh sb="0" eb="2">
      <t>ジカ</t>
    </rPh>
    <rPh sb="2" eb="4">
      <t>ノウギョウ</t>
    </rPh>
    <rPh sb="4" eb="6">
      <t>シムケ</t>
    </rPh>
    <phoneticPr fontId="3"/>
  </si>
  <si>
    <t>【職員入力欄】</t>
    <rPh sb="1" eb="3">
      <t>ショクイン</t>
    </rPh>
    <rPh sb="3" eb="6">
      <t>ニュウリョクラン</t>
    </rPh>
    <phoneticPr fontId="5"/>
  </si>
  <si>
    <t>受け取った品目の数量を入力してください。</t>
    <phoneticPr fontId="3"/>
  </si>
  <si>
    <t>とうもろこし</t>
    <phoneticPr fontId="14"/>
  </si>
  <si>
    <t>数　　量</t>
    <phoneticPr fontId="3"/>
  </si>
  <si>
    <t>単価（円）</t>
    <rPh sb="0" eb="2">
      <t>タンカ</t>
    </rPh>
    <rPh sb="3" eb="4">
      <t>エン</t>
    </rPh>
    <phoneticPr fontId="3"/>
  </si>
  <si>
    <t>区分</t>
    <rPh sb="0" eb="2">
      <t>クブン</t>
    </rPh>
    <phoneticPr fontId="3"/>
  </si>
  <si>
    <t>その他の資材等</t>
    <rPh sb="2" eb="3">
      <t>タ</t>
    </rPh>
    <rPh sb="4" eb="6">
      <t>シザイ</t>
    </rPh>
    <rPh sb="6" eb="7">
      <t>トウ</t>
    </rPh>
    <phoneticPr fontId="3"/>
  </si>
  <si>
    <t>金　額（円）</t>
    <phoneticPr fontId="3"/>
  </si>
  <si>
    <t>ガソリン</t>
    <phoneticPr fontId="14"/>
  </si>
  <si>
    <t>光熱動力費</t>
    <rPh sb="0" eb="2">
      <t>コウネツ</t>
    </rPh>
    <rPh sb="2" eb="4">
      <t>ドウリョク</t>
    </rPh>
    <rPh sb="4" eb="5">
      <t>ヒ</t>
    </rPh>
    <phoneticPr fontId="3"/>
  </si>
  <si>
    <t>資材名</t>
    <rPh sb="0" eb="2">
      <t>シザイ</t>
    </rPh>
    <rPh sb="2" eb="3">
      <t>メイ</t>
    </rPh>
    <phoneticPr fontId="3"/>
  </si>
  <si>
    <t>　</t>
    <phoneticPr fontId="3"/>
  </si>
  <si>
    <t>　　なお、内訳欄を利用して「計」の内訳を入力する場合は、その合計が「計」となるよう入力してください。</t>
    <phoneticPr fontId="3"/>
  </si>
  <si>
    <t>【職員入力欄】</t>
    <phoneticPr fontId="5"/>
  </si>
  <si>
    <t>買掛未払金</t>
    <rPh sb="0" eb="2">
      <t>カイカケ</t>
    </rPh>
    <rPh sb="2" eb="4">
      <t>ミハラ</t>
    </rPh>
    <rPh sb="4" eb="5">
      <t>キン</t>
    </rPh>
    <phoneticPr fontId="3"/>
  </si>
  <si>
    <t>借入金</t>
    <rPh sb="0" eb="2">
      <t>カリイレ</t>
    </rPh>
    <rPh sb="2" eb="3">
      <t>キン</t>
    </rPh>
    <phoneticPr fontId="3"/>
  </si>
  <si>
    <t>借入金＋買掛未払金</t>
    <rPh sb="0" eb="1">
      <t>カ</t>
    </rPh>
    <rPh sb="1" eb="2">
      <t>イ</t>
    </rPh>
    <rPh sb="2" eb="3">
      <t>キン</t>
    </rPh>
    <rPh sb="4" eb="6">
      <t>カイカケ</t>
    </rPh>
    <rPh sb="6" eb="8">
      <t>ミハラ</t>
    </rPh>
    <rPh sb="8" eb="9">
      <t>キン</t>
    </rPh>
    <phoneticPr fontId="3"/>
  </si>
  <si>
    <t>支払利子額（円）</t>
    <rPh sb="0" eb="2">
      <t>シハライ</t>
    </rPh>
    <rPh sb="2" eb="4">
      <t>リシ</t>
    </rPh>
    <rPh sb="4" eb="5">
      <t>ガク</t>
    </rPh>
    <rPh sb="6" eb="7">
      <t>エン</t>
    </rPh>
    <phoneticPr fontId="3"/>
  </si>
  <si>
    <t>調査開始時未償還残高（円）</t>
    <rPh sb="0" eb="2">
      <t>チョウサ</t>
    </rPh>
    <rPh sb="2" eb="5">
      <t>カイシジ</t>
    </rPh>
    <rPh sb="5" eb="8">
      <t>ミショウカン</t>
    </rPh>
    <rPh sb="8" eb="10">
      <t>ザンダカ</t>
    </rPh>
    <rPh sb="11" eb="12">
      <t>エン</t>
    </rPh>
    <phoneticPr fontId="3"/>
  </si>
  <si>
    <t>　なお、内訳欄を利用して「計」の内訳を入力する場合は、その合計が「計」となるよう入力してください。</t>
    <phoneticPr fontId="3"/>
  </si>
  <si>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3"/>
  </si>
  <si>
    <t>公課諸負担計</t>
    <rPh sb="0" eb="2">
      <t>コウカ</t>
    </rPh>
    <rPh sb="2" eb="3">
      <t>ショ</t>
    </rPh>
    <rPh sb="3" eb="5">
      <t>フタン</t>
    </rPh>
    <rPh sb="5" eb="6">
      <t>ケイ</t>
    </rPh>
    <phoneticPr fontId="3"/>
  </si>
  <si>
    <t>酪農組合費</t>
    <rPh sb="0" eb="2">
      <t>ラクノウ</t>
    </rPh>
    <rPh sb="2" eb="4">
      <t>クミアイ</t>
    </rPh>
    <rPh sb="4" eb="5">
      <t>ヒ</t>
    </rPh>
    <phoneticPr fontId="3"/>
  </si>
  <si>
    <t>公課諸負担</t>
    <rPh sb="0" eb="5">
      <t>コウカショフタン</t>
    </rPh>
    <phoneticPr fontId="3"/>
  </si>
  <si>
    <t>物件税計</t>
    <rPh sb="0" eb="2">
      <t>ブッケン</t>
    </rPh>
    <rPh sb="2" eb="3">
      <t>ゼイ</t>
    </rPh>
    <rPh sb="3" eb="4">
      <t>ケイ</t>
    </rPh>
    <phoneticPr fontId="3"/>
  </si>
  <si>
    <t>自動車・軽自動車税</t>
    <rPh sb="0" eb="3">
      <t>ジドウシャ</t>
    </rPh>
    <rPh sb="4" eb="8">
      <t>ケイジドウシャ</t>
    </rPh>
    <rPh sb="8" eb="9">
      <t>ゼイ</t>
    </rPh>
    <phoneticPr fontId="3"/>
  </si>
  <si>
    <t>自動車重量税</t>
    <rPh sb="0" eb="3">
      <t>ジドウシャ</t>
    </rPh>
    <rPh sb="3" eb="6">
      <t>ジュウリョウゼイ</t>
    </rPh>
    <phoneticPr fontId="3"/>
  </si>
  <si>
    <t>不動産取得税（土地以外）</t>
    <rPh sb="0" eb="3">
      <t>フドウサン</t>
    </rPh>
    <rPh sb="3" eb="6">
      <t>シュトクゼイ</t>
    </rPh>
    <rPh sb="7" eb="9">
      <t>トチ</t>
    </rPh>
    <rPh sb="9" eb="11">
      <t>イガイ</t>
    </rPh>
    <phoneticPr fontId="3"/>
  </si>
  <si>
    <t>都市計画税（土地以外）</t>
    <rPh sb="0" eb="2">
      <t>トシ</t>
    </rPh>
    <rPh sb="2" eb="4">
      <t>ケイカク</t>
    </rPh>
    <rPh sb="4" eb="5">
      <t>ゼイ</t>
    </rPh>
    <rPh sb="6" eb="8">
      <t>トチ</t>
    </rPh>
    <rPh sb="8" eb="10">
      <t>イガイ</t>
    </rPh>
    <phoneticPr fontId="3"/>
  </si>
  <si>
    <t>固定資産税</t>
    <rPh sb="0" eb="1">
      <t>カタム</t>
    </rPh>
    <rPh sb="1" eb="2">
      <t>サダム</t>
    </rPh>
    <rPh sb="2" eb="5">
      <t>シサンゼイ</t>
    </rPh>
    <phoneticPr fontId="3"/>
  </si>
  <si>
    <t>【職員入力欄】</t>
    <phoneticPr fontId="5"/>
  </si>
  <si>
    <t>生産管理費</t>
    <rPh sb="0" eb="2">
      <t>セイサン</t>
    </rPh>
    <rPh sb="2" eb="5">
      <t>カンリヒ</t>
    </rPh>
    <phoneticPr fontId="3"/>
  </si>
  <si>
    <t>切り返し機（ローダー）</t>
    <rPh sb="0" eb="1">
      <t>キ</t>
    </rPh>
    <rPh sb="2" eb="3">
      <t>カエ</t>
    </rPh>
    <rPh sb="4" eb="5">
      <t>キ</t>
    </rPh>
    <phoneticPr fontId="3"/>
  </si>
  <si>
    <t>トラクター</t>
    <phoneticPr fontId="3"/>
  </si>
  <si>
    <t>貨物自動車</t>
    <rPh sb="0" eb="2">
      <t>カモツ</t>
    </rPh>
    <rPh sb="2" eb="5">
      <t>ジドウシャ</t>
    </rPh>
    <phoneticPr fontId="3"/>
  </si>
  <si>
    <t>（基）</t>
    <rPh sb="1" eb="2">
      <t>モトイ</t>
    </rPh>
    <phoneticPr fontId="3"/>
  </si>
  <si>
    <t>浄化処理施設</t>
    <rPh sb="0" eb="2">
      <t>ジョウカ</t>
    </rPh>
    <rPh sb="2" eb="4">
      <t>ショリ</t>
    </rPh>
    <rPh sb="4" eb="6">
      <t>シセツ</t>
    </rPh>
    <phoneticPr fontId="3"/>
  </si>
  <si>
    <t>（㎡）</t>
    <phoneticPr fontId="3"/>
  </si>
  <si>
    <t>ふん尿貯留槽</t>
    <rPh sb="2" eb="3">
      <t>ニョウ</t>
    </rPh>
    <rPh sb="3" eb="4">
      <t>チョ</t>
    </rPh>
    <rPh sb="4" eb="5">
      <t>ト</t>
    </rPh>
    <rPh sb="5" eb="6">
      <t>ソウ</t>
    </rPh>
    <phoneticPr fontId="3"/>
  </si>
  <si>
    <t>たい肥舎</t>
    <rPh sb="3" eb="4">
      <t>シャ</t>
    </rPh>
    <phoneticPr fontId="3"/>
  </si>
  <si>
    <t>畜舎</t>
    <rPh sb="0" eb="2">
      <t>チクシャ</t>
    </rPh>
    <phoneticPr fontId="3"/>
  </si>
  <si>
    <t>所有状況</t>
    <rPh sb="0" eb="2">
      <t>ショユウ</t>
    </rPh>
    <rPh sb="2" eb="4">
      <t>ジョウキョウ</t>
    </rPh>
    <phoneticPr fontId="3"/>
  </si>
  <si>
    <t>　なお、内訳欄を利用してそれぞれの「計」の内訳を入力する場合は、その合計が「計」となるよう入力してく</t>
    <phoneticPr fontId="3"/>
  </si>
  <si>
    <t>ださい。</t>
  </si>
  <si>
    <t>生産管理関係</t>
    <rPh sb="0" eb="2">
      <t>セイサン</t>
    </rPh>
    <rPh sb="2" eb="4">
      <t>カンリ</t>
    </rPh>
    <rPh sb="4" eb="6">
      <t>カンケイ</t>
    </rPh>
    <phoneticPr fontId="3"/>
  </si>
  <si>
    <t>労賃単価</t>
    <rPh sb="0" eb="2">
      <t>ロウチン</t>
    </rPh>
    <rPh sb="2" eb="4">
      <t>タンカ</t>
    </rPh>
    <phoneticPr fontId="3"/>
  </si>
  <si>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3"/>
  </si>
  <si>
    <t>労働時間</t>
    <rPh sb="0" eb="2">
      <t>ロウドウ</t>
    </rPh>
    <rPh sb="2" eb="4">
      <t>ジカン</t>
    </rPh>
    <phoneticPr fontId="3"/>
  </si>
  <si>
    <t>労働費</t>
    <rPh sb="0" eb="3">
      <t>ロウドウヒ</t>
    </rPh>
    <phoneticPr fontId="3"/>
  </si>
  <si>
    <t>飼料の調理・
給与・給水</t>
    <rPh sb="0" eb="2">
      <t>シリョウ</t>
    </rPh>
    <rPh sb="3" eb="5">
      <t>チョウリ</t>
    </rPh>
    <rPh sb="7" eb="9">
      <t>キュウヨ</t>
    </rPh>
    <rPh sb="10" eb="12">
      <t>キュウスイ</t>
    </rPh>
    <phoneticPr fontId="3"/>
  </si>
  <si>
    <t>敷料搬入・きゅう肥搬出</t>
    <rPh sb="0" eb="2">
      <t>シキリョウ</t>
    </rPh>
    <rPh sb="2" eb="4">
      <t>ハンニュウ</t>
    </rPh>
    <rPh sb="8" eb="9">
      <t>ヒ</t>
    </rPh>
    <rPh sb="9" eb="11">
      <t>ハンシュツ</t>
    </rPh>
    <phoneticPr fontId="3"/>
  </si>
  <si>
    <t>その他の
飼育作業</t>
    <rPh sb="2" eb="3">
      <t>タ</t>
    </rPh>
    <rPh sb="5" eb="7">
      <t>シイク</t>
    </rPh>
    <rPh sb="7" eb="9">
      <t>サギョウ</t>
    </rPh>
    <phoneticPr fontId="3"/>
  </si>
  <si>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3"/>
  </si>
  <si>
    <t>飼料の調理・給与・給水</t>
    <rPh sb="0" eb="2">
      <t>シリョウ</t>
    </rPh>
    <rPh sb="3" eb="5">
      <t>チョウリ</t>
    </rPh>
    <rPh sb="6" eb="8">
      <t>キュウヨ</t>
    </rPh>
    <rPh sb="9" eb="11">
      <t>キュウスイ</t>
    </rPh>
    <phoneticPr fontId="3"/>
  </si>
  <si>
    <t>その他の飼育作業</t>
    <rPh sb="2" eb="3">
      <t>タ</t>
    </rPh>
    <rPh sb="4" eb="6">
      <t>シイク</t>
    </rPh>
    <rPh sb="6" eb="8">
      <t>サギョウ</t>
    </rPh>
    <phoneticPr fontId="3"/>
  </si>
  <si>
    <t>家族労働</t>
    <rPh sb="0" eb="2">
      <t>カゾク</t>
    </rPh>
    <rPh sb="2" eb="4">
      <t>ロウドウ</t>
    </rPh>
    <phoneticPr fontId="3"/>
  </si>
  <si>
    <t>雇用労働</t>
    <rPh sb="0" eb="2">
      <t>コヨウ</t>
    </rPh>
    <rPh sb="2" eb="4">
      <t>ロウドウ</t>
    </rPh>
    <phoneticPr fontId="3"/>
  </si>
  <si>
    <t>雇用</t>
    <rPh sb="0" eb="2">
      <t>コヨウ</t>
    </rPh>
    <phoneticPr fontId="3"/>
  </si>
  <si>
    <t>ゆい・手間替え受け</t>
    <rPh sb="3" eb="5">
      <t>テマ</t>
    </rPh>
    <rPh sb="5" eb="6">
      <t>ガ</t>
    </rPh>
    <rPh sb="7" eb="8">
      <t>ウ</t>
    </rPh>
    <phoneticPr fontId="3"/>
  </si>
  <si>
    <t>手伝い・共同作業受け</t>
    <phoneticPr fontId="3"/>
  </si>
  <si>
    <t>同居人</t>
    <rPh sb="0" eb="3">
      <t>ドウキョニン</t>
    </rPh>
    <phoneticPr fontId="3"/>
  </si>
  <si>
    <t>手伝い・共同作業受け、同居人</t>
    <rPh sb="11" eb="14">
      <t>ドウキョニン</t>
    </rPh>
    <phoneticPr fontId="3"/>
  </si>
  <si>
    <t>直接労働時間</t>
    <rPh sb="0" eb="2">
      <t>チョクセツ</t>
    </rPh>
    <rPh sb="2" eb="4">
      <t>ロウドウ</t>
    </rPh>
    <rPh sb="4" eb="6">
      <t>ジカン</t>
    </rPh>
    <phoneticPr fontId="3"/>
  </si>
  <si>
    <t>直接労働費</t>
    <rPh sb="0" eb="2">
      <t>チョクセツ</t>
    </rPh>
    <rPh sb="2" eb="4">
      <t>ロウドウ</t>
    </rPh>
    <rPh sb="4" eb="5">
      <t>ヒ</t>
    </rPh>
    <phoneticPr fontId="3"/>
  </si>
  <si>
    <t>65歳未満</t>
    <rPh sb="2" eb="3">
      <t>サイ</t>
    </rPh>
    <rPh sb="3" eb="5">
      <t>ミマン</t>
    </rPh>
    <phoneticPr fontId="3"/>
  </si>
  <si>
    <t>65～70</t>
    <phoneticPr fontId="3"/>
  </si>
  <si>
    <t>70～75</t>
    <phoneticPr fontId="3"/>
  </si>
  <si>
    <t>75歳以上</t>
    <rPh sb="2" eb="3">
      <t>サイ</t>
    </rPh>
    <rPh sb="3" eb="5">
      <t>イジョウ</t>
    </rPh>
    <phoneticPr fontId="3"/>
  </si>
  <si>
    <t>生産管理
労働時間</t>
    <rPh sb="0" eb="2">
      <t>セイサン</t>
    </rPh>
    <rPh sb="2" eb="4">
      <t>カンリ</t>
    </rPh>
    <rPh sb="5" eb="7">
      <t>ロウドウ</t>
    </rPh>
    <rPh sb="7" eb="9">
      <t>ジカン</t>
    </rPh>
    <phoneticPr fontId="3"/>
  </si>
  <si>
    <t>間接労働時間</t>
    <rPh sb="0" eb="2">
      <t>カンセツ</t>
    </rPh>
    <rPh sb="2" eb="4">
      <t>ロウドウ</t>
    </rPh>
    <rPh sb="4" eb="6">
      <t>ジカン</t>
    </rPh>
    <phoneticPr fontId="3"/>
  </si>
  <si>
    <t>経営管理
労働時間</t>
    <rPh sb="0" eb="2">
      <t>ケイエイ</t>
    </rPh>
    <rPh sb="2" eb="4">
      <t>カンリ</t>
    </rPh>
    <rPh sb="5" eb="7">
      <t>ロウドウ</t>
    </rPh>
    <rPh sb="7" eb="9">
      <t>ジカン</t>
    </rPh>
    <phoneticPr fontId="3"/>
  </si>
  <si>
    <t>間接労働費</t>
    <rPh sb="0" eb="2">
      <t>カンセツ</t>
    </rPh>
    <rPh sb="2" eb="4">
      <t>ロウドウ</t>
    </rPh>
    <rPh sb="4" eb="5">
      <t>ヒ</t>
    </rPh>
    <phoneticPr fontId="3"/>
  </si>
  <si>
    <t>支払賃金</t>
    <phoneticPr fontId="3"/>
  </si>
  <si>
    <t>労働時間合計</t>
    <rPh sb="0" eb="2">
      <t>ロウドウ</t>
    </rPh>
    <rPh sb="2" eb="4">
      <t>ジカン</t>
    </rPh>
    <rPh sb="4" eb="6">
      <t>ゴウケイ</t>
    </rPh>
    <phoneticPr fontId="3"/>
  </si>
  <si>
    <t>経営管理労働時間</t>
    <rPh sb="0" eb="2">
      <t>ケイエイ</t>
    </rPh>
    <rPh sb="2" eb="4">
      <t>カンリ</t>
    </rPh>
    <rPh sb="4" eb="6">
      <t>ロウドウ</t>
    </rPh>
    <rPh sb="6" eb="8">
      <t>ジカン</t>
    </rPh>
    <phoneticPr fontId="3"/>
  </si>
  <si>
    <t>同居人</t>
    <rPh sb="0" eb="3">
      <t>ドウキョニン</t>
    </rPh>
    <phoneticPr fontId="59"/>
  </si>
  <si>
    <t>消費税（納付額）</t>
    <rPh sb="0" eb="1">
      <t>ケ</t>
    </rPh>
    <rPh sb="1" eb="2">
      <t>ヒ</t>
    </rPh>
    <rPh sb="2" eb="3">
      <t>ゼイ</t>
    </rPh>
    <rPh sb="4" eb="7">
      <t>ノウフガク</t>
    </rPh>
    <phoneticPr fontId="3"/>
  </si>
  <si>
    <t>TDN換算率</t>
    <rPh sb="3" eb="5">
      <t>カンザン</t>
    </rPh>
    <rPh sb="5" eb="6">
      <t>リツ</t>
    </rPh>
    <phoneticPr fontId="3"/>
  </si>
  <si>
    <t>いる</t>
    <phoneticPr fontId="59"/>
  </si>
  <si>
    <t>いない</t>
    <phoneticPr fontId="59"/>
  </si>
  <si>
    <t>認定農業者区分</t>
    <rPh sb="0" eb="2">
      <t>ニンテイ</t>
    </rPh>
    <rPh sb="2" eb="5">
      <t>ノウギョウシャ</t>
    </rPh>
    <rPh sb="5" eb="7">
      <t>クブン</t>
    </rPh>
    <phoneticPr fontId="3"/>
  </si>
  <si>
    <t>調査対象畜負担割合について、養豚以外の経営を行っている場合の設定方法を説明します。</t>
    <rPh sb="0" eb="5">
      <t>チョウサタイショウチク</t>
    </rPh>
    <rPh sb="5" eb="7">
      <t>フタン</t>
    </rPh>
    <rPh sb="7" eb="9">
      <t>ワリアイ</t>
    </rPh>
    <rPh sb="14" eb="16">
      <t>ヨウトン</t>
    </rPh>
    <rPh sb="16" eb="18">
      <t>イガイ</t>
    </rPh>
    <rPh sb="19" eb="21">
      <t>ケイエイ</t>
    </rPh>
    <rPh sb="22" eb="23">
      <t>オコナ</t>
    </rPh>
    <rPh sb="27" eb="29">
      <t>バアイ</t>
    </rPh>
    <rPh sb="30" eb="32">
      <t>セッテイ</t>
    </rPh>
    <phoneticPr fontId="3"/>
  </si>
  <si>
    <t xml:space="preserve"> 　（※　(１)では調査対象畜と豚以外の家畜を飼育している事例、(２)以降は養豚と稲作の</t>
    <rPh sb="10" eb="12">
      <t>チョウサ</t>
    </rPh>
    <rPh sb="12" eb="14">
      <t>タイショウ</t>
    </rPh>
    <rPh sb="14" eb="15">
      <t>チク</t>
    </rPh>
    <rPh sb="16" eb="17">
      <t>ブタ</t>
    </rPh>
    <rPh sb="17" eb="19">
      <t>イガイ</t>
    </rPh>
    <rPh sb="20" eb="22">
      <t>カチク</t>
    </rPh>
    <rPh sb="23" eb="25">
      <t>シイク</t>
    </rPh>
    <rPh sb="29" eb="31">
      <t>ジレイ</t>
    </rPh>
    <rPh sb="35" eb="37">
      <t>イコウ</t>
    </rPh>
    <rPh sb="38" eb="40">
      <t>ヨウトン</t>
    </rPh>
    <rPh sb="41" eb="43">
      <t>イナサク</t>
    </rPh>
    <phoneticPr fontId="3"/>
  </si>
  <si>
    <r>
      <t>この調査は、</t>
    </r>
    <r>
      <rPr>
        <u/>
        <sz val="14"/>
        <color indexed="8"/>
        <rFont val="ＭＳ 明朝"/>
        <family val="1"/>
        <charset val="128"/>
      </rPr>
      <t>「肥育豚の生産コスト」を把握する調査</t>
    </r>
    <r>
      <rPr>
        <sz val="14"/>
        <color indexed="8"/>
        <rFont val="ＭＳ 明朝"/>
        <family val="1"/>
        <charset val="128"/>
      </rPr>
      <t>です。</t>
    </r>
    <rPh sb="2" eb="4">
      <t>チョウサ</t>
    </rPh>
    <rPh sb="7" eb="9">
      <t>ヒイク</t>
    </rPh>
    <rPh sb="9" eb="10">
      <t>トン</t>
    </rPh>
    <rPh sb="11" eb="13">
      <t>セイサン</t>
    </rPh>
    <rPh sb="18" eb="20">
      <t>ハアク</t>
    </rPh>
    <rPh sb="22" eb="24">
      <t>チョウサ</t>
    </rPh>
    <phoneticPr fontId="3"/>
  </si>
  <si>
    <t xml:space="preserve"> 　　　経営を行っている事例で説明します。）</t>
    <rPh sb="4" eb="6">
      <t>ケイエイ</t>
    </rPh>
    <rPh sb="7" eb="8">
      <t>オコナ</t>
    </rPh>
    <rPh sb="12" eb="14">
      <t>ジレイ</t>
    </rPh>
    <rPh sb="15" eb="17">
      <t>セツメイ</t>
    </rPh>
    <phoneticPr fontId="3"/>
  </si>
  <si>
    <t>経営全体の家畜（調査対象畜＋豚以外の家畜）の飼養頭数のうち、調査対象畜の割合</t>
    <rPh sb="0" eb="2">
      <t>ケイエイ</t>
    </rPh>
    <rPh sb="2" eb="4">
      <t>ゼンタイ</t>
    </rPh>
    <rPh sb="5" eb="7">
      <t>カチク</t>
    </rPh>
    <rPh sb="8" eb="10">
      <t>チョウサ</t>
    </rPh>
    <rPh sb="10" eb="12">
      <t>タイショウ</t>
    </rPh>
    <rPh sb="12" eb="13">
      <t>チク</t>
    </rPh>
    <rPh sb="14" eb="15">
      <t>ブタ</t>
    </rPh>
    <rPh sb="15" eb="17">
      <t>イガイ</t>
    </rPh>
    <rPh sb="18" eb="20">
      <t>カチク</t>
    </rPh>
    <rPh sb="22" eb="24">
      <t>シヨウ</t>
    </rPh>
    <rPh sb="24" eb="26">
      <t>トウスウ</t>
    </rPh>
    <rPh sb="30" eb="32">
      <t>チョウサ</t>
    </rPh>
    <rPh sb="32" eb="34">
      <t>タイショウ</t>
    </rPh>
    <rPh sb="34" eb="35">
      <t>チク</t>
    </rPh>
    <rPh sb="36" eb="38">
      <t>ワリアイ</t>
    </rPh>
    <phoneticPr fontId="3"/>
  </si>
  <si>
    <r>
      <t xml:space="preserve">① </t>
    </r>
    <r>
      <rPr>
        <u/>
        <sz val="14"/>
        <color indexed="8"/>
        <rFont val="ＭＳ 明朝"/>
        <family val="1"/>
        <charset val="128"/>
      </rPr>
      <t>肉　豚</t>
    </r>
    <r>
      <rPr>
        <sz val="14"/>
        <color indexed="8"/>
        <rFont val="ＭＳ 明朝"/>
        <family val="1"/>
        <charset val="128"/>
      </rPr>
      <t>・・・肥育して販売する目的で飼育している豚</t>
    </r>
    <rPh sb="2" eb="3">
      <t>ニク</t>
    </rPh>
    <rPh sb="4" eb="5">
      <t>トン</t>
    </rPh>
    <rPh sb="8" eb="10">
      <t>ヒイク</t>
    </rPh>
    <rPh sb="12" eb="14">
      <t>ハンバイ</t>
    </rPh>
    <rPh sb="16" eb="18">
      <t>モクテキ</t>
    </rPh>
    <rPh sb="19" eb="21">
      <t>シイク</t>
    </rPh>
    <rPh sb="25" eb="26">
      <t>ブタ</t>
    </rPh>
    <phoneticPr fontId="3"/>
  </si>
  <si>
    <t xml:space="preserve"> を「調査対象畜負担割合」とします。</t>
    <rPh sb="3" eb="5">
      <t>チョウサ</t>
    </rPh>
    <rPh sb="9" eb="10">
      <t>タン</t>
    </rPh>
    <rPh sb="10" eb="12">
      <t>ワリアイ</t>
    </rPh>
    <phoneticPr fontId="3"/>
  </si>
  <si>
    <r>
      <t xml:space="preserve">② </t>
    </r>
    <r>
      <rPr>
        <u/>
        <sz val="14"/>
        <color indexed="8"/>
        <rFont val="ＭＳ 明朝"/>
        <family val="1"/>
        <charset val="128"/>
      </rPr>
      <t>繁殖豚</t>
    </r>
    <r>
      <rPr>
        <sz val="14"/>
        <color indexed="8"/>
        <rFont val="ＭＳ 明朝"/>
        <family val="1"/>
        <charset val="128"/>
      </rPr>
      <t>・・・繁殖用の雄豚及び雌豚</t>
    </r>
    <rPh sb="2" eb="4">
      <t>ハンショク</t>
    </rPh>
    <rPh sb="4" eb="5">
      <t>ブタ</t>
    </rPh>
    <rPh sb="8" eb="11">
      <t>ハンショクヨウ</t>
    </rPh>
    <rPh sb="12" eb="13">
      <t>オス</t>
    </rPh>
    <rPh sb="13" eb="14">
      <t>ブタ</t>
    </rPh>
    <rPh sb="14" eb="15">
      <t>オヨ</t>
    </rPh>
    <rPh sb="16" eb="17">
      <t>メス</t>
    </rPh>
    <rPh sb="17" eb="18">
      <t>ブタ</t>
    </rPh>
    <phoneticPr fontId="3"/>
  </si>
  <si>
    <t>調査対象畜の飼養頭数</t>
    <rPh sb="0" eb="2">
      <t>チョウサ</t>
    </rPh>
    <rPh sb="2" eb="4">
      <t>タイショウ</t>
    </rPh>
    <rPh sb="4" eb="5">
      <t>チク</t>
    </rPh>
    <rPh sb="6" eb="8">
      <t>シヨウ</t>
    </rPh>
    <rPh sb="8" eb="10">
      <t>トウスウ</t>
    </rPh>
    <phoneticPr fontId="3"/>
  </si>
  <si>
    <r>
      <t xml:space="preserve"> </t>
    </r>
    <r>
      <rPr>
        <sz val="12"/>
        <color indexed="8"/>
        <rFont val="ＭＳ 明朝"/>
        <family val="1"/>
        <charset val="128"/>
      </rPr>
      <t>（繁殖用として育成中の豚、繁殖利用後に肥育して販売する豚）</t>
    </r>
    <rPh sb="2" eb="5">
      <t>ハンショクヨウ</t>
    </rPh>
    <rPh sb="8" eb="11">
      <t>イクセイチュウ</t>
    </rPh>
    <rPh sb="12" eb="13">
      <t>ブタ</t>
    </rPh>
    <rPh sb="14" eb="16">
      <t>ハンショク</t>
    </rPh>
    <rPh sb="16" eb="18">
      <t>リヨウ</t>
    </rPh>
    <rPh sb="18" eb="19">
      <t>ゴ</t>
    </rPh>
    <rPh sb="20" eb="22">
      <t>ヒイク</t>
    </rPh>
    <rPh sb="24" eb="26">
      <t>ハンバイ</t>
    </rPh>
    <rPh sb="28" eb="29">
      <t>ブタ</t>
    </rPh>
    <phoneticPr fontId="3"/>
  </si>
  <si>
    <r>
      <t xml:space="preserve">③ </t>
    </r>
    <r>
      <rPr>
        <u/>
        <sz val="14"/>
        <color indexed="8"/>
        <rFont val="ＭＳ 明朝"/>
        <family val="1"/>
        <charset val="128"/>
      </rPr>
      <t>原種豚</t>
    </r>
    <r>
      <rPr>
        <sz val="14"/>
        <color indexed="8"/>
        <rFont val="ＭＳ 明朝"/>
        <family val="1"/>
        <charset val="128"/>
      </rPr>
      <t>・・・繁殖豚生産のための原種豚</t>
    </r>
    <rPh sb="2" eb="4">
      <t>ゲンシュ</t>
    </rPh>
    <rPh sb="4" eb="5">
      <t>ブタ</t>
    </rPh>
    <rPh sb="8" eb="10">
      <t>ハンショク</t>
    </rPh>
    <rPh sb="10" eb="11">
      <t>ブタ</t>
    </rPh>
    <rPh sb="11" eb="13">
      <t>セイサン</t>
    </rPh>
    <rPh sb="17" eb="19">
      <t>ゲンシュ</t>
    </rPh>
    <rPh sb="19" eb="20">
      <t>ブタ</t>
    </rPh>
    <phoneticPr fontId="3"/>
  </si>
  <si>
    <r>
      <t>調査では、これらの豚を</t>
    </r>
    <r>
      <rPr>
        <sz val="14"/>
        <rFont val="ＭＳ ゴシック"/>
        <family val="3"/>
        <charset val="128"/>
      </rPr>
      <t>「調査対象畜」</t>
    </r>
    <r>
      <rPr>
        <sz val="14"/>
        <rFont val="ＭＳ 明朝"/>
        <family val="1"/>
        <charset val="128"/>
      </rPr>
      <t>といいます。</t>
    </r>
    <rPh sb="0" eb="2">
      <t>チョウサ</t>
    </rPh>
    <rPh sb="9" eb="10">
      <t>ブタ</t>
    </rPh>
    <rPh sb="12" eb="14">
      <t>チョウサ</t>
    </rPh>
    <rPh sb="14" eb="16">
      <t>タイショウ</t>
    </rPh>
    <rPh sb="16" eb="17">
      <t>チク</t>
    </rPh>
    <phoneticPr fontId="3"/>
  </si>
  <si>
    <t>（２）倉庫の場合</t>
    <rPh sb="3" eb="5">
      <t>ソウコ</t>
    </rPh>
    <rPh sb="6" eb="8">
      <t>バアイ</t>
    </rPh>
    <phoneticPr fontId="3"/>
  </si>
  <si>
    <t>ください。</t>
    <phoneticPr fontId="3"/>
  </si>
  <si>
    <t>倉庫の全面積のうち、調査対象畜の飼育のために使用した面積の割合を「調査対象畜負</t>
    <rPh sb="0" eb="2">
      <t>ソウコ</t>
    </rPh>
    <rPh sb="3" eb="6">
      <t>ゼンメンセキ</t>
    </rPh>
    <rPh sb="10" eb="15">
      <t>チョウサタイショウチク</t>
    </rPh>
    <rPh sb="16" eb="18">
      <t>シイク</t>
    </rPh>
    <rPh sb="22" eb="24">
      <t>シヨウ</t>
    </rPh>
    <rPh sb="26" eb="28">
      <t>メンセキ</t>
    </rPh>
    <rPh sb="29" eb="31">
      <t>ワリアイ</t>
    </rPh>
    <rPh sb="33" eb="35">
      <t>チョウサ</t>
    </rPh>
    <rPh sb="35" eb="37">
      <t>タイショウ</t>
    </rPh>
    <rPh sb="37" eb="38">
      <t>チク</t>
    </rPh>
    <rPh sb="38" eb="39">
      <t>フ</t>
    </rPh>
    <phoneticPr fontId="3"/>
  </si>
  <si>
    <r>
      <t>例えば、調査対象畜以外の家畜を飼育している場合には、</t>
    </r>
    <r>
      <rPr>
        <u/>
        <sz val="14"/>
        <rFont val="ＭＳ 明朝"/>
        <family val="1"/>
        <charset val="128"/>
      </rPr>
      <t>調査対象畜分の経</t>
    </r>
    <rPh sb="0" eb="1">
      <t>タト</t>
    </rPh>
    <rPh sb="4" eb="9">
      <t>チョウサタイショウチク</t>
    </rPh>
    <rPh sb="9" eb="11">
      <t>イガイ</t>
    </rPh>
    <rPh sb="12" eb="14">
      <t>カチク</t>
    </rPh>
    <rPh sb="15" eb="17">
      <t>シイク</t>
    </rPh>
    <rPh sb="21" eb="23">
      <t>バアイ</t>
    </rPh>
    <phoneticPr fontId="3"/>
  </si>
  <si>
    <t xml:space="preserve"> 担割合」とします。</t>
    <phoneticPr fontId="3"/>
  </si>
  <si>
    <t xml:space="preserve"> 査対象畜負担割合」とします。</t>
    <rPh sb="7" eb="9">
      <t>ワリアイ</t>
    </rPh>
    <phoneticPr fontId="3"/>
  </si>
  <si>
    <t>１月</t>
    <rPh sb="1" eb="2">
      <t>ガツ</t>
    </rPh>
    <phoneticPr fontId="3"/>
  </si>
  <si>
    <t>10月</t>
    <rPh sb="2" eb="3">
      <t>ガツ</t>
    </rPh>
    <phoneticPr fontId="3"/>
  </si>
  <si>
    <t>11月</t>
    <rPh sb="2" eb="3">
      <t>ガツ</t>
    </rPh>
    <phoneticPr fontId="3"/>
  </si>
  <si>
    <t>12月</t>
    <rPh sb="2" eb="3">
      <t>ガツ</t>
    </rPh>
    <phoneticPr fontId="3"/>
  </si>
  <si>
    <t>【２】生産物の販売等の状況</t>
  </si>
  <si>
    <t>１　豚の飼養状況</t>
  </si>
  <si>
    <t>(1) 肥育豚</t>
  </si>
  <si>
    <t>毎月始め（１日現在）の
｢肥育豚｣、｢子豚｣の飼養頭数（頭）</t>
    <phoneticPr fontId="3"/>
  </si>
  <si>
    <t>３月</t>
    <rPh sb="1" eb="2">
      <t>ガツ</t>
    </rPh>
    <phoneticPr fontId="3"/>
  </si>
  <si>
    <t>２月</t>
    <rPh sb="1" eb="2">
      <t>ガツ</t>
    </rPh>
    <phoneticPr fontId="3"/>
  </si>
  <si>
    <t>４月</t>
    <rPh sb="1" eb="2">
      <t>ガツ</t>
    </rPh>
    <phoneticPr fontId="3"/>
  </si>
  <si>
    <t>５月</t>
    <rPh sb="1" eb="2">
      <t>ガツ</t>
    </rPh>
    <phoneticPr fontId="3"/>
  </si>
  <si>
    <t>６月</t>
    <rPh sb="1" eb="2">
      <t>ガツ</t>
    </rPh>
    <phoneticPr fontId="3"/>
  </si>
  <si>
    <t>７月</t>
    <rPh sb="1" eb="2">
      <t>ガツ</t>
    </rPh>
    <phoneticPr fontId="3"/>
  </si>
  <si>
    <t>８月</t>
    <rPh sb="1" eb="2">
      <t>ガツ</t>
    </rPh>
    <phoneticPr fontId="3"/>
  </si>
  <si>
    <t>９月</t>
    <rPh sb="1" eb="2">
      <t>ガツ</t>
    </rPh>
    <phoneticPr fontId="3"/>
  </si>
  <si>
    <t>(2) 繁殖豚（後継豚を含む。）</t>
  </si>
  <si>
    <t>年始め（１月１日現在）の繁殖豚の飼養頭数（頭）</t>
  </si>
  <si>
    <t>繁殖雌豚</t>
  </si>
  <si>
    <t>種雄豚</t>
  </si>
  <si>
    <t>後継繁殖雌豚</t>
  </si>
  <si>
    <t>後継種雄豚</t>
  </si>
  <si>
    <t>２　きゅう肥の利用状況</t>
  </si>
  <si>
    <t>種類</t>
    <rPh sb="0" eb="2">
      <t>シュルイ</t>
    </rPh>
    <phoneticPr fontId="3"/>
  </si>
  <si>
    <t>肥育豚</t>
    <rPh sb="0" eb="2">
      <t>ヒイク</t>
    </rPh>
    <rPh sb="2" eb="3">
      <t>ブタ</t>
    </rPh>
    <phoneticPr fontId="3"/>
  </si>
  <si>
    <t>繁殖豚</t>
    <rPh sb="0" eb="2">
      <t>ハンショク</t>
    </rPh>
    <rPh sb="2" eb="3">
      <t>ブタ</t>
    </rPh>
    <phoneticPr fontId="3"/>
  </si>
  <si>
    <t>頭</t>
    <rPh sb="0" eb="1">
      <t>アタマ</t>
    </rPh>
    <phoneticPr fontId="3"/>
  </si>
  <si>
    <t>平均的な飼養頭数</t>
    <rPh sb="0" eb="2">
      <t>ヘイキン</t>
    </rPh>
    <rPh sb="2" eb="3">
      <t>テキ</t>
    </rPh>
    <rPh sb="4" eb="6">
      <t>シヨウ</t>
    </rPh>
    <rPh sb="6" eb="8">
      <t>トウスウ</t>
    </rPh>
    <phoneticPr fontId="3"/>
  </si>
  <si>
    <t>１頭当たり排せつ物量（トン）</t>
    <rPh sb="1" eb="2">
      <t>アタマ</t>
    </rPh>
    <rPh sb="2" eb="3">
      <t>ア</t>
    </rPh>
    <rPh sb="5" eb="6">
      <t>ハイ</t>
    </rPh>
    <rPh sb="8" eb="9">
      <t>ブツ</t>
    </rPh>
    <rPh sb="9" eb="10">
      <t>リョウ</t>
    </rPh>
    <phoneticPr fontId="3"/>
  </si>
  <si>
    <t>ふん</t>
    <phoneticPr fontId="3"/>
  </si>
  <si>
    <t>尿</t>
    <rPh sb="0" eb="1">
      <t>ニョウ</t>
    </rPh>
    <phoneticPr fontId="3"/>
  </si>
  <si>
    <t>価額（円）</t>
    <rPh sb="0" eb="2">
      <t>カガク</t>
    </rPh>
    <rPh sb="3" eb="4">
      <t>エン</t>
    </rPh>
    <phoneticPr fontId="3"/>
  </si>
  <si>
    <t>数　量（kg）</t>
    <rPh sb="0" eb="1">
      <t>カズ</t>
    </rPh>
    <rPh sb="2" eb="3">
      <t>リョウ</t>
    </rPh>
    <phoneticPr fontId="3"/>
  </si>
  <si>
    <t>区分</t>
    <rPh sb="0" eb="2">
      <t>クブン</t>
    </rPh>
    <phoneticPr fontId="3"/>
  </si>
  <si>
    <t>３　肥育豚の販売状況等</t>
    <phoneticPr fontId="3"/>
  </si>
  <si>
    <t>　１年間に販売した肥育豚について、販売頭数、販売価額、月齢、生体重の合計を、黄色の「計」の</t>
    <rPh sb="2" eb="4">
      <t>ネンカン</t>
    </rPh>
    <rPh sb="5" eb="7">
      <t>ハンバイ</t>
    </rPh>
    <rPh sb="9" eb="12">
      <t>ヒイクトン</t>
    </rPh>
    <rPh sb="17" eb="19">
      <t>ハンバイ</t>
    </rPh>
    <rPh sb="19" eb="21">
      <t>トウスウ</t>
    </rPh>
    <rPh sb="22" eb="24">
      <t>ハンバイ</t>
    </rPh>
    <rPh sb="24" eb="26">
      <t>カガク</t>
    </rPh>
    <rPh sb="27" eb="29">
      <t>ゲツレイ</t>
    </rPh>
    <rPh sb="30" eb="31">
      <t>セイ</t>
    </rPh>
    <rPh sb="31" eb="33">
      <t>タイジュウ</t>
    </rPh>
    <rPh sb="34" eb="36">
      <t>ゴウケイ</t>
    </rPh>
    <phoneticPr fontId="3"/>
  </si>
  <si>
    <t>ださい。</t>
    <phoneticPr fontId="3"/>
  </si>
  <si>
    <t>月</t>
    <rPh sb="0" eb="1">
      <t>ツキ</t>
    </rPh>
    <phoneticPr fontId="3"/>
  </si>
  <si>
    <t>販売頭数（頭）</t>
    <rPh sb="0" eb="2">
      <t>ハンバイ</t>
    </rPh>
    <rPh sb="2" eb="4">
      <t>トウスウ</t>
    </rPh>
    <rPh sb="5" eb="6">
      <t>アタマ</t>
    </rPh>
    <phoneticPr fontId="3"/>
  </si>
  <si>
    <t>月齢（月）</t>
    <rPh sb="0" eb="2">
      <t>ゲツレイ</t>
    </rPh>
    <rPh sb="3" eb="4">
      <t>ツキ</t>
    </rPh>
    <phoneticPr fontId="3"/>
  </si>
  <si>
    <t>生体重（㎏）</t>
    <rPh sb="0" eb="2">
      <t>セイタイ</t>
    </rPh>
    <rPh sb="2" eb="3">
      <t>オモ</t>
    </rPh>
    <phoneticPr fontId="3"/>
  </si>
  <si>
    <t>計</t>
    <rPh sb="0" eb="1">
      <t>ケイ</t>
    </rPh>
    <phoneticPr fontId="3"/>
  </si>
  <si>
    <t>４　肥育豚以外の販売状況</t>
    <phoneticPr fontId="3"/>
  </si>
  <si>
    <t>　１年間に販売した子豚、繁殖雌豚、種雄豚、</t>
    <rPh sb="5" eb="7">
      <t>ハンバイ</t>
    </rPh>
    <rPh sb="12" eb="14">
      <t>ハンショク</t>
    </rPh>
    <rPh sb="14" eb="15">
      <t>メス</t>
    </rPh>
    <rPh sb="15" eb="16">
      <t>ブタ</t>
    </rPh>
    <rPh sb="17" eb="18">
      <t>タネ</t>
    </rPh>
    <rPh sb="18" eb="19">
      <t>オス</t>
    </rPh>
    <rPh sb="19" eb="20">
      <t>ブタ</t>
    </rPh>
    <phoneticPr fontId="3"/>
  </si>
  <si>
    <t>子豚</t>
    <rPh sb="0" eb="2">
      <t>コブタ</t>
    </rPh>
    <phoneticPr fontId="3"/>
  </si>
  <si>
    <t>繁殖雌豚</t>
    <rPh sb="0" eb="2">
      <t>ハンショク</t>
    </rPh>
    <rPh sb="2" eb="3">
      <t>メス</t>
    </rPh>
    <rPh sb="3" eb="4">
      <t>ブタ</t>
    </rPh>
    <phoneticPr fontId="3"/>
  </si>
  <si>
    <t>種雄豚</t>
    <rPh sb="0" eb="1">
      <t>タネ</t>
    </rPh>
    <rPh sb="1" eb="2">
      <t>オス</t>
    </rPh>
    <rPh sb="2" eb="3">
      <t>ブタ</t>
    </rPh>
    <phoneticPr fontId="3"/>
  </si>
  <si>
    <t>事故豚</t>
    <rPh sb="0" eb="2">
      <t>ジコ</t>
    </rPh>
    <rPh sb="2" eb="3">
      <t>ブタ</t>
    </rPh>
    <phoneticPr fontId="3"/>
  </si>
  <si>
    <t>肥育用・繁殖用として販売した豚、通常の出荷体重前に肉用として販売した豚</t>
    <phoneticPr fontId="3"/>
  </si>
  <si>
    <t>廃用後販売した繁殖雌豚（廃用後、肥育して販売した豚を含む。）</t>
    <phoneticPr fontId="3"/>
  </si>
  <si>
    <t>廃用後、販売した種雄豚（廃用後、肥育して販売した豚を含む。）</t>
  </si>
  <si>
    <t>事故等によりとう汰し、販売した豚</t>
  </si>
  <si>
    <t>用語の説明</t>
    <rPh sb="0" eb="2">
      <t>ヨウゴ</t>
    </rPh>
    <rPh sb="3" eb="5">
      <t>セツメイ</t>
    </rPh>
    <phoneticPr fontId="3"/>
  </si>
  <si>
    <t>頭数（頭）</t>
    <rPh sb="0" eb="2">
      <t>トウスウ</t>
    </rPh>
    <rPh sb="3" eb="4">
      <t>アタマ</t>
    </rPh>
    <phoneticPr fontId="3"/>
  </si>
  <si>
    <t>平均月齢
（月）</t>
    <rPh sb="0" eb="2">
      <t>ヘイキン</t>
    </rPh>
    <rPh sb="2" eb="4">
      <t>ゲツレイ</t>
    </rPh>
    <rPh sb="6" eb="7">
      <t>ツキ</t>
    </rPh>
    <phoneticPr fontId="3"/>
  </si>
  <si>
    <t>平均月齢（月）</t>
    <rPh sb="0" eb="2">
      <t>ヘイキン</t>
    </rPh>
    <rPh sb="2" eb="4">
      <t>ゲツレイ</t>
    </rPh>
    <rPh sb="5" eb="6">
      <t>ツキ</t>
    </rPh>
    <phoneticPr fontId="3"/>
  </si>
  <si>
    <t>５　子豚等の購入状況</t>
    <rPh sb="2" eb="4">
      <t>コブタ</t>
    </rPh>
    <rPh sb="4" eb="5">
      <t>ナド</t>
    </rPh>
    <rPh sb="6" eb="8">
      <t>コウニュウ</t>
    </rPh>
    <rPh sb="8" eb="10">
      <t>ジョウキョウ</t>
    </rPh>
    <phoneticPr fontId="2"/>
  </si>
  <si>
    <t>肥育用として購入した子豚</t>
    <phoneticPr fontId="3"/>
  </si>
  <si>
    <t>子取り用として購入した雌豚（将来、繁殖雌豚とする予定の子豚を含む。）</t>
    <phoneticPr fontId="3"/>
  </si>
  <si>
    <t>種付用として購入した雄豚（将来、種雄豚とする予定の子豚を含む。）</t>
    <phoneticPr fontId="3"/>
  </si>
  <si>
    <t>６　繁殖雌豚の分べん状況</t>
    <phoneticPr fontId="3"/>
  </si>
  <si>
    <t>　</t>
    <phoneticPr fontId="3"/>
  </si>
  <si>
    <t>分べんした繁殖雌豚（頭）</t>
    <rPh sb="0" eb="1">
      <t>ブン</t>
    </rPh>
    <rPh sb="5" eb="7">
      <t>ハンショク</t>
    </rPh>
    <rPh sb="7" eb="8">
      <t>メス</t>
    </rPh>
    <rPh sb="8" eb="9">
      <t>ブタ</t>
    </rPh>
    <rPh sb="10" eb="11">
      <t>アタマ</t>
    </rPh>
    <phoneticPr fontId="3"/>
  </si>
  <si>
    <t>子豚分べん頭数
（頭）</t>
    <rPh sb="0" eb="2">
      <t>コブタ</t>
    </rPh>
    <rPh sb="2" eb="3">
      <t>ブン</t>
    </rPh>
    <rPh sb="5" eb="7">
      <t>トウスウ</t>
    </rPh>
    <rPh sb="9" eb="10">
      <t>アタマ</t>
    </rPh>
    <phoneticPr fontId="3"/>
  </si>
  <si>
    <t>７　死亡・とう汰した豚の状況</t>
    <phoneticPr fontId="3"/>
  </si>
  <si>
    <t>　　</t>
    <phoneticPr fontId="2"/>
  </si>
  <si>
    <t>　</t>
    <phoneticPr fontId="2"/>
  </si>
  <si>
    <t>死亡・とう汰頭数
（頭）</t>
    <rPh sb="0" eb="2">
      <t>シボウ</t>
    </rPh>
    <rPh sb="5" eb="6">
      <t>タ</t>
    </rPh>
    <rPh sb="6" eb="8">
      <t>アタマカズ</t>
    </rPh>
    <rPh sb="10" eb="11">
      <t>アタマ</t>
    </rPh>
    <phoneticPr fontId="3"/>
  </si>
  <si>
    <t>植物性かす類</t>
    <rPh sb="0" eb="3">
      <t>ショクブツセイ</t>
    </rPh>
    <rPh sb="5" eb="6">
      <t>ルイ</t>
    </rPh>
    <phoneticPr fontId="14"/>
  </si>
  <si>
    <t>エコフィード</t>
    <phoneticPr fontId="14"/>
  </si>
  <si>
    <t>脱脂乳</t>
    <rPh sb="0" eb="3">
      <t>ダッシニュウ</t>
    </rPh>
    <phoneticPr fontId="14"/>
  </si>
  <si>
    <t>　種付けに支払った料金を入力してください。（精液代、種付料等）</t>
    <rPh sb="1" eb="3">
      <t>タネツ</t>
    </rPh>
    <rPh sb="5" eb="7">
      <t>シハラ</t>
    </rPh>
    <rPh sb="9" eb="11">
      <t>リョウキン</t>
    </rPh>
    <phoneticPr fontId="3"/>
  </si>
  <si>
    <t>　　１年間に調査対象畜に使用した光熱動力の購入金額（料金）を、黄色の「計」の欄に入力してください。</t>
    <rPh sb="3" eb="5">
      <t>ネンカン</t>
    </rPh>
    <rPh sb="6" eb="8">
      <t>チョウサ</t>
    </rPh>
    <rPh sb="8" eb="10">
      <t>タイショウ</t>
    </rPh>
    <rPh sb="10" eb="11">
      <t>チク</t>
    </rPh>
    <rPh sb="12" eb="14">
      <t>シヨウ</t>
    </rPh>
    <phoneticPr fontId="3"/>
  </si>
  <si>
    <t>　　なお、内訳欄を利用して「計」の内訳を入力する場合は、その合計が「計」となるよう入力してください。</t>
    <phoneticPr fontId="3"/>
  </si>
  <si>
    <t>　　１年間に調査対象畜に使用した光熱動力の数量を入力してください。</t>
    <rPh sb="3" eb="5">
      <t>ネンカン</t>
    </rPh>
    <rPh sb="12" eb="13">
      <t>シ</t>
    </rPh>
    <phoneticPr fontId="3"/>
  </si>
  <si>
    <t>　１年間に調査対象畜の治療や衛生管理のために支払った料金等を、黄色の「計」の欄に入力してください。</t>
    <rPh sb="2" eb="4">
      <t>ネンカン</t>
    </rPh>
    <rPh sb="5" eb="10">
      <t>チョウサタイショウチク</t>
    </rPh>
    <rPh sb="11" eb="13">
      <t>チリョウ</t>
    </rPh>
    <rPh sb="14" eb="16">
      <t>エイセイ</t>
    </rPh>
    <rPh sb="16" eb="18">
      <t>カンリ</t>
    </rPh>
    <phoneticPr fontId="3"/>
  </si>
  <si>
    <t>豚に直接使用した医薬品及び衛生薬品</t>
    <rPh sb="0" eb="1">
      <t>ブタ</t>
    </rPh>
    <rPh sb="2" eb="4">
      <t>チョクセツ</t>
    </rPh>
    <rPh sb="4" eb="6">
      <t>シヨウ</t>
    </rPh>
    <rPh sb="8" eb="11">
      <t>イヤクヒン</t>
    </rPh>
    <rPh sb="11" eb="12">
      <t>オヨ</t>
    </rPh>
    <rPh sb="13" eb="15">
      <t>エイセイ</t>
    </rPh>
    <rPh sb="15" eb="17">
      <t>ヤクヒン</t>
    </rPh>
    <phoneticPr fontId="3"/>
  </si>
  <si>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3"/>
  </si>
  <si>
    <t>　１年間に支払った賃借料や料金について、黄色の「計」の欄に入力してください。</t>
    <rPh sb="2" eb="4">
      <t>ネンカン</t>
    </rPh>
    <rPh sb="5" eb="7">
      <t>シハラ</t>
    </rPh>
    <rPh sb="9" eb="12">
      <t>チンシャクリョウ</t>
    </rPh>
    <rPh sb="13" eb="15">
      <t>リョウキン</t>
    </rPh>
    <phoneticPr fontId="3"/>
  </si>
  <si>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3"/>
  </si>
  <si>
    <t>義務付けられている検査の費用、建物賃借料等</t>
    <rPh sb="0" eb="2">
      <t>ギム</t>
    </rPh>
    <rPh sb="2" eb="3">
      <t>ツ</t>
    </rPh>
    <rPh sb="9" eb="11">
      <t>ケンサ</t>
    </rPh>
    <rPh sb="12" eb="14">
      <t>ヒヨウ</t>
    </rPh>
    <rPh sb="15" eb="17">
      <t>タテモノ</t>
    </rPh>
    <rPh sb="17" eb="20">
      <t>チンシャクリョウ</t>
    </rPh>
    <rPh sb="20" eb="21">
      <t>トウ</t>
    </rPh>
    <phoneticPr fontId="3"/>
  </si>
  <si>
    <t>単価（円）</t>
    <rPh sb="0" eb="2">
      <t>タンカ</t>
    </rPh>
    <phoneticPr fontId="3"/>
  </si>
  <si>
    <t>　前記１～７以外で、１年間に調査対象畜に使用した購入資材の金額及び自給した</t>
    <rPh sb="1" eb="3">
      <t>ゼンキ</t>
    </rPh>
    <rPh sb="11" eb="13">
      <t>ネンカン</t>
    </rPh>
    <rPh sb="14" eb="19">
      <t>チョウサタイショウチク</t>
    </rPh>
    <phoneticPr fontId="3"/>
  </si>
  <si>
    <t>資材の数量を、黄色の欄に入力してください。</t>
  </si>
  <si>
    <t>　また、「資材名」欄には、資材の詳細を具体的に入力してください。</t>
    <rPh sb="9" eb="10">
      <t>ラン</t>
    </rPh>
    <phoneticPr fontId="3"/>
  </si>
  <si>
    <t>　なお、内訳欄を利用して「計」の内訳を入力する場合は、その合計が「計」とな</t>
    <phoneticPr fontId="3"/>
  </si>
  <si>
    <t>るよう入力してください。</t>
    <phoneticPr fontId="3"/>
  </si>
  <si>
    <t>　１年間に負担した調査対象畜に関係する各種税金を、黄色の「計」の欄に入力してください。</t>
    <rPh sb="2" eb="4">
      <t>ネンカン</t>
    </rPh>
    <rPh sb="5" eb="7">
      <t>フタン</t>
    </rPh>
    <rPh sb="9" eb="14">
      <t>チョウサタイショウチク</t>
    </rPh>
    <rPh sb="15" eb="17">
      <t>カンケイ</t>
    </rPh>
    <phoneticPr fontId="3"/>
  </si>
  <si>
    <t>　１年間に負担した調査対象畜に関係する公課諸負担を、黄色の「計」の欄に入力してください。</t>
    <rPh sb="2" eb="4">
      <t>ネンカン</t>
    </rPh>
    <rPh sb="5" eb="7">
      <t>フタン</t>
    </rPh>
    <rPh sb="9" eb="14">
      <t>チョウサタイショウチク</t>
    </rPh>
    <rPh sb="15" eb="17">
      <t>カンケイ</t>
    </rPh>
    <phoneticPr fontId="3"/>
  </si>
  <si>
    <t>養豚組合費</t>
    <rPh sb="0" eb="2">
      <t>ヨウトン</t>
    </rPh>
    <rPh sb="2" eb="5">
      <t>クミアイヒ</t>
    </rPh>
    <phoneticPr fontId="3"/>
  </si>
  <si>
    <t>　消費税申告書により申告した養豚分の消費税額を入力してください。</t>
    <rPh sb="1" eb="4">
      <t>ショウヒゼイ</t>
    </rPh>
    <rPh sb="4" eb="6">
      <t>シンコク</t>
    </rPh>
    <rPh sb="6" eb="7">
      <t>ショ</t>
    </rPh>
    <rPh sb="10" eb="12">
      <t>シンコク</t>
    </rPh>
    <rPh sb="14" eb="16">
      <t>ヨウトン</t>
    </rPh>
    <rPh sb="16" eb="17">
      <t>ブン</t>
    </rPh>
    <rPh sb="18" eb="21">
      <t>ショウヒゼイ</t>
    </rPh>
    <rPh sb="21" eb="22">
      <t>ガク</t>
    </rPh>
    <phoneticPr fontId="3"/>
  </si>
  <si>
    <t>　調査対象畜関係の借入金について、調査開始時（１月１日）の未償還残高、買掛未払金、黄色の欄に入力してください。</t>
    <rPh sb="1" eb="3">
      <t>チョウサ</t>
    </rPh>
    <rPh sb="3" eb="5">
      <t>タイショウ</t>
    </rPh>
    <rPh sb="5" eb="6">
      <t>チク</t>
    </rPh>
    <rPh sb="6" eb="8">
      <t>カンケイ</t>
    </rPh>
    <rPh sb="9" eb="12">
      <t>カリイレキン</t>
    </rPh>
    <rPh sb="24" eb="25">
      <t>ツキ</t>
    </rPh>
    <rPh sb="26" eb="27">
      <t>ニチ</t>
    </rPh>
    <rPh sb="37" eb="40">
      <t>ミハライキン</t>
    </rPh>
    <phoneticPr fontId="3"/>
  </si>
  <si>
    <t>【７】出荷に要した経費</t>
    <rPh sb="3" eb="5">
      <t>シュッカ</t>
    </rPh>
    <rPh sb="6" eb="7">
      <t>ヨウ</t>
    </rPh>
    <rPh sb="9" eb="11">
      <t>ケイヒ</t>
    </rPh>
    <phoneticPr fontId="3"/>
  </si>
  <si>
    <t>区分</t>
    <rPh sb="0" eb="2">
      <t>クブン</t>
    </rPh>
    <phoneticPr fontId="3"/>
  </si>
  <si>
    <t>労働時間（時間）</t>
    <rPh sb="0" eb="2">
      <t>ロウドウ</t>
    </rPh>
    <rPh sb="2" eb="4">
      <t>ジカン</t>
    </rPh>
    <rPh sb="5" eb="7">
      <t>ジカン</t>
    </rPh>
    <phoneticPr fontId="3"/>
  </si>
  <si>
    <t>材　　料（円）</t>
    <rPh sb="0" eb="1">
      <t>ザイ</t>
    </rPh>
    <rPh sb="3" eb="4">
      <t>リョウ</t>
    </rPh>
    <rPh sb="5" eb="6">
      <t>エン</t>
    </rPh>
    <phoneticPr fontId="3"/>
  </si>
  <si>
    <t>料　　金（円）</t>
    <rPh sb="0" eb="1">
      <t>リョウ</t>
    </rPh>
    <rPh sb="3" eb="4">
      <t>キン</t>
    </rPh>
    <rPh sb="5" eb="6">
      <t>エン</t>
    </rPh>
    <phoneticPr fontId="3"/>
  </si>
  <si>
    <t>金額、時間</t>
    <rPh sb="0" eb="2">
      <t>キンガク</t>
    </rPh>
    <rPh sb="3" eb="5">
      <t>ジカン</t>
    </rPh>
    <phoneticPr fontId="3"/>
  </si>
  <si>
    <t>出荷に要した経費の例示</t>
    <rPh sb="0" eb="2">
      <t>シュッカ</t>
    </rPh>
    <rPh sb="3" eb="4">
      <t>ヨウ</t>
    </rPh>
    <rPh sb="6" eb="8">
      <t>ケイヒ</t>
    </rPh>
    <rPh sb="9" eb="11">
      <t>レイジ</t>
    </rPh>
    <phoneticPr fontId="3"/>
  </si>
  <si>
    <t>出荷に使用したガソリン代、資材（手綱、鼻木等）の購入代金　等</t>
    <rPh sb="0" eb="2">
      <t>シュッカ</t>
    </rPh>
    <rPh sb="3" eb="5">
      <t>シヨウ</t>
    </rPh>
    <rPh sb="11" eb="12">
      <t>ダイ</t>
    </rPh>
    <rPh sb="13" eb="15">
      <t>シザイ</t>
    </rPh>
    <rPh sb="16" eb="18">
      <t>タヅナ</t>
    </rPh>
    <rPh sb="19" eb="20">
      <t>ハナ</t>
    </rPh>
    <rPh sb="20" eb="21">
      <t>キ</t>
    </rPh>
    <rPh sb="21" eb="22">
      <t>トウ</t>
    </rPh>
    <rPh sb="24" eb="26">
      <t>コウニュウ</t>
    </rPh>
    <rPh sb="26" eb="28">
      <t>ダイキン</t>
    </rPh>
    <rPh sb="29" eb="30">
      <t>トウ</t>
    </rPh>
    <phoneticPr fontId="3"/>
  </si>
  <si>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3"/>
  </si>
  <si>
    <t>肥育豚を販売する際の家畜市場等の販売先までの運搬に要した時間</t>
    <rPh sb="0" eb="2">
      <t>ヒイク</t>
    </rPh>
    <rPh sb="2" eb="3">
      <t>ブタ</t>
    </rPh>
    <rPh sb="4" eb="6">
      <t>ハンバイ</t>
    </rPh>
    <rPh sb="8" eb="9">
      <t>サイ</t>
    </rPh>
    <rPh sb="10" eb="12">
      <t>カチク</t>
    </rPh>
    <rPh sb="12" eb="14">
      <t>シジョウ</t>
    </rPh>
    <rPh sb="14" eb="15">
      <t>トウ</t>
    </rPh>
    <rPh sb="16" eb="19">
      <t>ハンバイサキ</t>
    </rPh>
    <rPh sb="22" eb="24">
      <t>ウンパン</t>
    </rPh>
    <rPh sb="25" eb="26">
      <t>ヨウ</t>
    </rPh>
    <rPh sb="28" eb="30">
      <t>ジカン</t>
    </rPh>
    <phoneticPr fontId="3"/>
  </si>
  <si>
    <t>飼料用タンク</t>
    <rPh sb="0" eb="3">
      <t>シリョウヨウ</t>
    </rPh>
    <phoneticPr fontId="3"/>
  </si>
  <si>
    <t>ふん乾燥施設</t>
    <rPh sb="2" eb="4">
      <t>カンソウ</t>
    </rPh>
    <rPh sb="4" eb="6">
      <t>シセツ</t>
    </rPh>
    <phoneticPr fontId="3"/>
  </si>
  <si>
    <t>脱臭施設</t>
    <rPh sb="0" eb="2">
      <t>ダッシュウ</t>
    </rPh>
    <rPh sb="2" eb="4">
      <t>シセツ</t>
    </rPh>
    <phoneticPr fontId="3"/>
  </si>
  <si>
    <t>バキュームカー</t>
    <phoneticPr fontId="3"/>
  </si>
  <si>
    <t>マニュアスプレッダー</t>
    <phoneticPr fontId="3"/>
  </si>
  <si>
    <t>固液分離機</t>
    <rPh sb="0" eb="1">
      <t>カタ</t>
    </rPh>
    <rPh sb="1" eb="2">
      <t>エキ</t>
    </rPh>
    <rPh sb="2" eb="5">
      <t>ブンリキ</t>
    </rPh>
    <phoneticPr fontId="3"/>
  </si>
  <si>
    <t>飼料粉砕機</t>
    <rPh sb="0" eb="2">
      <t>シリョウ</t>
    </rPh>
    <rPh sb="2" eb="5">
      <t>フンサイキ</t>
    </rPh>
    <phoneticPr fontId="3"/>
  </si>
  <si>
    <t>飼料配合機</t>
    <rPh sb="0" eb="2">
      <t>シリョウ</t>
    </rPh>
    <rPh sb="2" eb="4">
      <t>ハイゴウ</t>
    </rPh>
    <rPh sb="4" eb="5">
      <t>キ</t>
    </rPh>
    <phoneticPr fontId="3"/>
  </si>
  <si>
    <t>自動給餌機</t>
    <rPh sb="0" eb="2">
      <t>ジドウ</t>
    </rPh>
    <rPh sb="2" eb="4">
      <t>キュウジ</t>
    </rPh>
    <rPh sb="4" eb="5">
      <t>キ</t>
    </rPh>
    <phoneticPr fontId="3"/>
  </si>
  <si>
    <t>自動給水機</t>
    <rPh sb="0" eb="2">
      <t>ジドウ</t>
    </rPh>
    <rPh sb="2" eb="4">
      <t>キュウスイ</t>
    </rPh>
    <rPh sb="4" eb="5">
      <t>キ</t>
    </rPh>
    <phoneticPr fontId="3"/>
  </si>
  <si>
    <t xml:space="preserve"> 　調査対象畜の飼育に使用した建物等の所有状況について入力してください。</t>
    <rPh sb="2" eb="4">
      <t>チョウサ</t>
    </rPh>
    <rPh sb="4" eb="6">
      <t>タイショウ</t>
    </rPh>
    <rPh sb="6" eb="7">
      <t>チク</t>
    </rPh>
    <rPh sb="8" eb="10">
      <t>シイク</t>
    </rPh>
    <rPh sb="11" eb="13">
      <t>シヨウ</t>
    </rPh>
    <rPh sb="15" eb="17">
      <t>タテモノ</t>
    </rPh>
    <rPh sb="17" eb="18">
      <t>トウ</t>
    </rPh>
    <rPh sb="19" eb="21">
      <t>ショユウ</t>
    </rPh>
    <rPh sb="21" eb="23">
      <t>ジョウキョウ</t>
    </rPh>
    <phoneticPr fontId="3"/>
  </si>
  <si>
    <t>調　査
対象畜
負　担
割　合
（％）</t>
    <rPh sb="0" eb="1">
      <t>チョウ</t>
    </rPh>
    <rPh sb="2" eb="3">
      <t>サ</t>
    </rPh>
    <rPh sb="4" eb="6">
      <t>タイショウ</t>
    </rPh>
    <rPh sb="6" eb="7">
      <t>チク</t>
    </rPh>
    <rPh sb="8" eb="9">
      <t>フ</t>
    </rPh>
    <rPh sb="10" eb="11">
      <t>タン</t>
    </rPh>
    <rPh sb="12" eb="13">
      <t>ワリ</t>
    </rPh>
    <rPh sb="14" eb="15">
      <t>ゴウ</t>
    </rPh>
    <phoneticPr fontId="3"/>
  </si>
  <si>
    <t xml:space="preserve"> 　調査対象畜の飼育に使用した自動車等の所有状況について入力してください。</t>
    <rPh sb="2" eb="4">
      <t>チョウサ</t>
    </rPh>
    <rPh sb="4" eb="6">
      <t>タイショウ</t>
    </rPh>
    <rPh sb="6" eb="7">
      <t>チク</t>
    </rPh>
    <rPh sb="8" eb="10">
      <t>シイク</t>
    </rPh>
    <rPh sb="11" eb="13">
      <t>シヨウ</t>
    </rPh>
    <rPh sb="15" eb="18">
      <t>ジドウシャ</t>
    </rPh>
    <rPh sb="18" eb="19">
      <t>トウ</t>
    </rPh>
    <rPh sb="20" eb="22">
      <t>ショユウ</t>
    </rPh>
    <rPh sb="22" eb="24">
      <t>ジョウキョウ</t>
    </rPh>
    <phoneticPr fontId="3"/>
  </si>
  <si>
    <t>調　査対象畜負　担　割　合
（％）</t>
    <rPh sb="0" eb="1">
      <t>チョウ</t>
    </rPh>
    <rPh sb="2" eb="3">
      <t>サ</t>
    </rPh>
    <rPh sb="3" eb="5">
      <t>タイショウ</t>
    </rPh>
    <rPh sb="5" eb="6">
      <t>チク</t>
    </rPh>
    <rPh sb="6" eb="7">
      <t>フ</t>
    </rPh>
    <rPh sb="8" eb="9">
      <t>タン</t>
    </rPh>
    <rPh sb="10" eb="11">
      <t>ワリ</t>
    </rPh>
    <rPh sb="12" eb="13">
      <t>ゴウ</t>
    </rPh>
    <phoneticPr fontId="3"/>
  </si>
  <si>
    <t>　 調査対象畜の飼育に使用した農業機械、パソコンやコピー機等の生産管理</t>
    <rPh sb="2" eb="4">
      <t>チョウサ</t>
    </rPh>
    <rPh sb="4" eb="6">
      <t>タイショウ</t>
    </rPh>
    <rPh sb="6" eb="7">
      <t>チク</t>
    </rPh>
    <rPh sb="8" eb="10">
      <t>シイク</t>
    </rPh>
    <rPh sb="11" eb="13">
      <t>シヨウ</t>
    </rPh>
    <rPh sb="15" eb="17">
      <t>ノウギョウ</t>
    </rPh>
    <rPh sb="17" eb="19">
      <t>キカイ</t>
    </rPh>
    <phoneticPr fontId="3"/>
  </si>
  <si>
    <t>機器の所有状況について入力してください。</t>
    <rPh sb="3" eb="5">
      <t>ショユウ</t>
    </rPh>
    <phoneticPr fontId="3"/>
  </si>
  <si>
    <t>調　査対象畜負　担割　合
（％）</t>
    <rPh sb="0" eb="1">
      <t>チョウ</t>
    </rPh>
    <rPh sb="2" eb="3">
      <t>サ</t>
    </rPh>
    <rPh sb="3" eb="5">
      <t>タイショウ</t>
    </rPh>
    <rPh sb="5" eb="6">
      <t>チク</t>
    </rPh>
    <rPh sb="6" eb="7">
      <t>フ</t>
    </rPh>
    <rPh sb="8" eb="9">
      <t>タン</t>
    </rPh>
    <rPh sb="9" eb="10">
      <t>ワリ</t>
    </rPh>
    <rPh sb="11" eb="12">
      <t>ゴウ</t>
    </rPh>
    <phoneticPr fontId="3"/>
  </si>
  <si>
    <t>　１年間に調査対象畜の飼育のために使用したくわ類やかま類、コピー用紙等の購入費等について、黄色の「計」</t>
    <phoneticPr fontId="3"/>
  </si>
  <si>
    <t>の欄に記入してください。</t>
  </si>
  <si>
    <t>出荷に要した経費</t>
    <rPh sb="0" eb="2">
      <t>シュッカ</t>
    </rPh>
    <rPh sb="3" eb="4">
      <t>ヨウ</t>
    </rPh>
    <rPh sb="6" eb="8">
      <t>ケイヒ</t>
    </rPh>
    <phoneticPr fontId="3"/>
  </si>
  <si>
    <t>材　　料</t>
    <rPh sb="0" eb="1">
      <t>ザイ</t>
    </rPh>
    <rPh sb="3" eb="4">
      <t>リョウ</t>
    </rPh>
    <phoneticPr fontId="3"/>
  </si>
  <si>
    <t>料　　金</t>
    <rPh sb="0" eb="1">
      <t>リョウ</t>
    </rPh>
    <rPh sb="3" eb="4">
      <t>キン</t>
    </rPh>
    <phoneticPr fontId="3"/>
  </si>
  <si>
    <t>金額（円）</t>
    <rPh sb="0" eb="2">
      <t>キンガク</t>
    </rPh>
    <rPh sb="3" eb="4">
      <t>エン</t>
    </rPh>
    <phoneticPr fontId="3"/>
  </si>
  <si>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</si>
  <si>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</si>
  <si>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3"/>
  </si>
  <si>
    <t>【11】農具の購入費等</t>
    <rPh sb="4" eb="6">
      <t>ノウグ</t>
    </rPh>
    <rPh sb="7" eb="9">
      <t>コウニュウ</t>
    </rPh>
    <rPh sb="9" eb="10">
      <t>ヒ</t>
    </rPh>
    <rPh sb="10" eb="11">
      <t>トウ</t>
    </rPh>
    <phoneticPr fontId="3"/>
  </si>
  <si>
    <t>　１　調査対象畜の生産に関する定型作業</t>
    <rPh sb="3" eb="5">
      <t>チョウサ</t>
    </rPh>
    <rPh sb="5" eb="7">
      <t>タイショウ</t>
    </rPh>
    <rPh sb="7" eb="8">
      <t>チク</t>
    </rPh>
    <rPh sb="9" eb="11">
      <t>セイサン</t>
    </rPh>
    <rPh sb="12" eb="13">
      <t>カン</t>
    </rPh>
    <rPh sb="15" eb="17">
      <t>テイケイ</t>
    </rPh>
    <rPh sb="17" eb="19">
      <t>サギョウ</t>
    </rPh>
    <phoneticPr fontId="3"/>
  </si>
  <si>
    <t>　雇用者に支払った賃金（現物支給も含む。）を男女別に入力してください。</t>
    <rPh sb="1" eb="4">
      <t>コヨウシャ</t>
    </rPh>
    <rPh sb="5" eb="7">
      <t>シハラ</t>
    </rPh>
    <rPh sb="9" eb="10">
      <t>チン</t>
    </rPh>
    <phoneticPr fontId="3"/>
  </si>
  <si>
    <t>畜舎、納屋、飼料倉庫などの建物及び構築物の敷地</t>
    <phoneticPr fontId="3"/>
  </si>
  <si>
    <t>豚の運動や放牧に利用した土地</t>
    <rPh sb="0" eb="1">
      <t>ブタ</t>
    </rPh>
    <rPh sb="2" eb="4">
      <t>ウンドウ</t>
    </rPh>
    <rPh sb="5" eb="7">
      <t>ホウボク</t>
    </rPh>
    <rPh sb="8" eb="10">
      <t>リヨウ</t>
    </rPh>
    <rPh sb="12" eb="14">
      <t>トチ</t>
    </rPh>
    <phoneticPr fontId="3"/>
  </si>
  <si>
    <t>牧草地及び飼料作物を栽培した耕地</t>
    <rPh sb="0" eb="3">
      <t>ボクソウチ</t>
    </rPh>
    <rPh sb="3" eb="4">
      <t>オヨ</t>
    </rPh>
    <rPh sb="5" eb="7">
      <t>シリョウ</t>
    </rPh>
    <rPh sb="7" eb="9">
      <t>サクモツ</t>
    </rPh>
    <rPh sb="10" eb="12">
      <t>サイバイ</t>
    </rPh>
    <rPh sb="14" eb="16">
      <t>コウチ</t>
    </rPh>
    <phoneticPr fontId="3"/>
  </si>
  <si>
    <t>調査対象畜
負担割合
（％）</t>
    <rPh sb="0" eb="2">
      <t>チョウサ</t>
    </rPh>
    <rPh sb="2" eb="4">
      <t>タイショウ</t>
    </rPh>
    <rPh sb="4" eb="5">
      <t>チク</t>
    </rPh>
    <rPh sb="6" eb="8">
      <t>フタン</t>
    </rPh>
    <rPh sb="8" eb="10">
      <t>ワリアイ</t>
    </rPh>
    <phoneticPr fontId="3"/>
  </si>
  <si>
    <t>所有地</t>
    <rPh sb="0" eb="3">
      <t>ショユウチ</t>
    </rPh>
    <phoneticPr fontId="3"/>
  </si>
  <si>
    <t>借入地</t>
    <rPh sb="0" eb="2">
      <t>カリイレ</t>
    </rPh>
    <rPh sb="2" eb="3">
      <t>チ</t>
    </rPh>
    <phoneticPr fontId="3"/>
  </si>
  <si>
    <t>TDN換算量（㎏）</t>
    <rPh sb="3" eb="5">
      <t>カンザン</t>
    </rPh>
    <rPh sb="5" eb="6">
      <t>リョウ</t>
    </rPh>
    <phoneticPr fontId="3"/>
  </si>
  <si>
    <t>濃厚飼料：１
粗飼料：２</t>
    <rPh sb="0" eb="2">
      <t>ノウコウ</t>
    </rPh>
    <rPh sb="2" eb="4">
      <t>シリョウ</t>
    </rPh>
    <rPh sb="7" eb="10">
      <t>ソシリョウ</t>
    </rPh>
    <phoneticPr fontId="3"/>
  </si>
  <si>
    <t>飼料給与量（TDN換算量）</t>
    <rPh sb="0" eb="2">
      <t>シリョウ</t>
    </rPh>
    <rPh sb="2" eb="4">
      <t>キュウヨ</t>
    </rPh>
    <rPh sb="4" eb="5">
      <t>リョウ</t>
    </rPh>
    <rPh sb="9" eb="11">
      <t>カンザン</t>
    </rPh>
    <rPh sb="11" eb="12">
      <t>リョウ</t>
    </rPh>
    <phoneticPr fontId="3"/>
  </si>
  <si>
    <t>購入飼料</t>
    <rPh sb="0" eb="2">
      <t>コウニュウ</t>
    </rPh>
    <rPh sb="2" eb="4">
      <t>シリョウ</t>
    </rPh>
    <phoneticPr fontId="3"/>
  </si>
  <si>
    <t>自給飼料</t>
    <rPh sb="0" eb="2">
      <t>ジキュウ</t>
    </rPh>
    <rPh sb="2" eb="4">
      <t>シリョウ</t>
    </rPh>
    <phoneticPr fontId="3"/>
  </si>
  <si>
    <t>濃厚飼料</t>
    <rPh sb="0" eb="2">
      <t>ノウコウ</t>
    </rPh>
    <rPh sb="2" eb="4">
      <t>シリョウ</t>
    </rPh>
    <phoneticPr fontId="3"/>
  </si>
  <si>
    <t>粗飼料</t>
    <rPh sb="0" eb="3">
      <t>ソシリョウ</t>
    </rPh>
    <phoneticPr fontId="3"/>
  </si>
  <si>
    <t>区分</t>
    <rPh sb="0" eb="2">
      <t>クブン</t>
    </rPh>
    <phoneticPr fontId="3"/>
  </si>
  <si>
    <t>数量（㎏）</t>
    <rPh sb="0" eb="2">
      <t>スウリョウ</t>
    </rPh>
    <phoneticPr fontId="3"/>
  </si>
  <si>
    <t>労働費</t>
    <rPh sb="0" eb="2">
      <t>ロウドウ</t>
    </rPh>
    <rPh sb="2" eb="3">
      <t>ヒ</t>
    </rPh>
    <phoneticPr fontId="3"/>
  </si>
  <si>
    <t>生産費計算係数</t>
    <rPh sb="0" eb="3">
      <t>セイサンヒ</t>
    </rPh>
    <rPh sb="3" eb="5">
      <t>ケイサン</t>
    </rPh>
    <rPh sb="5" eb="7">
      <t>ケイスウ</t>
    </rPh>
    <phoneticPr fontId="3"/>
  </si>
  <si>
    <t>自給牧草：1
そ の 他：2</t>
    <rPh sb="0" eb="2">
      <t>ジキュウ</t>
    </rPh>
    <rPh sb="2" eb="4">
      <t>ボクソウ</t>
    </rPh>
    <rPh sb="11" eb="12">
      <t>タ</t>
    </rPh>
    <phoneticPr fontId="3"/>
  </si>
  <si>
    <t>牧草・放牧・採草費</t>
    <rPh sb="0" eb="2">
      <t>ボクソウ</t>
    </rPh>
    <rPh sb="3" eb="5">
      <t>ホウボク</t>
    </rPh>
    <rPh sb="6" eb="9">
      <t>サイソウヒ</t>
    </rPh>
    <phoneticPr fontId="3"/>
  </si>
  <si>
    <t>価　額（円）①</t>
    <rPh sb="0" eb="1">
      <t>アタイ</t>
    </rPh>
    <rPh sb="2" eb="3">
      <t>ガク</t>
    </rPh>
    <rPh sb="4" eb="5">
      <t>エン</t>
    </rPh>
    <phoneticPr fontId="3"/>
  </si>
  <si>
    <t>きゅう肥販売価額合計（円）①＋②</t>
    <rPh sb="3" eb="4">
      <t>ヒ</t>
    </rPh>
    <rPh sb="4" eb="6">
      <t>ハンバイ</t>
    </rPh>
    <rPh sb="6" eb="8">
      <t>カガク</t>
    </rPh>
    <rPh sb="8" eb="10">
      <t>ゴウケイ</t>
    </rPh>
    <rPh sb="11" eb="12">
      <t>エン</t>
    </rPh>
    <phoneticPr fontId="3"/>
  </si>
  <si>
    <t>経営土地</t>
    <rPh sb="0" eb="2">
      <t>ケイエイ</t>
    </rPh>
    <rPh sb="2" eb="4">
      <t>トチ</t>
    </rPh>
    <phoneticPr fontId="3"/>
  </si>
  <si>
    <t>畜舎等</t>
    <rPh sb="0" eb="2">
      <t>チクシャ</t>
    </rPh>
    <rPh sb="2" eb="3">
      <t>トウ</t>
    </rPh>
    <phoneticPr fontId="3"/>
  </si>
  <si>
    <t>区　　分
（名 称 等）</t>
    <rPh sb="0" eb="1">
      <t>ク</t>
    </rPh>
    <rPh sb="3" eb="4">
      <t>ブン</t>
    </rPh>
    <rPh sb="6" eb="7">
      <t>ナ</t>
    </rPh>
    <rPh sb="8" eb="9">
      <t>ショウ</t>
    </rPh>
    <rPh sb="10" eb="11">
      <t>トウ</t>
    </rPh>
    <phoneticPr fontId="3"/>
  </si>
  <si>
    <t>金　額（円）</t>
    <rPh sb="0" eb="1">
      <t>キン</t>
    </rPh>
    <rPh sb="2" eb="3">
      <t>ガク</t>
    </rPh>
    <rPh sb="4" eb="5">
      <t>エン</t>
    </rPh>
    <phoneticPr fontId="3"/>
  </si>
  <si>
    <t>建物・農機具等の修繕</t>
    <rPh sb="0" eb="2">
      <t>タテモノ</t>
    </rPh>
    <rPh sb="3" eb="6">
      <t>ノウキグ</t>
    </rPh>
    <rPh sb="6" eb="7">
      <t>トウ</t>
    </rPh>
    <rPh sb="8" eb="10">
      <t>シュウゼン</t>
    </rPh>
    <phoneticPr fontId="3"/>
  </si>
  <si>
    <t>自給飼料
の生産</t>
    <rPh sb="0" eb="2">
      <t>ジキュウ</t>
    </rPh>
    <rPh sb="2" eb="4">
      <t>シリョウ</t>
    </rPh>
    <rPh sb="6" eb="8">
      <t>セイサン</t>
    </rPh>
    <phoneticPr fontId="3"/>
  </si>
  <si>
    <t>購入付帯
労働時間</t>
    <rPh sb="0" eb="2">
      <t>コウニュウ</t>
    </rPh>
    <rPh sb="2" eb="4">
      <t>フタイ</t>
    </rPh>
    <rPh sb="5" eb="7">
      <t>ロウドウ</t>
    </rPh>
    <rPh sb="7" eb="9">
      <t>ジカン</t>
    </rPh>
    <phoneticPr fontId="3"/>
  </si>
  <si>
    <t>集会出席
時　　間</t>
    <rPh sb="0" eb="2">
      <t>シュウカイ</t>
    </rPh>
    <rPh sb="2" eb="4">
      <t>シュッセキ</t>
    </rPh>
    <rPh sb="5" eb="6">
      <t>ジ</t>
    </rPh>
    <rPh sb="8" eb="9">
      <t>アイダ</t>
    </rPh>
    <phoneticPr fontId="3"/>
  </si>
  <si>
    <t>技術習得
時　　間</t>
    <rPh sb="0" eb="2">
      <t>ギジュツ</t>
    </rPh>
    <rPh sb="2" eb="4">
      <t>シュウトク</t>
    </rPh>
    <rPh sb="5" eb="6">
      <t>ジ</t>
    </rPh>
    <rPh sb="8" eb="9">
      <t>アイダ</t>
    </rPh>
    <phoneticPr fontId="3"/>
  </si>
  <si>
    <t>簿記記帳
時　　間</t>
    <rPh sb="0" eb="2">
      <t>ボキ</t>
    </rPh>
    <rPh sb="2" eb="4">
      <t>キチョウ</t>
    </rPh>
    <rPh sb="5" eb="6">
      <t>ジ</t>
    </rPh>
    <rPh sb="8" eb="9">
      <t>アイダ</t>
    </rPh>
    <phoneticPr fontId="3"/>
  </si>
  <si>
    <t>の作業時間等を入力してください。</t>
  </si>
  <si>
    <t>　 ここには、農業従事者ごとに集会出席・技術習得・簿記記帳等の生産管理の時間、自給飼料（牧草等）の生産、建物・自動車・農機具の修繕</t>
    <rPh sb="7" eb="9">
      <t>ノウギョウ</t>
    </rPh>
    <rPh sb="9" eb="12">
      <t>ジュウジシャ</t>
    </rPh>
    <rPh sb="33" eb="35">
      <t>カンリ</t>
    </rPh>
    <rPh sb="36" eb="38">
      <t>ジカン</t>
    </rPh>
    <rPh sb="39" eb="41">
      <t>ジキュウ</t>
    </rPh>
    <rPh sb="41" eb="43">
      <t>シリョウ</t>
    </rPh>
    <rPh sb="44" eb="46">
      <t>ボクソウ</t>
    </rPh>
    <rPh sb="46" eb="47">
      <t>トウ</t>
    </rPh>
    <rPh sb="49" eb="51">
      <t>セイサン</t>
    </rPh>
    <rPh sb="52" eb="53">
      <t>ケン</t>
    </rPh>
    <phoneticPr fontId="3"/>
  </si>
  <si>
    <t>ください。</t>
    <phoneticPr fontId="3"/>
  </si>
  <si>
    <t>　１年間に調査対象畜の飼育のために使用した土地（所有地、借入地）について入力してください。</t>
    <rPh sb="2" eb="3">
      <t>ネン</t>
    </rPh>
    <rPh sb="3" eb="4">
      <t>アイダ</t>
    </rPh>
    <rPh sb="5" eb="7">
      <t>チョウサ</t>
    </rPh>
    <rPh sb="7" eb="9">
      <t>タイショウ</t>
    </rPh>
    <rPh sb="9" eb="10">
      <t>チク</t>
    </rPh>
    <rPh sb="11" eb="13">
      <t>シイク</t>
    </rPh>
    <rPh sb="17" eb="19">
      <t>シヨウ</t>
    </rPh>
    <rPh sb="21" eb="23">
      <t>トチ</t>
    </rPh>
    <rPh sb="24" eb="27">
      <t>ショユウチ</t>
    </rPh>
    <rPh sb="28" eb="30">
      <t>カリイレ</t>
    </rPh>
    <rPh sb="30" eb="31">
      <t>チ</t>
    </rPh>
    <rPh sb="36" eb="38">
      <t>ニュウリョク</t>
    </rPh>
    <phoneticPr fontId="3"/>
  </si>
  <si>
    <t>　なお、所有地については「実面積」を、借入地については「実面積」及び「支払地代」を入力して</t>
    <rPh sb="4" eb="7">
      <t>ショユウチ</t>
    </rPh>
    <rPh sb="13" eb="14">
      <t>ジツ</t>
    </rPh>
    <rPh sb="14" eb="16">
      <t>メンセキ</t>
    </rPh>
    <rPh sb="19" eb="21">
      <t>カリイレ</t>
    </rPh>
    <rPh sb="21" eb="22">
      <t>チ</t>
    </rPh>
    <rPh sb="28" eb="29">
      <t>ジツ</t>
    </rPh>
    <rPh sb="29" eb="31">
      <t>メンセキ</t>
    </rPh>
    <rPh sb="32" eb="33">
      <t>オヨ</t>
    </rPh>
    <rPh sb="35" eb="37">
      <t>シハライ</t>
    </rPh>
    <rPh sb="37" eb="39">
      <t>チダイ</t>
    </rPh>
    <rPh sb="41" eb="43">
      <t>ニュウリョク</t>
    </rPh>
    <phoneticPr fontId="3"/>
  </si>
  <si>
    <t>　８　その他の資材等</t>
    <rPh sb="5" eb="6">
      <t>タ</t>
    </rPh>
    <rPh sb="7" eb="9">
      <t>シザイ</t>
    </rPh>
    <rPh sb="9" eb="10">
      <t>トウ</t>
    </rPh>
    <phoneticPr fontId="3"/>
  </si>
  <si>
    <t xml:space="preserve">【問合わせ先】
</t>
    <rPh sb="1" eb="3">
      <t>トイアワ</t>
    </rPh>
    <rPh sb="5" eb="6">
      <t>サキ</t>
    </rPh>
    <phoneticPr fontId="3"/>
  </si>
  <si>
    <t>調査対象畜
負担割合(%)</t>
    <rPh sb="0" eb="5">
      <t>チョウサタイショウチク</t>
    </rPh>
    <rPh sb="6" eb="8">
      <t>フタン</t>
    </rPh>
    <rPh sb="8" eb="10">
      <t>ワリアイ</t>
    </rPh>
    <phoneticPr fontId="3"/>
  </si>
  <si>
    <t>売　却　金　額
（円）</t>
    <rPh sb="0" eb="1">
      <t>バイ</t>
    </rPh>
    <rPh sb="2" eb="3">
      <t>キャク</t>
    </rPh>
    <rPh sb="4" eb="5">
      <t>カネ</t>
    </rPh>
    <rPh sb="6" eb="7">
      <t>ガク</t>
    </rPh>
    <rPh sb="9" eb="10">
      <t>エン</t>
    </rPh>
    <phoneticPr fontId="3"/>
  </si>
  <si>
    <t>　２　調査対象畜に関する１以外の作業</t>
    <rPh sb="3" eb="5">
      <t>チョウサ</t>
    </rPh>
    <rPh sb="5" eb="7">
      <t>タイショウ</t>
    </rPh>
    <rPh sb="7" eb="8">
      <t>チク</t>
    </rPh>
    <rPh sb="9" eb="10">
      <t>カン</t>
    </rPh>
    <rPh sb="13" eb="15">
      <t>イガイ</t>
    </rPh>
    <rPh sb="16" eb="18">
      <t>サギョウ</t>
    </rPh>
    <phoneticPr fontId="3"/>
  </si>
  <si>
    <t>[06]畜舎</t>
    <rPh sb="4" eb="5">
      <t>チク</t>
    </rPh>
    <rPh sb="5" eb="6">
      <t>シャ</t>
    </rPh>
    <phoneticPr fontId="11"/>
  </si>
  <si>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3"/>
  </si>
  <si>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3"/>
  </si>
  <si>
    <t>　毎月始め（１日現在）の「肥育豚」及び「肥育用子豚」の飼養頭数を入力してください。</t>
    <rPh sb="1" eb="3">
      <t>マイツキ</t>
    </rPh>
    <rPh sb="3" eb="4">
      <t>ハジ</t>
    </rPh>
    <rPh sb="7" eb="8">
      <t>ニチ</t>
    </rPh>
    <rPh sb="8" eb="10">
      <t>ゲンザイ</t>
    </rPh>
    <rPh sb="13" eb="16">
      <t>ヒイクトン</t>
    </rPh>
    <rPh sb="17" eb="18">
      <t>オヨ</t>
    </rPh>
    <rPh sb="20" eb="23">
      <t>ヒイクヨウ</t>
    </rPh>
    <rPh sb="23" eb="25">
      <t>コブタ</t>
    </rPh>
    <rPh sb="27" eb="29">
      <t>シヨウ</t>
    </rPh>
    <rPh sb="29" eb="31">
      <t>トウスウ</t>
    </rPh>
    <rPh sb="32" eb="34">
      <t>ニュウリョク</t>
    </rPh>
    <phoneticPr fontId="2"/>
  </si>
  <si>
    <t>　なお、繁殖用とする見込みの子豚は、「(2) 繁殖豚」に入力してください。</t>
    <rPh sb="4" eb="7">
      <t>ハンショクヨウ</t>
    </rPh>
    <rPh sb="10" eb="12">
      <t>ミコ</t>
    </rPh>
    <rPh sb="14" eb="16">
      <t>コブタ</t>
    </rPh>
    <rPh sb="23" eb="25">
      <t>ハンショク</t>
    </rPh>
    <rPh sb="25" eb="26">
      <t>ブタ</t>
    </rPh>
    <rPh sb="28" eb="30">
      <t>ニュウリョク</t>
    </rPh>
    <phoneticPr fontId="2"/>
  </si>
  <si>
    <t>　年始めにおける繁殖豚の飼養頭数を入力してください。</t>
    <rPh sb="1" eb="3">
      <t>ネンハジ</t>
    </rPh>
    <rPh sb="8" eb="10">
      <t>ハンショク</t>
    </rPh>
    <rPh sb="10" eb="11">
      <t>ブタ</t>
    </rPh>
    <rPh sb="12" eb="14">
      <t>シヨウ</t>
    </rPh>
    <rPh sb="14" eb="16">
      <t>トウスウ</t>
    </rPh>
    <rPh sb="17" eb="19">
      <t>ニュウリョク</t>
    </rPh>
    <phoneticPr fontId="3"/>
  </si>
  <si>
    <t>　１年間に畜舎から搬出したきゅう肥について、用途別に割合を入力してください。</t>
    <rPh sb="2" eb="4">
      <t>ネンカン</t>
    </rPh>
    <rPh sb="5" eb="7">
      <t>チクシャ</t>
    </rPh>
    <rPh sb="9" eb="11">
      <t>ハンシュツ</t>
    </rPh>
    <rPh sb="16" eb="17">
      <t>ヒ</t>
    </rPh>
    <rPh sb="22" eb="25">
      <t>ヨウトベツ</t>
    </rPh>
    <rPh sb="26" eb="28">
      <t>ワリアイ</t>
    </rPh>
    <rPh sb="29" eb="31">
      <t>ニュウリョク</t>
    </rPh>
    <phoneticPr fontId="3"/>
  </si>
  <si>
    <t>欄に入力してください。</t>
    <rPh sb="0" eb="1">
      <t>ラン</t>
    </rPh>
    <rPh sb="2" eb="4">
      <t>ニュウリョク</t>
    </rPh>
    <phoneticPr fontId="3"/>
  </si>
  <si>
    <t>　なお、月別欄を利用して「計」の内訳を記入する場合は、その合計が「計」となるよう入力してく</t>
    <rPh sb="4" eb="6">
      <t>ツキベツ</t>
    </rPh>
    <rPh sb="40" eb="42">
      <t>ニュウリョク</t>
    </rPh>
    <phoneticPr fontId="3"/>
  </si>
  <si>
    <t xml:space="preserve"> （繁殖豚を繁殖利用後、肥育して肉用として販売した場合には、４に入力してください。）</t>
    <rPh sb="2" eb="4">
      <t>ハンショク</t>
    </rPh>
    <rPh sb="4" eb="5">
      <t>ブタ</t>
    </rPh>
    <rPh sb="6" eb="8">
      <t>ハンショク</t>
    </rPh>
    <rPh sb="8" eb="10">
      <t>リヨウ</t>
    </rPh>
    <rPh sb="10" eb="11">
      <t>ゴ</t>
    </rPh>
    <rPh sb="12" eb="14">
      <t>ヒイク</t>
    </rPh>
    <rPh sb="16" eb="18">
      <t>ニクヨウ</t>
    </rPh>
    <rPh sb="21" eb="23">
      <t>ハンバイ</t>
    </rPh>
    <rPh sb="25" eb="27">
      <t>バアイ</t>
    </rPh>
    <rPh sb="32" eb="34">
      <t>ニュウリョク</t>
    </rPh>
    <phoneticPr fontId="3"/>
  </si>
  <si>
    <t>事故豚の販売状況を入力してください。</t>
    <rPh sb="10" eb="11">
      <t>チカラ</t>
    </rPh>
    <phoneticPr fontId="3"/>
  </si>
  <si>
    <t>　肥育豚及び肥育用子豚のうち１年間に死亡・とう汰した頭数について、黄色の「計」の欄に入力してください。</t>
    <rPh sb="1" eb="4">
      <t>ヒイクトン</t>
    </rPh>
    <rPh sb="4" eb="5">
      <t>オヨ</t>
    </rPh>
    <rPh sb="6" eb="9">
      <t>ヒイクヨウ</t>
    </rPh>
    <rPh sb="9" eb="11">
      <t>コブタ</t>
    </rPh>
    <rPh sb="15" eb="17">
      <t>ネンカン</t>
    </rPh>
    <rPh sb="42" eb="44">
      <t>ニュウリョク</t>
    </rPh>
    <phoneticPr fontId="2"/>
  </si>
  <si>
    <t>調査票に入力いただく前に、以下についてお読みください。</t>
    <rPh sb="0" eb="3">
      <t>チョウサヒョウ</t>
    </rPh>
    <rPh sb="10" eb="11">
      <t>マエ</t>
    </rPh>
    <rPh sb="20" eb="21">
      <t>ヨ</t>
    </rPh>
    <phoneticPr fontId="3"/>
  </si>
  <si>
    <t>かかった経費や労働時間等について入力をお願いします。</t>
    <rPh sb="7" eb="9">
      <t>ロウドウ</t>
    </rPh>
    <rPh sb="9" eb="11">
      <t>ジカン</t>
    </rPh>
    <rPh sb="11" eb="12">
      <t>トウ</t>
    </rPh>
    <rPh sb="20" eb="21">
      <t>ネガ</t>
    </rPh>
    <phoneticPr fontId="3"/>
  </si>
  <si>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3"/>
  </si>
  <si>
    <t>調査票の各項目には、調査対象畜の飼育のために使用した経費等を入力して</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3"/>
  </si>
  <si>
    <t>費等を分けて入力いただく必要があります。調査対象畜分がわかる場合には下</t>
    <rPh sb="0" eb="1">
      <t>ヒ</t>
    </rPh>
    <rPh sb="1" eb="2">
      <t>トウ</t>
    </rPh>
    <rPh sb="3" eb="4">
      <t>ワ</t>
    </rPh>
    <rPh sb="12" eb="14">
      <t>ヒツヨウ</t>
    </rPh>
    <rPh sb="20" eb="25">
      <t>チョウサタイショウチク</t>
    </rPh>
    <rPh sb="25" eb="26">
      <t>ブン</t>
    </rPh>
    <phoneticPr fontId="3"/>
  </si>
  <si>
    <t>の入力例１を、わからない場合には下の入力例２を参考に入力してください。</t>
    <rPh sb="12" eb="14">
      <t>バアイ</t>
    </rPh>
    <rPh sb="16" eb="17">
      <t>シタ</t>
    </rPh>
    <rPh sb="23" eb="25">
      <t>サンコウ</t>
    </rPh>
    <phoneticPr fontId="3"/>
  </si>
  <si>
    <t>～～～ 配合飼料の入力例 ～～～</t>
    <rPh sb="4" eb="6">
      <t>ハイゴウ</t>
    </rPh>
    <rPh sb="6" eb="8">
      <t>シリョウ</t>
    </rPh>
    <rPh sb="11" eb="12">
      <t>レイ</t>
    </rPh>
    <phoneticPr fontId="3"/>
  </si>
  <si>
    <t>●入力例１　調査対象畜（養豚）分の給与量・金額を入力できる場合</t>
    <rPh sb="6" eb="8">
      <t>チョウサ</t>
    </rPh>
    <rPh sb="8" eb="10">
      <t>タイショウ</t>
    </rPh>
    <rPh sb="10" eb="11">
      <t>チク</t>
    </rPh>
    <rPh sb="12" eb="14">
      <t>ヨウトン</t>
    </rPh>
    <rPh sb="15" eb="16">
      <t>ブン</t>
    </rPh>
    <rPh sb="17" eb="19">
      <t>キュウヨ</t>
    </rPh>
    <rPh sb="19" eb="20">
      <t>リョウ</t>
    </rPh>
    <rPh sb="21" eb="23">
      <t>キンガク</t>
    </rPh>
    <rPh sb="29" eb="31">
      <t>バアイ</t>
    </rPh>
    <phoneticPr fontId="3"/>
  </si>
  <si>
    <t>７百万円を入力し、調査対象畜負担割合を100％と入力してください。</t>
  </si>
  <si>
    <t>●入力例２　調査対象畜（養豚）分の給与量・金額を入力できない場合</t>
    <rPh sb="6" eb="8">
      <t>チョウサ</t>
    </rPh>
    <rPh sb="8" eb="10">
      <t>タイショウ</t>
    </rPh>
    <rPh sb="10" eb="11">
      <t>チク</t>
    </rPh>
    <rPh sb="12" eb="14">
      <t>ヨウトン</t>
    </rPh>
    <rPh sb="15" eb="16">
      <t>ブン</t>
    </rPh>
    <rPh sb="17" eb="19">
      <t>キュウヨ</t>
    </rPh>
    <rPh sb="19" eb="20">
      <t>リョウ</t>
    </rPh>
    <rPh sb="21" eb="23">
      <t>キンガク</t>
    </rPh>
    <rPh sb="30" eb="32">
      <t>バアイ</t>
    </rPh>
    <phoneticPr fontId="3"/>
  </si>
  <si>
    <t>万円を入力し、調査対象畜負担割合には、経営全体に占める調査対象畜の割合を入力</t>
  </si>
  <si>
    <t>　 １年間に購入した子豚、繁殖雌豚、種雄豚について入力してください。</t>
    <rPh sb="25" eb="27">
      <t>ニュウリョク</t>
    </rPh>
    <phoneticPr fontId="3"/>
  </si>
  <si>
    <t>　１年間に分べんした繁殖雌豚の頭数、子豚の分べん頭数を、黄色の「計」の欄に入力してください。</t>
    <rPh sb="2" eb="4">
      <t>ネンカン</t>
    </rPh>
    <rPh sb="5" eb="6">
      <t>ブン</t>
    </rPh>
    <rPh sb="10" eb="12">
      <t>ハンショク</t>
    </rPh>
    <rPh sb="12" eb="13">
      <t>メス</t>
    </rPh>
    <rPh sb="13" eb="14">
      <t>ブタ</t>
    </rPh>
    <rPh sb="15" eb="17">
      <t>トウスウ</t>
    </rPh>
    <rPh sb="37" eb="39">
      <t>ニュウリョク</t>
    </rPh>
    <phoneticPr fontId="2"/>
  </si>
  <si>
    <t>　　　死亡・とう汰した豚の死亡・とう汰時の平均的な
　　月齢を小数点第１位まで入力してください。</t>
    <rPh sb="39" eb="41">
      <t>ニュウリョク</t>
    </rPh>
    <phoneticPr fontId="3"/>
  </si>
  <si>
    <t>　なお、月別欄を利用して「計」の内訳を入力する場合は、その合計が「計」となるよう入力してください。</t>
    <rPh sb="19" eb="21">
      <t>ニュウリョク</t>
    </rPh>
    <rPh sb="40" eb="42">
      <t>ニュウリョク</t>
    </rPh>
    <phoneticPr fontId="3"/>
  </si>
  <si>
    <t>　１年間に調査対象畜に給与した自給飼料について、給与数量を入力してください。</t>
    <rPh sb="15" eb="17">
      <t>ジキュウ</t>
    </rPh>
    <rPh sb="17" eb="19">
      <t>シリョウ</t>
    </rPh>
    <rPh sb="24" eb="26">
      <t>キュウヨ</t>
    </rPh>
    <rPh sb="26" eb="28">
      <t>スウリョウ</t>
    </rPh>
    <rPh sb="29" eb="31">
      <t>ニュウリョク</t>
    </rPh>
    <phoneticPr fontId="3"/>
  </si>
  <si>
    <t>　１年間に肥育豚を出荷するために使用した資材等の金額を入力してください。</t>
    <rPh sb="2" eb="4">
      <t>ネンカン</t>
    </rPh>
    <rPh sb="5" eb="7">
      <t>ヒイク</t>
    </rPh>
    <rPh sb="7" eb="8">
      <t>ブタ</t>
    </rPh>
    <rPh sb="9" eb="11">
      <t>シュッカ</t>
    </rPh>
    <rPh sb="16" eb="18">
      <t>シヨウ</t>
    </rPh>
    <rPh sb="20" eb="22">
      <t>シザイ</t>
    </rPh>
    <rPh sb="22" eb="23">
      <t>トウ</t>
    </rPh>
    <rPh sb="24" eb="26">
      <t>キンガク</t>
    </rPh>
    <rPh sb="27" eb="29">
      <t>ニュウリョク</t>
    </rPh>
    <phoneticPr fontId="3"/>
  </si>
  <si>
    <t>　なお、月別欄を利用して「計」の内訳を入力する場合は、その合計が「計」となるよう入力してください。</t>
    <rPh sb="4" eb="6">
      <t>ツキベツ</t>
    </rPh>
    <rPh sb="19" eb="21">
      <t>ニュウリョク</t>
    </rPh>
    <rPh sb="40" eb="42">
      <t>ニュウリョク</t>
    </rPh>
    <phoneticPr fontId="2"/>
  </si>
  <si>
    <t>敷料搬入・
きゅう肥搬出</t>
    <rPh sb="0" eb="2">
      <t>シキリョウ</t>
    </rPh>
    <rPh sb="2" eb="4">
      <t>ハンニュウ</t>
    </rPh>
    <rPh sb="9" eb="10">
      <t>ヒ</t>
    </rPh>
    <rPh sb="10" eb="12">
      <t>ハンシュツ</t>
    </rPh>
    <phoneticPr fontId="3"/>
  </si>
  <si>
    <t>20万円以上の修繕資産</t>
    <rPh sb="2" eb="4">
      <t>マンエン</t>
    </rPh>
    <rPh sb="4" eb="6">
      <t>イジョウ</t>
    </rPh>
    <rPh sb="7" eb="9">
      <t>シュウゼン</t>
    </rPh>
    <rPh sb="9" eb="11">
      <t>シサン</t>
    </rPh>
    <phoneticPr fontId="14"/>
  </si>
  <si>
    <t>　２．入力は、</t>
    <phoneticPr fontId="3"/>
  </si>
  <si>
    <t>　３．選択項目は、[▼]が表示されますので、該当するものを選択してください。</t>
    <phoneticPr fontId="3"/>
  </si>
  <si>
    <t>　　　表示しきれていないシートがありますので、ご注意ください。</t>
    <rPh sb="3" eb="5">
      <t>ヒョウジ</t>
    </rPh>
    <rPh sb="24" eb="26">
      <t>チュウイ</t>
    </rPh>
    <phoneticPr fontId="3"/>
  </si>
  <si>
    <t>　４．この電子調査票には、「【１】経営概況」から「【13】地代」までの10枚のシートがあります。</t>
    <rPh sb="5" eb="7">
      <t>デンシ</t>
    </rPh>
    <rPh sb="7" eb="10">
      <t>チョウサヒョウ</t>
    </rPh>
    <rPh sb="17" eb="19">
      <t>ケイエイ</t>
    </rPh>
    <rPh sb="19" eb="21">
      <t>ガイキョウ</t>
    </rPh>
    <rPh sb="29" eb="31">
      <t>チダイ</t>
    </rPh>
    <rPh sb="37" eb="38">
      <t>マイ</t>
    </rPh>
    <phoneticPr fontId="3"/>
  </si>
  <si>
    <t>肥育豚</t>
    <rPh sb="0" eb="3">
      <t>ヒイクブタ</t>
    </rPh>
    <phoneticPr fontId="3"/>
  </si>
  <si>
    <t>その他諸材料費（購入）</t>
    <rPh sb="2" eb="3">
      <t>タ</t>
    </rPh>
    <rPh sb="3" eb="4">
      <t>ショ</t>
    </rPh>
    <rPh sb="4" eb="7">
      <t>ザイリョウヒ</t>
    </rPh>
    <rPh sb="8" eb="10">
      <t>コウニュウ</t>
    </rPh>
    <phoneticPr fontId="3"/>
  </si>
  <si>
    <t>その他諸材料費（自給）</t>
    <rPh sb="2" eb="3">
      <t>タ</t>
    </rPh>
    <rPh sb="3" eb="4">
      <t>ショ</t>
    </rPh>
    <rPh sb="4" eb="7">
      <t>ザイリョウヒ</t>
    </rPh>
    <rPh sb="8" eb="10">
      <t>ジキュウ</t>
    </rPh>
    <phoneticPr fontId="3"/>
  </si>
  <si>
    <t>（黄色）の欄、または</t>
    <rPh sb="1" eb="3">
      <t>キイロ</t>
    </rPh>
    <rPh sb="5" eb="6">
      <t>ラン</t>
    </rPh>
    <phoneticPr fontId="3"/>
  </si>
  <si>
    <t>（緑色）の欄です。</t>
    <rPh sb="5" eb="6">
      <t>ラン</t>
    </rPh>
    <phoneticPr fontId="3"/>
  </si>
  <si>
    <t>　　　なお、光熱動力費等の内訳欄</t>
    <rPh sb="6" eb="8">
      <t>コウネツ</t>
    </rPh>
    <rPh sb="8" eb="11">
      <t>ドウリョクヒ</t>
    </rPh>
    <phoneticPr fontId="3"/>
  </si>
  <si>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3"/>
  </si>
  <si>
    <t>きゅう肥の利用状況</t>
    <phoneticPr fontId="3"/>
  </si>
  <si>
    <t>物々交換した場合</t>
    <phoneticPr fontId="3"/>
  </si>
  <si>
    <t>きゅう肥物々交換小計②</t>
    <rPh sb="8" eb="10">
      <t>ショウケイ</t>
    </rPh>
    <phoneticPr fontId="3"/>
  </si>
  <si>
    <t>作　物　名</t>
    <rPh sb="0" eb="1">
      <t>サク</t>
    </rPh>
    <rPh sb="2" eb="3">
      <t>ブツ</t>
    </rPh>
    <rPh sb="4" eb="5">
      <t>メイ</t>
    </rPh>
    <phoneticPr fontId="3"/>
  </si>
  <si>
    <t>金額（円）</t>
    <phoneticPr fontId="3"/>
  </si>
  <si>
    <t>調査対象畜</t>
    <phoneticPr fontId="3"/>
  </si>
  <si>
    <t>調査対象畜</t>
    <phoneticPr fontId="3"/>
  </si>
  <si>
    <t>敷料費自給計</t>
    <rPh sb="2" eb="3">
      <t>ヒ</t>
    </rPh>
    <rPh sb="3" eb="5">
      <t>ジキュウ</t>
    </rPh>
    <rPh sb="5" eb="6">
      <t>ケイ</t>
    </rPh>
    <phoneticPr fontId="3"/>
  </si>
  <si>
    <t>光熱動力費購入計</t>
    <rPh sb="5" eb="7">
      <t>コウニュウ</t>
    </rPh>
    <rPh sb="7" eb="8">
      <t>ケイ</t>
    </rPh>
    <phoneticPr fontId="3"/>
  </si>
  <si>
    <t>光熱動力費自給計</t>
    <rPh sb="0" eb="2">
      <t>コウネツ</t>
    </rPh>
    <rPh sb="2" eb="4">
      <t>ドウリョク</t>
    </rPh>
    <rPh sb="4" eb="5">
      <t>ヒ</t>
    </rPh>
    <rPh sb="5" eb="7">
      <t>ジキュウ</t>
    </rPh>
    <rPh sb="7" eb="8">
      <t>ケイ</t>
    </rPh>
    <phoneticPr fontId="3"/>
  </si>
  <si>
    <t>獣医師料及び医薬品費計</t>
    <rPh sb="10" eb="11">
      <t>ケイ</t>
    </rPh>
    <phoneticPr fontId="3"/>
  </si>
  <si>
    <t>賃借料及び料金計</t>
    <rPh sb="7" eb="8">
      <t>ケイ</t>
    </rPh>
    <phoneticPr fontId="3"/>
  </si>
  <si>
    <t>購入（円）</t>
    <rPh sb="0" eb="2">
      <t>コウニュウ</t>
    </rPh>
    <rPh sb="3" eb="4">
      <t>エン</t>
    </rPh>
    <phoneticPr fontId="3"/>
  </si>
  <si>
    <t>償却（円）</t>
    <rPh sb="0" eb="2">
      <t>ショウキャク</t>
    </rPh>
    <phoneticPr fontId="3"/>
  </si>
  <si>
    <t>所有台数
（台）</t>
    <rPh sb="0" eb="2">
      <t>ショユウ</t>
    </rPh>
    <rPh sb="2" eb="4">
      <t>ダイスウ</t>
    </rPh>
    <rPh sb="6" eb="7">
      <t>ダイ</t>
    </rPh>
    <phoneticPr fontId="3"/>
  </si>
  <si>
    <t>購入（円）</t>
    <rPh sb="0" eb="2">
      <t>コウニュウ</t>
    </rPh>
    <phoneticPr fontId="3"/>
  </si>
  <si>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3"/>
  </si>
  <si>
    <t>少額資産
なら[1]</t>
    <rPh sb="0" eb="2">
      <t>ショウガク</t>
    </rPh>
    <rPh sb="2" eb="4">
      <t>シサン</t>
    </rPh>
    <phoneticPr fontId="3"/>
  </si>
  <si>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3"/>
  </si>
  <si>
    <t>10万円未満
なら[1]</t>
    <rPh sb="2" eb="4">
      <t>マンエン</t>
    </rPh>
    <rPh sb="4" eb="6">
      <t>ミマン</t>
    </rPh>
    <phoneticPr fontId="3"/>
  </si>
  <si>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3"/>
  </si>
  <si>
    <t>調査
対象畜負担
割合（％）</t>
    <rPh sb="0" eb="1">
      <t>チョウ</t>
    </rPh>
    <rPh sb="1" eb="2">
      <t>サ</t>
    </rPh>
    <rPh sb="3" eb="4">
      <t>タイ</t>
    </rPh>
    <rPh sb="4" eb="5">
      <t>ゾウ</t>
    </rPh>
    <rPh sb="5" eb="6">
      <t>チク</t>
    </rPh>
    <rPh sb="6" eb="8">
      <t>フタン</t>
    </rPh>
    <rPh sb="9" eb="11">
      <t>ワリアイ</t>
    </rPh>
    <phoneticPr fontId="3"/>
  </si>
  <si>
    <t>調査対象畜</t>
    <phoneticPr fontId="3"/>
  </si>
  <si>
    <t>調査対象畜に関する定型作業</t>
    <rPh sb="0" eb="2">
      <t>チョウサ</t>
    </rPh>
    <rPh sb="2" eb="4">
      <t>タイショウ</t>
    </rPh>
    <rPh sb="4" eb="5">
      <t>チク</t>
    </rPh>
    <rPh sb="6" eb="7">
      <t>カン</t>
    </rPh>
    <rPh sb="9" eb="11">
      <t>テイケイ</t>
    </rPh>
    <rPh sb="11" eb="13">
      <t>サギョウ</t>
    </rPh>
    <phoneticPr fontId="3"/>
  </si>
  <si>
    <t>調査対象畜に関する１以外の作業</t>
    <rPh sb="0" eb="2">
      <t>チョウサ</t>
    </rPh>
    <rPh sb="2" eb="4">
      <t>タイショウ</t>
    </rPh>
    <rPh sb="4" eb="5">
      <t>チク</t>
    </rPh>
    <rPh sb="6" eb="7">
      <t>カン</t>
    </rPh>
    <rPh sb="10" eb="12">
      <t>イガイ</t>
    </rPh>
    <rPh sb="13" eb="15">
      <t>サギョウ</t>
    </rPh>
    <phoneticPr fontId="3"/>
  </si>
  <si>
    <t>敷料搬入・
きゅう肥搬出</t>
    <rPh sb="0" eb="1">
      <t>シキ</t>
    </rPh>
    <rPh sb="1" eb="2">
      <t>リョウ</t>
    </rPh>
    <rPh sb="2" eb="4">
      <t>ハンニュウ</t>
    </rPh>
    <rPh sb="9" eb="10">
      <t>ヒ</t>
    </rPh>
    <rPh sb="10" eb="12">
      <t>ハンシュツ</t>
    </rPh>
    <phoneticPr fontId="3"/>
  </si>
  <si>
    <t>使用地面積
（ａ）</t>
    <rPh sb="0" eb="2">
      <t>シヨウ</t>
    </rPh>
    <rPh sb="2" eb="3">
      <t>チ</t>
    </rPh>
    <rPh sb="3" eb="5">
      <t>メンセキ</t>
    </rPh>
    <phoneticPr fontId="3"/>
  </si>
  <si>
    <t>対象畜負担地代
（円）</t>
    <rPh sb="0" eb="2">
      <t>タイショウ</t>
    </rPh>
    <rPh sb="2" eb="3">
      <t>チク</t>
    </rPh>
    <rPh sb="3" eb="5">
      <t>フタン</t>
    </rPh>
    <rPh sb="5" eb="7">
      <t>チダイ</t>
    </rPh>
    <rPh sb="9" eb="10">
      <t>エン</t>
    </rPh>
    <phoneticPr fontId="3"/>
  </si>
  <si>
    <t>対象畜負担地代
（円）</t>
    <rPh sb="0" eb="2">
      <t>タイショウ</t>
    </rPh>
    <rPh sb="2" eb="3">
      <t>チク</t>
    </rPh>
    <rPh sb="3" eb="5">
      <t>フタン</t>
    </rPh>
    <rPh sb="5" eb="7">
      <t>チダイ</t>
    </rPh>
    <phoneticPr fontId="3"/>
  </si>
  <si>
    <t>敷料物々交換小計②</t>
    <rPh sb="6" eb="7">
      <t>ショウ</t>
    </rPh>
    <rPh sb="7" eb="8">
      <t>ケイ</t>
    </rPh>
    <phoneticPr fontId="3"/>
  </si>
  <si>
    <t>敷料費・購入合計（円）①＋②</t>
    <rPh sb="0" eb="2">
      <t>シキリョウ</t>
    </rPh>
    <rPh sb="2" eb="3">
      <t>ヒ</t>
    </rPh>
    <rPh sb="4" eb="6">
      <t>コウニュウ</t>
    </rPh>
    <rPh sb="6" eb="8">
      <t>ゴウケイ</t>
    </rPh>
    <rPh sb="9" eb="10">
      <t>エン</t>
    </rPh>
    <phoneticPr fontId="3"/>
  </si>
  <si>
    <t>敷料費購入計①</t>
    <rPh sb="5" eb="6">
      <t>ケイ</t>
    </rPh>
    <phoneticPr fontId="3"/>
  </si>
  <si>
    <t>経営種類</t>
    <rPh sb="0" eb="2">
      <t>ケイエイ</t>
    </rPh>
    <rPh sb="2" eb="4">
      <t>シュルイ</t>
    </rPh>
    <phoneticPr fontId="3"/>
  </si>
  <si>
    <t>個別</t>
    <rPh sb="0" eb="2">
      <t>コベツ</t>
    </rPh>
    <phoneticPr fontId="3"/>
  </si>
  <si>
    <t>調査区分</t>
    <rPh sb="0" eb="2">
      <t>チョウサ</t>
    </rPh>
    <rPh sb="2" eb="4">
      <t>クブン</t>
    </rPh>
    <phoneticPr fontId="3"/>
  </si>
  <si>
    <t>肥育豚生産費統計（個別）</t>
    <phoneticPr fontId="3"/>
  </si>
  <si>
    <t>[01]住宅</t>
    <phoneticPr fontId="59"/>
  </si>
  <si>
    <t>[01]住宅</t>
    <rPh sb="4" eb="6">
      <t>ジュウタク</t>
    </rPh>
    <phoneticPr fontId="59"/>
  </si>
  <si>
    <t>[4]コンクリートブロック</t>
    <phoneticPr fontId="59"/>
  </si>
  <si>
    <t>[02]事務所</t>
    <phoneticPr fontId="59"/>
  </si>
  <si>
    <t>[24]飼料用タンク</t>
    <phoneticPr fontId="59"/>
  </si>
  <si>
    <t>[26]ふん尿貯留槽</t>
    <phoneticPr fontId="3"/>
  </si>
  <si>
    <t>[27]浄化処理施設</t>
    <phoneticPr fontId="3"/>
  </si>
  <si>
    <t>[28]脱臭施設</t>
    <phoneticPr fontId="3"/>
  </si>
  <si>
    <t>[29]ﾌﾟﾗｽﾁｯｸﾊｳｽ利用乾燥施設</t>
    <phoneticPr fontId="3"/>
  </si>
  <si>
    <t>[29]ﾌﾟﾗｽﾁｯｸﾊｳｽ利用乾燥施設</t>
    <phoneticPr fontId="59"/>
  </si>
  <si>
    <t>[30]その他のふん乾燥施設</t>
    <phoneticPr fontId="3"/>
  </si>
  <si>
    <t>[31]その他の構築物</t>
    <phoneticPr fontId="3"/>
  </si>
  <si>
    <t>[31]その他の構築物</t>
    <phoneticPr fontId="59"/>
  </si>
  <si>
    <t>[03]納屋・倉庫</t>
    <phoneticPr fontId="59"/>
  </si>
  <si>
    <t>[04]作業場</t>
    <phoneticPr fontId="59"/>
  </si>
  <si>
    <t>[06]畜舎</t>
    <phoneticPr fontId="59"/>
  </si>
  <si>
    <t>[08]車庫</t>
    <phoneticPr fontId="59"/>
  </si>
  <si>
    <t>[09]たい肥舎・たい肥盤</t>
    <phoneticPr fontId="59"/>
  </si>
  <si>
    <t>[10]乾牧草収納庫</t>
    <phoneticPr fontId="59"/>
  </si>
  <si>
    <t>[13]その他の建築物</t>
    <phoneticPr fontId="59"/>
  </si>
  <si>
    <t>[26]ふん尿貯留槽</t>
    <phoneticPr fontId="59"/>
  </si>
  <si>
    <t>[27]浄化処理施設</t>
    <phoneticPr fontId="59"/>
  </si>
  <si>
    <t>[28]脱臭施設</t>
    <phoneticPr fontId="59"/>
  </si>
  <si>
    <t>[30]その他のふん乾燥施設</t>
    <phoneticPr fontId="59"/>
  </si>
  <si>
    <t>[33]モアー</t>
    <phoneticPr fontId="59"/>
  </si>
  <si>
    <t>動力噴霧機</t>
    <rPh sb="0" eb="2">
      <t>ドウリョク</t>
    </rPh>
    <rPh sb="2" eb="4">
      <t>フンム</t>
    </rPh>
    <rPh sb="4" eb="5">
      <t>キ</t>
    </rPh>
    <phoneticPr fontId="3"/>
  </si>
  <si>
    <t>[58]その他の生産管理機器</t>
    <phoneticPr fontId="59"/>
  </si>
  <si>
    <t>[41]飼料配合機</t>
    <phoneticPr fontId="59"/>
  </si>
  <si>
    <t>搬出量の計算に尿を含む</t>
    <rPh sb="0" eb="3">
      <t>ハンシュツリョウ</t>
    </rPh>
    <rPh sb="4" eb="6">
      <t>ケイサン</t>
    </rPh>
    <rPh sb="7" eb="8">
      <t>ニョウ</t>
    </rPh>
    <rPh sb="9" eb="10">
      <t>フク</t>
    </rPh>
    <phoneticPr fontId="3"/>
  </si>
  <si>
    <t>[9]鉄骨造(3mm以下)</t>
    <phoneticPr fontId="59"/>
  </si>
  <si>
    <t>[10]鉄骨造(3～4mm)</t>
    <phoneticPr fontId="59"/>
  </si>
  <si>
    <t>[11]鉄骨造(4mm以上)</t>
    <rPh sb="4" eb="7">
      <t>テッコツゾウ</t>
    </rPh>
    <rPh sb="11" eb="13">
      <t>イジョウ</t>
    </rPh>
    <phoneticPr fontId="59"/>
  </si>
  <si>
    <t>[01]住　宅</t>
    <phoneticPr fontId="3"/>
  </si>
  <si>
    <t>[01]住　宅</t>
  </si>
  <si>
    <t>[9]鉄骨造(3mm以下)</t>
    <rPh sb="3" eb="6">
      <t>テッコツゾウ</t>
    </rPh>
    <rPh sb="10" eb="12">
      <t>イカ</t>
    </rPh>
    <phoneticPr fontId="59"/>
  </si>
  <si>
    <t>[10]鉄骨造(3～4mm)</t>
    <rPh sb="4" eb="7">
      <t>テッコツゾウ</t>
    </rPh>
    <phoneticPr fontId="59"/>
  </si>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</sst>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
    <numFmt numFmtId="177" formatCode="0_ "/>
    <numFmt numFmtId="178" formatCode="0.0"/>
    <numFmt numFmtId="179" formatCode="000"/>
    <numFmt numFmtId="180" formatCode="0000"/>
    <numFmt numFmtId="181" formatCode="0000000000000"/>
    <numFmt numFmtId="182" formatCode="#,##0_);[Red]\(#,##0\)"/>
    <numFmt numFmtId="183" formatCode="#,##0_ "/>
    <numFmt numFmtId="184" formatCode="#,##0_ ;[Red]\-#,##0\ "/>
    <numFmt numFmtId="185" formatCode="#,##0.0\ "/>
    <numFmt numFmtId="186" formatCode="#,##0.0;[Red]\-#,##0.0"/>
    <numFmt numFmtId="187" formatCode="0.00_ "/>
    <numFmt numFmtId="188" formatCode="0.0_ "/>
    <numFmt numFmtId="189" formatCode="0.0000_ "/>
    <numFmt numFmtId="190" formatCode="#,##0.0"/>
    <numFmt numFmtId="191" formatCode="##0"/>
  </numFmts>
  <fonts count="88">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12"/>
      <name val="ＭＳ 明朝"/>
      <family val="1"/>
      <charset val="128"/>
    </font>
    <font>
      <b/>
      <sz val="14"/>
      <color indexed="8"/>
      <name val="ＭＳ 明朝"/>
      <family val="1"/>
      <charset val="128"/>
    </font>
    <font>
      <b/>
      <sz val="11"/>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8"/>
      <color indexed="8"/>
      <name val="ＭＳ ゴシック"/>
      <family val="3"/>
      <charset val="128"/>
    </font>
    <font>
      <sz val="14"/>
      <name val="ＭＳ ゴシック"/>
      <family val="3"/>
      <charset val="128"/>
    </font>
    <font>
      <b/>
      <sz val="12"/>
      <name val="ＭＳ 明朝"/>
      <family val="1"/>
      <charset val="128"/>
    </font>
    <font>
      <b/>
      <sz val="11"/>
      <color indexed="8"/>
      <name val="ＭＳ 明朝"/>
      <family val="1"/>
      <charset val="128"/>
    </font>
    <font>
      <u/>
      <sz val="14"/>
      <color indexed="8"/>
      <name val="ＭＳ ゴシック"/>
      <family val="3"/>
      <charset val="128"/>
    </font>
    <font>
      <u/>
      <sz val="14"/>
      <color indexed="8"/>
      <name val="ＭＳ 明朝"/>
      <family val="1"/>
      <charset val="128"/>
    </font>
    <font>
      <b/>
      <sz val="14"/>
      <name val="ＭＳ 明朝"/>
      <family val="1"/>
      <charset val="128"/>
    </font>
    <font>
      <u/>
      <sz val="12"/>
      <name val="ＭＳ 明朝"/>
      <family val="1"/>
      <charset val="128"/>
    </font>
    <font>
      <sz val="13"/>
      <name val="ＭＳ 明朝"/>
      <family val="1"/>
      <charset val="128"/>
    </font>
    <font>
      <sz val="13"/>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4"/>
      <color rgb="FF0041FF"/>
      <name val="ＭＳ 明朝"/>
      <family val="1"/>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12"/>
      <color rgb="FFFF0000"/>
      <name val="ＭＳ ゴシック"/>
      <family val="3"/>
      <charset val="128"/>
    </font>
    <font>
      <sz val="2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6"/>
      <name val="ＭＳ 明朝"/>
      <family val="1"/>
      <charset val="128"/>
    </font>
    <font>
      <b/>
      <u/>
      <sz val="11"/>
      <name val="ＭＳ ゴシック"/>
      <family val="3"/>
      <charset val="128"/>
    </font>
    <font>
      <sz val="16"/>
      <name val="ＭＳ Ｐゴシック"/>
      <family val="3"/>
      <charset val="128"/>
    </font>
    <font>
      <u/>
      <sz val="14"/>
      <name val="ＭＳ 明朝"/>
      <family val="1"/>
      <charset val="128"/>
    </font>
    <font>
      <sz val="12"/>
      <color rgb="FF0070C0"/>
      <name val="ＭＳ 明朝"/>
      <family val="1"/>
      <charset val="128"/>
    </font>
    <font>
      <b/>
      <sz val="12"/>
      <color rgb="FFFF0000"/>
      <name val="ＭＳ 明朝"/>
      <family val="1"/>
      <charset val="128"/>
    </font>
    <font>
      <b/>
      <sz val="14"/>
      <color rgb="FFFF0000"/>
      <name val="ＭＳ 明朝"/>
      <family val="1"/>
      <charset val="128"/>
    </font>
    <font>
      <b/>
      <sz val="11"/>
      <name val="ＭＳ Ｐゴシック"/>
      <family val="3"/>
      <charset val="128"/>
    </font>
    <font>
      <sz val="9"/>
      <color indexed="81"/>
      <name val="MS P ゴシック"/>
      <family val="3"/>
      <charset val="128"/>
    </font>
    <font>
      <sz val="14"/>
      <color theme="1"/>
      <name val="ＭＳ 明朝"/>
      <family val="1"/>
      <charset val="128"/>
    </font>
  </fonts>
  <fills count="11">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FFCF80"/>
        <bgColor indexed="64"/>
      </patternFill>
    </fill>
  </fills>
  <borders count="501">
    <border>
      <left/>
      <right/>
      <top/>
      <bottom/>
      <diagonal/>
    </border>
    <border>
      <left/>
      <right/>
      <top/>
      <bottom style="thin">
        <color indexed="64"/>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style="medium">
        <color indexed="64"/>
      </top>
      <bottom/>
      <diagonal/>
    </border>
    <border>
      <left/>
      <right style="double">
        <color indexed="57"/>
      </right>
      <top style="medium">
        <color indexed="64"/>
      </top>
      <bottom/>
      <diagonal/>
    </border>
    <border>
      <left style="thin">
        <color indexed="64"/>
      </left>
      <right/>
      <top style="medium">
        <color indexed="64"/>
      </top>
      <bottom/>
      <diagonal/>
    </border>
    <border>
      <left/>
      <right/>
      <top style="thin">
        <color indexed="64"/>
      </top>
      <bottom style="double">
        <color indexed="57"/>
      </bottom>
      <diagonal/>
    </border>
    <border>
      <left/>
      <right style="medium">
        <color indexed="64"/>
      </right>
      <top style="medium">
        <color indexed="64"/>
      </top>
      <bottom style="thin">
        <color indexed="64"/>
      </bottom>
      <diagonal/>
    </border>
    <border diagonalDown="1">
      <left style="medium">
        <color indexed="64"/>
      </left>
      <right/>
      <top/>
      <bottom/>
      <diagonal style="hair">
        <color indexed="64"/>
      </diagonal>
    </border>
    <border diagonalDown="1">
      <left/>
      <right/>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double">
        <color indexed="64"/>
      </left>
      <right/>
      <top/>
      <bottom style="double">
        <color rgb="FF35A16B"/>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right/>
      <top style="double">
        <color rgb="FF339966"/>
      </top>
      <bottom/>
      <diagonal/>
    </border>
    <border>
      <left style="thin">
        <color indexed="64"/>
      </left>
      <right/>
      <top style="double">
        <color rgb="FF339966"/>
      </top>
      <bottom/>
      <diagonal/>
    </border>
    <border>
      <left/>
      <right/>
      <top/>
      <bottom style="double">
        <color rgb="FF339966"/>
      </bottom>
      <diagonal/>
    </border>
    <border>
      <left style="thin">
        <color indexed="64"/>
      </left>
      <right/>
      <top/>
      <bottom style="double">
        <color rgb="FF339966"/>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tted">
        <color rgb="FF7F878F"/>
      </left>
      <right style="dotted">
        <color rgb="FF7F878F"/>
      </right>
      <top style="double">
        <color rgb="FF339966"/>
      </top>
      <bottom/>
      <diagonal/>
    </border>
    <border>
      <left style="dotted">
        <color rgb="FF7F878F"/>
      </left>
      <right style="dotted">
        <color rgb="FF7F878F"/>
      </right>
      <top/>
      <bottom style="double">
        <color rgb="FF339966"/>
      </bottom>
      <diagonal/>
    </border>
    <border>
      <left style="double">
        <color rgb="FF339966"/>
      </left>
      <right style="dotted">
        <color rgb="FF7F878F"/>
      </right>
      <top style="double">
        <color rgb="FF339966"/>
      </top>
      <bottom/>
      <diagonal/>
    </border>
    <border>
      <left style="dotted">
        <color rgb="FF7F878F"/>
      </left>
      <right style="thin">
        <color indexed="64"/>
      </right>
      <top style="double">
        <color rgb="FF339966"/>
      </top>
      <bottom/>
      <diagonal/>
    </border>
    <border>
      <left style="double">
        <color rgb="FF339966"/>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thin">
        <color rgb="FF7F878F"/>
      </left>
      <right style="dotted">
        <color rgb="FF7F878F"/>
      </right>
      <top style="double">
        <color rgb="FF339966"/>
      </top>
      <bottom/>
      <diagonal/>
    </border>
    <border>
      <left style="thin">
        <color rgb="FF7F878F"/>
      </left>
      <right style="dotted">
        <color rgb="FF7F878F"/>
      </right>
      <top/>
      <bottom style="double">
        <color rgb="FF339966"/>
      </bottom>
      <diagonal/>
    </border>
    <border>
      <left/>
      <right style="double">
        <color rgb="FF35A16B"/>
      </right>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right style="thin">
        <color indexed="64"/>
      </right>
      <top style="thin">
        <color auto="1"/>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diagonalDown="1">
      <left style="medium">
        <color indexed="64"/>
      </left>
      <right/>
      <top style="medium">
        <color indexed="64"/>
      </top>
      <bottom/>
      <diagonal style="hair">
        <color indexed="64"/>
      </diagonal>
    </border>
    <border>
      <left style="thin">
        <color indexed="64"/>
      </left>
      <right/>
      <top style="thin">
        <color indexed="64"/>
      </top>
      <bottom/>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style="thin">
        <color indexed="64"/>
      </left>
      <right style="medium">
        <color indexed="64"/>
      </right>
      <top style="medium">
        <color indexed="64"/>
      </top>
      <bottom/>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rgb="FF339966"/>
      </left>
      <right style="double">
        <color rgb="FF339966"/>
      </right>
      <top style="thin">
        <color indexed="64"/>
      </top>
      <bottom style="thin">
        <color indexed="64"/>
      </bottom>
      <diagonal/>
    </border>
    <border>
      <left style="double">
        <color rgb="FF339966"/>
      </left>
      <right style="double">
        <color rgb="FF339966"/>
      </right>
      <top style="thin">
        <color indexed="64"/>
      </top>
      <bottom style="double">
        <color rgb="FF339966"/>
      </bottom>
      <diagonal/>
    </border>
    <border>
      <left style="thin">
        <color auto="1"/>
      </left>
      <right/>
      <top style="double">
        <color indexed="57"/>
      </top>
      <bottom/>
      <diagonal/>
    </border>
    <border>
      <left/>
      <right/>
      <top style="double">
        <color indexed="57"/>
      </top>
      <bottom/>
      <diagonal/>
    </border>
    <border>
      <left style="thin">
        <color auto="1"/>
      </left>
      <right/>
      <top/>
      <bottom/>
      <diagonal/>
    </border>
    <border>
      <left style="thin">
        <color auto="1"/>
      </left>
      <right style="thin">
        <color auto="1"/>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top/>
      <bottom style="double">
        <color indexed="64"/>
      </bottom>
      <diagonal/>
    </border>
    <border>
      <left style="double">
        <color indexed="64"/>
      </left>
      <right/>
      <top/>
      <bottom style="thin">
        <color indexed="64"/>
      </bottom>
      <diagonal/>
    </border>
    <border>
      <left style="double">
        <color indexed="57"/>
      </left>
      <right style="thin">
        <color indexed="64"/>
      </right>
      <top style="thin">
        <color indexed="64"/>
      </top>
      <bottom style="double">
        <color indexed="57"/>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thin">
        <color indexed="64"/>
      </bottom>
      <diagonal/>
    </border>
    <border>
      <left style="thin">
        <color indexed="64"/>
      </left>
      <right style="dotted">
        <color indexed="23"/>
      </right>
      <top style="thin">
        <color indexed="64"/>
      </top>
      <bottom style="double">
        <color indexed="57"/>
      </bottom>
      <diagonal/>
    </border>
    <border diagonalDown="1">
      <left style="thin">
        <color indexed="64"/>
      </left>
      <right style="thin">
        <color indexed="64"/>
      </right>
      <top/>
      <bottom style="thin">
        <color indexed="64"/>
      </bottom>
      <diagonal style="thin">
        <color indexed="64"/>
      </diagonal>
    </border>
    <border>
      <left style="medium">
        <color auto="1"/>
      </left>
      <right style="thin">
        <color auto="1"/>
      </right>
      <top style="double">
        <color rgb="FF35A16B"/>
      </top>
      <bottom style="thin">
        <color indexed="64"/>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57"/>
      </left>
      <right style="double">
        <color indexed="57"/>
      </right>
      <top style="thin">
        <color auto="1"/>
      </top>
      <bottom style="thin">
        <color auto="1"/>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diagonalDown="1">
      <left style="thin">
        <color indexed="64"/>
      </left>
      <right style="thin">
        <color indexed="64"/>
      </right>
      <top/>
      <bottom/>
      <diagonal style="thin">
        <color indexed="64"/>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diagonalDown="1">
      <left/>
      <right/>
      <top style="thick">
        <color indexed="64"/>
      </top>
      <bottom style="thin">
        <color indexed="64"/>
      </bottom>
      <diagonal style="thin">
        <color indexed="64"/>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double">
        <color indexed="57"/>
      </left>
      <right style="dotted">
        <color indexed="23"/>
      </right>
      <top/>
      <bottom style="double">
        <color indexed="57"/>
      </bottom>
      <diagonal/>
    </border>
    <border>
      <left style="thin">
        <color indexed="64"/>
      </left>
      <right style="dotted">
        <color indexed="23"/>
      </right>
      <top/>
      <bottom style="double">
        <color indexed="57"/>
      </bottom>
      <diagonal/>
    </border>
    <border>
      <left/>
      <right style="double">
        <color indexed="57"/>
      </right>
      <top style="thin">
        <color indexed="64"/>
      </top>
      <bottom style="double">
        <color indexed="57"/>
      </bottom>
      <diagonal/>
    </border>
    <border>
      <left style="thin">
        <color indexed="64"/>
      </left>
      <right style="double">
        <color indexed="57"/>
      </right>
      <top style="medium">
        <color indexed="64"/>
      </top>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uble">
        <color indexed="57"/>
      </right>
      <top style="thin">
        <color indexed="64"/>
      </top>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indexed="57"/>
      </left>
      <right style="thin">
        <color auto="1"/>
      </right>
      <top style="thin">
        <color auto="1"/>
      </top>
      <bottom style="thin">
        <color auto="1"/>
      </bottom>
      <diagonal/>
    </border>
    <border>
      <left style="double">
        <color indexed="57"/>
      </left>
      <right/>
      <top style="thin">
        <color indexed="64"/>
      </top>
      <bottom/>
      <diagonal/>
    </border>
    <border diagonalDown="1">
      <left style="thick">
        <color indexed="64"/>
      </left>
      <right/>
      <top style="thick">
        <color indexed="64"/>
      </top>
      <bottom style="thin">
        <color indexed="64"/>
      </bottom>
      <diagonal style="thin">
        <color indexed="64"/>
      </diagonal>
    </border>
    <border>
      <left style="thin">
        <color auto="1"/>
      </left>
      <right style="thin">
        <color indexed="64"/>
      </right>
      <top/>
      <bottom style="thick">
        <color indexed="64"/>
      </bottom>
      <diagonal/>
    </border>
    <border diagonalDown="1">
      <left style="thick">
        <color indexed="64"/>
      </left>
      <right style="thin">
        <color indexed="64"/>
      </right>
      <top style="thin">
        <color auto="1"/>
      </top>
      <bottom/>
      <diagonal style="hair">
        <color indexed="64"/>
      </diagonal>
    </border>
    <border diagonalDown="1">
      <left style="thick">
        <color indexed="64"/>
      </left>
      <right style="thin">
        <color indexed="64"/>
      </right>
      <top/>
      <bottom/>
      <diagonal style="hair">
        <color indexed="64"/>
      </diagonal>
    </border>
    <border diagonalDown="1">
      <left style="thick">
        <color indexed="64"/>
      </left>
      <right style="thin">
        <color indexed="64"/>
      </right>
      <top/>
      <bottom style="thick">
        <color indexed="64"/>
      </bottom>
      <diagonal style="hair">
        <color indexed="64"/>
      </diagonal>
    </border>
    <border>
      <left/>
      <right style="double">
        <color auto="1"/>
      </right>
      <top style="double">
        <color auto="1"/>
      </top>
      <bottom style="thin">
        <color indexed="64"/>
      </bottom>
      <diagonal/>
    </border>
    <border diagonalDown="1">
      <left style="thin">
        <color indexed="64"/>
      </left>
      <right/>
      <top/>
      <bottom style="thin">
        <color indexed="64"/>
      </bottom>
      <diagonal style="thin">
        <color indexed="64"/>
      </diagonal>
    </border>
    <border>
      <left style="thin">
        <color indexed="64"/>
      </left>
      <right style="double">
        <color indexed="64"/>
      </right>
      <top style="thin">
        <color indexed="64"/>
      </top>
      <bottom style="thin">
        <color indexed="64"/>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thin">
        <color indexed="64"/>
      </left>
      <right style="medium">
        <color indexed="64"/>
      </right>
      <top style="thin">
        <color indexed="64"/>
      </top>
      <bottom style="thin">
        <color indexed="64"/>
      </bottom>
      <diagonal/>
    </border>
    <border>
      <left style="double">
        <color indexed="57"/>
      </left>
      <right style="double">
        <color indexed="57"/>
      </right>
      <top style="double">
        <color indexed="57"/>
      </top>
      <bottom style="double">
        <color indexed="57"/>
      </bottom>
      <diagonal/>
    </border>
    <border>
      <left style="medium">
        <color theme="1"/>
      </left>
      <right style="double">
        <color indexed="57"/>
      </right>
      <top style="thin">
        <color theme="1"/>
      </top>
      <bottom style="thin">
        <color theme="1"/>
      </bottom>
      <diagonal/>
    </border>
    <border>
      <left style="medium">
        <color theme="1"/>
      </left>
      <right style="double">
        <color indexed="57"/>
      </right>
      <top style="medium">
        <color theme="1"/>
      </top>
      <bottom/>
      <diagonal/>
    </border>
    <border>
      <left style="medium">
        <color theme="1"/>
      </left>
      <right style="double">
        <color indexed="57"/>
      </right>
      <top style="thin">
        <color theme="1"/>
      </top>
      <bottom style="medium">
        <color theme="1"/>
      </bottom>
      <diagonal/>
    </border>
    <border>
      <left style="medium">
        <color auto="1"/>
      </left>
      <right style="thin">
        <color auto="1"/>
      </right>
      <top style="thin">
        <color auto="1"/>
      </top>
      <bottom style="double">
        <color indexed="57"/>
      </bottom>
      <diagonal/>
    </border>
    <border>
      <left style="thin">
        <color auto="1"/>
      </left>
      <right style="thin">
        <color auto="1"/>
      </right>
      <top style="thin">
        <color auto="1"/>
      </top>
      <bottom style="double">
        <color indexed="57"/>
      </bottom>
      <diagonal/>
    </border>
    <border>
      <left style="medium">
        <color theme="1"/>
      </left>
      <right/>
      <top style="thin">
        <color theme="1"/>
      </top>
      <bottom style="thin">
        <color theme="1"/>
      </bottom>
      <diagonal/>
    </border>
    <border>
      <left style="medium">
        <color theme="1"/>
      </left>
      <right/>
      <top style="thin">
        <color theme="1"/>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thin">
        <color theme="1"/>
      </right>
      <top style="medium">
        <color theme="1"/>
      </top>
      <bottom/>
      <diagonal/>
    </border>
    <border>
      <left style="thin">
        <color theme="1"/>
      </left>
      <right style="thin">
        <color theme="1"/>
      </right>
      <top style="medium">
        <color theme="1"/>
      </top>
      <bottom/>
      <diagonal/>
    </border>
    <border>
      <left style="thin">
        <color theme="1"/>
      </left>
      <right style="medium">
        <color theme="1"/>
      </right>
      <top style="medium">
        <color theme="1"/>
      </top>
      <bottom/>
      <diagonal/>
    </border>
    <border>
      <left style="thin">
        <color theme="1"/>
      </left>
      <right style="thin">
        <color theme="1"/>
      </right>
      <top style="double">
        <color rgb="FF35A16B"/>
      </top>
      <bottom style="double">
        <color rgb="FF35A16B"/>
      </bottom>
      <diagonal/>
    </border>
    <border>
      <left style="double">
        <color rgb="FF35A16B"/>
      </left>
      <right style="thin">
        <color theme="1"/>
      </right>
      <top style="double">
        <color rgb="FF35A16B"/>
      </top>
      <bottom style="double">
        <color rgb="FF35A16B"/>
      </bottom>
      <diagonal/>
    </border>
    <border>
      <left style="thin">
        <color theme="1"/>
      </left>
      <right style="double">
        <color rgb="FF35A16B"/>
      </right>
      <top style="double">
        <color rgb="FF35A16B"/>
      </top>
      <bottom style="double">
        <color rgb="FF35A16B"/>
      </bottom>
      <diagonal/>
    </border>
    <border>
      <left style="medium">
        <color indexed="64"/>
      </left>
      <right style="medium">
        <color indexed="64"/>
      </right>
      <top style="medium">
        <color indexed="64"/>
      </top>
      <bottom style="thin">
        <color indexed="64"/>
      </bottom>
      <diagonal/>
    </border>
    <border>
      <left style="double">
        <color rgb="FF35A16B"/>
      </left>
      <right style="double">
        <color rgb="FF35A16B"/>
      </right>
      <top style="thin">
        <color indexed="64"/>
      </top>
      <bottom style="double">
        <color rgb="FF35A16B"/>
      </bottom>
      <diagonal/>
    </border>
    <border>
      <left style="double">
        <color rgb="FF35A16B"/>
      </left>
      <right style="double">
        <color rgb="FF35A16B"/>
      </right>
      <top style="thin">
        <color indexed="64"/>
      </top>
      <bottom style="thin">
        <color indexed="64"/>
      </bottom>
      <diagonal/>
    </border>
    <border>
      <left style="double">
        <color rgb="FF35A16B"/>
      </left>
      <right style="thin">
        <color indexed="64"/>
      </right>
      <top style="double">
        <color rgb="FF35A16B"/>
      </top>
      <bottom style="thin">
        <color indexed="64"/>
      </bottom>
      <diagonal/>
    </border>
    <border>
      <left style="thin">
        <color indexed="64"/>
      </left>
      <right style="thin">
        <color indexed="64"/>
      </right>
      <top style="double">
        <color rgb="FF35A16B"/>
      </top>
      <bottom style="double">
        <color rgb="FF35A16B"/>
      </bottom>
      <diagonal/>
    </border>
    <border diagonalDown="1">
      <left style="double">
        <color rgb="FF35A16B"/>
      </left>
      <right style="double">
        <color rgb="FF35A16B"/>
      </right>
      <top style="double">
        <color rgb="FF35A16B"/>
      </top>
      <bottom/>
      <diagonal style="thin">
        <color theme="1"/>
      </diagonal>
    </border>
    <border diagonalDown="1">
      <left style="double">
        <color rgb="FF35A16B"/>
      </left>
      <right style="double">
        <color rgb="FF35A16B"/>
      </right>
      <top/>
      <bottom/>
      <diagonal style="thin">
        <color theme="1"/>
      </diagonal>
    </border>
    <border diagonalDown="1">
      <left style="double">
        <color rgb="FF35A16B"/>
      </left>
      <right style="double">
        <color rgb="FF35A16B"/>
      </right>
      <top/>
      <bottom style="medium">
        <color indexed="64"/>
      </bottom>
      <diagonal style="thin">
        <color theme="1"/>
      </diagonal>
    </border>
    <border>
      <left style="double">
        <color rgb="FF35A16B"/>
      </left>
      <right style="double">
        <color rgb="FF35A16B"/>
      </right>
      <top style="double">
        <color rgb="FF35A16B"/>
      </top>
      <bottom style="thin">
        <color indexed="64"/>
      </bottom>
      <diagonal/>
    </border>
    <border diagonalDown="1">
      <left style="double">
        <color rgb="FF35A16B"/>
      </left>
      <right/>
      <top style="double">
        <color rgb="FF35A16B"/>
      </top>
      <bottom/>
      <diagonal style="thin">
        <color theme="1"/>
      </diagonal>
    </border>
    <border diagonalDown="1">
      <left/>
      <right style="double">
        <color rgb="FF35A16B"/>
      </right>
      <top style="double">
        <color rgb="FF35A16B"/>
      </top>
      <bottom/>
      <diagonal style="thin">
        <color theme="1"/>
      </diagonal>
    </border>
    <border diagonalDown="1">
      <left style="double">
        <color rgb="FF35A16B"/>
      </left>
      <right/>
      <top/>
      <bottom style="medium">
        <color theme="1"/>
      </bottom>
      <diagonal style="thin">
        <color theme="1"/>
      </diagonal>
    </border>
    <border diagonalDown="1">
      <left/>
      <right style="double">
        <color rgb="FF35A16B"/>
      </right>
      <top/>
      <bottom style="medium">
        <color theme="1"/>
      </bottom>
      <diagonal style="thin">
        <color theme="1"/>
      </diagonal>
    </border>
    <border diagonalDown="1">
      <left style="medium">
        <color indexed="64"/>
      </left>
      <right style="medium">
        <color indexed="64"/>
      </right>
      <top style="medium">
        <color indexed="64"/>
      </top>
      <bottom style="medium">
        <color indexed="64"/>
      </bottom>
      <diagonal style="thin">
        <color indexed="64"/>
      </diagonal>
    </border>
    <border>
      <left style="double">
        <color rgb="FF35A16B"/>
      </left>
      <right style="thin">
        <color auto="1"/>
      </right>
      <top style="double">
        <color rgb="FF35A16B"/>
      </top>
      <bottom style="double">
        <color rgb="FF35A16B"/>
      </bottom>
      <diagonal/>
    </border>
    <border>
      <left style="thin">
        <color auto="1"/>
      </left>
      <right style="double">
        <color rgb="FF35A16B"/>
      </right>
      <top style="double">
        <color rgb="FF35A16B"/>
      </top>
      <bottom style="double">
        <color rgb="FF35A16B"/>
      </bottom>
      <diagonal/>
    </border>
    <border>
      <left style="double">
        <color indexed="57"/>
      </left>
      <right style="thin">
        <color auto="1"/>
      </right>
      <top/>
      <bottom/>
      <diagonal/>
    </border>
    <border>
      <left style="double">
        <color indexed="57"/>
      </left>
      <right style="double">
        <color indexed="57"/>
      </right>
      <top style="thin">
        <color theme="1"/>
      </top>
      <bottom style="thin">
        <color auto="1"/>
      </bottom>
      <diagonal/>
    </border>
    <border>
      <left/>
      <right style="double">
        <color indexed="57"/>
      </right>
      <top style="thin">
        <color indexed="64"/>
      </top>
      <bottom style="thin">
        <color auto="1"/>
      </bottom>
      <diagonal/>
    </border>
    <border>
      <left style="double">
        <color rgb="FF339966"/>
      </left>
      <right/>
      <top style="thin">
        <color theme="1"/>
      </top>
      <bottom style="thin">
        <color theme="1"/>
      </bottom>
      <diagonal/>
    </border>
    <border>
      <left/>
      <right style="thin">
        <color indexed="64"/>
      </right>
      <top style="double">
        <color indexed="57"/>
      </top>
      <bottom/>
      <diagonal/>
    </border>
    <border>
      <left/>
      <right style="thin">
        <color indexed="64"/>
      </right>
      <top style="thin">
        <color indexed="64"/>
      </top>
      <bottom style="double">
        <color indexed="57"/>
      </bottom>
      <diagonal/>
    </border>
    <border>
      <left style="double">
        <color rgb="FF339966"/>
      </left>
      <right/>
      <top style="double">
        <color rgb="FF339966"/>
      </top>
      <bottom style="thin">
        <color theme="1"/>
      </bottom>
      <diagonal/>
    </border>
    <border>
      <left/>
      <right style="double">
        <color rgb="FF339966"/>
      </right>
      <top style="double">
        <color rgb="FF339966"/>
      </top>
      <bottom style="thin">
        <color theme="1"/>
      </bottom>
      <diagonal/>
    </border>
    <border>
      <left/>
      <right style="double">
        <color rgb="FF339966"/>
      </right>
      <top style="thin">
        <color theme="1"/>
      </top>
      <bottom style="thin">
        <color theme="1"/>
      </bottom>
      <diagonal/>
    </border>
    <border>
      <left style="double">
        <color rgb="FF339966"/>
      </left>
      <right/>
      <top style="thin">
        <color theme="1"/>
      </top>
      <bottom style="double">
        <color rgb="FF339966"/>
      </bottom>
      <diagonal/>
    </border>
    <border>
      <left/>
      <right style="double">
        <color rgb="FF339966"/>
      </right>
      <top style="thin">
        <color theme="1"/>
      </top>
      <bottom style="double">
        <color rgb="FF339966"/>
      </bottom>
      <diagonal/>
    </border>
    <border>
      <left style="medium">
        <color indexed="64"/>
      </left>
      <right/>
      <top/>
      <bottom style="double">
        <color rgb="FF339966"/>
      </bottom>
      <diagonal/>
    </border>
    <border>
      <left/>
      <right style="thin">
        <color indexed="64"/>
      </right>
      <top/>
      <bottom style="double">
        <color rgb="FF339966"/>
      </bottom>
      <diagonal/>
    </border>
    <border>
      <left/>
      <right/>
      <top style="double">
        <color indexed="57"/>
      </top>
      <bottom/>
      <diagonal/>
    </border>
    <border>
      <left style="thin">
        <color auto="1"/>
      </left>
      <right style="medium">
        <color indexed="64"/>
      </right>
      <top style="double">
        <color indexed="57"/>
      </top>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double">
        <color indexed="57"/>
      </left>
      <right style="double">
        <color indexed="57"/>
      </right>
      <top style="double">
        <color indexed="57"/>
      </top>
      <bottom style="thin">
        <color auto="1"/>
      </bottom>
      <diagonal/>
    </border>
    <border>
      <left style="double">
        <color rgb="FF339966"/>
      </left>
      <right style="double">
        <color rgb="FF339966"/>
      </right>
      <top style="double">
        <color rgb="FF339966"/>
      </top>
      <bottom style="thin">
        <color indexed="64"/>
      </bottom>
      <diagonal/>
    </border>
    <border>
      <left style="thin">
        <color indexed="64"/>
      </left>
      <right style="medium">
        <color indexed="64"/>
      </right>
      <top/>
      <bottom style="double">
        <color rgb="FF339966"/>
      </bottom>
      <diagonal/>
    </border>
    <border>
      <left style="double">
        <color indexed="57"/>
      </left>
      <right style="double">
        <color rgb="FF339966"/>
      </right>
      <top style="double">
        <color rgb="FF339966"/>
      </top>
      <bottom style="double">
        <color rgb="FF339966"/>
      </bottom>
      <diagonal/>
    </border>
    <border>
      <left style="double">
        <color indexed="57"/>
      </left>
      <right style="double">
        <color indexed="57"/>
      </right>
      <top style="double">
        <color rgb="FF339966"/>
      </top>
      <bottom style="double">
        <color rgb="FF339966"/>
      </bottom>
      <diagonal/>
    </border>
    <border diagonalDown="1">
      <left style="medium">
        <color indexed="64"/>
      </left>
      <right style="double">
        <color rgb="FF35A16B"/>
      </right>
      <top style="double">
        <color rgb="FF35A16B"/>
      </top>
      <bottom style="medium">
        <color indexed="64"/>
      </bottom>
      <diagonal style="thin">
        <color indexed="64"/>
      </diagonal>
    </border>
    <border>
      <left style="double">
        <color indexed="57"/>
      </left>
      <right/>
      <top style="double">
        <color indexed="57"/>
      </top>
      <bottom/>
      <diagonal/>
    </border>
    <border>
      <left/>
      <right style="dotted">
        <color rgb="FF7F878F"/>
      </right>
      <top style="thin">
        <color indexed="64"/>
      </top>
      <bottom style="thin">
        <color indexed="64"/>
      </bottom>
      <diagonal/>
    </border>
    <border>
      <left style="double">
        <color indexed="64"/>
      </left>
      <right/>
      <top style="thin">
        <color indexed="64"/>
      </top>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double">
        <color indexed="57"/>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style="double">
        <color indexed="57"/>
      </right>
      <top style="double">
        <color indexed="57"/>
      </top>
      <bottom style="double">
        <color rgb="FF35A16B"/>
      </bottom>
      <diagonal/>
    </border>
    <border>
      <left style="double">
        <color rgb="FF339966"/>
      </left>
      <right style="double">
        <color rgb="FF339966"/>
      </right>
      <top style="double">
        <color indexed="57"/>
      </top>
      <bottom/>
      <diagonal/>
    </border>
    <border>
      <left style="double">
        <color rgb="FF339966"/>
      </left>
      <right style="double">
        <color rgb="FF339966"/>
      </right>
      <top style="thin">
        <color indexed="64"/>
      </top>
      <bottom style="double">
        <color indexed="57"/>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right/>
      <top style="hair">
        <color auto="1"/>
      </top>
      <bottom style="hair">
        <color auto="1"/>
      </bottom>
      <diagonal/>
    </border>
    <border>
      <left/>
      <right/>
      <top style="hair">
        <color auto="1"/>
      </top>
      <bottom style="double">
        <color indexed="64"/>
      </bottom>
      <diagonal/>
    </border>
    <border>
      <left style="double">
        <color indexed="57"/>
      </left>
      <right style="double">
        <color indexed="57"/>
      </right>
      <top style="double">
        <color indexed="57"/>
      </top>
      <bottom/>
      <diagonal/>
    </border>
    <border>
      <left/>
      <right/>
      <top style="hair">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57"/>
      </left>
      <right style="thin">
        <color theme="1"/>
      </right>
      <top style="double">
        <color indexed="57"/>
      </top>
      <bottom/>
      <diagonal/>
    </border>
    <border>
      <left style="thin">
        <color theme="1"/>
      </left>
      <right style="thin">
        <color theme="1"/>
      </right>
      <top style="double">
        <color indexed="57"/>
      </top>
      <bottom/>
      <diagonal/>
    </border>
    <border>
      <left style="thin">
        <color theme="1"/>
      </left>
      <right style="double">
        <color indexed="57"/>
      </right>
      <top style="double">
        <color indexed="57"/>
      </top>
      <bottom/>
      <diagonal/>
    </border>
    <border>
      <left style="double">
        <color indexed="57"/>
      </left>
      <right style="thin">
        <color theme="1"/>
      </right>
      <top/>
      <bottom style="thin">
        <color indexed="64"/>
      </bottom>
      <diagonal/>
    </border>
    <border>
      <left style="thin">
        <color theme="1"/>
      </left>
      <right style="thin">
        <color theme="1"/>
      </right>
      <top/>
      <bottom style="thin">
        <color indexed="64"/>
      </bottom>
      <diagonal/>
    </border>
    <border>
      <left style="thin">
        <color theme="1"/>
      </left>
      <right style="double">
        <color indexed="57"/>
      </right>
      <top/>
      <bottom style="thin">
        <color indexed="64"/>
      </bottom>
      <diagonal/>
    </border>
    <border>
      <left style="thin">
        <color indexed="64"/>
      </left>
      <right style="thin">
        <color indexed="64"/>
      </right>
      <top/>
      <bottom style="double">
        <color rgb="FF339966"/>
      </bottom>
      <diagonal/>
    </border>
    <border>
      <left style="thin">
        <color theme="1"/>
      </left>
      <right style="thin">
        <color indexed="64"/>
      </right>
      <top style="double">
        <color rgb="FF339966"/>
      </top>
      <bottom/>
      <diagonal/>
    </border>
    <border>
      <left style="thin">
        <color theme="1"/>
      </left>
      <right style="thin">
        <color indexed="64"/>
      </right>
      <top style="thin">
        <color auto="1"/>
      </top>
      <bottom/>
      <diagonal/>
    </border>
    <border>
      <left style="thin">
        <color theme="1"/>
      </left>
      <right style="thin">
        <color indexed="64"/>
      </right>
      <top style="thin">
        <color indexed="64"/>
      </top>
      <bottom style="medium">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right style="double">
        <color rgb="FF35A16B"/>
      </right>
      <top style="double">
        <color rgb="FF35A16B"/>
      </top>
      <bottom style="thin">
        <color indexed="64"/>
      </bottom>
      <diagonal/>
    </border>
    <border>
      <left style="double">
        <color rgb="FF35A16B"/>
      </left>
      <right/>
      <top style="thin">
        <color indexed="64"/>
      </top>
      <bottom/>
      <diagonal/>
    </border>
    <border>
      <left/>
      <right style="double">
        <color rgb="FF35A16B"/>
      </right>
      <top style="thin">
        <color indexed="64"/>
      </top>
      <bottom/>
      <diagonal/>
    </border>
    <border>
      <left style="thin">
        <color indexed="64"/>
      </left>
      <right/>
      <top style="thin">
        <color indexed="64"/>
      </top>
      <bottom/>
      <diagonal/>
    </border>
    <border>
      <left style="thin">
        <color auto="1"/>
      </left>
      <right style="double">
        <color rgb="FF339966"/>
      </right>
      <top style="thin">
        <color auto="1"/>
      </top>
      <bottom style="thin">
        <color auto="1"/>
      </bottom>
      <diagonal/>
    </border>
    <border>
      <left style="thin">
        <color indexed="64"/>
      </left>
      <right style="dotted">
        <color indexed="23"/>
      </right>
      <top style="thin">
        <color auto="1"/>
      </top>
      <bottom style="thin">
        <color auto="1"/>
      </bottom>
      <diagonal/>
    </border>
    <border>
      <left style="double">
        <color rgb="FF339966"/>
      </left>
      <right/>
      <top/>
      <bottom style="thin">
        <color theme="1"/>
      </bottom>
      <diagonal/>
    </border>
    <border>
      <left/>
      <right style="double">
        <color rgb="FF339966"/>
      </right>
      <top/>
      <bottom style="thin">
        <color theme="1"/>
      </bottom>
      <diagonal/>
    </border>
    <border>
      <left style="double">
        <color rgb="FF339966"/>
      </left>
      <right/>
      <top style="thin">
        <color theme="1"/>
      </top>
      <bottom style="thin">
        <color auto="1"/>
      </bottom>
      <diagonal/>
    </border>
    <border>
      <left/>
      <right style="double">
        <color rgb="FF339966"/>
      </right>
      <top style="thin">
        <color theme="1"/>
      </top>
      <bottom style="thin">
        <color auto="1"/>
      </bottom>
      <diagonal/>
    </border>
    <border>
      <left style="medium">
        <color indexed="64"/>
      </left>
      <right/>
      <top style="thin">
        <color indexed="64"/>
      </top>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indexed="64"/>
      </top>
      <bottom style="thin">
        <color auto="1"/>
      </bottom>
      <diagonal/>
    </border>
    <border>
      <left/>
      <right style="double">
        <color rgb="FF35A16B"/>
      </right>
      <top/>
      <bottom style="thin">
        <color indexed="64"/>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medium">
        <color indexed="64"/>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double">
        <color rgb="FF35A16B"/>
      </top>
      <bottom style="thin">
        <color indexed="64"/>
      </bottom>
      <diagonal/>
    </border>
    <border>
      <left style="thin">
        <color indexed="64"/>
      </left>
      <right style="medium">
        <color indexed="64"/>
      </right>
      <top style="thin">
        <color indexed="64"/>
      </top>
      <bottom/>
      <diagonal/>
    </border>
    <border>
      <left style="medium">
        <color auto="1"/>
      </left>
      <right style="double">
        <color indexed="57"/>
      </right>
      <top/>
      <bottom style="double">
        <color rgb="FF35A16B"/>
      </bottom>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style="double">
        <color indexed="57"/>
      </right>
      <top style="thin">
        <color indexed="64"/>
      </top>
      <bottom style="double">
        <color rgb="FF35A16B"/>
      </bottom>
      <diagonal/>
    </border>
    <border>
      <left style="thin">
        <color indexed="64"/>
      </left>
      <right style="double">
        <color indexed="57"/>
      </right>
      <top style="thin">
        <color auto="1"/>
      </top>
      <bottom style="thin">
        <color auto="1"/>
      </bottom>
      <diagonal/>
    </border>
    <border>
      <left style="double">
        <color indexed="64"/>
      </left>
      <right style="double">
        <color indexed="64"/>
      </right>
      <top/>
      <bottom style="thin">
        <color indexed="64"/>
      </bottom>
      <diagonal/>
    </border>
    <border>
      <left style="thin">
        <color indexed="64"/>
      </left>
      <right style="thin">
        <color indexed="64"/>
      </right>
      <top style="thin">
        <color indexed="64"/>
      </top>
      <bottom/>
      <diagonal/>
    </border>
    <border>
      <left style="thin">
        <color auto="1"/>
      </left>
      <right/>
      <top style="double">
        <color indexed="57"/>
      </top>
      <bottom/>
      <diagonal/>
    </border>
    <border>
      <left style="thin">
        <color auto="1"/>
      </left>
      <right/>
      <top style="double">
        <color indexed="57"/>
      </top>
      <bottom style="thin">
        <color auto="1"/>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double">
        <color indexed="64"/>
      </left>
      <right style="double">
        <color indexed="64"/>
      </right>
      <top style="double">
        <color indexed="64"/>
      </top>
      <bottom/>
      <diagonal/>
    </border>
    <border>
      <left style="double">
        <color indexed="57"/>
      </left>
      <right style="dotted">
        <color indexed="23"/>
      </right>
      <top style="double">
        <color indexed="57"/>
      </top>
      <bottom/>
      <diagonal/>
    </border>
    <border>
      <left style="thin">
        <color indexed="64"/>
      </left>
      <right style="dotted">
        <color indexed="23"/>
      </right>
      <top style="double">
        <color indexed="57"/>
      </top>
      <bottom/>
      <diagonal/>
    </border>
    <border>
      <left style="thin">
        <color indexed="64"/>
      </left>
      <right style="thin">
        <color indexed="64"/>
      </right>
      <top style="double">
        <color indexed="64"/>
      </top>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57"/>
      </left>
      <right/>
      <top style="double">
        <color indexed="57"/>
      </top>
      <bottom style="thin">
        <color auto="1"/>
      </bottom>
      <diagonal/>
    </border>
    <border>
      <left style="thin">
        <color indexed="64"/>
      </left>
      <right style="double">
        <color indexed="57"/>
      </right>
      <top style="thin">
        <color indexed="64"/>
      </top>
      <bottom/>
      <diagonal/>
    </border>
    <border>
      <left style="double">
        <color rgb="FF35A16B"/>
      </left>
      <right/>
      <top style="double">
        <color indexed="57"/>
      </top>
      <bottom/>
      <diagonal/>
    </border>
    <border>
      <left style="thin">
        <color indexed="64"/>
      </left>
      <right style="double">
        <color rgb="FF35A16B"/>
      </right>
      <top style="double">
        <color rgb="FF35A16B"/>
      </top>
      <bottom/>
      <diagonal/>
    </border>
    <border>
      <left style="double">
        <color auto="1"/>
      </left>
      <right style="thin">
        <color auto="1"/>
      </right>
      <top style="thin">
        <color auto="1"/>
      </top>
      <bottom style="thin">
        <color indexed="64"/>
      </bottom>
      <diagonal/>
    </border>
    <border>
      <left style="thick">
        <color indexed="64"/>
      </left>
      <right style="double">
        <color indexed="64"/>
      </right>
      <top style="thin">
        <color indexed="64"/>
      </top>
      <bottom style="double">
        <color indexed="64"/>
      </bottom>
      <diagonal/>
    </border>
    <border diagonalDown="1">
      <left style="thick">
        <color indexed="64"/>
      </left>
      <right style="thin">
        <color indexed="64"/>
      </right>
      <top style="double">
        <color indexed="64"/>
      </top>
      <bottom style="thin">
        <color indexed="64"/>
      </bottom>
      <diagonal style="thin">
        <color indexed="64"/>
      </diagonal>
    </border>
    <border>
      <left style="thick">
        <color indexed="64"/>
      </left>
      <right style="double">
        <color indexed="64"/>
      </right>
      <top style="double">
        <color auto="1"/>
      </top>
      <bottom style="thin">
        <color indexed="64"/>
      </bottom>
      <diagonal/>
    </border>
    <border>
      <left style="thick">
        <color indexed="64"/>
      </left>
      <right style="double">
        <color indexed="64"/>
      </right>
      <top style="thin">
        <color indexed="64"/>
      </top>
      <bottom style="thin">
        <color indexed="64"/>
      </bottom>
      <diagonal/>
    </border>
    <border>
      <left style="mediumDashed">
        <color theme="1"/>
      </left>
      <right/>
      <top/>
      <bottom/>
      <diagonal/>
    </border>
    <border>
      <left/>
      <right style="double">
        <color indexed="57"/>
      </right>
      <top style="medium">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bottom/>
      <diagonal/>
    </border>
    <border>
      <left style="thin">
        <color indexed="64"/>
      </left>
      <right style="thin">
        <color indexed="64"/>
      </right>
      <top style="double">
        <color indexed="64"/>
      </top>
      <bottom style="thin">
        <color indexed="64"/>
      </bottom>
      <diagonal/>
    </border>
    <border diagonalDown="1">
      <left style="thin">
        <color indexed="64"/>
      </left>
      <right style="thin">
        <color indexed="64"/>
      </right>
      <top style="thin">
        <color indexed="64"/>
      </top>
      <bottom/>
      <diagonal style="thin">
        <color indexed="64"/>
      </diagonal>
    </border>
    <border>
      <left style="thick">
        <color indexed="64"/>
      </left>
      <right style="thick">
        <color indexed="64"/>
      </right>
      <top style="thick">
        <color indexed="64"/>
      </top>
      <bottom/>
      <diagonal/>
    </border>
    <border>
      <left style="double">
        <color theme="1"/>
      </left>
      <right style="double">
        <color theme="1"/>
      </right>
      <top style="double">
        <color theme="1"/>
      </top>
      <bottom/>
      <diagonal/>
    </border>
    <border>
      <left style="double">
        <color theme="1"/>
      </left>
      <right style="double">
        <color theme="1"/>
      </right>
      <top style="thin">
        <color indexed="64"/>
      </top>
      <bottom style="thin">
        <color indexed="64"/>
      </bottom>
      <diagonal/>
    </border>
    <border>
      <left style="double">
        <color theme="1"/>
      </left>
      <right style="double">
        <color theme="1"/>
      </right>
      <top style="thin">
        <color indexed="64"/>
      </top>
      <bottom style="double">
        <color theme="1"/>
      </bottom>
      <diagonal/>
    </border>
    <border>
      <left/>
      <right/>
      <top/>
      <bottom style="thick">
        <color indexed="64"/>
      </bottom>
      <diagonal/>
    </border>
    <border>
      <left style="double">
        <color indexed="57"/>
      </left>
      <right style="thin">
        <color indexed="64"/>
      </right>
      <top style="double">
        <color indexed="57"/>
      </top>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09">
    <xf numFmtId="0" fontId="0" fillId="0" borderId="0"/>
    <xf numFmtId="0" fontId="85" fillId="0" borderId="0" applyNumberFormat="0" applyFill="0" applyBorder="0" applyAlignment="0" applyProtection="0"/>
    <xf numFmtId="0" fontId="85" fillId="0" borderId="0" applyNumberFormat="0" applyFill="0" applyBorder="0" applyAlignment="0" applyProtection="0"/>
    <xf numFmtId="0" fontId="8" fillId="0" borderId="0">
      <alignment vertical="center"/>
    </xf>
    <xf numFmtId="0" fontId="8" fillId="0" borderId="0"/>
    <xf numFmtId="0" fontId="52" fillId="0" borderId="0">
      <alignment vertical="center"/>
    </xf>
    <xf numFmtId="0" fontId="8" fillId="0" borderId="0"/>
    <xf numFmtId="0" fontId="52" fillId="0" borderId="0">
      <alignment vertical="center"/>
    </xf>
    <xf numFmtId="0" fontId="8" fillId="0" borderId="0">
      <alignment vertical="center"/>
    </xf>
    <xf numFmtId="0" fontId="13" fillId="0" borderId="0">
      <alignment vertical="center"/>
    </xf>
    <xf numFmtId="0" fontId="12" fillId="0" borderId="0"/>
    <xf numFmtId="38" fontId="8" fillId="0" borderId="0" applyFont="0" applyFill="0" applyBorder="0" applyAlignment="0" applyProtection="0">
      <alignment vertical="center"/>
    </xf>
    <xf numFmtId="0" fontId="2" fillId="0" borderId="0">
      <alignment vertical="center"/>
    </xf>
    <xf numFmtId="0" fontId="2" fillId="0" borderId="0">
      <alignment vertical="center"/>
    </xf>
    <xf numFmtId="0" fontId="13" fillId="0" borderId="0"/>
    <xf numFmtId="0" fontId="12" fillId="0" borderId="0"/>
    <xf numFmtId="9" fontId="25" fillId="0" borderId="0" applyFont="0" applyFill="0" applyBorder="0" applyAlignment="0" applyProtection="0"/>
    <xf numFmtId="0" fontId="60"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8" fillId="0" borderId="0" applyFont="0" applyFill="0" applyBorder="0" applyAlignment="0" applyProtection="0"/>
    <xf numFmtId="0" fontId="8" fillId="0" borderId="0"/>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xf numFmtId="0" fontId="8" fillId="0" borderId="0"/>
    <xf numFmtId="0" fontId="12" fillId="0" borderId="0"/>
    <xf numFmtId="0" fontId="12" fillId="0" borderId="0"/>
    <xf numFmtId="0" fontId="8" fillId="0" borderId="0">
      <alignment vertical="center"/>
    </xf>
    <xf numFmtId="0" fontId="8" fillId="0" borderId="0">
      <alignment vertical="center"/>
    </xf>
    <xf numFmtId="0" fontId="25" fillId="0" borderId="0"/>
    <xf numFmtId="0" fontId="8" fillId="0" borderId="0"/>
    <xf numFmtId="0" fontId="25" fillId="0" borderId="0"/>
    <xf numFmtId="0" fontId="61"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5" fillId="0" borderId="0"/>
    <xf numFmtId="0" fontId="12" fillId="0" borderId="0"/>
    <xf numFmtId="0" fontId="2" fillId="0" borderId="0">
      <alignment vertical="center"/>
    </xf>
    <xf numFmtId="0" fontId="61" fillId="0" borderId="0">
      <alignment vertical="center"/>
    </xf>
    <xf numFmtId="0" fontId="2" fillId="0" borderId="0">
      <alignment vertical="center"/>
    </xf>
    <xf numFmtId="0" fontId="62" fillId="0" borderId="0"/>
    <xf numFmtId="0" fontId="8" fillId="0" borderId="0">
      <alignment vertical="center"/>
    </xf>
    <xf numFmtId="0" fontId="8" fillId="0" borderId="0"/>
    <xf numFmtId="0" fontId="8" fillId="0" borderId="0">
      <alignment vertical="center"/>
    </xf>
    <xf numFmtId="0" fontId="8" fillId="0" borderId="0"/>
    <xf numFmtId="38" fontId="13" fillId="0" borderId="0" applyFont="0" applyFill="0" applyBorder="0" applyAlignment="0" applyProtection="0"/>
    <xf numFmtId="0" fontId="66" fillId="0" borderId="0">
      <alignment vertical="center"/>
    </xf>
    <xf numFmtId="0" fontId="8" fillId="0" borderId="0"/>
    <xf numFmtId="0" fontId="2" fillId="0" borderId="0">
      <alignment vertical="center"/>
    </xf>
    <xf numFmtId="0" fontId="67" fillId="0" borderId="0"/>
    <xf numFmtId="0" fontId="52" fillId="0" borderId="0">
      <alignment vertical="center"/>
    </xf>
    <xf numFmtId="0" fontId="8" fillId="0" borderId="0">
      <alignment vertical="center"/>
    </xf>
    <xf numFmtId="0" fontId="1" fillId="0" borderId="0">
      <alignment vertical="center"/>
    </xf>
    <xf numFmtId="0" fontId="1" fillId="0" borderId="0">
      <alignment vertical="center"/>
    </xf>
    <xf numFmtId="0" fontId="1" fillId="0" borderId="0">
      <alignment vertical="center"/>
    </xf>
  </cellStyleXfs>
  <cellXfs count="2240">
    <xf numFmtId="0" fontId="0" fillId="0" borderId="0" xfId="0"/>
    <xf numFmtId="0" fontId="71" fillId="0" borderId="231" xfId="0" applyNumberFormat="1" applyFont="1" applyFill="1" applyBorder="1" applyAlignment="1" applyProtection="1">
      <alignment horizontal="center" vertical="center"/>
    </xf>
    <xf numFmtId="0" fontId="71" fillId="0" borderId="278" xfId="0" quotePrefix="1" applyNumberFormat="1" applyFont="1" applyFill="1" applyBorder="1" applyAlignment="1" applyProtection="1">
      <alignment horizontal="center" vertical="center"/>
    </xf>
    <xf numFmtId="0" fontId="6" fillId="0" borderId="0" xfId="0" applyFont="1" applyBorder="1" applyAlignment="1"/>
    <xf numFmtId="0" fontId="6" fillId="0" borderId="0" xfId="0" applyFont="1" applyBorder="1" applyAlignment="1">
      <alignment vertical="center"/>
    </xf>
    <xf numFmtId="0" fontId="12" fillId="0" borderId="0" xfId="0" applyFont="1" applyBorder="1" applyAlignment="1" applyProtection="1"/>
    <xf numFmtId="0" fontId="12" fillId="0" borderId="0" xfId="0" applyFont="1" applyBorder="1" applyAlignment="1" applyProtection="1">
      <alignment vertical="center" justifyLastLine="1"/>
    </xf>
    <xf numFmtId="0" fontId="12" fillId="0" borderId="0" xfId="0" applyFont="1" applyFill="1" applyBorder="1" applyAlignment="1" applyProtection="1"/>
    <xf numFmtId="0" fontId="16" fillId="0" borderId="0" xfId="0" applyFont="1" applyBorder="1" applyAlignment="1" applyProtection="1"/>
    <xf numFmtId="0" fontId="16" fillId="0" borderId="0" xfId="0" applyFont="1" applyBorder="1" applyAlignment="1">
      <alignment vertical="top" wrapText="1"/>
    </xf>
    <xf numFmtId="0" fontId="16" fillId="0" borderId="0" xfId="0" applyFont="1" applyBorder="1" applyAlignment="1">
      <alignment vertical="center"/>
    </xf>
    <xf numFmtId="0" fontId="16" fillId="0" borderId="0" xfId="0" applyFont="1" applyFill="1" applyProtection="1">
      <protection hidden="1"/>
    </xf>
    <xf numFmtId="0" fontId="16" fillId="0" borderId="0" xfId="0" applyNumberFormat="1" applyFont="1" applyBorder="1" applyAlignment="1" applyProtection="1"/>
    <xf numFmtId="0" fontId="16" fillId="0" borderId="0" xfId="0" applyNumberFormat="1" applyFont="1" applyFill="1" applyAlignment="1" applyProtection="1">
      <protection hidden="1"/>
    </xf>
    <xf numFmtId="0" fontId="16" fillId="0" borderId="0" xfId="0" applyFont="1" applyFill="1" applyBorder="1" applyProtection="1">
      <protection hidden="1"/>
    </xf>
    <xf numFmtId="0" fontId="16" fillId="0" borderId="0" xfId="0" applyFont="1" applyFill="1" applyBorder="1" applyAlignment="1" applyProtection="1">
      <protection hidden="1"/>
    </xf>
    <xf numFmtId="0" fontId="13" fillId="0" borderId="0" xfId="0" applyFont="1" applyFill="1" applyBorder="1" applyAlignment="1" applyProtection="1">
      <alignment horizontal="distributed" vertical="center"/>
    </xf>
    <xf numFmtId="0" fontId="13" fillId="0" borderId="0" xfId="0" applyFont="1" applyFill="1" applyBorder="1" applyAlignment="1" applyProtection="1">
      <alignment vertical="center"/>
    </xf>
    <xf numFmtId="0" fontId="12" fillId="0" borderId="0" xfId="0" applyFont="1" applyFill="1" applyBorder="1" applyAlignment="1" applyProtection="1">
      <alignment vertical="center"/>
    </xf>
    <xf numFmtId="0" fontId="4" fillId="0" borderId="0" xfId="0" applyFont="1" applyBorder="1" applyAlignment="1">
      <alignment vertical="center"/>
    </xf>
    <xf numFmtId="0" fontId="23" fillId="0" borderId="0" xfId="0" applyFont="1" applyBorder="1" applyAlignment="1" applyProtection="1"/>
    <xf numFmtId="0" fontId="23" fillId="0" borderId="0" xfId="0" applyFont="1" applyFill="1" applyBorder="1" applyAlignment="1" applyProtection="1"/>
    <xf numFmtId="0" fontId="12" fillId="0" borderId="0" xfId="0" applyFont="1" applyBorder="1" applyAlignment="1" applyProtection="1">
      <alignment horizontal="center" vertical="center" shrinkToFit="1"/>
    </xf>
    <xf numFmtId="0" fontId="34" fillId="0" borderId="0" xfId="0" applyFont="1" applyBorder="1" applyAlignment="1" applyProtection="1"/>
    <xf numFmtId="0" fontId="34" fillId="0" borderId="0" xfId="0" applyFont="1" applyFill="1" applyProtection="1">
      <protection hidden="1"/>
    </xf>
    <xf numFmtId="0" fontId="34" fillId="0" borderId="0" xfId="0" applyFont="1" applyBorder="1" applyAlignment="1">
      <alignment vertical="center"/>
    </xf>
    <xf numFmtId="0" fontId="34" fillId="0" borderId="0" xfId="0" applyFont="1" applyBorder="1" applyAlignment="1" applyProtection="1">
      <alignment vertical="center"/>
    </xf>
    <xf numFmtId="0" fontId="16" fillId="0" borderId="0" xfId="0" applyFont="1" applyBorder="1" applyAlignment="1" applyProtection="1">
      <alignment vertical="center"/>
    </xf>
    <xf numFmtId="0" fontId="16" fillId="0" borderId="0" xfId="0" applyFont="1" applyFill="1" applyAlignment="1" applyProtection="1">
      <alignment vertical="center"/>
      <protection hidden="1"/>
    </xf>
    <xf numFmtId="0" fontId="34" fillId="0" borderId="0" xfId="0" applyFont="1" applyFill="1" applyAlignment="1" applyProtection="1">
      <alignment vertical="center"/>
      <protection hidden="1"/>
    </xf>
    <xf numFmtId="0" fontId="40" fillId="0" borderId="0" xfId="0" applyFont="1" applyBorder="1" applyAlignment="1">
      <alignment vertical="center"/>
    </xf>
    <xf numFmtId="0" fontId="39" fillId="0" borderId="0" xfId="0" applyFont="1" applyBorder="1" applyAlignment="1">
      <alignment vertical="center"/>
    </xf>
    <xf numFmtId="0" fontId="16" fillId="0" borderId="0" xfId="0" applyFont="1" applyFill="1" applyBorder="1" applyAlignment="1" applyProtection="1">
      <alignment vertical="center"/>
      <protection hidden="1"/>
    </xf>
    <xf numFmtId="0" fontId="16" fillId="0" borderId="0" xfId="0" applyNumberFormat="1" applyFont="1" applyFill="1" applyAlignment="1" applyProtection="1">
      <alignment vertical="center"/>
      <protection hidden="1"/>
    </xf>
    <xf numFmtId="0" fontId="16" fillId="0" borderId="0" xfId="0" applyFont="1" applyFill="1" applyBorder="1" applyAlignment="1" applyProtection="1">
      <alignment horizontal="left"/>
      <protection hidden="1"/>
    </xf>
    <xf numFmtId="0" fontId="42" fillId="0" borderId="0" xfId="0" applyFont="1" applyFill="1" applyBorder="1" applyProtection="1">
      <protection hidden="1"/>
    </xf>
    <xf numFmtId="0" fontId="42" fillId="0" borderId="0" xfId="0" applyFont="1" applyBorder="1" applyAlignment="1" applyProtection="1"/>
    <xf numFmtId="0" fontId="24" fillId="0" borderId="0" xfId="0" applyFont="1" applyBorder="1" applyAlignment="1" applyProtection="1">
      <alignment horizontal="left" vertical="center" wrapText="1"/>
    </xf>
    <xf numFmtId="0" fontId="43" fillId="0" borderId="0" xfId="0" applyFont="1" applyBorder="1" applyAlignment="1">
      <alignment vertical="center"/>
    </xf>
    <xf numFmtId="0" fontId="43" fillId="0" borderId="0" xfId="0" applyFont="1" applyBorder="1" applyAlignment="1" applyProtection="1">
      <alignment vertical="center"/>
    </xf>
    <xf numFmtId="0" fontId="43" fillId="0" borderId="0" xfId="0" applyFont="1" applyFill="1" applyAlignment="1" applyProtection="1">
      <alignment vertical="center"/>
      <protection hidden="1"/>
    </xf>
    <xf numFmtId="0" fontId="44" fillId="0" borderId="0" xfId="0" applyFont="1" applyBorder="1" applyAlignment="1">
      <alignment vertical="center"/>
    </xf>
    <xf numFmtId="0" fontId="42" fillId="0" borderId="0" xfId="0" applyFont="1" applyFill="1" applyProtection="1">
      <protection hidden="1"/>
    </xf>
    <xf numFmtId="0" fontId="23" fillId="0" borderId="10" xfId="0" applyFont="1" applyBorder="1" applyAlignment="1" applyProtection="1"/>
    <xf numFmtId="0" fontId="23" fillId="0" borderId="15" xfId="0" applyFont="1" applyBorder="1" applyAlignment="1">
      <alignment horizontal="center" vertical="center"/>
    </xf>
    <xf numFmtId="0" fontId="23" fillId="0" borderId="10" xfId="0" applyFont="1" applyBorder="1" applyAlignment="1" applyProtection="1">
      <alignment vertical="center"/>
    </xf>
    <xf numFmtId="0" fontId="25" fillId="0" borderId="10" xfId="0" applyFont="1" applyBorder="1" applyAlignment="1" applyProtection="1">
      <alignment vertical="center"/>
    </xf>
    <xf numFmtId="0" fontId="25" fillId="0" borderId="19" xfId="0" applyFont="1" applyBorder="1" applyAlignment="1" applyProtection="1">
      <alignment vertical="center"/>
    </xf>
    <xf numFmtId="0" fontId="13" fillId="0" borderId="10" xfId="0" applyFont="1" applyBorder="1" applyAlignment="1" applyProtection="1">
      <alignment horizontal="distributed" vertical="center"/>
    </xf>
    <xf numFmtId="0" fontId="12" fillId="0" borderId="0" xfId="0" applyFont="1" applyBorder="1" applyAlignment="1" applyProtection="1">
      <alignment vertical="center"/>
    </xf>
    <xf numFmtId="0" fontId="0" fillId="0" borderId="0" xfId="0" applyFill="1" applyBorder="1" applyAlignment="1" applyProtection="1"/>
    <xf numFmtId="0" fontId="0" fillId="0" borderId="0" xfId="0" applyBorder="1" applyAlignment="1" applyProtection="1"/>
    <xf numFmtId="0" fontId="0" fillId="0" borderId="0" xfId="0" applyFont="1" applyFill="1" applyBorder="1" applyAlignment="1" applyProtection="1"/>
    <xf numFmtId="0" fontId="54" fillId="0" borderId="0" xfId="0" applyFont="1" applyBorder="1" applyAlignment="1">
      <alignment vertical="center"/>
    </xf>
    <xf numFmtId="0" fontId="12" fillId="0" borderId="0" xfId="0" applyFont="1" applyBorder="1" applyAlignment="1" applyProtection="1">
      <alignment horizontal="centerContinuous"/>
    </xf>
    <xf numFmtId="0" fontId="0" fillId="0" borderId="0" xfId="0" applyBorder="1" applyAlignment="1" applyProtection="1">
      <alignment horizontal="centerContinuous"/>
    </xf>
    <xf numFmtId="0" fontId="3" fillId="0" borderId="0" xfId="0" applyFont="1" applyBorder="1" applyAlignment="1" applyProtection="1">
      <alignment horizontal="centerContinuous" vertical="top"/>
    </xf>
    <xf numFmtId="0" fontId="31" fillId="0" borderId="0" xfId="0" applyFont="1" applyBorder="1" applyAlignment="1" applyProtection="1">
      <alignment horizontal="centerContinuous" vertical="center" wrapText="1"/>
    </xf>
    <xf numFmtId="0" fontId="13" fillId="0" borderId="0" xfId="0" applyFont="1" applyFill="1" applyBorder="1" applyAlignment="1" applyProtection="1">
      <alignment horizontal="centerContinuous" vertical="center"/>
    </xf>
    <xf numFmtId="0" fontId="12" fillId="0" borderId="0" xfId="0" applyFont="1" applyFill="1" applyBorder="1" applyAlignment="1" applyProtection="1">
      <alignment horizontal="centerContinuous" vertical="center" shrinkToFit="1"/>
    </xf>
    <xf numFmtId="0" fontId="12" fillId="0" borderId="0" xfId="0" applyFont="1" applyBorder="1" applyAlignment="1" applyProtection="1">
      <alignment horizontal="center"/>
    </xf>
    <xf numFmtId="1" fontId="55" fillId="0" borderId="0" xfId="0" applyNumberFormat="1" applyFont="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0" fontId="0" fillId="0" borderId="0" xfId="0" applyFont="1" applyBorder="1" applyAlignment="1" applyProtection="1">
      <alignment horizontal="centerContinuous"/>
    </xf>
    <xf numFmtId="1" fontId="25" fillId="0" borderId="0" xfId="0" applyNumberFormat="1" applyFont="1" applyBorder="1" applyAlignment="1" applyProtection="1">
      <alignment horizontal="center" vertical="center"/>
    </xf>
    <xf numFmtId="1" fontId="25" fillId="0" borderId="0" xfId="0" applyNumberFormat="1" applyFont="1" applyFill="1" applyBorder="1" applyAlignment="1" applyProtection="1">
      <alignment horizontal="center" vertical="center"/>
    </xf>
    <xf numFmtId="0" fontId="0" fillId="0" borderId="0" xfId="0" applyFont="1" applyBorder="1" applyAlignment="1" applyProtection="1">
      <alignment horizontal="center"/>
    </xf>
    <xf numFmtId="0" fontId="0" fillId="0" borderId="0" xfId="0" applyFont="1" applyFill="1" applyBorder="1" applyAlignment="1" applyProtection="1">
      <alignment horizontal="center"/>
    </xf>
    <xf numFmtId="0" fontId="0" fillId="0" borderId="0" xfId="0" applyFont="1" applyBorder="1" applyAlignment="1" applyProtection="1"/>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92" xfId="0" applyFont="1" applyBorder="1" applyAlignment="1">
      <alignment vertical="center" shrinkToFit="1"/>
    </xf>
    <xf numFmtId="0" fontId="23" fillId="0" borderId="0" xfId="0" applyFont="1" applyAlignment="1">
      <alignment vertical="center"/>
    </xf>
    <xf numFmtId="0" fontId="23" fillId="0" borderId="6" xfId="0" applyFont="1" applyBorder="1" applyAlignment="1">
      <alignment vertical="center" shrinkToFit="1"/>
    </xf>
    <xf numFmtId="0" fontId="23" fillId="0" borderId="7" xfId="0" applyFont="1" applyBorder="1" applyAlignment="1">
      <alignment vertical="center" shrinkToFit="1"/>
    </xf>
    <xf numFmtId="0" fontId="23" fillId="0" borderId="66" xfId="0" applyFont="1" applyBorder="1" applyAlignment="1">
      <alignment vertical="center" shrinkToFit="1"/>
    </xf>
    <xf numFmtId="0" fontId="23" fillId="0" borderId="66" xfId="0" applyNumberFormat="1" applyFont="1" applyBorder="1" applyAlignment="1">
      <alignment vertical="center" shrinkToFit="1"/>
    </xf>
    <xf numFmtId="0" fontId="23" fillId="6" borderId="101" xfId="0" applyNumberFormat="1" applyFont="1" applyFill="1" applyBorder="1" applyAlignment="1">
      <alignment vertical="center" shrinkToFit="1"/>
    </xf>
    <xf numFmtId="0" fontId="23" fillId="0" borderId="63" xfId="0" applyFont="1" applyBorder="1" applyAlignment="1">
      <alignment vertical="center" shrinkToFit="1"/>
    </xf>
    <xf numFmtId="0" fontId="23" fillId="0" borderId="8" xfId="0" applyFont="1" applyBorder="1" applyAlignment="1">
      <alignment vertical="center"/>
    </xf>
    <xf numFmtId="0" fontId="23" fillId="0" borderId="101" xfId="0" applyNumberFormat="1" applyFont="1" applyBorder="1" applyAlignment="1">
      <alignment vertical="center" shrinkToFit="1"/>
    </xf>
    <xf numFmtId="0" fontId="12" fillId="0" borderId="0" xfId="0" applyFont="1" applyFill="1" applyBorder="1" applyAlignment="1" applyProtection="1">
      <alignment horizontal="center" vertical="center" shrinkToFit="1"/>
    </xf>
    <xf numFmtId="0" fontId="12" fillId="0" borderId="0" xfId="0" applyFont="1" applyFill="1" applyBorder="1" applyAlignment="1" applyProtection="1">
      <alignment horizontal="center" vertical="center"/>
    </xf>
    <xf numFmtId="0" fontId="13" fillId="0" borderId="0" xfId="0" applyFont="1" applyFill="1" applyBorder="1" applyAlignment="1" applyProtection="1">
      <alignment horizontal="center" vertical="center"/>
    </xf>
    <xf numFmtId="0" fontId="12" fillId="0" borderId="0" xfId="0" applyFont="1" applyFill="1" applyBorder="1" applyAlignment="1" applyProtection="1">
      <alignment horizontal="center"/>
    </xf>
    <xf numFmtId="0" fontId="0" fillId="0" borderId="0" xfId="0" applyFill="1" applyBorder="1" applyAlignment="1" applyProtection="1">
      <alignment horizontal="center"/>
    </xf>
    <xf numFmtId="0" fontId="28" fillId="0" borderId="0" xfId="0" applyFont="1" applyBorder="1" applyAlignment="1" applyProtection="1">
      <alignment vertical="center"/>
    </xf>
    <xf numFmtId="0" fontId="28" fillId="0" borderId="0" xfId="0" applyFont="1" applyBorder="1" applyAlignment="1" applyProtection="1"/>
    <xf numFmtId="0" fontId="28" fillId="0" borderId="0" xfId="0" applyFont="1" applyFill="1" applyBorder="1" applyAlignment="1" applyProtection="1"/>
    <xf numFmtId="0" fontId="28" fillId="0" borderId="0" xfId="0" applyFont="1" applyFill="1" applyBorder="1" applyAlignment="1" applyProtection="1">
      <alignment horizontal="centerContinuous"/>
    </xf>
    <xf numFmtId="1" fontId="28" fillId="0" borderId="0" xfId="0" applyNumberFormat="1" applyFont="1" applyBorder="1" applyAlignment="1" applyProtection="1">
      <alignment horizontal="center" vertical="center"/>
    </xf>
    <xf numFmtId="0" fontId="28" fillId="0" borderId="0" xfId="0" applyFont="1" applyFill="1" applyBorder="1" applyAlignment="1" applyProtection="1">
      <alignment horizontal="center" vertical="center"/>
    </xf>
    <xf numFmtId="0" fontId="28" fillId="0" borderId="0" xfId="0" applyFont="1" applyFill="1" applyBorder="1" applyAlignment="1" applyProtection="1">
      <alignment horizontal="center"/>
    </xf>
    <xf numFmtId="1" fontId="28" fillId="0" borderId="0" xfId="0" applyNumberFormat="1" applyFont="1" applyFill="1" applyBorder="1" applyAlignment="1" applyProtection="1">
      <alignment horizontal="center" vertical="center"/>
    </xf>
    <xf numFmtId="0" fontId="28" fillId="0" borderId="0" xfId="0" applyFont="1" applyFill="1" applyBorder="1" applyAlignment="1" applyProtection="1">
      <alignment horizontal="center" vertical="center" shrinkToFit="1"/>
    </xf>
    <xf numFmtId="0" fontId="28" fillId="0" borderId="0" xfId="0" applyFont="1" applyFill="1" applyBorder="1" applyAlignment="1" applyProtection="1">
      <alignment horizontal="centerContinuous" vertical="center"/>
    </xf>
    <xf numFmtId="0" fontId="28" fillId="0" borderId="0" xfId="0" applyFont="1" applyBorder="1" applyAlignment="1" applyProtection="1">
      <alignment horizontal="left" vertical="center"/>
    </xf>
    <xf numFmtId="0" fontId="23" fillId="0" borderId="0" xfId="0" applyFont="1" applyBorder="1" applyAlignment="1" applyProtection="1">
      <alignment horizontal="left" vertical="center"/>
    </xf>
    <xf numFmtId="178" fontId="28" fillId="0" borderId="0" xfId="0" applyNumberFormat="1" applyFont="1" applyBorder="1" applyAlignment="1" applyProtection="1">
      <alignment vertical="center"/>
    </xf>
    <xf numFmtId="0" fontId="23" fillId="0" borderId="132" xfId="0" applyFont="1" applyBorder="1" applyAlignment="1">
      <alignment horizontal="center" vertical="center" shrinkToFit="1"/>
    </xf>
    <xf numFmtId="0" fontId="23" fillId="0" borderId="135" xfId="0" applyFont="1" applyBorder="1" applyAlignment="1">
      <alignment vertical="center" shrinkToFit="1"/>
    </xf>
    <xf numFmtId="0" fontId="23" fillId="0" borderId="136" xfId="0" applyFont="1" applyBorder="1" applyAlignment="1">
      <alignment vertical="center" shrinkToFit="1"/>
    </xf>
    <xf numFmtId="0" fontId="23" fillId="0" borderId="66" xfId="0" applyNumberFormat="1" applyFont="1" applyFill="1" applyBorder="1" applyAlignment="1">
      <alignment vertical="center" shrinkToFit="1"/>
    </xf>
    <xf numFmtId="0" fontId="23" fillId="0" borderId="131" xfId="0" applyNumberFormat="1" applyFont="1" applyFill="1" applyBorder="1" applyAlignment="1">
      <alignment vertical="center" shrinkToFit="1"/>
    </xf>
    <xf numFmtId="0" fontId="23" fillId="0" borderId="132" xfId="0" applyFont="1" applyBorder="1" applyAlignment="1">
      <alignment vertical="center" wrapText="1"/>
    </xf>
    <xf numFmtId="0" fontId="23" fillId="0" borderId="10" xfId="0" applyFont="1" applyBorder="1" applyAlignment="1" applyProtection="1">
      <alignment vertical="center" justifyLastLine="1"/>
    </xf>
    <xf numFmtId="0" fontId="23" fillId="0" borderId="0" xfId="0" applyFont="1" applyBorder="1" applyAlignment="1" applyProtection="1">
      <alignment vertical="center" justifyLastLine="1"/>
    </xf>
    <xf numFmtId="0" fontId="23" fillId="0" borderId="141" xfId="0" applyFont="1" applyBorder="1" applyAlignment="1" applyProtection="1">
      <alignment vertical="center" justifyLastLine="1"/>
    </xf>
    <xf numFmtId="0" fontId="23" fillId="0" borderId="139" xfId="0" applyFont="1" applyBorder="1" applyAlignment="1" applyProtection="1">
      <alignment vertical="center" justifyLastLine="1"/>
    </xf>
    <xf numFmtId="38" fontId="64" fillId="2" borderId="163" xfId="11" applyFont="1" applyFill="1" applyBorder="1" applyAlignment="1" applyProtection="1">
      <alignment vertical="center" shrinkToFit="1"/>
      <protection locked="0"/>
    </xf>
    <xf numFmtId="38" fontId="65" fillId="2" borderId="164" xfId="11" applyFont="1" applyFill="1" applyBorder="1" applyAlignment="1" applyProtection="1">
      <alignment vertical="center" shrinkToFit="1"/>
      <protection locked="0"/>
    </xf>
    <xf numFmtId="38" fontId="64" fillId="2" borderId="25" xfId="11" applyFont="1" applyFill="1" applyBorder="1" applyAlignment="1" applyProtection="1">
      <alignment horizontal="center" vertical="center" wrapText="1"/>
      <protection locked="0"/>
    </xf>
    <xf numFmtId="0" fontId="64" fillId="2" borderId="173" xfId="0" applyFont="1" applyFill="1" applyBorder="1" applyAlignment="1" applyProtection="1">
      <alignment horizontal="center" vertical="center" shrinkToFit="1"/>
      <protection locked="0"/>
    </xf>
    <xf numFmtId="38" fontId="64" fillId="2" borderId="167" xfId="11" applyFont="1" applyFill="1" applyBorder="1" applyAlignment="1" applyProtection="1">
      <alignment horizontal="center" vertical="center"/>
      <protection locked="0"/>
    </xf>
    <xf numFmtId="38" fontId="64" fillId="2" borderId="191" xfId="11" applyFont="1" applyFill="1" applyBorder="1" applyAlignment="1" applyProtection="1">
      <alignment vertical="center" shrinkToFit="1"/>
      <protection locked="0"/>
    </xf>
    <xf numFmtId="38" fontId="64" fillId="2" borderId="173" xfId="11" applyFont="1" applyFill="1" applyBorder="1" applyAlignment="1" applyProtection="1">
      <alignment horizontal="center" vertical="center" shrinkToFit="1"/>
      <protection locked="0"/>
    </xf>
    <xf numFmtId="38" fontId="64" fillId="2" borderId="174" xfId="11" applyFont="1" applyFill="1" applyBorder="1" applyAlignment="1" applyProtection="1">
      <alignment horizontal="center" vertical="center" shrinkToFit="1"/>
      <protection locked="0"/>
    </xf>
    <xf numFmtId="38" fontId="64" fillId="2" borderId="167" xfId="11" applyFont="1" applyFill="1" applyBorder="1" applyAlignment="1" applyProtection="1">
      <alignment horizontal="center" vertical="center" shrinkToFit="1"/>
      <protection locked="0"/>
    </xf>
    <xf numFmtId="38" fontId="64" fillId="2" borderId="193" xfId="11" applyFont="1" applyFill="1" applyBorder="1" applyAlignment="1" applyProtection="1">
      <alignment horizontal="center" vertical="center" shrinkToFit="1"/>
      <protection locked="0"/>
    </xf>
    <xf numFmtId="0" fontId="23" fillId="0" borderId="154" xfId="0" applyFont="1" applyBorder="1" applyAlignment="1" applyProtection="1">
      <alignment horizontal="center" vertical="center" wrapText="1"/>
    </xf>
    <xf numFmtId="38" fontId="64" fillId="2" borderId="196" xfId="11" applyFont="1" applyFill="1" applyBorder="1" applyAlignment="1" applyProtection="1">
      <alignment horizontal="right" vertical="center" shrinkToFit="1"/>
      <protection locked="0"/>
    </xf>
    <xf numFmtId="38" fontId="64" fillId="4" borderId="103" xfId="11" applyFont="1" applyFill="1" applyBorder="1" applyAlignment="1" applyProtection="1">
      <alignment vertical="center" shrinkToFit="1"/>
      <protection locked="0"/>
    </xf>
    <xf numFmtId="38" fontId="64" fillId="4" borderId="72" xfId="11" applyFont="1" applyFill="1" applyBorder="1" applyAlignment="1" applyProtection="1">
      <alignment vertical="center" shrinkToFit="1"/>
      <protection locked="0"/>
    </xf>
    <xf numFmtId="38" fontId="64" fillId="4" borderId="207" xfId="11" applyFont="1" applyFill="1" applyBorder="1" applyAlignment="1" applyProtection="1">
      <alignment vertical="center" shrinkToFit="1"/>
      <protection locked="0"/>
    </xf>
    <xf numFmtId="38" fontId="64" fillId="4" borderId="202" xfId="11" applyFont="1" applyFill="1" applyBorder="1" applyAlignment="1" applyProtection="1">
      <alignment vertical="center" shrinkToFit="1"/>
      <protection locked="0"/>
    </xf>
    <xf numFmtId="38" fontId="64" fillId="4" borderId="208" xfId="11" applyFont="1" applyFill="1" applyBorder="1" applyAlignment="1" applyProtection="1">
      <alignment vertical="center" shrinkToFit="1"/>
      <protection locked="0"/>
    </xf>
    <xf numFmtId="38" fontId="64" fillId="2" borderId="166" xfId="11" applyFont="1" applyFill="1" applyBorder="1" applyAlignment="1" applyProtection="1">
      <alignment horizontal="center" vertical="center"/>
      <protection locked="0"/>
    </xf>
    <xf numFmtId="38" fontId="64" fillId="2" borderId="169" xfId="11" applyFont="1" applyFill="1" applyBorder="1" applyAlignment="1" applyProtection="1">
      <alignment vertical="center"/>
      <protection locked="0"/>
    </xf>
    <xf numFmtId="38" fontId="64" fillId="2" borderId="180" xfId="11" applyFont="1" applyFill="1" applyBorder="1" applyAlignment="1" applyProtection="1">
      <alignment vertical="center"/>
      <protection locked="0"/>
    </xf>
    <xf numFmtId="0" fontId="23" fillId="0" borderId="0" xfId="0" applyFont="1" applyBorder="1" applyAlignment="1" applyProtection="1">
      <alignment vertical="center" wrapText="1"/>
    </xf>
    <xf numFmtId="38" fontId="64" fillId="2" borderId="214" xfId="11" applyFont="1" applyFill="1" applyBorder="1" applyAlignment="1" applyProtection="1">
      <alignment vertical="center"/>
      <protection locked="0"/>
    </xf>
    <xf numFmtId="38" fontId="64" fillId="7" borderId="204" xfId="11" applyFont="1" applyFill="1" applyBorder="1" applyAlignment="1" applyProtection="1">
      <alignment vertical="center"/>
      <protection locked="0"/>
    </xf>
    <xf numFmtId="38" fontId="64" fillId="7" borderId="32" xfId="11" applyFont="1" applyFill="1" applyBorder="1" applyAlignment="1" applyProtection="1">
      <alignment vertical="center"/>
      <protection locked="0"/>
    </xf>
    <xf numFmtId="38" fontId="64" fillId="7" borderId="138" xfId="11" applyFont="1" applyFill="1" applyBorder="1" applyAlignment="1" applyProtection="1">
      <alignment vertical="center"/>
      <protection locked="0"/>
    </xf>
    <xf numFmtId="38" fontId="64" fillId="7" borderId="205" xfId="11" applyFont="1" applyFill="1" applyBorder="1" applyAlignment="1" applyProtection="1">
      <alignment vertical="center"/>
      <protection locked="0"/>
    </xf>
    <xf numFmtId="0" fontId="23" fillId="4" borderId="46" xfId="0" applyFont="1" applyFill="1" applyBorder="1" applyAlignment="1" applyProtection="1">
      <alignment vertical="center" wrapText="1" shrinkToFit="1"/>
      <protection locked="0"/>
    </xf>
    <xf numFmtId="38" fontId="64" fillId="4" borderId="219" xfId="11" applyFont="1" applyFill="1" applyBorder="1" applyAlignment="1" applyProtection="1">
      <alignment vertical="center" wrapText="1"/>
      <protection locked="0"/>
    </xf>
    <xf numFmtId="38" fontId="64" fillId="7" borderId="222" xfId="11" applyFont="1" applyFill="1" applyBorder="1" applyAlignment="1" applyProtection="1">
      <alignment vertical="center"/>
      <protection locked="0"/>
    </xf>
    <xf numFmtId="38" fontId="64" fillId="7" borderId="152" xfId="11" applyFont="1" applyFill="1" applyBorder="1" applyAlignment="1" applyProtection="1">
      <alignment vertical="center"/>
      <protection locked="0"/>
    </xf>
    <xf numFmtId="0" fontId="64" fillId="7" borderId="203" xfId="0" applyFont="1" applyFill="1" applyBorder="1" applyAlignment="1" applyProtection="1">
      <alignment horizontal="center" vertical="center" justifyLastLine="1"/>
      <protection locked="0"/>
    </xf>
    <xf numFmtId="0" fontId="64" fillId="7" borderId="33" xfId="0" applyFont="1" applyFill="1" applyBorder="1" applyAlignment="1" applyProtection="1">
      <alignment horizontal="center" vertical="center" justifyLastLine="1"/>
      <protection locked="0"/>
    </xf>
    <xf numFmtId="38" fontId="64" fillId="7" borderId="5" xfId="11" applyFont="1" applyFill="1" applyBorder="1" applyAlignment="1" applyProtection="1">
      <alignment vertical="center"/>
      <protection locked="0"/>
    </xf>
    <xf numFmtId="0" fontId="64" fillId="7" borderId="131" xfId="0" applyFont="1" applyFill="1" applyBorder="1" applyAlignment="1" applyProtection="1">
      <alignment horizontal="center" vertical="center" justifyLastLine="1"/>
      <protection locked="0"/>
    </xf>
    <xf numFmtId="0" fontId="64" fillId="7" borderId="126" xfId="0" applyFont="1" applyFill="1" applyBorder="1" applyAlignment="1" applyProtection="1">
      <alignment horizontal="center" vertical="center" justifyLastLine="1"/>
      <protection locked="0"/>
    </xf>
    <xf numFmtId="38" fontId="64" fillId="2" borderId="168" xfId="11" applyFont="1" applyFill="1" applyBorder="1" applyAlignment="1" applyProtection="1">
      <alignment vertical="center"/>
      <protection locked="0"/>
    </xf>
    <xf numFmtId="0" fontId="64" fillId="2" borderId="239" xfId="7" applyFont="1" applyFill="1" applyBorder="1" applyAlignment="1" applyProtection="1">
      <alignment vertical="center"/>
      <protection locked="0"/>
    </xf>
    <xf numFmtId="0" fontId="64" fillId="2" borderId="240" xfId="7" applyFont="1" applyFill="1" applyBorder="1" applyAlignment="1" applyProtection="1">
      <alignment vertical="center"/>
      <protection locked="0"/>
    </xf>
    <xf numFmtId="0" fontId="64" fillId="2" borderId="241" xfId="7" applyFont="1" applyFill="1" applyBorder="1" applyAlignment="1" applyProtection="1">
      <alignment vertical="center"/>
      <protection locked="0"/>
    </xf>
    <xf numFmtId="38" fontId="64" fillId="2" borderId="233" xfId="11" applyFont="1" applyFill="1" applyBorder="1" applyAlignment="1" applyProtection="1">
      <alignment vertical="center" shrinkToFit="1"/>
      <protection locked="0"/>
    </xf>
    <xf numFmtId="38" fontId="64" fillId="2" borderId="200" xfId="11" applyFont="1" applyFill="1" applyBorder="1" applyAlignment="1" applyProtection="1">
      <alignment vertical="center" shrinkToFit="1"/>
      <protection locked="0"/>
    </xf>
    <xf numFmtId="38" fontId="64" fillId="2" borderId="243" xfId="11" applyFont="1" applyFill="1" applyBorder="1" applyAlignment="1" applyProtection="1">
      <alignment horizontal="center" vertical="center" shrinkToFit="1"/>
      <protection locked="0"/>
    </xf>
    <xf numFmtId="38" fontId="64" fillId="2" borderId="244" xfId="11" applyFont="1" applyFill="1" applyBorder="1" applyAlignment="1" applyProtection="1">
      <alignment horizontal="center" vertical="center"/>
      <protection locked="0"/>
    </xf>
    <xf numFmtId="38" fontId="64" fillId="2" borderId="164" xfId="11" applyFont="1" applyFill="1" applyBorder="1" applyAlignment="1" applyProtection="1">
      <alignment horizontal="center" vertical="center"/>
      <protection locked="0"/>
    </xf>
    <xf numFmtId="38" fontId="64" fillId="2" borderId="165" xfId="11" applyFont="1" applyFill="1" applyBorder="1" applyAlignment="1" applyProtection="1">
      <alignment vertical="center" shrinkToFit="1"/>
      <protection locked="0"/>
    </xf>
    <xf numFmtId="38" fontId="64" fillId="2" borderId="150" xfId="11" applyFont="1" applyFill="1" applyBorder="1" applyAlignment="1" applyProtection="1">
      <alignment vertical="center" shrinkToFit="1"/>
      <protection locked="0"/>
    </xf>
    <xf numFmtId="38" fontId="64" fillId="7" borderId="136" xfId="11" applyFont="1" applyFill="1" applyBorder="1" applyAlignment="1" applyProtection="1">
      <alignment vertical="center"/>
      <protection locked="0"/>
    </xf>
    <xf numFmtId="0" fontId="12" fillId="0" borderId="13" xfId="0" applyFont="1" applyBorder="1" applyAlignment="1" applyProtection="1">
      <alignment horizontal="center" vertical="center"/>
    </xf>
    <xf numFmtId="0" fontId="12" fillId="0" borderId="14" xfId="0" applyFont="1" applyBorder="1" applyAlignment="1" applyProtection="1">
      <alignment horizontal="center" vertical="center"/>
    </xf>
    <xf numFmtId="0" fontId="15" fillId="0" borderId="141" xfId="0" applyFont="1" applyBorder="1" applyAlignment="1" applyProtection="1">
      <alignment horizontal="left" vertical="center" wrapText="1"/>
    </xf>
    <xf numFmtId="0" fontId="15" fillId="0" borderId="142" xfId="0" applyFont="1" applyBorder="1" applyAlignment="1" applyProtection="1">
      <alignment horizontal="left" vertical="center" wrapText="1"/>
    </xf>
    <xf numFmtId="38" fontId="64" fillId="2" borderId="243" xfId="11" applyFont="1" applyFill="1" applyBorder="1" applyAlignment="1" applyProtection="1">
      <alignment vertical="center" shrinkToFit="1"/>
      <protection locked="0"/>
    </xf>
    <xf numFmtId="38" fontId="64" fillId="2" borderId="230" xfId="11" applyFont="1" applyFill="1" applyBorder="1" applyAlignment="1" applyProtection="1">
      <alignment vertical="center" shrinkToFit="1"/>
      <protection locked="0"/>
    </xf>
    <xf numFmtId="38" fontId="65" fillId="2" borderId="244" xfId="11" applyFont="1" applyFill="1" applyBorder="1" applyAlignment="1" applyProtection="1">
      <alignment vertical="center" shrinkToFit="1"/>
      <protection locked="0"/>
    </xf>
    <xf numFmtId="0" fontId="23" fillId="0" borderId="233" xfId="0" applyFont="1" applyBorder="1" applyAlignment="1" applyProtection="1">
      <alignment vertical="center" justifyLastLine="1"/>
    </xf>
    <xf numFmtId="0" fontId="23" fillId="0" borderId="235" xfId="0" applyFont="1" applyBorder="1" applyAlignment="1" applyProtection="1">
      <alignment vertical="center" justifyLastLine="1"/>
    </xf>
    <xf numFmtId="0" fontId="23" fillId="0" borderId="231" xfId="0" applyFont="1" applyBorder="1" applyAlignment="1" applyProtection="1">
      <alignment vertical="center" justifyLastLine="1"/>
    </xf>
    <xf numFmtId="182" fontId="64" fillId="0" borderId="188" xfId="0" applyNumberFormat="1" applyFont="1" applyBorder="1" applyAlignment="1" applyProtection="1"/>
    <xf numFmtId="38" fontId="64" fillId="2" borderId="249" xfId="11" applyFont="1" applyFill="1" applyBorder="1" applyAlignment="1" applyProtection="1">
      <alignment horizontal="center" vertical="center" shrinkToFit="1"/>
      <protection locked="0"/>
    </xf>
    <xf numFmtId="38" fontId="64" fillId="2" borderId="231" xfId="11" applyFont="1" applyFill="1" applyBorder="1" applyAlignment="1" applyProtection="1">
      <alignment horizontal="center" vertical="center" shrinkToFit="1"/>
      <protection locked="0"/>
    </xf>
    <xf numFmtId="38" fontId="64" fillId="2" borderId="253" xfId="11" applyFont="1" applyFill="1" applyBorder="1" applyAlignment="1" applyProtection="1">
      <alignment vertical="center" shrinkToFit="1"/>
      <protection locked="0"/>
    </xf>
    <xf numFmtId="38" fontId="64" fillId="2" borderId="244" xfId="11" applyFont="1" applyFill="1" applyBorder="1" applyAlignment="1" applyProtection="1">
      <alignment vertical="center" shrinkToFit="1"/>
      <protection locked="0"/>
    </xf>
    <xf numFmtId="38" fontId="64" fillId="2" borderId="236" xfId="11" applyFont="1" applyFill="1" applyBorder="1" applyAlignment="1" applyProtection="1">
      <alignment horizontal="center" vertical="center" shrinkToFit="1"/>
      <protection locked="0"/>
    </xf>
    <xf numFmtId="38" fontId="64" fillId="2" borderId="151" xfId="11" applyFont="1" applyFill="1" applyBorder="1" applyAlignment="1" applyProtection="1">
      <alignment horizontal="center" vertical="center" shrinkToFit="1"/>
      <protection locked="0"/>
    </xf>
    <xf numFmtId="38" fontId="64" fillId="2" borderId="228" xfId="11" applyFont="1" applyFill="1" applyBorder="1" applyAlignment="1" applyProtection="1">
      <alignment horizontal="center" vertical="center" wrapText="1"/>
      <protection locked="0"/>
    </xf>
    <xf numFmtId="38" fontId="64" fillId="2" borderId="249" xfId="11" applyFont="1" applyFill="1" applyBorder="1" applyAlignment="1" applyProtection="1">
      <alignment horizontal="center" vertical="center"/>
      <protection locked="0"/>
    </xf>
    <xf numFmtId="38" fontId="64" fillId="2" borderId="231" xfId="11" applyFont="1" applyFill="1" applyBorder="1" applyAlignment="1" applyProtection="1">
      <alignment horizontal="center" vertical="center" wrapText="1"/>
      <protection locked="0"/>
    </xf>
    <xf numFmtId="38" fontId="64" fillId="2" borderId="2" xfId="11" applyFont="1" applyFill="1" applyBorder="1" applyAlignment="1" applyProtection="1">
      <alignment horizontal="center" vertical="center" shrinkToFit="1"/>
      <protection locked="0"/>
    </xf>
    <xf numFmtId="38" fontId="64" fillId="4" borderId="235" xfId="11" applyFont="1" applyFill="1" applyBorder="1" applyAlignment="1" applyProtection="1">
      <alignment vertical="center" wrapText="1"/>
      <protection locked="0"/>
    </xf>
    <xf numFmtId="0" fontId="23" fillId="4" borderId="264" xfId="0" applyFont="1" applyFill="1" applyBorder="1" applyAlignment="1" applyProtection="1">
      <alignment vertical="center" wrapText="1" shrinkToFit="1"/>
      <protection locked="0"/>
    </xf>
    <xf numFmtId="0" fontId="23" fillId="7" borderId="233" xfId="0" applyFont="1" applyFill="1" applyBorder="1" applyAlignment="1" applyProtection="1">
      <alignment vertical="center" wrapText="1" shrinkToFit="1"/>
      <protection locked="0"/>
    </xf>
    <xf numFmtId="38" fontId="64" fillId="7" borderId="248" xfId="11" applyFont="1" applyFill="1" applyBorder="1" applyAlignment="1" applyProtection="1">
      <alignment vertical="center"/>
      <protection locked="0"/>
    </xf>
    <xf numFmtId="38" fontId="64" fillId="7" borderId="232" xfId="11" applyFont="1" applyFill="1" applyBorder="1" applyAlignment="1" applyProtection="1">
      <alignment vertical="center"/>
      <protection locked="0"/>
    </xf>
    <xf numFmtId="38" fontId="64" fillId="7" borderId="242" xfId="11" applyFont="1" applyFill="1" applyBorder="1" applyAlignment="1" applyProtection="1">
      <alignment vertical="center"/>
      <protection locked="0"/>
    </xf>
    <xf numFmtId="0" fontId="36" fillId="0" borderId="131" xfId="0" applyFont="1" applyBorder="1" applyAlignment="1" applyProtection="1">
      <alignment vertical="center"/>
    </xf>
    <xf numFmtId="0" fontId="36" fillId="0" borderId="9" xfId="0" applyFont="1" applyBorder="1" applyAlignment="1" applyProtection="1">
      <alignment vertical="center"/>
    </xf>
    <xf numFmtId="0" fontId="64" fillId="0" borderId="0" xfId="0" applyFont="1" applyBorder="1" applyAlignment="1" applyProtection="1">
      <alignment vertical="center"/>
    </xf>
    <xf numFmtId="0" fontId="78" fillId="0" borderId="0" xfId="0" applyFont="1" applyBorder="1" applyAlignment="1" applyProtection="1"/>
    <xf numFmtId="38" fontId="64" fillId="7" borderId="233" xfId="11" applyFont="1" applyFill="1" applyBorder="1" applyAlignment="1" applyProtection="1">
      <alignment vertical="center"/>
      <protection locked="0"/>
    </xf>
    <xf numFmtId="38" fontId="64" fillId="7" borderId="267" xfId="11" applyFont="1" applyFill="1" applyBorder="1" applyAlignment="1" applyProtection="1">
      <alignment vertical="center"/>
      <protection locked="0"/>
    </xf>
    <xf numFmtId="0" fontId="64" fillId="7" borderId="269" xfId="0" applyFont="1" applyFill="1" applyBorder="1" applyAlignment="1" applyProtection="1">
      <alignment horizontal="center" vertical="center" justifyLastLine="1"/>
      <protection locked="0"/>
    </xf>
    <xf numFmtId="38" fontId="64" fillId="7" borderId="276" xfId="11" applyFont="1" applyFill="1" applyBorder="1" applyAlignment="1" applyProtection="1">
      <alignment vertical="center"/>
      <protection locked="0"/>
    </xf>
    <xf numFmtId="0" fontId="15" fillId="0" borderId="279" xfId="0" applyFont="1" applyBorder="1" applyAlignment="1" applyProtection="1">
      <alignment horizontal="left" vertical="center" wrapText="1"/>
    </xf>
    <xf numFmtId="0" fontId="15" fillId="0" borderId="271" xfId="0" applyFont="1" applyBorder="1" applyAlignment="1" applyProtection="1">
      <alignment horizontal="left" vertical="center" wrapText="1"/>
    </xf>
    <xf numFmtId="182" fontId="64" fillId="0" borderId="269" xfId="0" applyNumberFormat="1" applyFont="1" applyFill="1" applyBorder="1" applyAlignment="1" applyProtection="1">
      <alignment horizontal="right" vertical="center"/>
    </xf>
    <xf numFmtId="0" fontId="56" fillId="0" borderId="0" xfId="0" applyFont="1" applyAlignment="1">
      <alignment vertical="center"/>
    </xf>
    <xf numFmtId="0" fontId="36" fillId="0" borderId="278" xfId="0" applyFont="1" applyBorder="1" applyAlignment="1">
      <alignment horizontal="center" vertical="center"/>
    </xf>
    <xf numFmtId="0" fontId="56" fillId="0" borderId="0" xfId="0" applyFont="1" applyFill="1" applyBorder="1" applyAlignment="1"/>
    <xf numFmtId="0" fontId="36" fillId="0" borderId="286" xfId="0" applyFont="1" applyBorder="1" applyAlignment="1">
      <alignment vertical="center"/>
    </xf>
    <xf numFmtId="0" fontId="28" fillId="0" borderId="152" xfId="0" applyFont="1" applyBorder="1" applyAlignment="1" applyProtection="1"/>
    <xf numFmtId="0" fontId="28" fillId="0" borderId="0" xfId="0" applyFont="1" applyFill="1" applyBorder="1" applyAlignment="1" applyProtection="1">
      <alignment vertical="center"/>
    </xf>
    <xf numFmtId="0" fontId="28" fillId="0" borderId="152" xfId="0" applyFont="1" applyFill="1" applyBorder="1" applyAlignment="1" applyProtection="1">
      <alignment vertical="center"/>
    </xf>
    <xf numFmtId="0" fontId="26" fillId="0" borderId="0" xfId="0" applyFont="1" applyFill="1" applyBorder="1" applyAlignment="1" applyProtection="1">
      <alignment vertical="center" justifyLastLine="1"/>
    </xf>
    <xf numFmtId="0" fontId="26" fillId="0" borderId="0" xfId="0" applyFont="1" applyFill="1" applyBorder="1" applyAlignment="1" applyProtection="1">
      <alignment vertical="center" wrapText="1"/>
    </xf>
    <xf numFmtId="0" fontId="36" fillId="0" borderId="152" xfId="0" applyFont="1" applyBorder="1" applyAlignment="1">
      <alignment horizontal="center" vertical="center"/>
    </xf>
    <xf numFmtId="0" fontId="36" fillId="0" borderId="269" xfId="0" applyFont="1" applyBorder="1" applyAlignment="1">
      <alignment horizontal="center" vertical="center"/>
    </xf>
    <xf numFmtId="0" fontId="36" fillId="0" borderId="131" xfId="0" applyFont="1" applyBorder="1" applyAlignment="1">
      <alignment horizontal="center" vertical="center"/>
    </xf>
    <xf numFmtId="0" fontId="36" fillId="0" borderId="317" xfId="0" applyFont="1" applyBorder="1" applyAlignment="1">
      <alignment horizontal="center" vertical="center"/>
    </xf>
    <xf numFmtId="0" fontId="36" fillId="0" borderId="277" xfId="0" applyFont="1" applyBorder="1" applyAlignment="1">
      <alignment horizontal="center" vertical="center"/>
    </xf>
    <xf numFmtId="0" fontId="36" fillId="0" borderId="136" xfId="0" applyFont="1" applyBorder="1" applyAlignment="1">
      <alignment horizontal="center" vertical="center"/>
    </xf>
    <xf numFmtId="0" fontId="36" fillId="0" borderId="285" xfId="0" applyFont="1" applyBorder="1" applyAlignment="1">
      <alignment horizontal="center" vertical="center"/>
    </xf>
    <xf numFmtId="0" fontId="16" fillId="0" borderId="0" xfId="0" applyFont="1" applyFill="1" applyAlignment="1" applyProtection="1">
      <alignment horizontal="center" vertical="center"/>
      <protection hidden="1"/>
    </xf>
    <xf numFmtId="0" fontId="16" fillId="0" borderId="0" xfId="0" applyFont="1" applyFill="1" applyBorder="1" applyAlignment="1" applyProtection="1">
      <alignment horizontal="center"/>
      <protection hidden="1"/>
    </xf>
    <xf numFmtId="0" fontId="29" fillId="0" borderId="0" xfId="0" applyFont="1" applyBorder="1" applyAlignment="1">
      <alignment vertical="center"/>
    </xf>
    <xf numFmtId="0" fontId="23" fillId="0" borderId="12" xfId="0" applyFont="1" applyBorder="1" applyAlignment="1">
      <alignment horizontal="center" vertical="center"/>
    </xf>
    <xf numFmtId="0" fontId="63" fillId="4" borderId="160" xfId="0" applyFont="1" applyFill="1" applyBorder="1" applyAlignment="1" applyProtection="1">
      <alignment horizontal="center" vertical="center" wrapText="1"/>
      <protection locked="0"/>
    </xf>
    <xf numFmtId="0" fontId="82" fillId="0" borderId="0" xfId="0" applyFont="1" applyFill="1" applyAlignment="1" applyProtection="1">
      <alignment vertical="center"/>
      <protection hidden="1"/>
    </xf>
    <xf numFmtId="0" fontId="82" fillId="0" borderId="0" xfId="0" applyFont="1" applyBorder="1" applyAlignment="1">
      <alignment vertical="center"/>
    </xf>
    <xf numFmtId="0" fontId="83" fillId="4" borderId="75" xfId="0" applyFont="1" applyFill="1" applyBorder="1" applyAlignment="1">
      <alignment horizontal="center" vertical="center"/>
    </xf>
    <xf numFmtId="0" fontId="83" fillId="4" borderId="73" xfId="0" applyFont="1" applyFill="1" applyBorder="1" applyAlignment="1">
      <alignment horizontal="center" vertical="center"/>
    </xf>
    <xf numFmtId="0" fontId="83" fillId="4" borderId="83" xfId="0" applyFont="1" applyFill="1" applyBorder="1" applyAlignment="1">
      <alignment horizontal="center" vertical="center"/>
    </xf>
    <xf numFmtId="0" fontId="83" fillId="4" borderId="85" xfId="0" applyFont="1" applyFill="1" applyBorder="1" applyAlignment="1">
      <alignment horizontal="center" vertical="center"/>
    </xf>
    <xf numFmtId="0" fontId="83" fillId="4" borderId="73" xfId="0" applyFont="1" applyFill="1" applyBorder="1" applyAlignment="1" applyProtection="1">
      <alignment horizontal="center" vertical="center"/>
    </xf>
    <xf numFmtId="0" fontId="83" fillId="4" borderId="83" xfId="0" applyFont="1" applyFill="1" applyBorder="1" applyAlignment="1" applyProtection="1">
      <alignment horizontal="center" vertical="center"/>
    </xf>
    <xf numFmtId="0" fontId="83" fillId="4" borderId="77" xfId="0" applyFont="1" applyFill="1" applyBorder="1" applyAlignment="1">
      <alignment horizontal="center" vertical="center"/>
    </xf>
    <xf numFmtId="0" fontId="83" fillId="4" borderId="74" xfId="0" applyFont="1" applyFill="1" applyBorder="1" applyAlignment="1">
      <alignment horizontal="center" vertical="center"/>
    </xf>
    <xf numFmtId="0" fontId="83" fillId="4" borderId="84" xfId="0" applyFont="1" applyFill="1" applyBorder="1" applyAlignment="1">
      <alignment horizontal="center" vertical="center"/>
    </xf>
    <xf numFmtId="0" fontId="83" fillId="4" borderId="86" xfId="0" applyFont="1" applyFill="1" applyBorder="1" applyAlignment="1">
      <alignment horizontal="center" vertical="center"/>
    </xf>
    <xf numFmtId="0" fontId="12" fillId="0" borderId="12" xfId="0" applyFont="1" applyBorder="1" applyAlignment="1">
      <alignment horizontal="center" vertical="center"/>
    </xf>
    <xf numFmtId="0" fontId="12" fillId="0" borderId="15" xfId="0" applyFont="1" applyBorder="1" applyAlignment="1">
      <alignment horizontal="center" vertical="center"/>
    </xf>
    <xf numFmtId="38" fontId="64" fillId="2" borderId="333" xfId="11" applyFont="1" applyFill="1" applyBorder="1" applyAlignment="1" applyProtection="1">
      <alignment vertical="center"/>
      <protection locked="0"/>
    </xf>
    <xf numFmtId="38" fontId="64" fillId="2" borderId="374" xfId="11" applyFont="1" applyFill="1" applyBorder="1" applyAlignment="1" applyProtection="1">
      <alignment vertical="center" shrinkToFit="1"/>
      <protection locked="0"/>
    </xf>
    <xf numFmtId="38" fontId="64" fillId="2" borderId="0" xfId="11" applyFont="1" applyFill="1" applyBorder="1" applyAlignment="1" applyProtection="1">
      <alignment horizontal="center" vertical="center" shrinkToFit="1"/>
      <protection locked="0"/>
    </xf>
    <xf numFmtId="38" fontId="64" fillId="2" borderId="152" xfId="11" applyFont="1" applyFill="1" applyBorder="1" applyAlignment="1" applyProtection="1">
      <alignment vertical="center" shrinkToFit="1"/>
      <protection locked="0"/>
    </xf>
    <xf numFmtId="38" fontId="64" fillId="2" borderId="318" xfId="11" applyFont="1" applyFill="1" applyBorder="1" applyAlignment="1" applyProtection="1">
      <alignment vertical="center" shrinkToFit="1"/>
      <protection locked="0"/>
    </xf>
    <xf numFmtId="38" fontId="64" fillId="2" borderId="317" xfId="11" applyFont="1" applyFill="1" applyBorder="1" applyAlignment="1" applyProtection="1">
      <alignment horizontal="center" vertical="center" shrinkToFit="1"/>
      <protection locked="0"/>
    </xf>
    <xf numFmtId="38" fontId="64" fillId="2" borderId="307" xfId="11" applyFont="1" applyFill="1" applyBorder="1" applyAlignment="1" applyProtection="1">
      <alignment vertical="center" shrinkToFit="1"/>
      <protection locked="0"/>
    </xf>
    <xf numFmtId="38" fontId="64" fillId="2" borderId="315" xfId="11" applyFont="1" applyFill="1" applyBorder="1" applyAlignment="1" applyProtection="1">
      <alignment horizontal="center" vertical="center" shrinkToFit="1"/>
      <protection locked="0"/>
    </xf>
    <xf numFmtId="38" fontId="64" fillId="2" borderId="319" xfId="11" applyFont="1" applyFill="1" applyBorder="1" applyAlignment="1" applyProtection="1">
      <alignment vertical="center" shrinkToFit="1"/>
      <protection locked="0"/>
    </xf>
    <xf numFmtId="38" fontId="64" fillId="2" borderId="245" xfId="11" applyFont="1" applyFill="1" applyBorder="1" applyAlignment="1" applyProtection="1">
      <alignment horizontal="center" vertical="center" shrinkToFit="1"/>
      <protection locked="0"/>
    </xf>
    <xf numFmtId="38" fontId="64" fillId="2" borderId="247" xfId="11" applyFont="1" applyFill="1" applyBorder="1" applyAlignment="1" applyProtection="1">
      <alignment vertical="center" shrinkToFit="1"/>
      <protection locked="0"/>
    </xf>
    <xf numFmtId="38" fontId="64" fillId="2" borderId="250" xfId="11" applyFont="1" applyFill="1" applyBorder="1" applyAlignment="1" applyProtection="1">
      <alignment horizontal="center" vertical="center" shrinkToFit="1"/>
      <protection locked="0"/>
    </xf>
    <xf numFmtId="38" fontId="64" fillId="2" borderId="375" xfId="11" applyFont="1" applyFill="1" applyBorder="1" applyAlignment="1" applyProtection="1">
      <alignment horizontal="center" vertical="center" shrinkToFit="1"/>
      <protection locked="0"/>
    </xf>
    <xf numFmtId="0" fontId="64" fillId="0" borderId="172" xfId="0" applyFont="1" applyFill="1" applyBorder="1" applyAlignment="1" applyProtection="1">
      <alignment horizontal="center" vertical="center"/>
    </xf>
    <xf numFmtId="38" fontId="64" fillId="2" borderId="378" xfId="11" applyFont="1" applyFill="1" applyBorder="1" applyAlignment="1" applyProtection="1">
      <alignment vertical="center" shrinkToFit="1"/>
      <protection locked="0"/>
    </xf>
    <xf numFmtId="38" fontId="64" fillId="2" borderId="277" xfId="11" applyFont="1" applyFill="1" applyBorder="1" applyAlignment="1" applyProtection="1">
      <alignment vertical="center" wrapText="1"/>
      <protection locked="0"/>
    </xf>
    <xf numFmtId="38" fontId="64" fillId="2" borderId="285" xfId="11" applyFont="1" applyFill="1" applyBorder="1" applyAlignment="1" applyProtection="1">
      <alignment vertical="center" wrapText="1"/>
      <protection locked="0"/>
    </xf>
    <xf numFmtId="38" fontId="64" fillId="2" borderId="379" xfId="11" applyFont="1" applyFill="1" applyBorder="1" applyAlignment="1" applyProtection="1">
      <alignment vertical="center" wrapText="1"/>
      <protection locked="0"/>
    </xf>
    <xf numFmtId="182" fontId="64" fillId="0" borderId="327" xfId="0" applyNumberFormat="1" applyFont="1" applyFill="1" applyBorder="1" applyAlignment="1" applyProtection="1"/>
    <xf numFmtId="0" fontId="23" fillId="0" borderId="0" xfId="0" applyFont="1" applyFill="1" applyBorder="1" applyAlignment="1" applyProtection="1">
      <alignment horizontal="center" vertical="center"/>
    </xf>
    <xf numFmtId="0" fontId="24" fillId="0" borderId="0" xfId="0" applyFont="1" applyFill="1" applyBorder="1" applyAlignment="1" applyProtection="1">
      <alignment horizontal="center" vertical="center" wrapText="1"/>
    </xf>
    <xf numFmtId="38" fontId="64" fillId="0" borderId="0" xfId="11" applyFont="1" applyFill="1" applyBorder="1" applyAlignment="1" applyProtection="1">
      <alignment horizontal="center" vertical="center" wrapText="1"/>
    </xf>
    <xf numFmtId="0" fontId="64" fillId="0" borderId="0" xfId="0" applyFont="1" applyFill="1" applyBorder="1" applyAlignment="1" applyProtection="1">
      <alignment horizontal="center" vertical="center" shrinkToFit="1"/>
    </xf>
    <xf numFmtId="0" fontId="36" fillId="0" borderId="66" xfId="0" applyFont="1" applyBorder="1" applyAlignment="1" applyProtection="1">
      <alignment vertical="center"/>
    </xf>
    <xf numFmtId="0" fontId="64" fillId="4" borderId="41" xfId="9" applyFont="1" applyFill="1" applyBorder="1" applyAlignment="1" applyProtection="1">
      <alignment horizontal="center" vertical="center" shrinkToFit="1"/>
      <protection locked="0"/>
    </xf>
    <xf numFmtId="0" fontId="64" fillId="4" borderId="61" xfId="9" applyFont="1" applyFill="1" applyBorder="1" applyAlignment="1" applyProtection="1">
      <alignment horizontal="center" vertical="center" shrinkToFit="1"/>
      <protection locked="0"/>
    </xf>
    <xf numFmtId="38" fontId="64" fillId="4" borderId="61" xfId="11" applyFont="1" applyFill="1" applyBorder="1" applyAlignment="1" applyProtection="1">
      <alignment vertical="center" shrinkToFit="1"/>
      <protection locked="0"/>
    </xf>
    <xf numFmtId="0" fontId="64" fillId="4" borderId="55" xfId="9" applyFont="1" applyFill="1" applyBorder="1" applyAlignment="1" applyProtection="1">
      <alignment horizontal="center" vertical="center" shrinkToFit="1"/>
      <protection locked="0"/>
    </xf>
    <xf numFmtId="0" fontId="64" fillId="4" borderId="62" xfId="9" applyFont="1" applyFill="1" applyBorder="1" applyAlignment="1" applyProtection="1">
      <alignment horizontal="center" vertical="center" shrinkToFit="1"/>
      <protection locked="0"/>
    </xf>
    <xf numFmtId="38" fontId="64" fillId="4" borderId="62" xfId="11" applyFont="1" applyFill="1" applyBorder="1" applyAlignment="1" applyProtection="1">
      <alignment vertical="center" shrinkToFit="1"/>
      <protection locked="0"/>
    </xf>
    <xf numFmtId="0" fontId="64" fillId="4" borderId="46" xfId="9" applyFont="1" applyFill="1" applyBorder="1" applyAlignment="1" applyProtection="1">
      <alignment horizontal="center" vertical="center" shrinkToFit="1"/>
      <protection locked="0"/>
    </xf>
    <xf numFmtId="38" fontId="64" fillId="4" borderId="71" xfId="11" applyFont="1" applyFill="1" applyBorder="1" applyAlignment="1" applyProtection="1">
      <alignment vertical="center" shrinkToFit="1"/>
      <protection locked="0"/>
    </xf>
    <xf numFmtId="0" fontId="64" fillId="4" borderId="71" xfId="9" applyFont="1" applyFill="1" applyBorder="1" applyAlignment="1" applyProtection="1">
      <alignment horizontal="center" vertical="center" shrinkToFit="1"/>
      <protection locked="0"/>
    </xf>
    <xf numFmtId="0" fontId="26" fillId="0" borderId="0" xfId="0" applyFont="1" applyFill="1" applyBorder="1" applyAlignment="1" applyProtection="1">
      <alignment horizontal="center" vertical="center"/>
    </xf>
    <xf numFmtId="0" fontId="26" fillId="0" borderId="0" xfId="0" applyFont="1" applyFill="1" applyBorder="1" applyAlignment="1" applyProtection="1">
      <alignment horizontal="center" vertical="center" wrapText="1"/>
    </xf>
    <xf numFmtId="0" fontId="64" fillId="7" borderId="332" xfId="0" applyFont="1" applyFill="1" applyBorder="1" applyAlignment="1" applyProtection="1">
      <alignment horizontal="center" vertical="center" justifyLastLine="1"/>
      <protection locked="0"/>
    </xf>
    <xf numFmtId="0" fontId="64" fillId="4" borderId="248" xfId="9" applyFont="1" applyFill="1" applyBorder="1" applyAlignment="1" applyProtection="1">
      <alignment horizontal="center" vertical="center" shrinkToFit="1"/>
      <protection locked="0"/>
    </xf>
    <xf numFmtId="38" fontId="64" fillId="4" borderId="248" xfId="11" applyFont="1" applyFill="1" applyBorder="1" applyAlignment="1" applyProtection="1">
      <alignment vertical="center" shrinkToFit="1"/>
      <protection locked="0"/>
    </xf>
    <xf numFmtId="0" fontId="64" fillId="4" borderId="406" xfId="0" applyFont="1" applyFill="1" applyBorder="1" applyAlignment="1" applyProtection="1">
      <alignment vertical="center" justifyLastLine="1"/>
      <protection locked="0"/>
    </xf>
    <xf numFmtId="0" fontId="64" fillId="4" borderId="407" xfId="0" applyFont="1" applyFill="1" applyBorder="1" applyAlignment="1" applyProtection="1">
      <alignment vertical="center" justifyLastLine="1"/>
      <protection locked="0"/>
    </xf>
    <xf numFmtId="0" fontId="28" fillId="0" borderId="91" xfId="0" applyFont="1" applyBorder="1" applyAlignment="1" applyProtection="1"/>
    <xf numFmtId="0" fontId="15" fillId="0" borderId="271" xfId="0" applyFont="1" applyBorder="1" applyAlignment="1" applyProtection="1">
      <alignment vertical="center" wrapText="1"/>
    </xf>
    <xf numFmtId="0" fontId="15" fillId="0" borderId="22" xfId="0" applyFont="1" applyBorder="1" applyAlignment="1" applyProtection="1">
      <alignment vertical="center" wrapText="1"/>
    </xf>
    <xf numFmtId="0" fontId="15" fillId="0" borderId="141" xfId="0" applyFont="1" applyBorder="1" applyAlignment="1" applyProtection="1">
      <alignment vertical="center" wrapText="1"/>
    </xf>
    <xf numFmtId="0" fontId="64" fillId="4" borderId="391" xfId="0" applyFont="1" applyFill="1" applyBorder="1" applyAlignment="1" applyProtection="1">
      <alignment horizontal="center" vertical="center" justifyLastLine="1"/>
      <protection locked="0"/>
    </xf>
    <xf numFmtId="0" fontId="64" fillId="4" borderId="415" xfId="0" applyFont="1" applyFill="1" applyBorder="1" applyAlignment="1" applyProtection="1">
      <alignment horizontal="center" vertical="center" justifyLastLine="1"/>
      <protection locked="0"/>
    </xf>
    <xf numFmtId="0" fontId="64" fillId="7" borderId="2" xfId="0" applyFont="1" applyFill="1" applyBorder="1" applyAlignment="1" applyProtection="1">
      <alignment horizontal="center" vertical="center"/>
      <protection locked="0"/>
    </xf>
    <xf numFmtId="0" fontId="64" fillId="7" borderId="137" xfId="0" applyFont="1" applyFill="1" applyBorder="1" applyAlignment="1" applyProtection="1">
      <alignment horizontal="center" vertical="center"/>
      <protection locked="0"/>
    </xf>
    <xf numFmtId="0" fontId="64" fillId="7" borderId="0" xfId="0" applyFont="1" applyFill="1" applyBorder="1" applyAlignment="1" applyProtection="1">
      <alignment horizontal="center" vertical="center"/>
      <protection locked="0"/>
    </xf>
    <xf numFmtId="0" fontId="64" fillId="7" borderId="142" xfId="0" applyFont="1" applyFill="1" applyBorder="1" applyAlignment="1" applyProtection="1">
      <alignment horizontal="center" vertical="center"/>
      <protection locked="0"/>
    </xf>
    <xf numFmtId="0" fontId="64" fillId="7" borderId="131" xfId="0" applyFont="1" applyFill="1" applyBorder="1" applyAlignment="1" applyProtection="1">
      <alignment horizontal="center" vertical="center"/>
      <protection locked="0"/>
    </xf>
    <xf numFmtId="0" fontId="64" fillId="7" borderId="132" xfId="0" applyFont="1" applyFill="1" applyBorder="1" applyAlignment="1" applyProtection="1">
      <alignment horizontal="center" vertical="center"/>
      <protection locked="0"/>
    </xf>
    <xf numFmtId="0" fontId="64" fillId="7" borderId="203" xfId="0" applyFont="1" applyFill="1" applyBorder="1" applyAlignment="1" applyProtection="1">
      <alignment horizontal="center" vertical="center"/>
      <protection locked="0"/>
    </xf>
    <xf numFmtId="0" fontId="64" fillId="7" borderId="118" xfId="0" applyFont="1" applyFill="1" applyBorder="1" applyAlignment="1" applyProtection="1">
      <alignment horizontal="center" vertical="center" justifyLastLine="1"/>
      <protection locked="0"/>
    </xf>
    <xf numFmtId="0" fontId="64" fillId="7" borderId="273" xfId="0" applyFont="1" applyFill="1" applyBorder="1" applyAlignment="1" applyProtection="1">
      <alignment horizontal="center" vertical="center" justifyLastLine="1"/>
      <protection locked="0"/>
    </xf>
    <xf numFmtId="0" fontId="64" fillId="4" borderId="148" xfId="0" applyFont="1" applyFill="1" applyBorder="1" applyAlignment="1" applyProtection="1">
      <alignment horizontal="center" vertical="center" justifyLastLine="1"/>
      <protection locked="0"/>
    </xf>
    <xf numFmtId="0" fontId="64" fillId="4" borderId="149" xfId="0" applyFont="1" applyFill="1" applyBorder="1" applyAlignment="1" applyProtection="1">
      <alignment horizontal="center" vertical="center" justifyLastLine="1"/>
      <protection locked="0"/>
    </xf>
    <xf numFmtId="38" fontId="64" fillId="4" borderId="218" xfId="11" applyFont="1" applyFill="1" applyBorder="1" applyAlignment="1" applyProtection="1">
      <alignment horizontal="center" vertical="center" wrapText="1"/>
      <protection locked="0"/>
    </xf>
    <xf numFmtId="38" fontId="64" fillId="4" borderId="220" xfId="11" applyFont="1" applyFill="1" applyBorder="1" applyAlignment="1" applyProtection="1">
      <alignment horizontal="center" vertical="center" wrapText="1"/>
      <protection locked="0"/>
    </xf>
    <xf numFmtId="0" fontId="64" fillId="2" borderId="389" xfId="0" applyFont="1" applyFill="1" applyBorder="1" applyAlignment="1" applyProtection="1">
      <alignment horizontal="center" vertical="center" justifyLastLine="1"/>
      <protection locked="0"/>
    </xf>
    <xf numFmtId="0" fontId="12" fillId="0" borderId="0" xfId="0" applyFont="1" applyBorder="1" applyAlignment="1" applyProtection="1">
      <alignment vertical="top"/>
    </xf>
    <xf numFmtId="38" fontId="64" fillId="7" borderId="426" xfId="11" applyFont="1" applyFill="1" applyBorder="1" applyAlignment="1" applyProtection="1">
      <alignment vertical="center"/>
      <protection locked="0"/>
    </xf>
    <xf numFmtId="38" fontId="64" fillId="7" borderId="427" xfId="11" applyFont="1" applyFill="1" applyBorder="1" applyAlignment="1" applyProtection="1">
      <alignment vertical="center"/>
      <protection locked="0"/>
    </xf>
    <xf numFmtId="38" fontId="64" fillId="7" borderId="428" xfId="11" applyFont="1" applyFill="1" applyBorder="1" applyAlignment="1" applyProtection="1">
      <alignment vertical="center"/>
      <protection locked="0"/>
    </xf>
    <xf numFmtId="38" fontId="64" fillId="2" borderId="6" xfId="11" applyFont="1" applyFill="1" applyBorder="1" applyAlignment="1" applyProtection="1">
      <alignment vertical="center" wrapText="1"/>
      <protection locked="0"/>
    </xf>
    <xf numFmtId="38" fontId="64" fillId="2" borderId="0" xfId="11" applyFont="1" applyFill="1" applyBorder="1" applyAlignment="1" applyProtection="1">
      <alignment horizontal="center" vertical="center" wrapText="1"/>
      <protection locked="0"/>
    </xf>
    <xf numFmtId="38" fontId="64" fillId="2" borderId="174" xfId="11" applyFont="1" applyFill="1" applyBorder="1" applyAlignment="1" applyProtection="1">
      <alignment horizontal="center" vertical="center"/>
      <protection locked="0"/>
    </xf>
    <xf numFmtId="38" fontId="64" fillId="2" borderId="286" xfId="11" applyFont="1" applyFill="1" applyBorder="1" applyAlignment="1" applyProtection="1">
      <alignment horizontal="center" vertical="center" wrapText="1"/>
      <protection locked="0"/>
    </xf>
    <xf numFmtId="38" fontId="64" fillId="2" borderId="250" xfId="11" applyFont="1" applyFill="1" applyBorder="1" applyAlignment="1" applyProtection="1">
      <alignment horizontal="center" vertical="center"/>
      <protection locked="0"/>
    </xf>
    <xf numFmtId="0" fontId="23" fillId="4" borderId="434" xfId="0" applyFont="1" applyFill="1" applyBorder="1" applyAlignment="1" applyProtection="1">
      <alignment vertical="center" wrapText="1" shrinkToFit="1"/>
      <protection locked="0"/>
    </xf>
    <xf numFmtId="38" fontId="64" fillId="4" borderId="443" xfId="11" applyFont="1" applyFill="1" applyBorder="1" applyAlignment="1" applyProtection="1">
      <alignment vertical="center" wrapText="1"/>
      <protection locked="0"/>
    </xf>
    <xf numFmtId="0" fontId="13" fillId="0" borderId="140" xfId="0" applyFont="1" applyBorder="1" applyAlignment="1" applyProtection="1">
      <alignment horizontal="left" vertical="center" wrapText="1"/>
    </xf>
    <xf numFmtId="0" fontId="13" fillId="0" borderId="140" xfId="0" applyFont="1" applyBorder="1" applyAlignment="1" applyProtection="1">
      <alignment horizontal="left" vertical="center"/>
    </xf>
    <xf numFmtId="0" fontId="28" fillId="0" borderId="436" xfId="0" applyFont="1" applyBorder="1" applyAlignment="1" applyProtection="1"/>
    <xf numFmtId="0" fontId="28" fillId="0" borderId="66" xfId="0" applyFont="1" applyFill="1" applyBorder="1" applyAlignment="1" applyProtection="1">
      <alignment vertical="center"/>
    </xf>
    <xf numFmtId="0" fontId="28" fillId="0" borderId="465" xfId="0" applyFont="1" applyFill="1" applyBorder="1" applyAlignment="1" applyProtection="1">
      <alignment vertical="center"/>
    </xf>
    <xf numFmtId="0" fontId="28" fillId="0" borderId="269" xfId="0" applyFont="1" applyFill="1" applyBorder="1" applyAlignment="1" applyProtection="1">
      <alignment vertical="center"/>
    </xf>
    <xf numFmtId="0" fontId="36" fillId="0" borderId="132" xfId="0" applyFont="1" applyBorder="1" applyAlignment="1" applyProtection="1">
      <alignment horizontal="distributed" vertical="center" justifyLastLine="1"/>
    </xf>
    <xf numFmtId="0" fontId="51" fillId="0" borderId="0" xfId="0" applyFont="1" applyBorder="1" applyAlignment="1" applyProtection="1"/>
    <xf numFmtId="0" fontId="28" fillId="0" borderId="0" xfId="5" applyFont="1" applyProtection="1">
      <alignment vertical="center"/>
    </xf>
    <xf numFmtId="0" fontId="75" fillId="0" borderId="0" xfId="0" applyFont="1" applyBorder="1" applyAlignment="1" applyProtection="1"/>
    <xf numFmtId="0" fontId="12" fillId="0" borderId="0" xfId="5" applyFont="1" applyProtection="1">
      <alignment vertical="center"/>
    </xf>
    <xf numFmtId="0" fontId="6" fillId="0" borderId="0" xfId="0" applyFont="1" applyBorder="1" applyAlignment="1" applyProtection="1"/>
    <xf numFmtId="0" fontId="7" fillId="0" borderId="0" xfId="0" applyFont="1" applyBorder="1" applyAlignment="1" applyProtection="1"/>
    <xf numFmtId="0" fontId="0" fillId="0" borderId="0" xfId="0" applyProtection="1"/>
    <xf numFmtId="0" fontId="33" fillId="0" borderId="13" xfId="0" applyFont="1" applyBorder="1" applyAlignment="1" applyProtection="1">
      <alignment horizontal="center" vertical="center" wrapText="1"/>
    </xf>
    <xf numFmtId="0" fontId="33" fillId="0" borderId="121" xfId="0" applyFont="1" applyBorder="1" applyAlignment="1" applyProtection="1">
      <alignment horizontal="center" vertical="center" wrapText="1"/>
    </xf>
    <xf numFmtId="0" fontId="4" fillId="0" borderId="0" xfId="0" applyFont="1" applyBorder="1" applyAlignment="1" applyProtection="1">
      <alignment vertical="center"/>
    </xf>
    <xf numFmtId="0" fontId="7" fillId="0" borderId="0" xfId="0" applyFont="1" applyBorder="1" applyAlignment="1" applyProtection="1">
      <alignment vertical="distributed" textRotation="255" justifyLastLine="1"/>
    </xf>
    <xf numFmtId="0" fontId="4" fillId="0" borderId="0" xfId="0" applyFont="1" applyBorder="1" applyAlignment="1" applyProtection="1"/>
    <xf numFmtId="0" fontId="23" fillId="0" borderId="121" xfId="0" applyFont="1" applyBorder="1" applyAlignment="1" applyProtection="1">
      <alignment horizontal="center" vertical="center"/>
    </xf>
    <xf numFmtId="0" fontId="75" fillId="0" borderId="0" xfId="0" applyFont="1" applyBorder="1" applyAlignment="1" applyProtection="1">
      <alignment vertical="center"/>
    </xf>
    <xf numFmtId="0" fontId="27" fillId="0" borderId="0" xfId="0" applyFont="1" applyBorder="1" applyAlignment="1" applyProtection="1"/>
    <xf numFmtId="0" fontId="23" fillId="0" borderId="268" xfId="0" applyFont="1" applyBorder="1" applyAlignment="1" applyProtection="1">
      <alignment horizontal="center" vertical="center" wrapText="1"/>
    </xf>
    <xf numFmtId="0" fontId="23" fillId="0" borderId="111" xfId="0" applyFont="1" applyBorder="1" applyAlignment="1" applyProtection="1">
      <alignment vertical="center"/>
    </xf>
    <xf numFmtId="0" fontId="23" fillId="0" borderId="12" xfId="0" applyFont="1" applyBorder="1" applyAlignment="1" applyProtection="1">
      <alignment vertical="center"/>
    </xf>
    <xf numFmtId="0" fontId="12" fillId="0" borderId="12" xfId="0" applyFont="1" applyBorder="1" applyAlignment="1" applyProtection="1"/>
    <xf numFmtId="0" fontId="12" fillId="0" borderId="26" xfId="0" applyFont="1" applyBorder="1" applyAlignment="1" applyProtection="1"/>
    <xf numFmtId="0" fontId="6" fillId="0" borderId="0" xfId="0" applyFont="1" applyBorder="1" applyAlignment="1" applyProtection="1">
      <alignment vertical="center"/>
    </xf>
    <xf numFmtId="0" fontId="0" fillId="0" borderId="255" xfId="0" applyBorder="1" applyProtection="1"/>
    <xf numFmtId="0" fontId="64" fillId="0" borderId="0" xfId="5" applyFont="1" applyProtection="1">
      <alignment vertical="center"/>
    </xf>
    <xf numFmtId="0" fontId="56" fillId="0" borderId="0" xfId="0" applyFont="1" applyProtection="1"/>
    <xf numFmtId="0" fontId="64" fillId="0" borderId="0" xfId="0" applyFont="1" applyProtection="1"/>
    <xf numFmtId="0" fontId="12" fillId="0" borderId="0" xfId="0" applyFont="1" applyProtection="1"/>
    <xf numFmtId="0" fontId="0" fillId="0" borderId="335" xfId="0" applyBorder="1" applyAlignment="1" applyProtection="1">
      <alignment horizontal="center" vertical="center"/>
    </xf>
    <xf numFmtId="0" fontId="0" fillId="0" borderId="334" xfId="0" applyBorder="1" applyAlignment="1" applyProtection="1">
      <alignment horizontal="center" vertical="center"/>
    </xf>
    <xf numFmtId="0" fontId="0" fillId="0" borderId="336" xfId="0" applyBorder="1" applyAlignment="1" applyProtection="1">
      <alignment horizontal="center" vertical="center"/>
    </xf>
    <xf numFmtId="0" fontId="23" fillId="0" borderId="0" xfId="0" applyFont="1" applyProtection="1"/>
    <xf numFmtId="0" fontId="0" fillId="0" borderId="337" xfId="0" applyBorder="1" applyAlignment="1" applyProtection="1">
      <alignment horizontal="center" vertical="center"/>
    </xf>
    <xf numFmtId="0" fontId="0" fillId="0" borderId="338" xfId="0" applyBorder="1" applyAlignment="1" applyProtection="1">
      <alignment horizontal="center" vertical="center"/>
    </xf>
    <xf numFmtId="0" fontId="0" fillId="0" borderId="183" xfId="0" applyBorder="1" applyAlignment="1" applyProtection="1">
      <alignment horizontal="center" vertical="center"/>
    </xf>
    <xf numFmtId="0" fontId="12" fillId="0" borderId="0" xfId="0" applyFont="1" applyAlignment="1" applyProtection="1">
      <alignment vertical="center"/>
    </xf>
    <xf numFmtId="0" fontId="23" fillId="0" borderId="13" xfId="7" applyFont="1" applyFill="1" applyBorder="1" applyAlignment="1" applyProtection="1">
      <alignment vertical="center" wrapText="1"/>
    </xf>
    <xf numFmtId="0" fontId="23" fillId="0" borderId="14" xfId="7" applyFont="1" applyFill="1" applyBorder="1" applyAlignment="1" applyProtection="1">
      <alignment wrapText="1"/>
    </xf>
    <xf numFmtId="0" fontId="23" fillId="3" borderId="236" xfId="7" applyFont="1" applyFill="1" applyBorder="1" applyAlignment="1" applyProtection="1">
      <alignment horizontal="center" vertical="center"/>
    </xf>
    <xf numFmtId="0" fontId="23" fillId="0" borderId="236" xfId="7" applyFont="1" applyFill="1" applyBorder="1" applyAlignment="1" applyProtection="1">
      <alignment horizontal="center" vertical="center"/>
    </xf>
    <xf numFmtId="0" fontId="23" fillId="0" borderId="237" xfId="7" applyFont="1" applyFill="1" applyBorder="1" applyAlignment="1" applyProtection="1">
      <alignment horizontal="center" vertical="center" wrapText="1"/>
    </xf>
    <xf numFmtId="0" fontId="76" fillId="0" borderId="285" xfId="0" applyFont="1" applyBorder="1" applyAlignment="1" applyProtection="1">
      <alignment horizontal="left" vertical="center"/>
    </xf>
    <xf numFmtId="187" fontId="64" fillId="0" borderId="245" xfId="0" applyNumberFormat="1" applyFont="1" applyBorder="1" applyAlignment="1" applyProtection="1">
      <alignment vertical="center"/>
    </xf>
    <xf numFmtId="0" fontId="34" fillId="0" borderId="154" xfId="7" applyFont="1" applyFill="1" applyBorder="1" applyAlignment="1" applyProtection="1">
      <alignment vertical="center"/>
    </xf>
    <xf numFmtId="0" fontId="12" fillId="0" borderId="0" xfId="7" applyFont="1" applyProtection="1">
      <alignment vertical="center"/>
    </xf>
    <xf numFmtId="0" fontId="12" fillId="0" borderId="0" xfId="7" applyFont="1" applyAlignment="1" applyProtection="1">
      <alignment horizontal="left" vertical="center" indent="7"/>
    </xf>
    <xf numFmtId="0" fontId="36" fillId="0" borderId="236" xfId="7" applyFont="1" applyFill="1" applyBorder="1" applyAlignment="1" applyProtection="1">
      <alignment horizontal="center" vertical="center"/>
    </xf>
    <xf numFmtId="0" fontId="36" fillId="0" borderId="236" xfId="7" applyFont="1" applyFill="1" applyBorder="1" applyAlignment="1" applyProtection="1">
      <alignment horizontal="center" vertical="center" wrapText="1"/>
    </xf>
    <xf numFmtId="0" fontId="36" fillId="0" borderId="132" xfId="0" applyFont="1" applyBorder="1" applyAlignment="1" applyProtection="1">
      <alignment horizontal="distributed" vertical="center"/>
    </xf>
    <xf numFmtId="0" fontId="23" fillId="0" borderId="104" xfId="7" applyFont="1" applyFill="1" applyBorder="1" applyAlignment="1" applyProtection="1">
      <alignment horizontal="center" vertical="center"/>
    </xf>
    <xf numFmtId="0" fontId="28" fillId="0" borderId="132" xfId="0" applyFont="1" applyBorder="1" applyAlignment="1" applyProtection="1">
      <alignment horizontal="distributed" vertical="center"/>
    </xf>
    <xf numFmtId="0" fontId="12" fillId="0" borderId="0" xfId="0" applyFont="1" applyBorder="1" applyAlignment="1" applyProtection="1">
      <alignment horizontal="left" vertical="center" indent="7"/>
    </xf>
    <xf numFmtId="0" fontId="12" fillId="0" borderId="0" xfId="0" applyFont="1" applyBorder="1" applyAlignment="1" applyProtection="1">
      <alignment horizontal="left" vertical="top" indent="7"/>
    </xf>
    <xf numFmtId="0" fontId="23" fillId="0" borderId="234" xfId="0" applyFont="1" applyFill="1" applyBorder="1" applyAlignment="1" applyProtection="1">
      <alignment vertical="center" wrapText="1"/>
    </xf>
    <xf numFmtId="0" fontId="23" fillId="0" borderId="183" xfId="0" applyFont="1" applyFill="1" applyBorder="1" applyAlignment="1" applyProtection="1">
      <alignment horizontal="center" vertical="center"/>
    </xf>
    <xf numFmtId="0" fontId="36" fillId="0" borderId="245" xfId="0" applyFont="1" applyBorder="1" applyAlignment="1" applyProtection="1">
      <alignment horizontal="center" vertical="center" justifyLastLine="1"/>
    </xf>
    <xf numFmtId="0" fontId="36" fillId="0" borderId="0" xfId="0" applyFont="1" applyFill="1" applyBorder="1" applyAlignment="1" applyProtection="1">
      <alignment horizontal="left" vertical="center" shrinkToFit="1"/>
    </xf>
    <xf numFmtId="0" fontId="36" fillId="0" borderId="0" xfId="10" applyFont="1" applyFill="1" applyBorder="1" applyAlignment="1" applyProtection="1">
      <alignment vertical="center" shrinkToFit="1"/>
    </xf>
    <xf numFmtId="38" fontId="64" fillId="0" borderId="0" xfId="11" applyFont="1" applyFill="1" applyBorder="1" applyAlignment="1" applyProtection="1">
      <alignment vertical="center" shrinkToFit="1"/>
    </xf>
    <xf numFmtId="38" fontId="64" fillId="0" borderId="0" xfId="11" applyFont="1" applyFill="1" applyBorder="1" applyAlignment="1" applyProtection="1">
      <alignment horizontal="center" vertical="center"/>
    </xf>
    <xf numFmtId="0" fontId="0" fillId="0" borderId="152" xfId="0" applyBorder="1" applyProtection="1"/>
    <xf numFmtId="0" fontId="23" fillId="0" borderId="350" xfId="0" applyFont="1" applyBorder="1" applyAlignment="1" applyProtection="1">
      <alignment horizontal="center" vertical="center"/>
    </xf>
    <xf numFmtId="0" fontId="23" fillId="0" borderId="352" xfId="0" applyFont="1" applyBorder="1" applyAlignment="1" applyProtection="1">
      <alignment horizontal="center" vertical="center"/>
    </xf>
    <xf numFmtId="0" fontId="23" fillId="0" borderId="353" xfId="0" applyFont="1" applyBorder="1" applyAlignment="1" applyProtection="1">
      <alignment horizontal="center" vertical="center"/>
    </xf>
    <xf numFmtId="0" fontId="23" fillId="0" borderId="354" xfId="0" applyFont="1" applyBorder="1" applyAlignment="1" applyProtection="1">
      <alignment horizontal="center" vertical="center"/>
    </xf>
    <xf numFmtId="0" fontId="12" fillId="0" borderId="351" xfId="0" applyFont="1" applyBorder="1" applyAlignment="1" applyProtection="1">
      <alignment horizontal="center" vertical="center"/>
    </xf>
    <xf numFmtId="0" fontId="0" fillId="0" borderId="222" xfId="0" applyBorder="1" applyAlignment="1" applyProtection="1">
      <alignment horizontal="center" vertical="center"/>
    </xf>
    <xf numFmtId="0" fontId="0" fillId="0" borderId="339" xfId="0" applyBorder="1" applyAlignment="1" applyProtection="1">
      <alignment horizontal="center" vertical="center"/>
    </xf>
    <xf numFmtId="0" fontId="0" fillId="0" borderId="340" xfId="0" applyBorder="1" applyAlignment="1" applyProtection="1">
      <alignment horizontal="center" vertical="center"/>
    </xf>
    <xf numFmtId="0" fontId="56" fillId="0" borderId="0" xfId="0" applyFont="1" applyFill="1" applyBorder="1" applyAlignment="1" applyProtection="1">
      <alignment horizontal="left" vertical="center"/>
    </xf>
    <xf numFmtId="0" fontId="23" fillId="0" borderId="172" xfId="0" applyFont="1" applyBorder="1" applyAlignment="1" applyProtection="1">
      <alignment horizontal="distributed" vertical="center" justifyLastLine="1"/>
    </xf>
    <xf numFmtId="0" fontId="23" fillId="0" borderId="358" xfId="0" applyFont="1" applyBorder="1" applyAlignment="1" applyProtection="1">
      <alignment horizontal="distributed" vertical="center"/>
    </xf>
    <xf numFmtId="0" fontId="23" fillId="0" borderId="128" xfId="0" applyFont="1" applyBorder="1" applyAlignment="1" applyProtection="1">
      <alignment horizontal="distributed" vertical="center"/>
    </xf>
    <xf numFmtId="0" fontId="23" fillId="0" borderId="129" xfId="0" applyFont="1" applyBorder="1" applyAlignment="1" applyProtection="1">
      <alignment horizontal="distributed" vertical="center"/>
    </xf>
    <xf numFmtId="0" fontId="56" fillId="0" borderId="0" xfId="0" applyFont="1" applyFill="1" applyBorder="1" applyAlignment="1" applyProtection="1">
      <alignment vertical="center"/>
    </xf>
    <xf numFmtId="0" fontId="0" fillId="0" borderId="371" xfId="0" applyBorder="1" applyProtection="1"/>
    <xf numFmtId="0" fontId="0" fillId="0" borderId="16" xfId="0" applyBorder="1" applyAlignment="1" applyProtection="1">
      <alignment horizontal="center" vertical="center" wrapText="1"/>
    </xf>
    <xf numFmtId="0" fontId="0" fillId="0" borderId="121" xfId="0" applyBorder="1" applyAlignment="1" applyProtection="1">
      <alignment horizontal="center" vertical="center" wrapText="1"/>
    </xf>
    <xf numFmtId="0" fontId="12" fillId="0" borderId="11" xfId="0" applyFont="1" applyBorder="1" applyAlignment="1" applyProtection="1">
      <alignment horizontal="center" vertical="center"/>
    </xf>
    <xf numFmtId="0" fontId="0" fillId="0" borderId="0" xfId="0" applyAlignment="1" applyProtection="1">
      <alignment vertical="center"/>
    </xf>
    <xf numFmtId="0" fontId="0" fillId="0" borderId="128" xfId="0" applyBorder="1" applyAlignment="1" applyProtection="1">
      <alignment horizontal="center" vertical="center"/>
    </xf>
    <xf numFmtId="0" fontId="0" fillId="0" borderId="129" xfId="0" applyBorder="1" applyAlignment="1" applyProtection="1">
      <alignment horizontal="center" vertical="center"/>
    </xf>
    <xf numFmtId="0" fontId="23" fillId="0" borderId="104" xfId="0" applyFont="1" applyBorder="1" applyAlignment="1" applyProtection="1">
      <alignment horizontal="center" vertical="center" wrapText="1"/>
    </xf>
    <xf numFmtId="0" fontId="56" fillId="0" borderId="0" xfId="0" applyFont="1" applyAlignment="1" applyProtection="1">
      <alignment vertical="center"/>
    </xf>
    <xf numFmtId="0" fontId="28" fillId="0" borderId="248" xfId="0" applyFont="1" applyBorder="1" applyAlignment="1" applyProtection="1">
      <alignment horizontal="distributed" vertical="center"/>
    </xf>
    <xf numFmtId="3" fontId="64" fillId="4" borderId="356" xfId="0" applyNumberFormat="1" applyFont="1" applyFill="1" applyBorder="1" applyAlignment="1" applyProtection="1">
      <alignment vertical="center"/>
      <protection locked="0"/>
    </xf>
    <xf numFmtId="3" fontId="64" fillId="4" borderId="355" xfId="0" applyNumberFormat="1" applyFont="1" applyFill="1" applyBorder="1" applyAlignment="1" applyProtection="1">
      <alignment vertical="center"/>
      <protection locked="0"/>
    </xf>
    <xf numFmtId="3" fontId="64" fillId="4" borderId="357" xfId="0" applyNumberFormat="1" applyFont="1" applyFill="1" applyBorder="1" applyAlignment="1" applyProtection="1">
      <alignment vertical="center"/>
      <protection locked="0"/>
    </xf>
    <xf numFmtId="3" fontId="64" fillId="7" borderId="341" xfId="0" applyNumberFormat="1" applyFont="1" applyFill="1" applyBorder="1" applyAlignment="1" applyProtection="1">
      <alignment vertical="center"/>
      <protection locked="0"/>
    </xf>
    <xf numFmtId="3" fontId="64" fillId="7" borderId="342" xfId="0" applyNumberFormat="1" applyFont="1" applyFill="1" applyBorder="1" applyAlignment="1" applyProtection="1">
      <alignment vertical="center"/>
      <protection locked="0"/>
    </xf>
    <xf numFmtId="3" fontId="64" fillId="7" borderId="343" xfId="0" applyNumberFormat="1" applyFont="1" applyFill="1" applyBorder="1" applyAlignment="1" applyProtection="1">
      <alignment vertical="center"/>
      <protection locked="0"/>
    </xf>
    <xf numFmtId="3" fontId="64" fillId="7" borderId="344" xfId="0" applyNumberFormat="1" applyFont="1" applyFill="1" applyBorder="1" applyAlignment="1" applyProtection="1">
      <alignment vertical="center"/>
      <protection locked="0"/>
    </xf>
    <xf numFmtId="3" fontId="64" fillId="7" borderId="345" xfId="0" applyNumberFormat="1" applyFont="1" applyFill="1" applyBorder="1" applyAlignment="1" applyProtection="1">
      <alignment vertical="center"/>
      <protection locked="0"/>
    </xf>
    <xf numFmtId="3" fontId="64" fillId="7" borderId="346" xfId="0" applyNumberFormat="1" applyFont="1" applyFill="1" applyBorder="1" applyAlignment="1" applyProtection="1">
      <alignment vertical="center"/>
      <protection locked="0"/>
    </xf>
    <xf numFmtId="3" fontId="64" fillId="7" borderId="347" xfId="0" applyNumberFormat="1" applyFont="1" applyFill="1" applyBorder="1" applyAlignment="1" applyProtection="1">
      <alignment vertical="center"/>
      <protection locked="0"/>
    </xf>
    <xf numFmtId="3" fontId="64" fillId="7" borderId="348" xfId="0" applyNumberFormat="1" applyFont="1" applyFill="1" applyBorder="1" applyAlignment="1" applyProtection="1">
      <alignment vertical="center"/>
      <protection locked="0"/>
    </xf>
    <xf numFmtId="3" fontId="64" fillId="7" borderId="349" xfId="0" applyNumberFormat="1" applyFont="1" applyFill="1" applyBorder="1" applyAlignment="1" applyProtection="1">
      <alignment vertical="center"/>
      <protection locked="0"/>
    </xf>
    <xf numFmtId="3" fontId="64" fillId="4" borderId="361" xfId="0" applyNumberFormat="1" applyFont="1" applyFill="1" applyBorder="1" applyAlignment="1" applyProtection="1">
      <alignment horizontal="right" vertical="center"/>
      <protection locked="0"/>
    </xf>
    <xf numFmtId="3" fontId="64" fillId="4" borderId="360" xfId="0" applyNumberFormat="1" applyFont="1" applyFill="1" applyBorder="1" applyAlignment="1" applyProtection="1">
      <alignment horizontal="right" vertical="center"/>
      <protection locked="0"/>
    </xf>
    <xf numFmtId="3" fontId="64" fillId="4" borderId="359" xfId="0" applyNumberFormat="1" applyFont="1" applyFill="1" applyBorder="1" applyAlignment="1" applyProtection="1">
      <alignment horizontal="right" vertical="center"/>
      <protection locked="0"/>
    </xf>
    <xf numFmtId="190" fontId="64" fillId="4" borderId="362" xfId="0" applyNumberFormat="1" applyFont="1" applyFill="1" applyBorder="1" applyAlignment="1" applyProtection="1">
      <alignment horizontal="right" vertical="center"/>
      <protection locked="0"/>
    </xf>
    <xf numFmtId="3" fontId="64" fillId="4" borderId="217" xfId="0" applyNumberFormat="1" applyFont="1" applyFill="1" applyBorder="1" applyAlignment="1" applyProtection="1">
      <alignment horizontal="right" vertical="center"/>
      <protection locked="0"/>
    </xf>
    <xf numFmtId="3" fontId="64" fillId="4" borderId="217" xfId="0" applyNumberFormat="1" applyFont="1" applyFill="1" applyBorder="1" applyAlignment="1" applyProtection="1">
      <alignment vertical="center"/>
      <protection locked="0"/>
    </xf>
    <xf numFmtId="3" fontId="64" fillId="4" borderId="366" xfId="0" applyNumberFormat="1" applyFont="1" applyFill="1" applyBorder="1" applyAlignment="1" applyProtection="1">
      <alignment vertical="center"/>
      <protection locked="0"/>
    </xf>
    <xf numFmtId="190" fontId="64" fillId="4" borderId="362" xfId="0" applyNumberFormat="1" applyFont="1" applyFill="1" applyBorder="1" applyAlignment="1" applyProtection="1">
      <alignment vertical="center"/>
      <protection locked="0"/>
    </xf>
    <xf numFmtId="3" fontId="64" fillId="4" borderId="361" xfId="0" applyNumberFormat="1" applyFont="1" applyFill="1" applyBorder="1" applyAlignment="1" applyProtection="1">
      <alignment vertical="center"/>
      <protection locked="0"/>
    </xf>
    <xf numFmtId="3" fontId="64" fillId="4" borderId="372" xfId="0" applyNumberFormat="1" applyFont="1" applyFill="1" applyBorder="1" applyAlignment="1" applyProtection="1">
      <alignment vertical="center"/>
      <protection locked="0"/>
    </xf>
    <xf numFmtId="3" fontId="64" fillId="4" borderId="373" xfId="0" applyNumberFormat="1" applyFont="1" applyFill="1" applyBorder="1" applyAlignment="1" applyProtection="1">
      <alignment vertical="center"/>
      <protection locked="0"/>
    </xf>
    <xf numFmtId="3" fontId="64" fillId="7" borderId="136" xfId="0" applyNumberFormat="1" applyFont="1" applyFill="1" applyBorder="1" applyAlignment="1" applyProtection="1">
      <alignment vertical="center"/>
      <protection locked="0"/>
    </xf>
    <xf numFmtId="3" fontId="64" fillId="7" borderId="118" xfId="0" applyNumberFormat="1" applyFont="1" applyFill="1" applyBorder="1" applyAlignment="1" applyProtection="1">
      <alignment vertical="center"/>
      <protection locked="0"/>
    </xf>
    <xf numFmtId="3" fontId="64" fillId="7" borderId="285" xfId="0" applyNumberFormat="1" applyFont="1" applyFill="1" applyBorder="1" applyAlignment="1" applyProtection="1">
      <alignment vertical="center"/>
      <protection locked="0"/>
    </xf>
    <xf numFmtId="3" fontId="64" fillId="7" borderId="332" xfId="0" applyNumberFormat="1" applyFont="1" applyFill="1" applyBorder="1" applyAlignment="1" applyProtection="1">
      <alignment vertical="center"/>
      <protection locked="0"/>
    </xf>
    <xf numFmtId="3" fontId="64" fillId="7" borderId="138" xfId="0" applyNumberFormat="1" applyFont="1" applyFill="1" applyBorder="1" applyAlignment="1" applyProtection="1">
      <alignment vertical="center"/>
      <protection locked="0"/>
    </xf>
    <xf numFmtId="3" fontId="64" fillId="7" borderId="33" xfId="0" applyNumberFormat="1" applyFont="1" applyFill="1" applyBorder="1" applyAlignment="1" applyProtection="1">
      <alignment vertical="center"/>
      <protection locked="0"/>
    </xf>
    <xf numFmtId="3" fontId="64" fillId="4" borderId="160" xfId="0" applyNumberFormat="1" applyFont="1" applyFill="1" applyBorder="1" applyAlignment="1" applyProtection="1">
      <alignment vertical="center"/>
      <protection locked="0"/>
    </xf>
    <xf numFmtId="3" fontId="64" fillId="7" borderId="20" xfId="0" applyNumberFormat="1" applyFont="1" applyFill="1" applyBorder="1" applyAlignment="1" applyProtection="1">
      <alignment vertical="center"/>
      <protection locked="0"/>
    </xf>
    <xf numFmtId="3" fontId="64" fillId="7" borderId="275" xfId="0" applyNumberFormat="1" applyFont="1" applyFill="1" applyBorder="1" applyAlignment="1" applyProtection="1">
      <alignment vertical="center"/>
      <protection locked="0"/>
    </xf>
    <xf numFmtId="3" fontId="64" fillId="7" borderId="142" xfId="0" applyNumberFormat="1" applyFont="1" applyFill="1" applyBorder="1" applyAlignment="1" applyProtection="1">
      <alignment vertical="center"/>
      <protection locked="0"/>
    </xf>
    <xf numFmtId="190" fontId="63" fillId="4" borderId="160" xfId="0" applyNumberFormat="1" applyFont="1" applyFill="1" applyBorder="1" applyAlignment="1" applyProtection="1">
      <alignment vertical="center"/>
      <protection locked="0"/>
    </xf>
    <xf numFmtId="0" fontId="29" fillId="0" borderId="0" xfId="0" applyFont="1" applyBorder="1" applyAlignment="1" applyProtection="1">
      <alignment horizontal="left"/>
    </xf>
    <xf numFmtId="0" fontId="23" fillId="0" borderId="0" xfId="5" applyFont="1" applyProtection="1">
      <alignment vertical="center"/>
    </xf>
    <xf numFmtId="0" fontId="56" fillId="0" borderId="0" xfId="0" applyFont="1" applyBorder="1" applyAlignment="1" applyProtection="1">
      <alignment vertical="center"/>
    </xf>
    <xf numFmtId="0" fontId="23" fillId="0" borderId="12" xfId="0" applyFont="1" applyBorder="1" applyAlignment="1" applyProtection="1">
      <alignment horizontal="center" vertical="center"/>
    </xf>
    <xf numFmtId="0" fontId="23" fillId="0" borderId="200" xfId="0" applyFont="1" applyBorder="1" applyAlignment="1" applyProtection="1">
      <alignment horizontal="center" vertical="center" shrinkToFit="1"/>
    </xf>
    <xf numFmtId="0" fontId="23" fillId="0" borderId="152" xfId="10" applyFont="1" applyFill="1" applyBorder="1" applyAlignment="1" applyProtection="1">
      <alignment horizontal="distributed" vertical="center"/>
    </xf>
    <xf numFmtId="0" fontId="70" fillId="0" borderId="0" xfId="5" applyFont="1" applyBorder="1" applyAlignment="1" applyProtection="1">
      <alignment horizontal="center" vertical="center" shrinkToFit="1"/>
    </xf>
    <xf numFmtId="182" fontId="64" fillId="0" borderId="254" xfId="11" applyNumberFormat="1" applyFont="1" applyFill="1" applyBorder="1" applyAlignment="1" applyProtection="1">
      <alignment vertical="center" shrinkToFit="1"/>
    </xf>
    <xf numFmtId="186" fontId="64" fillId="0" borderId="480" xfId="11" applyNumberFormat="1" applyFont="1" applyFill="1" applyBorder="1" applyAlignment="1" applyProtection="1">
      <alignment vertical="center"/>
    </xf>
    <xf numFmtId="0" fontId="23" fillId="0" borderId="233" xfId="10" applyFont="1" applyFill="1" applyBorder="1" applyAlignment="1" applyProtection="1">
      <alignment horizontal="distributed" vertical="center"/>
    </xf>
    <xf numFmtId="0" fontId="23" fillId="0" borderId="244" xfId="10" applyFont="1" applyFill="1" applyBorder="1" applyAlignment="1" applyProtection="1">
      <alignment horizontal="distributed" vertical="center"/>
    </xf>
    <xf numFmtId="0" fontId="70" fillId="0" borderId="4" xfId="5" applyFont="1" applyBorder="1" applyAlignment="1" applyProtection="1">
      <alignment horizontal="center" vertical="center" shrinkToFit="1"/>
    </xf>
    <xf numFmtId="0" fontId="23" fillId="0" borderId="0" xfId="5" applyFont="1" applyBorder="1" applyProtection="1">
      <alignment vertical="center"/>
    </xf>
    <xf numFmtId="0" fontId="23" fillId="0" borderId="307" xfId="10" applyFont="1" applyFill="1" applyBorder="1" applyAlignment="1" applyProtection="1">
      <alignment horizontal="distributed" vertical="center"/>
    </xf>
    <xf numFmtId="0" fontId="23" fillId="0" borderId="247" xfId="10" applyFont="1" applyFill="1" applyBorder="1" applyAlignment="1" applyProtection="1">
      <alignment horizontal="distributed" vertical="center" wrapText="1"/>
    </xf>
    <xf numFmtId="0" fontId="23" fillId="0" borderId="248" xfId="10" applyFont="1" applyFill="1" applyBorder="1" applyAlignment="1" applyProtection="1">
      <alignment horizontal="distributed" vertical="center" wrapText="1"/>
    </xf>
    <xf numFmtId="0" fontId="35" fillId="0" borderId="13" xfId="0" applyFont="1" applyBorder="1" applyAlignment="1" applyProtection="1">
      <alignment vertical="center"/>
    </xf>
    <xf numFmtId="0" fontId="33" fillId="0" borderId="179" xfId="0" applyFont="1" applyBorder="1" applyAlignment="1" applyProtection="1">
      <alignment horizontal="center" vertical="center"/>
    </xf>
    <xf numFmtId="182" fontId="64" fillId="0" borderId="328" xfId="11" applyNumberFormat="1" applyFont="1" applyFill="1" applyBorder="1" applyAlignment="1" applyProtection="1">
      <alignment vertical="center"/>
    </xf>
    <xf numFmtId="182" fontId="64" fillId="0" borderId="411" xfId="11" applyNumberFormat="1" applyFont="1" applyFill="1" applyBorder="1" applyAlignment="1" applyProtection="1">
      <alignment vertical="center" shrinkToFit="1"/>
    </xf>
    <xf numFmtId="182" fontId="64" fillId="0" borderId="0" xfId="11" applyNumberFormat="1" applyFont="1" applyFill="1" applyBorder="1" applyAlignment="1" applyProtection="1">
      <alignment vertical="center" shrinkToFit="1"/>
    </xf>
    <xf numFmtId="182" fontId="36" fillId="0" borderId="317" xfId="11" applyNumberFormat="1" applyFont="1" applyFill="1" applyBorder="1" applyAlignment="1" applyProtection="1">
      <alignment horizontal="center" vertical="center" shrinkToFit="1"/>
    </xf>
    <xf numFmtId="0" fontId="56" fillId="0" borderId="0" xfId="5" applyFont="1" applyBorder="1" applyAlignment="1" applyProtection="1">
      <alignment vertical="center"/>
    </xf>
    <xf numFmtId="0" fontId="36" fillId="0" borderId="0" xfId="0" applyFont="1" applyBorder="1" applyAlignment="1" applyProtection="1">
      <alignment horizontal="distributed" vertical="center" wrapText="1" justifyLastLine="1"/>
    </xf>
    <xf numFmtId="0" fontId="36" fillId="0" borderId="0" xfId="5" applyFont="1" applyBorder="1" applyAlignment="1" applyProtection="1">
      <alignment horizontal="distributed" vertical="center"/>
    </xf>
    <xf numFmtId="183" fontId="64" fillId="0" borderId="0" xfId="5" applyNumberFormat="1" applyFont="1" applyBorder="1" applyAlignment="1" applyProtection="1">
      <alignment vertical="center"/>
    </xf>
    <xf numFmtId="0" fontId="36" fillId="0" borderId="0" xfId="0" applyFont="1" applyBorder="1" applyAlignment="1" applyProtection="1">
      <alignment vertical="center"/>
    </xf>
    <xf numFmtId="0" fontId="64" fillId="0" borderId="0" xfId="0" applyFont="1" applyFill="1" applyBorder="1" applyAlignment="1" applyProtection="1">
      <alignment vertical="center"/>
    </xf>
    <xf numFmtId="0" fontId="10" fillId="0" borderId="0" xfId="0" applyFont="1" applyBorder="1" applyAlignment="1" applyProtection="1"/>
    <xf numFmtId="0" fontId="77" fillId="0" borderId="0" xfId="0" applyFont="1" applyBorder="1" applyAlignment="1" applyProtection="1"/>
    <xf numFmtId="0" fontId="12" fillId="0" borderId="0" xfId="0" applyFont="1" applyBorder="1" applyAlignment="1" applyProtection="1">
      <alignment horizontal="center" vertical="center"/>
    </xf>
    <xf numFmtId="0" fontId="70" fillId="0" borderId="10" xfId="5" applyFont="1" applyBorder="1" applyAlignment="1" applyProtection="1">
      <alignment horizontal="center" vertical="center" shrinkToFit="1"/>
    </xf>
    <xf numFmtId="184" fontId="64" fillId="0" borderId="132" xfId="11" applyNumberFormat="1" applyFont="1" applyBorder="1" applyAlignment="1" applyProtection="1">
      <alignment vertical="center"/>
    </xf>
    <xf numFmtId="0" fontId="28" fillId="0" borderId="10" xfId="10" applyFont="1" applyFill="1" applyBorder="1" applyAlignment="1" applyProtection="1">
      <alignment vertical="center" justifyLastLine="1"/>
    </xf>
    <xf numFmtId="0" fontId="28" fillId="0" borderId="233" xfId="10" applyFont="1" applyFill="1" applyBorder="1" applyAlignment="1" applyProtection="1">
      <alignment horizontal="center" vertical="center" justifyLastLine="1"/>
    </xf>
    <xf numFmtId="184" fontId="64" fillId="0" borderId="131" xfId="11" applyNumberFormat="1" applyFont="1" applyBorder="1" applyAlignment="1" applyProtection="1">
      <alignment vertical="center"/>
    </xf>
    <xf numFmtId="0" fontId="28" fillId="0" borderId="17" xfId="10" applyFont="1" applyFill="1" applyBorder="1" applyAlignment="1" applyProtection="1">
      <alignment vertical="center" justifyLastLine="1"/>
    </xf>
    <xf numFmtId="0" fontId="28" fillId="0" borderId="231" xfId="10" applyFont="1" applyFill="1" applyBorder="1" applyAlignment="1" applyProtection="1">
      <alignment horizontal="center" vertical="center" justifyLastLine="1"/>
    </xf>
    <xf numFmtId="0" fontId="28" fillId="0" borderId="18" xfId="10" applyFont="1" applyFill="1" applyBorder="1" applyAlignment="1" applyProtection="1">
      <alignment vertical="center" justifyLastLine="1"/>
    </xf>
    <xf numFmtId="0" fontId="28" fillId="0" borderId="139" xfId="10" applyFont="1" applyFill="1" applyBorder="1" applyAlignment="1" applyProtection="1">
      <alignment horizontal="center" vertical="center" justifyLastLine="1"/>
    </xf>
    <xf numFmtId="184" fontId="64" fillId="0" borderId="245" xfId="11" applyNumberFormat="1" applyFont="1" applyBorder="1" applyAlignment="1" applyProtection="1">
      <alignment vertical="center"/>
    </xf>
    <xf numFmtId="184" fontId="64" fillId="0" borderId="0" xfId="11" applyNumberFormat="1" applyFont="1" applyBorder="1" applyAlignment="1" applyProtection="1">
      <alignment vertical="center"/>
    </xf>
    <xf numFmtId="0" fontId="12" fillId="0" borderId="0" xfId="0" applyFont="1" applyBorder="1" applyAlignment="1" applyProtection="1">
      <alignment horizontal="left" vertical="center" wrapText="1"/>
    </xf>
    <xf numFmtId="0" fontId="36" fillId="0" borderId="0" xfId="5" applyFont="1" applyBorder="1" applyAlignment="1" applyProtection="1">
      <alignment vertical="center"/>
    </xf>
    <xf numFmtId="0" fontId="23" fillId="0" borderId="21" xfId="0" applyFont="1" applyBorder="1" applyAlignment="1" applyProtection="1">
      <alignment vertical="center"/>
    </xf>
    <xf numFmtId="0" fontId="64" fillId="0" borderId="0" xfId="0" applyFont="1" applyFill="1" applyBorder="1" applyAlignment="1" applyProtection="1">
      <alignment horizontal="left" vertical="center"/>
    </xf>
    <xf numFmtId="0" fontId="76" fillId="0" borderId="0" xfId="0" applyFont="1" applyBorder="1" applyAlignment="1" applyProtection="1">
      <alignment horizontal="center" vertical="center" wrapText="1"/>
    </xf>
    <xf numFmtId="0" fontId="36" fillId="0" borderId="0" xfId="0" applyFont="1" applyFill="1" applyBorder="1" applyAlignment="1" applyProtection="1">
      <alignment horizontal="center" vertical="center" wrapText="1"/>
    </xf>
    <xf numFmtId="0" fontId="23" fillId="0" borderId="183" xfId="0" applyFont="1" applyBorder="1" applyAlignment="1" applyProtection="1">
      <alignment horizontal="center" vertical="center"/>
    </xf>
    <xf numFmtId="0" fontId="36" fillId="0" borderId="238" xfId="0" applyFont="1" applyBorder="1" applyAlignment="1" applyProtection="1">
      <alignment horizontal="center" vertical="center"/>
    </xf>
    <xf numFmtId="38" fontId="28" fillId="0" borderId="0" xfId="0" applyNumberFormat="1" applyFont="1" applyBorder="1" applyAlignment="1" applyProtection="1">
      <alignment vertical="center"/>
    </xf>
    <xf numFmtId="182" fontId="64" fillId="0" borderId="124" xfId="10" applyNumberFormat="1" applyFont="1" applyFill="1" applyBorder="1" applyAlignment="1" applyProtection="1">
      <alignment vertical="center" shrinkToFit="1"/>
    </xf>
    <xf numFmtId="0" fontId="23" fillId="0" borderId="38" xfId="0" applyFont="1" applyBorder="1" applyAlignment="1" applyProtection="1">
      <alignment vertical="center"/>
    </xf>
    <xf numFmtId="182" fontId="64" fillId="0" borderId="231" xfId="10" applyNumberFormat="1" applyFont="1" applyFill="1" applyBorder="1" applyAlignment="1" applyProtection="1">
      <alignment vertical="center" shrinkToFit="1"/>
    </xf>
    <xf numFmtId="182" fontId="64" fillId="0" borderId="132" xfId="0" applyNumberFormat="1" applyFont="1" applyFill="1" applyBorder="1" applyAlignment="1" applyProtection="1">
      <alignment vertical="center"/>
    </xf>
    <xf numFmtId="0" fontId="34" fillId="0" borderId="0" xfId="0" applyFont="1" applyBorder="1" applyAlignment="1" applyProtection="1">
      <alignment horizontal="distributed" vertical="center" justifyLastLine="1"/>
    </xf>
    <xf numFmtId="0" fontId="76" fillId="0" borderId="0" xfId="0" applyFont="1" applyBorder="1" applyAlignment="1" applyProtection="1">
      <alignment horizontal="distributed" vertical="center" justifyLastLine="1"/>
    </xf>
    <xf numFmtId="182" fontId="64" fillId="0" borderId="0" xfId="0" applyNumberFormat="1" applyFont="1" applyBorder="1" applyAlignment="1" applyProtection="1">
      <alignment vertical="center"/>
    </xf>
    <xf numFmtId="182" fontId="64" fillId="0" borderId="254" xfId="0" applyNumberFormat="1" applyFont="1" applyBorder="1" applyAlignment="1" applyProtection="1">
      <alignment vertical="center"/>
    </xf>
    <xf numFmtId="0" fontId="77" fillId="0" borderId="0" xfId="10" applyFont="1" applyFill="1" applyBorder="1" applyAlignment="1" applyProtection="1">
      <alignment vertical="center" justifyLastLine="1"/>
    </xf>
    <xf numFmtId="0" fontId="78" fillId="0" borderId="0" xfId="10" applyFont="1" applyFill="1" applyBorder="1" applyAlignment="1" applyProtection="1">
      <alignment vertical="center" justifyLastLine="1"/>
    </xf>
    <xf numFmtId="0" fontId="79" fillId="0" borderId="0" xfId="10" applyFont="1" applyFill="1" applyBorder="1" applyAlignment="1" applyProtection="1">
      <alignment vertical="center" justifyLastLine="1"/>
    </xf>
    <xf numFmtId="182" fontId="64" fillId="0" borderId="254" xfId="0" applyNumberFormat="1" applyFont="1" applyFill="1" applyBorder="1" applyAlignment="1" applyProtection="1">
      <alignment vertical="center"/>
    </xf>
    <xf numFmtId="184" fontId="64" fillId="0" borderId="254" xfId="11" applyNumberFormat="1" applyFont="1" applyBorder="1" applyAlignment="1" applyProtection="1">
      <alignment vertical="center"/>
    </xf>
    <xf numFmtId="0" fontId="28" fillId="0" borderId="273" xfId="10" applyFont="1" applyFill="1" applyBorder="1" applyAlignment="1" applyProtection="1">
      <alignment horizontal="distributed" vertical="center"/>
    </xf>
    <xf numFmtId="0" fontId="36" fillId="0" borderId="245" xfId="10" applyFont="1" applyFill="1" applyBorder="1" applyAlignment="1" applyProtection="1">
      <alignment horizontal="distributed" vertical="center"/>
    </xf>
    <xf numFmtId="0" fontId="23" fillId="0" borderId="18" xfId="0" applyFont="1" applyBorder="1" applyAlignment="1" applyProtection="1">
      <alignment vertical="center"/>
    </xf>
    <xf numFmtId="0" fontId="28" fillId="0" borderId="33" xfId="10" applyFont="1" applyFill="1" applyBorder="1" applyAlignment="1" applyProtection="1">
      <alignment horizontal="distributed" vertical="center"/>
    </xf>
    <xf numFmtId="0" fontId="12" fillId="0" borderId="0" xfId="10" applyFont="1" applyFill="1" applyBorder="1" applyAlignment="1" applyProtection="1">
      <alignment vertical="center" justifyLastLine="1"/>
    </xf>
    <xf numFmtId="0" fontId="12" fillId="0" borderId="0" xfId="10" applyFont="1" applyFill="1" applyBorder="1" applyAlignment="1" applyProtection="1">
      <alignment vertical="center"/>
    </xf>
    <xf numFmtId="183" fontId="64" fillId="0" borderId="136" xfId="10" applyNumberFormat="1" applyFont="1" applyFill="1" applyBorder="1" applyAlignment="1" applyProtection="1">
      <alignment vertical="center" shrinkToFit="1"/>
    </xf>
    <xf numFmtId="183" fontId="64" fillId="0" borderId="232" xfId="10" applyNumberFormat="1" applyFont="1" applyFill="1" applyBorder="1" applyAlignment="1" applyProtection="1">
      <alignment vertical="center" shrinkToFit="1"/>
    </xf>
    <xf numFmtId="183" fontId="64" fillId="0" borderId="238" xfId="10" applyNumberFormat="1" applyFont="1" applyFill="1" applyBorder="1" applyAlignment="1" applyProtection="1">
      <alignment vertical="center" shrinkToFit="1"/>
    </xf>
    <xf numFmtId="183" fontId="64" fillId="0" borderId="254" xfId="10" applyNumberFormat="1" applyFont="1" applyFill="1" applyBorder="1" applyAlignment="1" applyProtection="1">
      <alignment vertical="center" shrinkToFit="1"/>
    </xf>
    <xf numFmtId="0" fontId="12" fillId="0" borderId="255" xfId="0" applyFont="1" applyBorder="1" applyAlignment="1" applyProtection="1"/>
    <xf numFmtId="184" fontId="64" fillId="0" borderId="254" xfId="11" applyNumberFormat="1" applyFont="1" applyFill="1" applyBorder="1" applyAlignment="1" applyProtection="1">
      <alignment vertical="center"/>
    </xf>
    <xf numFmtId="0" fontId="28" fillId="0" borderId="10" xfId="0" applyFont="1" applyBorder="1" applyAlignment="1" applyProtection="1">
      <alignment vertical="center"/>
    </xf>
    <xf numFmtId="0" fontId="28" fillId="0" borderId="233" xfId="0" applyFont="1" applyBorder="1" applyAlignment="1" applyProtection="1">
      <alignment vertical="center"/>
    </xf>
    <xf numFmtId="0" fontId="28" fillId="0" borderId="231" xfId="0" applyFont="1" applyBorder="1" applyAlignment="1" applyProtection="1">
      <alignment vertical="center"/>
    </xf>
    <xf numFmtId="0" fontId="28" fillId="0" borderId="19" xfId="0" applyFont="1" applyBorder="1" applyAlignment="1" applyProtection="1">
      <alignment vertical="center"/>
    </xf>
    <xf numFmtId="0" fontId="28" fillId="0" borderId="205" xfId="0" applyFont="1" applyBorder="1" applyAlignment="1" applyProtection="1">
      <alignment vertical="center"/>
    </xf>
    <xf numFmtId="0" fontId="28" fillId="0" borderId="139" xfId="0" applyFont="1" applyBorder="1" applyAlignment="1" applyProtection="1">
      <alignment vertical="center"/>
    </xf>
    <xf numFmtId="0" fontId="27" fillId="0" borderId="0" xfId="0" applyFont="1" applyBorder="1" applyAlignment="1" applyProtection="1">
      <alignment horizontal="left" vertical="center"/>
    </xf>
    <xf numFmtId="0" fontId="75" fillId="0" borderId="0" xfId="0" applyFont="1" applyBorder="1" applyAlignment="1" applyProtection="1">
      <alignment vertical="top"/>
    </xf>
    <xf numFmtId="0" fontId="51" fillId="0" borderId="0" xfId="0" applyFont="1" applyBorder="1" applyAlignment="1" applyProtection="1">
      <alignment vertical="top"/>
    </xf>
    <xf numFmtId="184" fontId="64" fillId="0" borderId="0" xfId="11" applyNumberFormat="1" applyFont="1" applyFill="1" applyBorder="1" applyAlignment="1" applyProtection="1">
      <alignment vertical="center"/>
    </xf>
    <xf numFmtId="0" fontId="23" fillId="0" borderId="233" xfId="0" applyFont="1" applyBorder="1" applyAlignment="1" applyProtection="1">
      <alignment vertical="center"/>
    </xf>
    <xf numFmtId="0" fontId="23" fillId="0" borderId="234" xfId="0" applyFont="1" applyBorder="1" applyAlignment="1" applyProtection="1">
      <alignment vertical="center"/>
    </xf>
    <xf numFmtId="0" fontId="31" fillId="0" borderId="0" xfId="0" applyFont="1" applyBorder="1" applyAlignment="1" applyProtection="1">
      <alignment vertical="center"/>
    </xf>
    <xf numFmtId="184" fontId="64" fillId="0" borderId="131" xfId="11" applyNumberFormat="1" applyFont="1" applyFill="1" applyBorder="1" applyAlignment="1" applyProtection="1">
      <alignment vertical="center"/>
    </xf>
    <xf numFmtId="184" fontId="64" fillId="0" borderId="269" xfId="11" applyNumberFormat="1" applyFont="1" applyFill="1" applyBorder="1" applyAlignment="1" applyProtection="1">
      <alignment vertical="center"/>
    </xf>
    <xf numFmtId="0" fontId="23" fillId="0" borderId="19" xfId="0" applyFont="1" applyBorder="1" applyAlignment="1" applyProtection="1">
      <alignment vertical="center"/>
    </xf>
    <xf numFmtId="0" fontId="23" fillId="0" borderId="205" xfId="0" applyFont="1" applyBorder="1" applyAlignment="1" applyProtection="1">
      <alignment vertical="center"/>
    </xf>
    <xf numFmtId="0" fontId="23" fillId="0" borderId="142" xfId="0" applyFont="1" applyBorder="1" applyAlignment="1" applyProtection="1">
      <alignment vertical="center"/>
    </xf>
    <xf numFmtId="0" fontId="23" fillId="0" borderId="13" xfId="0" applyFont="1" applyBorder="1" applyAlignment="1" applyProtection="1">
      <alignment vertical="center" justifyLastLine="1"/>
    </xf>
    <xf numFmtId="0" fontId="76" fillId="0" borderId="0" xfId="0" applyFont="1" applyBorder="1" applyAlignment="1" applyProtection="1">
      <alignment horizontal="center" vertical="center"/>
    </xf>
    <xf numFmtId="0" fontId="23" fillId="0" borderId="236" xfId="0" applyFont="1" applyBorder="1" applyAlignment="1" applyProtection="1">
      <alignment horizontal="center" vertical="center"/>
    </xf>
    <xf numFmtId="0" fontId="64" fillId="0" borderId="0" xfId="0" applyFont="1" applyFill="1" applyBorder="1" applyAlignment="1" applyProtection="1">
      <alignment vertical="center" shrinkToFit="1"/>
    </xf>
    <xf numFmtId="183" fontId="64" fillId="0" borderId="0" xfId="10" applyNumberFormat="1" applyFont="1" applyFill="1" applyBorder="1" applyAlignment="1" applyProtection="1">
      <alignment horizontal="right" vertical="center" shrinkToFit="1"/>
    </xf>
    <xf numFmtId="0" fontId="23" fillId="0" borderId="6" xfId="0" applyFont="1" applyFill="1" applyBorder="1" applyAlignment="1" applyProtection="1">
      <alignment horizontal="center" vertical="center" shrinkToFit="1"/>
    </xf>
    <xf numFmtId="0" fontId="36" fillId="0" borderId="0" xfId="10" applyFont="1" applyFill="1" applyBorder="1" applyAlignment="1" applyProtection="1">
      <alignment horizontal="center" vertical="center" shrinkToFit="1"/>
    </xf>
    <xf numFmtId="183" fontId="64" fillId="0" borderId="0" xfId="10" applyNumberFormat="1" applyFont="1" applyFill="1" applyBorder="1" applyAlignment="1" applyProtection="1">
      <alignment vertical="center" shrinkToFit="1"/>
    </xf>
    <xf numFmtId="0" fontId="23" fillId="0" borderId="226" xfId="0" applyFont="1" applyFill="1" applyBorder="1" applyAlignment="1" applyProtection="1">
      <alignment horizontal="center" vertical="center" shrinkToFit="1"/>
    </xf>
    <xf numFmtId="38" fontId="64" fillId="10" borderId="326" xfId="11" applyFont="1" applyFill="1" applyBorder="1" applyAlignment="1" applyProtection="1">
      <alignment vertical="center"/>
      <protection locked="0"/>
    </xf>
    <xf numFmtId="38" fontId="64" fillId="10" borderId="316" xfId="11" applyFont="1" applyFill="1" applyBorder="1" applyAlignment="1" applyProtection="1">
      <alignment vertical="center"/>
      <protection locked="0"/>
    </xf>
    <xf numFmtId="182" fontId="64" fillId="10" borderId="145" xfId="11" applyNumberFormat="1" applyFont="1" applyFill="1" applyBorder="1" applyAlignment="1" applyProtection="1">
      <alignment vertical="center" shrinkToFit="1"/>
      <protection locked="0"/>
    </xf>
    <xf numFmtId="182" fontId="64" fillId="10" borderId="252" xfId="11" applyNumberFormat="1" applyFont="1" applyFill="1" applyBorder="1" applyAlignment="1" applyProtection="1">
      <alignment vertical="center" shrinkToFit="1"/>
      <protection locked="0"/>
    </xf>
    <xf numFmtId="182" fontId="64" fillId="10" borderId="184" xfId="11" applyNumberFormat="1" applyFont="1" applyFill="1" applyBorder="1" applyAlignment="1" applyProtection="1">
      <alignment vertical="center" shrinkToFit="1"/>
      <protection locked="0"/>
    </xf>
    <xf numFmtId="0" fontId="8" fillId="0" borderId="0" xfId="1" applyFont="1" applyBorder="1" applyAlignment="1" applyProtection="1"/>
    <xf numFmtId="0" fontId="8" fillId="0" borderId="0" xfId="1" applyFont="1" applyBorder="1" applyAlignment="1" applyProtection="1">
      <alignment vertical="center"/>
    </xf>
    <xf numFmtId="38" fontId="64" fillId="10" borderId="210" xfId="11" applyFont="1" applyFill="1" applyBorder="1" applyAlignment="1" applyProtection="1">
      <alignment vertical="center"/>
      <protection locked="0"/>
    </xf>
    <xf numFmtId="38" fontId="64" fillId="10" borderId="123" xfId="11" applyNumberFormat="1" applyFont="1" applyFill="1" applyBorder="1" applyAlignment="1" applyProtection="1">
      <alignment vertical="center"/>
      <protection locked="0"/>
    </xf>
    <xf numFmtId="38" fontId="64" fillId="10" borderId="146" xfId="11" applyNumberFormat="1" applyFont="1" applyFill="1" applyBorder="1" applyAlignment="1" applyProtection="1">
      <alignment vertical="center"/>
      <protection locked="0"/>
    </xf>
    <xf numFmtId="0" fontId="64" fillId="2" borderId="160" xfId="0" applyFont="1" applyFill="1" applyBorder="1" applyAlignment="1" applyProtection="1">
      <alignment horizontal="center" vertical="center" shrinkToFit="1"/>
      <protection locked="0"/>
    </xf>
    <xf numFmtId="38" fontId="64" fillId="2" borderId="390" xfId="11" applyFont="1" applyFill="1" applyBorder="1" applyAlignment="1" applyProtection="1">
      <alignment vertical="center" shrinkToFit="1"/>
      <protection locked="0"/>
    </xf>
    <xf numFmtId="38" fontId="64" fillId="2" borderId="215" xfId="11" applyFont="1" applyFill="1" applyBorder="1" applyAlignment="1" applyProtection="1">
      <alignment vertical="center"/>
      <protection locked="0"/>
    </xf>
    <xf numFmtId="0" fontId="64" fillId="2" borderId="216" xfId="0" applyFont="1" applyFill="1" applyBorder="1" applyAlignment="1" applyProtection="1">
      <alignment horizontal="center" vertical="center"/>
      <protection locked="0"/>
    </xf>
    <xf numFmtId="38" fontId="64" fillId="2" borderId="165" xfId="11" applyFont="1" applyFill="1" applyBorder="1" applyAlignment="1" applyProtection="1">
      <alignment vertical="center"/>
      <protection locked="0"/>
    </xf>
    <xf numFmtId="0" fontId="64" fillId="2" borderId="168" xfId="0" applyFont="1" applyFill="1" applyBorder="1" applyAlignment="1" applyProtection="1">
      <alignment horizontal="center" vertical="center"/>
      <protection locked="0"/>
    </xf>
    <xf numFmtId="0" fontId="23" fillId="2" borderId="165" xfId="10" applyFont="1" applyFill="1" applyBorder="1" applyAlignment="1" applyProtection="1">
      <alignment vertical="center" wrapText="1"/>
      <protection locked="0"/>
    </xf>
    <xf numFmtId="38" fontId="64" fillId="2" borderId="204" xfId="11" applyFont="1" applyFill="1" applyBorder="1" applyAlignment="1" applyProtection="1">
      <alignment vertical="center"/>
      <protection locked="0"/>
    </xf>
    <xf numFmtId="38" fontId="64" fillId="2" borderId="2" xfId="11" applyFont="1" applyFill="1" applyBorder="1" applyAlignment="1" applyProtection="1">
      <alignment horizontal="center" vertical="center"/>
      <protection locked="0"/>
    </xf>
    <xf numFmtId="0" fontId="64" fillId="2" borderId="391" xfId="0" applyFont="1" applyFill="1" applyBorder="1" applyAlignment="1" applyProtection="1">
      <alignment horizontal="center" vertical="center" shrinkToFit="1"/>
      <protection locked="0"/>
    </xf>
    <xf numFmtId="0" fontId="23" fillId="2" borderId="230" xfId="10" applyFont="1" applyFill="1" applyBorder="1" applyAlignment="1" applyProtection="1">
      <alignment vertical="center" wrapText="1"/>
      <protection locked="0"/>
    </xf>
    <xf numFmtId="38" fontId="64" fillId="2" borderId="265" xfId="11" applyFont="1" applyFill="1" applyBorder="1" applyAlignment="1" applyProtection="1">
      <alignment vertical="center" shrinkToFit="1"/>
      <protection locked="0"/>
    </xf>
    <xf numFmtId="38" fontId="64" fillId="2" borderId="233" xfId="11" applyFont="1" applyFill="1" applyBorder="1" applyAlignment="1" applyProtection="1">
      <alignment horizontal="center" vertical="center" shrinkToFit="1"/>
      <protection locked="0"/>
    </xf>
    <xf numFmtId="0" fontId="64" fillId="2" borderId="315" xfId="0" applyFont="1" applyFill="1" applyBorder="1" applyAlignment="1" applyProtection="1">
      <alignment horizontal="center" vertical="center" shrinkToFit="1"/>
      <protection locked="0"/>
    </xf>
    <xf numFmtId="0" fontId="23" fillId="2" borderId="320" xfId="10" applyFont="1" applyFill="1" applyBorder="1" applyAlignment="1" applyProtection="1">
      <alignment vertical="center" wrapText="1"/>
      <protection locked="0"/>
    </xf>
    <xf numFmtId="38" fontId="64" fillId="2" borderId="436" xfId="11" applyFont="1" applyFill="1" applyBorder="1" applyAlignment="1" applyProtection="1">
      <alignment horizontal="center" vertical="center" shrinkToFit="1"/>
      <protection locked="0"/>
    </xf>
    <xf numFmtId="0" fontId="23" fillId="2" borderId="163" xfId="10" applyFont="1" applyFill="1" applyBorder="1" applyAlignment="1" applyProtection="1">
      <alignment vertical="center" wrapText="1"/>
      <protection locked="0"/>
    </xf>
    <xf numFmtId="38" fontId="64" fillId="2" borderId="201" xfId="11" applyFont="1" applyFill="1" applyBorder="1" applyAlignment="1" applyProtection="1">
      <alignment vertical="center" shrinkToFit="1"/>
      <protection locked="0"/>
    </xf>
    <xf numFmtId="38" fontId="64" fillId="2" borderId="200" xfId="11" applyFont="1" applyFill="1" applyBorder="1" applyAlignment="1" applyProtection="1">
      <alignment horizontal="center" vertical="center" shrinkToFit="1"/>
      <protection locked="0"/>
    </xf>
    <xf numFmtId="0" fontId="64" fillId="2" borderId="167" xfId="0" applyFont="1" applyFill="1" applyBorder="1" applyAlignment="1" applyProtection="1">
      <alignment horizontal="center" vertical="center" shrinkToFit="1"/>
      <protection locked="0"/>
    </xf>
    <xf numFmtId="38" fontId="64" fillId="2" borderId="390" xfId="11" applyFont="1" applyFill="1" applyBorder="1" applyAlignment="1" applyProtection="1">
      <alignment horizontal="right" vertical="center" shrinkToFit="1"/>
      <protection locked="0"/>
    </xf>
    <xf numFmtId="0" fontId="64" fillId="2" borderId="389" xfId="0" applyFont="1" applyFill="1" applyBorder="1" applyAlignment="1" applyProtection="1">
      <alignment horizontal="center" vertical="center" shrinkToFit="1"/>
      <protection locked="0"/>
    </xf>
    <xf numFmtId="38" fontId="64" fillId="7" borderId="387" xfId="11" applyFont="1" applyFill="1" applyBorder="1" applyAlignment="1" applyProtection="1">
      <alignment horizontal="right" vertical="center"/>
      <protection locked="0"/>
    </xf>
    <xf numFmtId="38" fontId="64" fillId="7" borderId="388" xfId="11" applyFont="1" applyFill="1" applyBorder="1" applyAlignment="1" applyProtection="1">
      <alignment horizontal="center" vertical="center" wrapText="1"/>
      <protection locked="0"/>
    </xf>
    <xf numFmtId="38" fontId="64" fillId="7" borderId="276" xfId="11" applyFont="1" applyFill="1" applyBorder="1" applyAlignment="1" applyProtection="1">
      <alignment horizontal="right" vertical="center"/>
      <protection locked="0"/>
    </xf>
    <xf numFmtId="38" fontId="64" fillId="7" borderId="273" xfId="11" applyFont="1" applyFill="1" applyBorder="1" applyAlignment="1" applyProtection="1">
      <alignment horizontal="center" vertical="center" wrapText="1"/>
      <protection locked="0"/>
    </xf>
    <xf numFmtId="38" fontId="64" fillId="7" borderId="206" xfId="11" applyFont="1" applyFill="1" applyBorder="1" applyAlignment="1" applyProtection="1">
      <alignment horizontal="right" vertical="center"/>
      <protection locked="0"/>
    </xf>
    <xf numFmtId="38" fontId="64" fillId="7" borderId="33" xfId="11" applyFont="1" applyFill="1" applyBorder="1" applyAlignment="1" applyProtection="1">
      <alignment horizontal="center" vertical="center" wrapText="1"/>
      <protection locked="0"/>
    </xf>
    <xf numFmtId="0" fontId="23" fillId="2" borderId="211" xfId="10" applyFont="1" applyFill="1" applyBorder="1" applyAlignment="1" applyProtection="1">
      <alignment vertical="center" wrapText="1"/>
      <protection locked="0"/>
    </xf>
    <xf numFmtId="38" fontId="64" fillId="2" borderId="143" xfId="11" applyFont="1" applyFill="1" applyBorder="1" applyAlignment="1" applyProtection="1">
      <alignment vertical="center"/>
      <protection locked="0"/>
    </xf>
    <xf numFmtId="38" fontId="64" fillId="2" borderId="150" xfId="11" applyFont="1" applyFill="1" applyBorder="1" applyAlignment="1" applyProtection="1">
      <alignment horizontal="center" vertical="center"/>
      <protection locked="0"/>
    </xf>
    <xf numFmtId="0" fontId="64" fillId="2" borderId="415" xfId="0" applyFont="1" applyFill="1" applyBorder="1" applyAlignment="1" applyProtection="1">
      <alignment horizontal="center" vertical="center" wrapText="1"/>
      <protection locked="0"/>
    </xf>
    <xf numFmtId="0" fontId="23" fillId="2" borderId="266" xfId="10" applyFont="1" applyFill="1" applyBorder="1" applyAlignment="1" applyProtection="1">
      <alignment vertical="center" wrapText="1"/>
      <protection locked="0"/>
    </xf>
    <xf numFmtId="38" fontId="64" fillId="2" borderId="443" xfId="11" applyFont="1" applyFill="1" applyBorder="1" applyAlignment="1" applyProtection="1">
      <alignment vertical="center"/>
      <protection locked="0"/>
    </xf>
    <xf numFmtId="38" fontId="64" fillId="2" borderId="436" xfId="11" applyFont="1" applyFill="1" applyBorder="1" applyAlignment="1" applyProtection="1">
      <alignment horizontal="center" vertical="center"/>
      <protection locked="0"/>
    </xf>
    <xf numFmtId="0" fontId="64" fillId="2" borderId="315" xfId="0" applyFont="1" applyFill="1" applyBorder="1" applyAlignment="1" applyProtection="1">
      <alignment horizontal="center" vertical="center" wrapText="1"/>
      <protection locked="0"/>
    </xf>
    <xf numFmtId="38" fontId="64" fillId="2" borderId="235" xfId="11" applyFont="1" applyFill="1" applyBorder="1" applyAlignment="1" applyProtection="1">
      <alignment vertical="center"/>
      <protection locked="0"/>
    </xf>
    <xf numFmtId="38" fontId="64" fillId="2" borderId="233" xfId="11" applyFont="1" applyFill="1" applyBorder="1" applyAlignment="1" applyProtection="1">
      <alignment horizontal="center" vertical="center"/>
      <protection locked="0"/>
    </xf>
    <xf numFmtId="0" fontId="64" fillId="2" borderId="249" xfId="0" applyFont="1" applyFill="1" applyBorder="1" applyAlignment="1" applyProtection="1">
      <alignment horizontal="center" vertical="center" wrapText="1"/>
      <protection locked="0"/>
    </xf>
    <xf numFmtId="0" fontId="23" fillId="2" borderId="212" xfId="10" applyFont="1" applyFill="1" applyBorder="1" applyAlignment="1" applyProtection="1">
      <alignment vertical="center" wrapText="1"/>
      <protection locked="0"/>
    </xf>
    <xf numFmtId="38" fontId="64" fillId="2" borderId="213" xfId="11" applyFont="1" applyFill="1" applyBorder="1" applyAlignment="1" applyProtection="1">
      <alignment vertical="center"/>
      <protection locked="0"/>
    </xf>
    <xf numFmtId="38" fontId="64" fillId="2" borderId="200" xfId="11" applyFont="1" applyFill="1" applyBorder="1" applyAlignment="1" applyProtection="1">
      <alignment horizontal="center" vertical="center"/>
      <protection locked="0"/>
    </xf>
    <xf numFmtId="0" fontId="64" fillId="2" borderId="167" xfId="0" applyFont="1" applyFill="1" applyBorder="1" applyAlignment="1" applyProtection="1">
      <alignment horizontal="center" vertical="center" wrapText="1"/>
      <protection locked="0"/>
    </xf>
    <xf numFmtId="0" fontId="23" fillId="2" borderId="230" xfId="10" applyFont="1" applyFill="1" applyBorder="1" applyAlignment="1" applyProtection="1">
      <alignment vertical="center" wrapText="1" shrinkToFit="1"/>
      <protection locked="0"/>
    </xf>
    <xf numFmtId="38" fontId="64" fillId="2" borderId="261" xfId="11" applyFont="1" applyFill="1" applyBorder="1" applyAlignment="1" applyProtection="1">
      <alignment horizontal="right" vertical="center" shrinkToFit="1"/>
      <protection locked="0"/>
    </xf>
    <xf numFmtId="38" fontId="64" fillId="2" borderId="260" xfId="11" applyFont="1" applyFill="1" applyBorder="1" applyAlignment="1" applyProtection="1">
      <alignment horizontal="center" vertical="center" shrinkToFit="1"/>
      <protection locked="0"/>
    </xf>
    <xf numFmtId="38" fontId="64" fillId="2" borderId="202" xfId="11" applyFont="1" applyFill="1" applyBorder="1" applyAlignment="1" applyProtection="1">
      <alignment horizontal="center" vertical="center" shrinkToFit="1"/>
      <protection locked="0"/>
    </xf>
    <xf numFmtId="0" fontId="23" fillId="2" borderId="163" xfId="10" applyFont="1" applyFill="1" applyBorder="1" applyAlignment="1" applyProtection="1">
      <alignment vertical="center" wrapText="1" shrinkToFit="1"/>
      <protection locked="0"/>
    </xf>
    <xf numFmtId="38" fontId="64" fillId="2" borderId="187" xfId="11" applyFont="1" applyFill="1" applyBorder="1" applyAlignment="1" applyProtection="1">
      <alignment horizontal="right" vertical="center" shrinkToFit="1"/>
      <protection locked="0"/>
    </xf>
    <xf numFmtId="38" fontId="64" fillId="2" borderId="164" xfId="11" applyFont="1" applyFill="1" applyBorder="1" applyAlignment="1" applyProtection="1">
      <alignment horizontal="center" vertical="center" shrinkToFit="1"/>
      <protection locked="0"/>
    </xf>
    <xf numFmtId="38" fontId="64" fillId="2" borderId="165" xfId="11" applyFont="1" applyFill="1" applyBorder="1" applyAlignment="1" applyProtection="1">
      <alignment horizontal="right" vertical="center" shrinkToFit="1"/>
      <protection locked="0"/>
    </xf>
    <xf numFmtId="0" fontId="64" fillId="2" borderId="165" xfId="0" applyFont="1" applyFill="1" applyBorder="1" applyAlignment="1" applyProtection="1">
      <alignment horizontal="center" vertical="center" shrinkToFit="1"/>
      <protection locked="0"/>
    </xf>
    <xf numFmtId="38" fontId="64" fillId="7" borderId="143" xfId="11" applyFont="1" applyFill="1" applyBorder="1" applyAlignment="1" applyProtection="1">
      <alignment vertical="center" shrinkToFit="1"/>
      <protection locked="0"/>
    </xf>
    <xf numFmtId="0" fontId="64" fillId="7" borderId="150" xfId="0" applyFont="1" applyFill="1" applyBorder="1" applyAlignment="1" applyProtection="1">
      <alignment horizontal="center" vertical="center" shrinkToFit="1"/>
      <protection locked="0"/>
    </xf>
    <xf numFmtId="38" fontId="64" fillId="7" borderId="265" xfId="11" applyFont="1" applyFill="1" applyBorder="1" applyAlignment="1" applyProtection="1">
      <alignment vertical="center" shrinkToFit="1"/>
      <protection locked="0"/>
    </xf>
    <xf numFmtId="0" fontId="64" fillId="7" borderId="261" xfId="0" applyFont="1" applyFill="1" applyBorder="1" applyAlignment="1" applyProtection="1">
      <alignment horizontal="center" vertical="center" shrinkToFit="1"/>
      <protection locked="0"/>
    </xf>
    <xf numFmtId="38" fontId="64" fillId="7" borderId="199" xfId="11" applyFont="1" applyFill="1" applyBorder="1" applyAlignment="1" applyProtection="1">
      <alignment vertical="center" shrinkToFit="1"/>
      <protection locked="0"/>
    </xf>
    <xf numFmtId="0" fontId="64" fillId="7" borderId="33" xfId="0" applyFont="1" applyFill="1" applyBorder="1" applyAlignment="1" applyProtection="1">
      <alignment horizontal="center" vertical="center" shrinkToFit="1"/>
      <protection locked="0"/>
    </xf>
    <xf numFmtId="38" fontId="64" fillId="2" borderId="168" xfId="11" applyFont="1" applyFill="1" applyBorder="1" applyAlignment="1" applyProtection="1">
      <alignment vertical="center" shrinkToFit="1"/>
      <protection locked="0"/>
    </xf>
    <xf numFmtId="0" fontId="28" fillId="0" borderId="255" xfId="0" applyFont="1" applyBorder="1" applyAlignment="1" applyProtection="1"/>
    <xf numFmtId="0" fontId="51" fillId="0" borderId="0" xfId="0" applyFont="1" applyBorder="1" applyAlignment="1" applyProtection="1">
      <alignment horizontal="left"/>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wrapText="1"/>
    </xf>
    <xf numFmtId="0" fontId="12" fillId="0" borderId="0" xfId="0" applyFont="1" applyBorder="1" applyAlignment="1" applyProtection="1">
      <alignment vertical="center" wrapText="1"/>
    </xf>
    <xf numFmtId="0" fontId="9" fillId="0" borderId="0" xfId="0" applyFont="1" applyBorder="1" applyAlignment="1" applyProtection="1"/>
    <xf numFmtId="0" fontId="70" fillId="0" borderId="0" xfId="5" applyFont="1" applyFill="1" applyBorder="1" applyAlignment="1" applyProtection="1">
      <alignment horizontal="center" vertical="center" shrinkToFit="1"/>
    </xf>
    <xf numFmtId="0" fontId="23" fillId="0" borderId="10" xfId="0" applyFont="1" applyBorder="1" applyAlignment="1" applyProtection="1">
      <alignment vertical="center" wrapText="1"/>
    </xf>
    <xf numFmtId="0" fontId="64" fillId="0" borderId="0" xfId="0" applyFont="1" applyFill="1" applyBorder="1" applyAlignment="1" applyProtection="1">
      <alignment horizontal="center" vertical="center" justifyLastLine="1"/>
    </xf>
    <xf numFmtId="0" fontId="36" fillId="0" borderId="9" xfId="0" applyFont="1" applyBorder="1" applyAlignment="1" applyProtection="1">
      <alignment vertical="center" wrapText="1"/>
    </xf>
    <xf numFmtId="182" fontId="64" fillId="0" borderId="317" xfId="0" applyNumberFormat="1" applyFont="1" applyFill="1" applyBorder="1" applyAlignment="1" applyProtection="1">
      <alignment horizontal="right" vertical="center"/>
    </xf>
    <xf numFmtId="182" fontId="64" fillId="0" borderId="254" xfId="0" applyNumberFormat="1" applyFont="1" applyFill="1" applyBorder="1" applyAlignment="1" applyProtection="1">
      <alignment horizontal="right" vertical="center"/>
    </xf>
    <xf numFmtId="0" fontId="7" fillId="0" borderId="0" xfId="0" applyFont="1" applyBorder="1" applyAlignment="1" applyProtection="1">
      <alignment horizontal="left" vertical="top"/>
    </xf>
    <xf numFmtId="0" fontId="7" fillId="0" borderId="0" xfId="0" applyFont="1" applyBorder="1" applyAlignment="1" applyProtection="1">
      <alignment vertical="top" wrapText="1"/>
    </xf>
    <xf numFmtId="0" fontId="12" fillId="0" borderId="0" xfId="0" applyFont="1" applyBorder="1" applyAlignment="1" applyProtection="1">
      <alignment horizontal="left" vertical="top"/>
    </xf>
    <xf numFmtId="0" fontId="12" fillId="0" borderId="0" xfId="0" applyFont="1" applyBorder="1" applyAlignment="1" applyProtection="1">
      <alignment vertical="top" wrapText="1"/>
    </xf>
    <xf numFmtId="182" fontId="64" fillId="0" borderId="269" xfId="0" applyNumberFormat="1" applyFont="1" applyFill="1" applyBorder="1" applyAlignment="1" applyProtection="1">
      <alignment vertical="center"/>
    </xf>
    <xf numFmtId="0" fontId="0" fillId="0" borderId="275" xfId="0" applyBorder="1" applyAlignment="1" applyProtection="1">
      <alignment horizontal="left" vertical="center" wrapText="1"/>
    </xf>
    <xf numFmtId="0" fontId="0" fillId="0" borderId="9" xfId="0" applyBorder="1" applyProtection="1"/>
    <xf numFmtId="0" fontId="0" fillId="0" borderId="275" xfId="0" applyBorder="1" applyAlignment="1" applyProtection="1">
      <alignment horizontal="left" vertical="center"/>
    </xf>
    <xf numFmtId="0" fontId="28" fillId="0" borderId="255" xfId="0" applyFont="1" applyFill="1" applyBorder="1" applyAlignment="1" applyProtection="1"/>
    <xf numFmtId="0" fontId="23" fillId="0" borderId="19" xfId="0" applyFont="1" applyBorder="1" applyAlignment="1" applyProtection="1">
      <alignment vertical="center" wrapText="1"/>
    </xf>
    <xf numFmtId="0" fontId="0" fillId="0" borderId="131" xfId="0" applyBorder="1" applyProtection="1"/>
    <xf numFmtId="0" fontId="7" fillId="0" borderId="0" xfId="0" applyFont="1" applyBorder="1" applyAlignment="1" applyProtection="1">
      <alignment vertical="center"/>
    </xf>
    <xf numFmtId="0" fontId="23" fillId="0" borderId="272" xfId="0" applyFont="1" applyBorder="1" applyAlignment="1" applyProtection="1">
      <alignment horizontal="center" vertical="center"/>
    </xf>
    <xf numFmtId="0" fontId="14" fillId="0" borderId="0" xfId="0" applyFont="1" applyFill="1" applyBorder="1" applyAlignment="1" applyProtection="1">
      <alignment horizontal="center" vertical="top"/>
    </xf>
    <xf numFmtId="0" fontId="17" fillId="0" borderId="0" xfId="0" applyFont="1" applyBorder="1" applyAlignment="1" applyProtection="1"/>
    <xf numFmtId="0" fontId="12" fillId="0" borderId="10" xfId="0" applyFont="1" applyBorder="1" applyAlignment="1" applyProtection="1">
      <alignment horizontal="distributed" vertical="center" justifyLastLine="1"/>
    </xf>
    <xf numFmtId="0" fontId="64" fillId="0" borderId="0" xfId="0" applyFont="1" applyFill="1" applyBorder="1" applyAlignment="1" applyProtection="1">
      <alignment vertical="center" justifyLastLine="1"/>
    </xf>
    <xf numFmtId="0" fontId="12" fillId="0" borderId="0" xfId="0" applyFont="1" applyFill="1" applyBorder="1" applyAlignment="1" applyProtection="1">
      <alignment horizontal="distributed" vertical="center"/>
    </xf>
    <xf numFmtId="0" fontId="64" fillId="2" borderId="394" xfId="0" applyFont="1" applyFill="1" applyBorder="1" applyAlignment="1" applyProtection="1">
      <alignment horizontal="center" vertical="center" shrinkToFit="1"/>
      <protection locked="0"/>
    </xf>
    <xf numFmtId="0" fontId="64" fillId="2" borderId="395" xfId="0" applyFont="1" applyFill="1" applyBorder="1" applyAlignment="1" applyProtection="1">
      <alignment horizontal="center" vertical="center" shrinkToFit="1"/>
      <protection locked="0"/>
    </xf>
    <xf numFmtId="38" fontId="64" fillId="2" borderId="169" xfId="11" applyFont="1" applyFill="1" applyBorder="1" applyAlignment="1" applyProtection="1">
      <alignment vertical="center" shrinkToFit="1"/>
      <protection locked="0"/>
    </xf>
    <xf numFmtId="38" fontId="64" fillId="2" borderId="195" xfId="11" applyFont="1" applyFill="1" applyBorder="1" applyAlignment="1" applyProtection="1">
      <alignment vertical="center" shrinkToFit="1"/>
      <protection locked="0"/>
    </xf>
    <xf numFmtId="0" fontId="0" fillId="0" borderId="0" xfId="0" applyFill="1" applyBorder="1" applyAlignment="1" applyProtection="1">
      <alignment horizontal="center" vertical="center" shrinkToFit="1"/>
    </xf>
    <xf numFmtId="0" fontId="70" fillId="0" borderId="0" xfId="0" applyFont="1" applyFill="1" applyBorder="1" applyAlignment="1" applyProtection="1"/>
    <xf numFmtId="0" fontId="56" fillId="0" borderId="0" xfId="0" applyFont="1" applyFill="1" applyBorder="1" applyAlignment="1" applyProtection="1"/>
    <xf numFmtId="0" fontId="50" fillId="0" borderId="0" xfId="0" applyFont="1" applyFill="1" applyBorder="1" applyAlignment="1" applyProtection="1"/>
    <xf numFmtId="0" fontId="23" fillId="0" borderId="0" xfId="9" applyFont="1" applyFill="1" applyBorder="1" applyAlignment="1" applyProtection="1">
      <alignment horizontal="center" vertical="center"/>
    </xf>
    <xf numFmtId="0" fontId="61" fillId="0" borderId="285" xfId="0" applyFont="1" applyBorder="1" applyAlignment="1" applyProtection="1">
      <alignment vertical="center" wrapText="1"/>
    </xf>
    <xf numFmtId="0" fontId="23" fillId="0" borderId="0" xfId="9" applyFont="1" applyFill="1" applyBorder="1" applyAlignment="1" applyProtection="1">
      <alignment horizontal="center" vertical="center" wrapText="1"/>
    </xf>
    <xf numFmtId="0" fontId="23" fillId="0" borderId="152" xfId="0" applyFont="1" applyFill="1" applyBorder="1" applyAlignment="1" applyProtection="1">
      <alignment vertical="center" wrapText="1"/>
    </xf>
    <xf numFmtId="0" fontId="23" fillId="0" borderId="152" xfId="9" applyFont="1" applyFill="1" applyBorder="1" applyAlignment="1" applyProtection="1">
      <alignment vertical="center" wrapText="1" justifyLastLine="1"/>
    </xf>
    <xf numFmtId="0" fontId="25" fillId="0" borderId="152" xfId="9" applyFont="1" applyFill="1" applyBorder="1" applyAlignment="1" applyProtection="1">
      <alignment vertical="top" wrapText="1"/>
    </xf>
    <xf numFmtId="0" fontId="25" fillId="0" borderId="152" xfId="9" applyFont="1" applyFill="1" applyBorder="1" applyAlignment="1" applyProtection="1">
      <alignment vertical="center" wrapText="1"/>
    </xf>
    <xf numFmtId="0" fontId="25" fillId="0" borderId="10" xfId="9" applyNumberFormat="1" applyFont="1" applyFill="1" applyBorder="1" applyAlignment="1" applyProtection="1">
      <alignment horizontal="center" vertical="center"/>
    </xf>
    <xf numFmtId="0" fontId="23" fillId="0" borderId="41" xfId="9" applyFont="1" applyFill="1" applyBorder="1" applyAlignment="1" applyProtection="1">
      <alignment horizontal="center" vertical="center"/>
    </xf>
    <xf numFmtId="38" fontId="64" fillId="0" borderId="0" xfId="11" applyFont="1" applyFill="1" applyBorder="1" applyAlignment="1" applyProtection="1">
      <alignment vertical="center"/>
    </xf>
    <xf numFmtId="0" fontId="28" fillId="0" borderId="245" xfId="0" applyFont="1" applyFill="1" applyBorder="1" applyAlignment="1" applyProtection="1">
      <alignment horizontal="center" vertical="center" shrinkToFit="1"/>
    </xf>
    <xf numFmtId="3" fontId="28" fillId="0" borderId="245" xfId="11" applyNumberFormat="1" applyFont="1" applyFill="1" applyBorder="1" applyAlignment="1" applyProtection="1">
      <alignment horizontal="right" vertical="center" shrinkToFit="1"/>
    </xf>
    <xf numFmtId="3" fontId="28" fillId="0" borderId="245" xfId="11" applyNumberFormat="1" applyFont="1" applyFill="1" applyBorder="1" applyAlignment="1" applyProtection="1">
      <alignment vertical="center" shrinkToFit="1"/>
    </xf>
    <xf numFmtId="3" fontId="28" fillId="0" borderId="131" xfId="11" applyNumberFormat="1" applyFont="1" applyFill="1" applyBorder="1" applyAlignment="1" applyProtection="1">
      <alignment vertical="center" shrinkToFit="1"/>
    </xf>
    <xf numFmtId="0" fontId="25" fillId="0" borderId="271" xfId="9" applyNumberFormat="1" applyFont="1" applyFill="1" applyBorder="1" applyAlignment="1" applyProtection="1">
      <alignment horizontal="center" vertical="center"/>
    </xf>
    <xf numFmtId="0" fontId="25" fillId="0" borderId="452" xfId="9" applyNumberFormat="1" applyFont="1" applyFill="1" applyBorder="1" applyAlignment="1" applyProtection="1">
      <alignment horizontal="center" vertical="center"/>
    </xf>
    <xf numFmtId="0" fontId="0" fillId="0" borderId="0" xfId="0" applyFont="1" applyFill="1" applyBorder="1" applyAlignment="1" applyProtection="1">
      <alignment horizontal="centerContinuous"/>
    </xf>
    <xf numFmtId="0" fontId="25" fillId="0" borderId="32" xfId="9" applyNumberFormat="1" applyFont="1" applyFill="1" applyBorder="1" applyAlignment="1" applyProtection="1">
      <alignment horizontal="center" vertical="center"/>
    </xf>
    <xf numFmtId="0" fontId="23" fillId="0" borderId="46" xfId="9" applyFont="1" applyFill="1" applyBorder="1" applyAlignment="1" applyProtection="1">
      <alignment horizontal="center" vertical="center"/>
    </xf>
    <xf numFmtId="177" fontId="28" fillId="0" borderId="0" xfId="0" applyNumberFormat="1" applyFont="1" applyFill="1" applyBorder="1" applyAlignment="1" applyProtection="1">
      <alignment horizontal="center" vertical="center"/>
    </xf>
    <xf numFmtId="0" fontId="28" fillId="0" borderId="0" xfId="0" applyFont="1" applyBorder="1" applyAlignment="1" applyProtection="1">
      <alignment horizontal="centerContinuous" vertical="center"/>
    </xf>
    <xf numFmtId="0" fontId="23" fillId="4" borderId="97" xfId="9" applyFont="1" applyFill="1" applyBorder="1" applyAlignment="1" applyProtection="1">
      <alignment horizontal="center" vertical="center" wrapText="1" shrinkToFit="1"/>
      <protection locked="0"/>
    </xf>
    <xf numFmtId="0" fontId="23" fillId="4" borderId="93" xfId="9" applyFont="1" applyFill="1" applyBorder="1" applyAlignment="1" applyProtection="1">
      <alignment horizontal="center" vertical="center" wrapText="1"/>
      <protection locked="0"/>
    </xf>
    <xf numFmtId="0" fontId="23" fillId="4" borderId="103" xfId="9" applyNumberFormat="1" applyFont="1" applyFill="1" applyBorder="1" applyAlignment="1" applyProtection="1">
      <alignment horizontal="center" vertical="center" shrinkToFit="1"/>
      <protection locked="0"/>
    </xf>
    <xf numFmtId="0" fontId="64" fillId="4" borderId="103" xfId="9" applyFont="1" applyFill="1" applyBorder="1" applyAlignment="1" applyProtection="1">
      <alignment horizontal="center" vertical="center"/>
      <protection locked="0"/>
    </xf>
    <xf numFmtId="38" fontId="64" fillId="4" borderId="103" xfId="11" applyFont="1" applyFill="1" applyBorder="1" applyAlignment="1" applyProtection="1">
      <alignment vertical="center"/>
      <protection locked="0"/>
    </xf>
    <xf numFmtId="0" fontId="64" fillId="4" borderId="158" xfId="9" applyFont="1" applyFill="1" applyBorder="1" applyAlignment="1" applyProtection="1">
      <alignment horizontal="center" vertical="center"/>
      <protection locked="0"/>
    </xf>
    <xf numFmtId="0" fontId="23" fillId="4" borderId="100" xfId="9" applyFont="1" applyFill="1" applyBorder="1" applyAlignment="1" applyProtection="1">
      <alignment horizontal="center" vertical="center" wrapText="1"/>
      <protection locked="0"/>
    </xf>
    <xf numFmtId="38" fontId="64" fillId="4" borderId="209" xfId="11" applyFont="1" applyFill="1" applyBorder="1" applyAlignment="1" applyProtection="1">
      <alignment vertical="center"/>
      <protection locked="0"/>
    </xf>
    <xf numFmtId="0" fontId="23" fillId="4" borderId="285" xfId="9" applyFont="1" applyFill="1" applyBorder="1" applyAlignment="1" applyProtection="1">
      <alignment horizontal="center" vertical="center" wrapText="1" shrinkToFit="1"/>
      <protection locked="0"/>
    </xf>
    <xf numFmtId="0" fontId="23" fillId="4" borderId="61" xfId="9" applyFont="1" applyFill="1" applyBorder="1" applyAlignment="1" applyProtection="1">
      <alignment horizontal="center" vertical="center" wrapText="1"/>
      <protection locked="0"/>
    </xf>
    <xf numFmtId="0" fontId="23" fillId="4" borderId="248" xfId="9" applyNumberFormat="1" applyFont="1" applyFill="1" applyBorder="1" applyAlignment="1" applyProtection="1">
      <alignment horizontal="center" vertical="center" shrinkToFit="1"/>
      <protection locked="0"/>
    </xf>
    <xf numFmtId="0" fontId="64" fillId="4" borderId="248" xfId="9" applyFont="1" applyFill="1" applyBorder="1" applyAlignment="1" applyProtection="1">
      <alignment horizontal="center" vertical="center"/>
      <protection locked="0"/>
    </xf>
    <xf numFmtId="38" fontId="64" fillId="4" borderId="248" xfId="11" applyFont="1" applyFill="1" applyBorder="1" applyAlignment="1" applyProtection="1">
      <alignment vertical="center"/>
      <protection locked="0"/>
    </xf>
    <xf numFmtId="0" fontId="64" fillId="4" borderId="41" xfId="9" applyFont="1" applyFill="1" applyBorder="1" applyAlignment="1" applyProtection="1">
      <alignment horizontal="center" vertical="center"/>
      <protection locked="0"/>
    </xf>
    <xf numFmtId="0" fontId="23" fillId="4" borderId="41" xfId="9" applyFont="1" applyFill="1" applyBorder="1" applyAlignment="1" applyProtection="1">
      <alignment horizontal="center" vertical="center" wrapText="1"/>
      <protection locked="0"/>
    </xf>
    <xf numFmtId="38" fontId="64" fillId="4" borderId="202" xfId="11" applyFont="1" applyFill="1" applyBorder="1" applyAlignment="1" applyProtection="1">
      <alignment vertical="center"/>
      <protection locked="0"/>
    </xf>
    <xf numFmtId="0" fontId="23" fillId="4" borderId="6" xfId="9" applyFont="1" applyFill="1" applyBorder="1" applyAlignment="1" applyProtection="1">
      <alignment horizontal="center" vertical="center" wrapText="1" shrinkToFit="1"/>
      <protection locked="0"/>
    </xf>
    <xf numFmtId="0" fontId="9" fillId="0" borderId="0" xfId="0" applyFont="1" applyBorder="1" applyAlignment="1" applyProtection="1">
      <alignment horizontal="left" vertical="center" wrapText="1"/>
    </xf>
    <xf numFmtId="0" fontId="61" fillId="0" borderId="285" xfId="0" applyFont="1" applyFill="1" applyBorder="1" applyAlignment="1" applyProtection="1">
      <alignment vertical="center" wrapText="1"/>
    </xf>
    <xf numFmtId="0" fontId="25" fillId="0" borderId="0" xfId="9" applyFont="1" applyFill="1" applyBorder="1" applyAlignment="1" applyProtection="1">
      <alignment horizontal="center" vertical="top" wrapText="1"/>
    </xf>
    <xf numFmtId="0" fontId="25" fillId="0" borderId="152" xfId="9" applyFont="1" applyFill="1" applyBorder="1" applyAlignment="1" applyProtection="1">
      <alignment horizontal="center" vertical="top" wrapText="1"/>
    </xf>
    <xf numFmtId="0" fontId="25" fillId="0" borderId="152" xfId="9" applyFont="1" applyFill="1" applyBorder="1" applyAlignment="1" applyProtection="1">
      <alignment horizontal="center" vertical="center" wrapText="1" justifyLastLine="1"/>
    </xf>
    <xf numFmtId="0" fontId="23" fillId="0" borderId="66" xfId="9" applyFont="1" applyFill="1" applyBorder="1" applyAlignment="1" applyProtection="1">
      <alignment vertical="center" wrapText="1"/>
    </xf>
    <xf numFmtId="0" fontId="25" fillId="0" borderId="0" xfId="9" applyFont="1" applyFill="1" applyBorder="1" applyAlignment="1" applyProtection="1">
      <alignment vertical="top" wrapText="1"/>
    </xf>
    <xf numFmtId="0" fontId="25" fillId="0" borderId="152" xfId="9" applyFont="1" applyFill="1" applyBorder="1" applyAlignment="1" applyProtection="1">
      <alignment vertical="center" wrapText="1" justifyLastLine="1"/>
    </xf>
    <xf numFmtId="0" fontId="23" fillId="0" borderId="126" xfId="9" applyFont="1" applyFill="1" applyBorder="1" applyAlignment="1" applyProtection="1">
      <alignment vertical="center" wrapText="1"/>
    </xf>
    <xf numFmtId="0" fontId="23" fillId="0" borderId="58" xfId="9" applyFont="1" applyFill="1" applyBorder="1" applyAlignment="1" applyProtection="1">
      <alignment vertical="center" wrapText="1"/>
    </xf>
    <xf numFmtId="0" fontId="23" fillId="0" borderId="50" xfId="9" applyFont="1" applyFill="1" applyBorder="1" applyAlignment="1" applyProtection="1">
      <alignment vertical="center" wrapText="1"/>
    </xf>
    <xf numFmtId="0" fontId="23" fillId="0" borderId="190" xfId="0" applyFont="1" applyBorder="1" applyAlignment="1" applyProtection="1">
      <alignment vertical="center" wrapText="1"/>
    </xf>
    <xf numFmtId="3" fontId="28" fillId="0" borderId="245" xfId="0" applyNumberFormat="1" applyFont="1" applyFill="1" applyBorder="1" applyAlignment="1" applyProtection="1">
      <alignment horizontal="right" vertical="center" shrinkToFit="1"/>
    </xf>
    <xf numFmtId="0" fontId="13" fillId="0" borderId="0" xfId="9" applyFont="1" applyFill="1" applyBorder="1" applyAlignment="1" applyProtection="1">
      <alignment horizontal="centerContinuous" vertical="center"/>
    </xf>
    <xf numFmtId="0" fontId="13" fillId="0" borderId="0" xfId="9" applyFont="1" applyBorder="1" applyAlignment="1" applyProtection="1">
      <alignment horizontal="centerContinuous" vertical="center"/>
    </xf>
    <xf numFmtId="0" fontId="0" fillId="0" borderId="0" xfId="0" applyFont="1" applyBorder="1" applyAlignment="1" applyProtection="1">
      <alignment horizontal="centerContinuous" vertical="center"/>
    </xf>
    <xf numFmtId="0" fontId="12" fillId="0" borderId="0" xfId="0" applyFont="1" applyBorder="1" applyAlignment="1" applyProtection="1">
      <alignment horizontal="centerContinuous" vertical="center" shrinkToFit="1"/>
    </xf>
    <xf numFmtId="0" fontId="23" fillId="4" borderId="119" xfId="9" applyFont="1" applyFill="1" applyBorder="1" applyAlignment="1" applyProtection="1">
      <alignment horizontal="center" vertical="center" wrapText="1" shrinkToFit="1"/>
      <protection locked="0"/>
    </xf>
    <xf numFmtId="0" fontId="23" fillId="4" borderId="62" xfId="9" applyFont="1" applyFill="1" applyBorder="1" applyAlignment="1" applyProtection="1">
      <alignment horizontal="center" vertical="center" wrapText="1"/>
      <protection locked="0"/>
    </xf>
    <xf numFmtId="0" fontId="23" fillId="4" borderId="72" xfId="9" applyNumberFormat="1" applyFont="1" applyFill="1" applyBorder="1" applyAlignment="1" applyProtection="1">
      <alignment horizontal="center" vertical="center" shrinkToFit="1"/>
      <protection locked="0"/>
    </xf>
    <xf numFmtId="0" fontId="64" fillId="4" borderId="72" xfId="9" applyFont="1" applyFill="1" applyBorder="1" applyAlignment="1" applyProtection="1">
      <alignment horizontal="center" vertical="center"/>
      <protection locked="0"/>
    </xf>
    <xf numFmtId="38" fontId="64" fillId="4" borderId="72" xfId="11" applyFont="1" applyFill="1" applyBorder="1" applyAlignment="1" applyProtection="1">
      <alignment vertical="center"/>
      <protection locked="0"/>
    </xf>
    <xf numFmtId="0" fontId="64" fillId="4" borderId="46" xfId="9" applyFont="1" applyFill="1" applyBorder="1" applyAlignment="1" applyProtection="1">
      <alignment horizontal="center" vertical="center"/>
      <protection locked="0"/>
    </xf>
    <xf numFmtId="0" fontId="23" fillId="4" borderId="46" xfId="9" applyFont="1" applyFill="1" applyBorder="1" applyAlignment="1" applyProtection="1">
      <alignment horizontal="center" vertical="center" wrapText="1"/>
      <protection locked="0"/>
    </xf>
    <xf numFmtId="38" fontId="64" fillId="4" borderId="208" xfId="11" applyFont="1" applyFill="1" applyBorder="1" applyAlignment="1" applyProtection="1">
      <alignment vertical="center"/>
      <protection locked="0"/>
    </xf>
    <xf numFmtId="0" fontId="23" fillId="4" borderId="40" xfId="9" applyFont="1" applyFill="1" applyBorder="1" applyAlignment="1" applyProtection="1">
      <alignment horizontal="center" vertical="center" shrinkToFit="1"/>
      <protection locked="0"/>
    </xf>
    <xf numFmtId="0" fontId="23" fillId="4" borderId="71" xfId="9" applyNumberFormat="1" applyFont="1" applyFill="1" applyBorder="1" applyAlignment="1" applyProtection="1">
      <alignment horizontal="center" vertical="center" shrinkToFit="1"/>
      <protection locked="0"/>
    </xf>
    <xf numFmtId="0" fontId="64" fillId="2" borderId="397" xfId="0" applyFont="1" applyFill="1" applyBorder="1" applyAlignment="1" applyProtection="1">
      <alignment horizontal="center" vertical="center" shrinkToFit="1"/>
      <protection locked="0"/>
    </xf>
    <xf numFmtId="0" fontId="23" fillId="4" borderId="40" xfId="9" applyFont="1" applyFill="1" applyBorder="1" applyAlignment="1" applyProtection="1">
      <alignment horizontal="center" vertical="center"/>
      <protection locked="0"/>
    </xf>
    <xf numFmtId="0" fontId="23" fillId="4" borderId="41" xfId="9" applyFont="1" applyFill="1" applyBorder="1" applyAlignment="1" applyProtection="1">
      <alignment horizontal="center" vertical="center" shrinkToFit="1"/>
      <protection locked="0"/>
    </xf>
    <xf numFmtId="0" fontId="23" fillId="4" borderId="41" xfId="9" applyFont="1" applyFill="1" applyBorder="1" applyAlignment="1" applyProtection="1">
      <alignment horizontal="center" vertical="center"/>
      <protection locked="0"/>
    </xf>
    <xf numFmtId="0" fontId="23" fillId="4" borderId="44" xfId="9" applyFont="1" applyFill="1" applyBorder="1" applyAlignment="1" applyProtection="1">
      <alignment horizontal="center" vertical="center" shrinkToFit="1"/>
      <protection locked="0"/>
    </xf>
    <xf numFmtId="0" fontId="23" fillId="4" borderId="61" xfId="9" applyNumberFormat="1" applyFont="1" applyFill="1" applyBorder="1" applyAlignment="1" applyProtection="1">
      <alignment horizontal="center" vertical="center" shrinkToFit="1"/>
      <protection locked="0"/>
    </xf>
    <xf numFmtId="0" fontId="23" fillId="4" borderId="46" xfId="9" applyFont="1" applyFill="1" applyBorder="1" applyAlignment="1" applyProtection="1">
      <alignment horizontal="center" vertical="center" shrinkToFit="1"/>
      <protection locked="0"/>
    </xf>
    <xf numFmtId="0" fontId="23" fillId="4" borderId="62" xfId="9" applyNumberFormat="1" applyFont="1" applyFill="1" applyBorder="1" applyAlignment="1" applyProtection="1">
      <alignment horizontal="center" vertical="center" shrinkToFit="1"/>
      <protection locked="0"/>
    </xf>
    <xf numFmtId="0" fontId="23" fillId="4" borderId="46" xfId="9" applyFont="1" applyFill="1" applyBorder="1" applyAlignment="1" applyProtection="1">
      <alignment horizontal="center" vertical="center"/>
      <protection locked="0"/>
    </xf>
    <xf numFmtId="0" fontId="51" fillId="0" borderId="0" xfId="0" applyFont="1" applyBorder="1" applyAlignment="1" applyProtection="1">
      <alignment horizontal="left" vertical="center"/>
    </xf>
    <xf numFmtId="0" fontId="53" fillId="0" borderId="0" xfId="0" applyFont="1" applyFill="1" applyBorder="1" applyAlignment="1" applyProtection="1"/>
    <xf numFmtId="0" fontId="9" fillId="0" borderId="0" xfId="0" applyFont="1" applyFill="1" applyBorder="1" applyAlignment="1" applyProtection="1">
      <alignment horizontal="left" vertical="center" wrapText="1"/>
    </xf>
    <xf numFmtId="0" fontId="23" fillId="0" borderId="66" xfId="9" applyFont="1" applyFill="1" applyBorder="1" applyAlignment="1" applyProtection="1">
      <alignment horizontal="center" vertical="center" wrapText="1" justifyLastLine="1"/>
    </xf>
    <xf numFmtId="0" fontId="23" fillId="0" borderId="0" xfId="9" applyFont="1" applyFill="1" applyBorder="1" applyAlignment="1" applyProtection="1">
      <alignment vertical="center" wrapText="1" justifyLastLine="1"/>
    </xf>
    <xf numFmtId="0" fontId="25" fillId="0" borderId="66" xfId="9" applyFont="1" applyFill="1" applyBorder="1" applyAlignment="1" applyProtection="1">
      <alignment vertical="top" wrapText="1"/>
    </xf>
    <xf numFmtId="0" fontId="25" fillId="0" borderId="58" xfId="9" applyFont="1" applyFill="1" applyBorder="1" applyAlignment="1" applyProtection="1">
      <alignment vertical="top" wrapText="1"/>
    </xf>
    <xf numFmtId="0" fontId="25" fillId="0" borderId="246" xfId="9" applyNumberFormat="1" applyFont="1" applyFill="1" applyBorder="1" applyAlignment="1" applyProtection="1">
      <alignment horizontal="center" vertical="center"/>
    </xf>
    <xf numFmtId="0" fontId="12" fillId="0" borderId="0" xfId="0" applyFont="1" applyBorder="1" applyAlignment="1" applyProtection="1">
      <alignment horizontal="centerContinuous" vertical="center"/>
    </xf>
    <xf numFmtId="0" fontId="0" fillId="0" borderId="0" xfId="0" applyBorder="1" applyAlignment="1" applyProtection="1">
      <alignment horizontal="centerContinuous" vertical="center"/>
    </xf>
    <xf numFmtId="0" fontId="12" fillId="0" borderId="0" xfId="0" applyFont="1" applyFill="1" applyBorder="1" applyAlignment="1" applyProtection="1">
      <alignment horizontal="centerContinuous"/>
    </xf>
    <xf numFmtId="0" fontId="12" fillId="0" borderId="0" xfId="0" applyFont="1" applyFill="1" applyBorder="1" applyAlignment="1" applyProtection="1">
      <alignment horizontal="center" shrinkToFit="1"/>
    </xf>
    <xf numFmtId="0" fontId="0" fillId="0" borderId="0" xfId="0" applyFill="1" applyBorder="1" applyAlignment="1" applyProtection="1">
      <alignment horizontal="centerContinuous"/>
    </xf>
    <xf numFmtId="0" fontId="23" fillId="7" borderId="24" xfId="9" applyNumberFormat="1" applyFont="1" applyFill="1" applyBorder="1" applyAlignment="1" applyProtection="1">
      <alignment vertical="center" wrapText="1"/>
      <protection locked="0"/>
    </xf>
    <xf numFmtId="0" fontId="23" fillId="4" borderId="40" xfId="9" applyFont="1" applyFill="1" applyBorder="1" applyAlignment="1" applyProtection="1">
      <alignment horizontal="center" vertical="center" wrapText="1"/>
      <protection locked="0"/>
    </xf>
    <xf numFmtId="0" fontId="64" fillId="2" borderId="478" xfId="0" applyFont="1" applyFill="1" applyBorder="1" applyAlignment="1" applyProtection="1">
      <alignment horizontal="center" vertical="center" shrinkToFit="1"/>
      <protection locked="0"/>
    </xf>
    <xf numFmtId="38" fontId="64" fillId="4" borderId="479" xfId="11" applyFont="1" applyFill="1" applyBorder="1" applyAlignment="1" applyProtection="1">
      <alignment vertical="center" shrinkToFit="1"/>
      <protection locked="0"/>
    </xf>
    <xf numFmtId="0" fontId="23" fillId="4" borderId="245" xfId="9" applyFont="1" applyFill="1" applyBorder="1" applyAlignment="1" applyProtection="1">
      <alignment horizontal="center" vertical="center" wrapText="1"/>
      <protection locked="0"/>
    </xf>
    <xf numFmtId="38" fontId="64" fillId="4" borderId="268" xfId="11" applyFont="1" applyFill="1" applyBorder="1" applyAlignment="1" applyProtection="1">
      <alignment vertical="center" shrinkToFit="1"/>
      <protection locked="0"/>
    </xf>
    <xf numFmtId="38" fontId="64" fillId="4" borderId="218" xfId="11" applyFont="1" applyFill="1" applyBorder="1" applyAlignment="1" applyProtection="1">
      <alignment vertical="center" shrinkToFit="1"/>
      <protection locked="0"/>
    </xf>
    <xf numFmtId="0" fontId="23" fillId="4" borderId="44" xfId="9" applyFont="1" applyFill="1" applyBorder="1" applyAlignment="1" applyProtection="1">
      <alignment horizontal="center" vertical="center" wrapText="1"/>
      <protection locked="0"/>
    </xf>
    <xf numFmtId="38" fontId="64" fillId="4" borderId="64" xfId="11" applyFont="1" applyFill="1" applyBorder="1" applyAlignment="1" applyProtection="1">
      <alignment vertical="center" shrinkToFit="1"/>
      <protection locked="0"/>
    </xf>
    <xf numFmtId="0" fontId="23" fillId="7" borderId="218" xfId="9" applyNumberFormat="1" applyFont="1" applyFill="1" applyBorder="1" applyAlignment="1" applyProtection="1">
      <alignment vertical="center" wrapText="1"/>
      <protection locked="0"/>
    </xf>
    <xf numFmtId="0" fontId="23" fillId="4" borderId="269" xfId="9" applyFont="1" applyFill="1" applyBorder="1" applyAlignment="1" applyProtection="1">
      <alignment horizontal="center" vertical="center" wrapText="1"/>
      <protection locked="0"/>
    </xf>
    <xf numFmtId="0" fontId="23" fillId="4" borderId="453" xfId="9" applyNumberFormat="1" applyFont="1" applyFill="1" applyBorder="1" applyAlignment="1" applyProtection="1">
      <alignment horizontal="center" vertical="center" shrinkToFit="1"/>
      <protection locked="0"/>
    </xf>
    <xf numFmtId="0" fontId="64" fillId="4" borderId="453" xfId="9" applyFont="1" applyFill="1" applyBorder="1" applyAlignment="1" applyProtection="1">
      <alignment horizontal="center" vertical="center" shrinkToFit="1"/>
      <protection locked="0"/>
    </xf>
    <xf numFmtId="38" fontId="64" fillId="4" borderId="453" xfId="11" applyFont="1" applyFill="1" applyBorder="1" applyAlignment="1" applyProtection="1">
      <alignment vertical="center" shrinkToFit="1"/>
      <protection locked="0"/>
    </xf>
    <xf numFmtId="38" fontId="64" fillId="4" borderId="454" xfId="11" applyFont="1" applyFill="1" applyBorder="1" applyAlignment="1" applyProtection="1">
      <alignment vertical="center" shrinkToFit="1"/>
      <protection locked="0"/>
    </xf>
    <xf numFmtId="0" fontId="23" fillId="4" borderId="94" xfId="9" applyFont="1" applyFill="1" applyBorder="1" applyAlignment="1" applyProtection="1">
      <alignment horizontal="center" vertical="center" wrapText="1"/>
      <protection locked="0"/>
    </xf>
    <xf numFmtId="38" fontId="64" fillId="4" borderId="65" xfId="11" applyFont="1" applyFill="1" applyBorder="1" applyAlignment="1" applyProtection="1">
      <alignment vertical="center" shrinkToFit="1"/>
      <protection locked="0"/>
    </xf>
    <xf numFmtId="38" fontId="64" fillId="4" borderId="220" xfId="11" applyFont="1" applyFill="1" applyBorder="1" applyAlignment="1" applyProtection="1">
      <alignment vertical="center" shrinkToFit="1"/>
      <protection locked="0"/>
    </xf>
    <xf numFmtId="191" fontId="23" fillId="10" borderId="418" xfId="9" applyNumberFormat="1" applyFont="1" applyFill="1" applyBorder="1" applyAlignment="1" applyProtection="1">
      <alignment horizontal="center" vertical="center"/>
      <protection locked="0"/>
    </xf>
    <xf numFmtId="191" fontId="23" fillId="10" borderId="186" xfId="9" applyNumberFormat="1" applyFont="1" applyFill="1" applyBorder="1" applyAlignment="1" applyProtection="1">
      <alignment horizontal="center" vertical="center"/>
      <protection locked="0"/>
    </xf>
    <xf numFmtId="191" fontId="23" fillId="10" borderId="184" xfId="9" applyNumberFormat="1" applyFont="1" applyFill="1" applyBorder="1" applyAlignment="1" applyProtection="1">
      <alignment horizontal="center" vertical="center"/>
      <protection locked="0"/>
    </xf>
    <xf numFmtId="0" fontId="49" fillId="0" borderId="0" xfId="0" applyFont="1" applyFill="1" applyBorder="1" applyAlignment="1" applyProtection="1">
      <alignment horizontal="left" vertical="center" wrapText="1"/>
    </xf>
    <xf numFmtId="0" fontId="64" fillId="0" borderId="0" xfId="0" applyFont="1" applyFill="1" applyBorder="1" applyAlignment="1" applyProtection="1"/>
    <xf numFmtId="0" fontId="23" fillId="0" borderId="10" xfId="0" applyFont="1" applyFill="1" applyBorder="1" applyAlignment="1" applyProtection="1">
      <alignment vertical="distributed" textRotation="255" justifyLastLine="1"/>
    </xf>
    <xf numFmtId="0" fontId="23" fillId="0" borderId="0" xfId="0" applyFont="1" applyFill="1" applyBorder="1" applyAlignment="1" applyProtection="1">
      <alignment vertical="distributed" textRotation="255" justifyLastLine="1"/>
    </xf>
    <xf numFmtId="0" fontId="23" fillId="0" borderId="13" xfId="0" applyFont="1" applyFill="1" applyBorder="1" applyAlignment="1" applyProtection="1">
      <alignment horizontal="center" vertical="center"/>
    </xf>
    <xf numFmtId="0" fontId="23" fillId="0" borderId="0" xfId="0" applyFont="1" applyFill="1" applyBorder="1" applyAlignment="1" applyProtection="1">
      <alignment horizontal="center" vertical="distributed" textRotation="255" justifyLastLine="1"/>
    </xf>
    <xf numFmtId="0" fontId="23" fillId="0" borderId="0" xfId="0" applyFont="1" applyFill="1" applyBorder="1" applyAlignment="1" applyProtection="1">
      <alignment vertical="center" wrapText="1"/>
    </xf>
    <xf numFmtId="38" fontId="28" fillId="0" borderId="0" xfId="11" applyFont="1" applyFill="1" applyBorder="1" applyAlignment="1" applyProtection="1">
      <alignment vertical="center"/>
    </xf>
    <xf numFmtId="0" fontId="23" fillId="0" borderId="0" xfId="0" applyFont="1" applyFill="1" applyBorder="1" applyAlignment="1" applyProtection="1">
      <alignment horizontal="center" vertical="distributed" textRotation="255"/>
    </xf>
    <xf numFmtId="0" fontId="64" fillId="2" borderId="405" xfId="0" applyFont="1" applyFill="1" applyBorder="1" applyAlignment="1" applyProtection="1">
      <alignment horizontal="center" vertical="center" shrinkToFit="1"/>
      <protection locked="0"/>
    </xf>
    <xf numFmtId="38" fontId="64" fillId="7" borderId="189" xfId="11" applyFont="1" applyFill="1" applyBorder="1" applyAlignment="1" applyProtection="1">
      <alignment vertical="center" shrinkToFit="1"/>
      <protection locked="0"/>
    </xf>
    <xf numFmtId="0" fontId="64" fillId="7" borderId="456" xfId="0" applyFont="1" applyFill="1" applyBorder="1" applyAlignment="1" applyProtection="1">
      <alignment horizontal="center" vertical="center" justifyLastLine="1"/>
      <protection locked="0"/>
    </xf>
    <xf numFmtId="38" fontId="64" fillId="7" borderId="292" xfId="11" applyFont="1" applyFill="1" applyBorder="1" applyAlignment="1" applyProtection="1">
      <alignment vertical="center" shrinkToFit="1"/>
      <protection locked="0"/>
    </xf>
    <xf numFmtId="0" fontId="64" fillId="7" borderId="457" xfId="0" applyFont="1" applyFill="1" applyBorder="1" applyAlignment="1" applyProtection="1">
      <alignment horizontal="center" vertical="center" justifyLastLine="1"/>
      <protection locked="0"/>
    </xf>
    <xf numFmtId="38" fontId="64" fillId="7" borderId="452" xfId="11" applyFont="1" applyFill="1" applyBorder="1" applyAlignment="1" applyProtection="1">
      <alignment vertical="center" shrinkToFit="1"/>
      <protection locked="0"/>
    </xf>
    <xf numFmtId="0" fontId="64" fillId="7" borderId="455" xfId="0" applyFont="1" applyFill="1" applyBorder="1" applyAlignment="1" applyProtection="1">
      <alignment horizontal="center" vertical="center" justifyLastLine="1"/>
      <protection locked="0"/>
    </xf>
    <xf numFmtId="0" fontId="64" fillId="7" borderId="317" xfId="0" applyFont="1" applyFill="1" applyBorder="1" applyAlignment="1" applyProtection="1">
      <alignment horizontal="center" vertical="center" justifyLastLine="1"/>
      <protection locked="0"/>
    </xf>
    <xf numFmtId="38" fontId="64" fillId="7" borderId="32" xfId="11" applyFont="1" applyFill="1" applyBorder="1" applyAlignment="1" applyProtection="1">
      <alignment vertical="center" shrinkToFit="1"/>
      <protection locked="0"/>
    </xf>
    <xf numFmtId="0" fontId="23" fillId="7" borderId="268" xfId="0" applyFont="1" applyFill="1" applyBorder="1" applyAlignment="1" applyProtection="1">
      <alignment vertical="center" wrapText="1"/>
      <protection locked="0"/>
    </xf>
    <xf numFmtId="0" fontId="23" fillId="7" borderId="127" xfId="0" applyFont="1" applyFill="1" applyBorder="1" applyAlignment="1" applyProtection="1">
      <alignment vertical="center" wrapText="1"/>
      <protection locked="0"/>
    </xf>
    <xf numFmtId="38" fontId="64" fillId="2" borderId="397" xfId="11" applyFont="1" applyFill="1" applyBorder="1" applyAlignment="1" applyProtection="1">
      <alignment vertical="center" shrinkToFit="1"/>
      <protection locked="0"/>
    </xf>
    <xf numFmtId="38" fontId="64" fillId="7" borderId="102" xfId="11" applyFont="1" applyFill="1" applyBorder="1" applyAlignment="1" applyProtection="1">
      <alignment vertical="center" shrinkToFit="1"/>
      <protection locked="0"/>
    </xf>
    <xf numFmtId="38" fontId="64" fillId="7" borderId="231" xfId="11" applyFont="1" applyFill="1" applyBorder="1" applyAlignment="1" applyProtection="1">
      <alignment vertical="center" shrinkToFit="1"/>
      <protection locked="0"/>
    </xf>
    <xf numFmtId="38" fontId="64" fillId="7" borderId="286" xfId="11" applyFont="1" applyFill="1" applyBorder="1" applyAlignment="1" applyProtection="1">
      <alignment vertical="center" shrinkToFit="1"/>
      <protection locked="0"/>
    </xf>
    <xf numFmtId="38" fontId="64" fillId="7" borderId="139" xfId="11" applyFont="1" applyFill="1" applyBorder="1" applyAlignment="1" applyProtection="1">
      <alignment vertical="center" shrinkToFit="1"/>
      <protection locked="0"/>
    </xf>
    <xf numFmtId="0" fontId="23" fillId="7" borderId="455" xfId="0" applyFont="1" applyFill="1" applyBorder="1" applyAlignment="1" applyProtection="1">
      <alignment vertical="center" wrapText="1"/>
      <protection locked="0"/>
    </xf>
    <xf numFmtId="0" fontId="23" fillId="7" borderId="137" xfId="0" applyFont="1" applyFill="1" applyBorder="1" applyAlignment="1" applyProtection="1">
      <alignment vertical="center" wrapText="1"/>
      <protection locked="0"/>
    </xf>
    <xf numFmtId="0" fontId="23" fillId="7" borderId="33" xfId="0" applyFont="1" applyFill="1" applyBorder="1" applyAlignment="1" applyProtection="1">
      <alignment vertical="center" wrapText="1"/>
      <protection locked="0"/>
    </xf>
    <xf numFmtId="0" fontId="28" fillId="0" borderId="0" xfId="0" applyFont="1" applyProtection="1"/>
    <xf numFmtId="0" fontId="12" fillId="0" borderId="0" xfId="0" applyFont="1" applyFill="1" applyBorder="1" applyProtection="1"/>
    <xf numFmtId="0" fontId="27" fillId="0" borderId="0" xfId="0" applyFont="1" applyBorder="1" applyAlignment="1" applyProtection="1">
      <alignment vertical="center"/>
    </xf>
    <xf numFmtId="0" fontId="50" fillId="0" borderId="0" xfId="0" applyFont="1" applyBorder="1" applyAlignment="1" applyProtection="1">
      <alignment horizontal="right" vertical="center"/>
    </xf>
    <xf numFmtId="0" fontId="18" fillId="0" borderId="0" xfId="0" applyFont="1" applyFill="1" applyBorder="1" applyAlignment="1" applyProtection="1">
      <alignment vertical="center"/>
    </xf>
    <xf numFmtId="0" fontId="57" fillId="0" borderId="0" xfId="0" applyFont="1" applyFill="1" applyBorder="1" applyAlignment="1" applyProtection="1">
      <alignment vertical="center"/>
    </xf>
    <xf numFmtId="0" fontId="56" fillId="0" borderId="0" xfId="0" applyFont="1" applyBorder="1" applyAlignment="1" applyProtection="1"/>
    <xf numFmtId="0" fontId="23" fillId="0" borderId="0" xfId="0" applyFont="1" applyFill="1" applyBorder="1" applyAlignment="1" applyProtection="1">
      <alignment vertical="center" wrapText="1" justifyLastLine="1"/>
    </xf>
    <xf numFmtId="0" fontId="28" fillId="0" borderId="277" xfId="0" applyFont="1" applyBorder="1" applyAlignment="1" applyProtection="1">
      <alignment vertical="center"/>
    </xf>
    <xf numFmtId="0" fontId="28" fillId="0" borderId="465" xfId="0" applyFont="1" applyFill="1" applyBorder="1" applyAlignment="1" applyProtection="1">
      <alignment horizontal="center" vertical="center"/>
    </xf>
    <xf numFmtId="0" fontId="28" fillId="0" borderId="269" xfId="0" applyFont="1" applyFill="1" applyBorder="1" applyAlignment="1" applyProtection="1">
      <alignment horizontal="center" vertical="center"/>
    </xf>
    <xf numFmtId="0" fontId="28" fillId="0" borderId="465" xfId="0" applyFont="1" applyBorder="1" applyAlignment="1" applyProtection="1">
      <alignment horizontal="center" vertical="center"/>
    </xf>
    <xf numFmtId="0" fontId="28" fillId="0" borderId="269" xfId="0" applyFont="1" applyBorder="1" applyAlignment="1" applyProtection="1">
      <alignment horizontal="center" vertical="center"/>
    </xf>
    <xf numFmtId="176" fontId="64" fillId="0" borderId="0" xfId="0" applyNumberFormat="1" applyFont="1" applyFill="1" applyBorder="1" applyAlignment="1" applyProtection="1"/>
    <xf numFmtId="0" fontId="28" fillId="0" borderId="66" xfId="0" applyFont="1" applyFill="1" applyBorder="1" applyAlignment="1" applyProtection="1">
      <alignment vertical="center" shrinkToFit="1"/>
    </xf>
    <xf numFmtId="0" fontId="36" fillId="0" borderId="66" xfId="0" applyFont="1" applyFill="1" applyBorder="1" applyAlignment="1" applyProtection="1">
      <alignment vertical="center"/>
    </xf>
    <xf numFmtId="178" fontId="36" fillId="0" borderId="0" xfId="0" applyNumberFormat="1" applyFont="1" applyFill="1" applyBorder="1" applyAlignment="1" applyProtection="1">
      <alignment vertical="center"/>
    </xf>
    <xf numFmtId="178" fontId="36" fillId="0" borderId="152" xfId="0" applyNumberFormat="1" applyFont="1" applyFill="1" applyBorder="1" applyAlignment="1" applyProtection="1">
      <alignment vertical="center"/>
    </xf>
    <xf numFmtId="178" fontId="36" fillId="0" borderId="66" xfId="0" applyNumberFormat="1" applyFont="1" applyFill="1" applyBorder="1" applyAlignment="1" applyProtection="1">
      <alignment vertical="center"/>
    </xf>
    <xf numFmtId="185" fontId="28" fillId="0" borderId="269" xfId="0" applyNumberFormat="1" applyFont="1" applyFill="1" applyBorder="1" applyAlignment="1" applyProtection="1">
      <alignment vertical="center"/>
    </xf>
    <xf numFmtId="185" fontId="28" fillId="0" borderId="286" xfId="0" applyNumberFormat="1" applyFont="1" applyFill="1" applyBorder="1" applyAlignment="1" applyProtection="1">
      <alignment vertical="center"/>
    </xf>
    <xf numFmtId="182" fontId="28" fillId="0" borderId="254" xfId="0" applyNumberFormat="1" applyFont="1" applyBorder="1" applyAlignment="1" applyProtection="1">
      <alignment horizontal="right" vertical="center"/>
    </xf>
    <xf numFmtId="182" fontId="28" fillId="0" borderId="285" xfId="0" applyNumberFormat="1" applyFont="1" applyBorder="1" applyAlignment="1" applyProtection="1">
      <alignment horizontal="right" vertical="center"/>
    </xf>
    <xf numFmtId="182" fontId="28" fillId="0" borderId="269" xfId="0" applyNumberFormat="1" applyFont="1" applyBorder="1" applyAlignment="1" applyProtection="1">
      <alignment horizontal="right" vertical="center"/>
    </xf>
    <xf numFmtId="0" fontId="64" fillId="0" borderId="0" xfId="0" applyNumberFormat="1" applyFont="1" applyFill="1" applyBorder="1" applyAlignment="1" applyProtection="1"/>
    <xf numFmtId="185" fontId="28" fillId="0" borderId="105" xfId="0" applyNumberFormat="1" applyFont="1" applyFill="1" applyBorder="1" applyAlignment="1" applyProtection="1">
      <alignment vertical="center"/>
    </xf>
    <xf numFmtId="185" fontId="28" fillId="0" borderId="117" xfId="0" applyNumberFormat="1" applyFont="1" applyFill="1" applyBorder="1" applyAlignment="1" applyProtection="1">
      <alignment vertical="center"/>
    </xf>
    <xf numFmtId="185" fontId="28" fillId="0" borderId="152" xfId="0" applyNumberFormat="1" applyFont="1" applyFill="1" applyBorder="1" applyAlignment="1" applyProtection="1">
      <alignment vertical="center"/>
    </xf>
    <xf numFmtId="185" fontId="28" fillId="0" borderId="0" xfId="0" applyNumberFormat="1" applyFont="1" applyFill="1" applyBorder="1" applyAlignment="1" applyProtection="1">
      <alignment vertical="center"/>
    </xf>
    <xf numFmtId="185" fontId="28" fillId="0" borderId="231" xfId="0" applyNumberFormat="1" applyFont="1" applyFill="1" applyBorder="1" applyAlignment="1" applyProtection="1">
      <alignment vertical="center"/>
    </xf>
    <xf numFmtId="0" fontId="28" fillId="0" borderId="465" xfId="0" applyFont="1" applyFill="1" applyBorder="1" applyAlignment="1" applyProtection="1">
      <alignment vertical="center" shrinkToFit="1"/>
    </xf>
    <xf numFmtId="0" fontId="36" fillId="0" borderId="465" xfId="0" applyFont="1" applyFill="1" applyBorder="1" applyAlignment="1" applyProtection="1">
      <alignment vertical="center"/>
    </xf>
    <xf numFmtId="178" fontId="36" fillId="0" borderId="231" xfId="0" applyNumberFormat="1" applyFont="1" applyFill="1" applyBorder="1" applyAlignment="1" applyProtection="1">
      <alignment vertical="center"/>
    </xf>
    <xf numFmtId="178" fontId="36" fillId="0" borderId="436" xfId="0" applyNumberFormat="1" applyFont="1" applyFill="1" applyBorder="1" applyAlignment="1" applyProtection="1">
      <alignment vertical="center"/>
    </xf>
    <xf numFmtId="178" fontId="36" fillId="0" borderId="465" xfId="0" applyNumberFormat="1" applyFont="1" applyFill="1" applyBorder="1" applyAlignment="1" applyProtection="1">
      <alignment vertical="center"/>
    </xf>
    <xf numFmtId="185" fontId="28" fillId="0" borderId="107" xfId="0" applyNumberFormat="1" applyFont="1" applyFill="1" applyBorder="1" applyAlignment="1" applyProtection="1">
      <alignment vertical="center"/>
    </xf>
    <xf numFmtId="185" fontId="28" fillId="0" borderId="298" xfId="0" applyNumberFormat="1" applyFont="1" applyFill="1" applyBorder="1" applyAlignment="1" applyProtection="1">
      <alignment vertical="center"/>
    </xf>
    <xf numFmtId="185" fontId="28" fillId="0" borderId="309" xfId="0" applyNumberFormat="1" applyFont="1" applyFill="1" applyBorder="1" applyAlignment="1" applyProtection="1">
      <alignment vertical="center"/>
    </xf>
    <xf numFmtId="185" fontId="28" fillId="0" borderId="299" xfId="0" applyNumberFormat="1" applyFont="1" applyFill="1" applyBorder="1" applyAlignment="1" applyProtection="1">
      <alignment vertical="center"/>
    </xf>
    <xf numFmtId="185" fontId="28" fillId="0" borderId="300" xfId="0" applyNumberFormat="1" applyFont="1" applyFill="1" applyBorder="1" applyAlignment="1" applyProtection="1">
      <alignment vertical="center"/>
    </xf>
    <xf numFmtId="185" fontId="28" fillId="0" borderId="1" xfId="0" applyNumberFormat="1" applyFont="1" applyFill="1" applyBorder="1" applyAlignment="1" applyProtection="1">
      <alignment vertical="center"/>
    </xf>
    <xf numFmtId="178" fontId="28" fillId="0" borderId="152" xfId="0" applyNumberFormat="1" applyFont="1" applyFill="1" applyBorder="1" applyAlignment="1" applyProtection="1">
      <alignment vertical="center"/>
    </xf>
    <xf numFmtId="185" fontId="28" fillId="0" borderId="254" xfId="0" applyNumberFormat="1" applyFont="1" applyFill="1" applyBorder="1" applyAlignment="1" applyProtection="1">
      <alignment vertical="center"/>
    </xf>
    <xf numFmtId="185" fontId="28" fillId="0" borderId="285" xfId="0" applyNumberFormat="1" applyFont="1" applyFill="1" applyBorder="1" applyAlignment="1" applyProtection="1">
      <alignment vertical="center"/>
    </xf>
    <xf numFmtId="178" fontId="28" fillId="0" borderId="117" xfId="0" applyNumberFormat="1" applyFont="1" applyFill="1" applyBorder="1" applyAlignment="1" applyProtection="1">
      <alignment horizontal="center" vertical="center"/>
    </xf>
    <xf numFmtId="178" fontId="28" fillId="0" borderId="152" xfId="0" applyNumberFormat="1" applyFont="1" applyBorder="1" applyAlignment="1" applyProtection="1">
      <alignment vertical="center"/>
    </xf>
    <xf numFmtId="178" fontId="28" fillId="0" borderId="117" xfId="0" applyNumberFormat="1" applyFont="1" applyBorder="1" applyAlignment="1" applyProtection="1">
      <alignment horizontal="center" vertical="center"/>
    </xf>
    <xf numFmtId="178" fontId="28" fillId="0" borderId="107" xfId="0" applyNumberFormat="1" applyFont="1" applyFill="1" applyBorder="1" applyAlignment="1" applyProtection="1">
      <alignment horizontal="center" vertical="center"/>
    </xf>
    <xf numFmtId="178" fontId="28" fillId="0" borderId="107" xfId="0" applyNumberFormat="1" applyFont="1" applyBorder="1" applyAlignment="1" applyProtection="1">
      <alignment horizontal="center" vertical="center"/>
    </xf>
    <xf numFmtId="178" fontId="28" fillId="0" borderId="66" xfId="0" applyNumberFormat="1" applyFont="1" applyFill="1" applyBorder="1" applyAlignment="1" applyProtection="1">
      <alignment vertical="center"/>
    </xf>
    <xf numFmtId="178" fontId="28" fillId="0" borderId="91" xfId="0" applyNumberFormat="1" applyFont="1" applyFill="1" applyBorder="1" applyAlignment="1" applyProtection="1">
      <alignment vertical="center"/>
    </xf>
    <xf numFmtId="178" fontId="28" fillId="0" borderId="299" xfId="0" applyNumberFormat="1" applyFont="1" applyFill="1" applyBorder="1" applyAlignment="1" applyProtection="1">
      <alignment horizontal="center" vertical="center"/>
    </xf>
    <xf numFmtId="178" fontId="28" fillId="0" borderId="91" xfId="0" applyNumberFormat="1" applyFont="1" applyBorder="1" applyAlignment="1" applyProtection="1">
      <alignment vertical="center"/>
    </xf>
    <xf numFmtId="178" fontId="28" fillId="0" borderId="299" xfId="0" applyNumberFormat="1" applyFont="1" applyBorder="1" applyAlignment="1" applyProtection="1">
      <alignment horizontal="center" vertical="center"/>
    </xf>
    <xf numFmtId="178" fontId="28" fillId="0" borderId="436" xfId="0" applyNumberFormat="1" applyFont="1" applyBorder="1" applyAlignment="1" applyProtection="1">
      <alignment vertical="center"/>
    </xf>
    <xf numFmtId="0" fontId="28" fillId="0" borderId="131" xfId="0" applyFont="1" applyFill="1" applyBorder="1" applyAlignment="1" applyProtection="1">
      <alignment vertical="center" shrinkToFit="1"/>
    </xf>
    <xf numFmtId="0" fontId="36" fillId="0" borderId="131" xfId="0" applyFont="1" applyFill="1" applyBorder="1" applyAlignment="1" applyProtection="1">
      <alignment vertical="center"/>
    </xf>
    <xf numFmtId="178" fontId="36" fillId="0" borderId="91" xfId="0" applyNumberFormat="1" applyFont="1" applyFill="1" applyBorder="1" applyAlignment="1" applyProtection="1">
      <alignment vertical="center"/>
    </xf>
    <xf numFmtId="178" fontId="36" fillId="0" borderId="131" xfId="0" applyNumberFormat="1" applyFont="1" applyFill="1" applyBorder="1" applyAlignment="1" applyProtection="1">
      <alignment vertical="center"/>
    </xf>
    <xf numFmtId="178" fontId="28" fillId="0" borderId="0" xfId="0" applyNumberFormat="1" applyFont="1" applyFill="1" applyBorder="1" applyAlignment="1" applyProtection="1">
      <alignment vertical="center"/>
    </xf>
    <xf numFmtId="185" fontId="28" fillId="0" borderId="113" xfId="0" applyNumberFormat="1" applyFont="1" applyFill="1" applyBorder="1" applyAlignment="1" applyProtection="1">
      <alignment vertical="center"/>
    </xf>
    <xf numFmtId="183" fontId="28" fillId="0" borderId="254" xfId="0" applyNumberFormat="1" applyFont="1" applyBorder="1" applyAlignment="1" applyProtection="1">
      <alignment horizontal="right" vertical="center"/>
    </xf>
    <xf numFmtId="183" fontId="28" fillId="0" borderId="285" xfId="0" applyNumberFormat="1" applyFont="1" applyBorder="1" applyAlignment="1" applyProtection="1">
      <alignment horizontal="right" vertical="center"/>
    </xf>
    <xf numFmtId="183" fontId="28" fillId="0" borderId="269" xfId="0" applyNumberFormat="1" applyFont="1" applyBorder="1" applyAlignment="1" applyProtection="1">
      <alignment horizontal="right" vertical="center"/>
    </xf>
    <xf numFmtId="188" fontId="28" fillId="0" borderId="117" xfId="0" applyNumberFormat="1" applyFont="1" applyFill="1" applyBorder="1" applyAlignment="1" applyProtection="1">
      <alignment vertical="center"/>
    </xf>
    <xf numFmtId="183" fontId="28" fillId="0" borderId="105" xfId="0" applyNumberFormat="1" applyFont="1" applyBorder="1" applyAlignment="1" applyProtection="1">
      <alignment horizontal="right" vertical="center"/>
    </xf>
    <xf numFmtId="183" fontId="28" fillId="0" borderId="0" xfId="0" applyNumberFormat="1" applyFont="1" applyBorder="1" applyAlignment="1" applyProtection="1">
      <alignment horizontal="right" vertical="center"/>
    </xf>
    <xf numFmtId="183" fontId="28" fillId="0" borderId="6" xfId="0" applyNumberFormat="1" applyFont="1" applyBorder="1" applyAlignment="1" applyProtection="1">
      <alignment horizontal="right" vertical="center"/>
    </xf>
    <xf numFmtId="183" fontId="28" fillId="0" borderId="107" xfId="0" applyNumberFormat="1" applyFont="1" applyBorder="1" applyAlignment="1" applyProtection="1">
      <alignment horizontal="right" vertical="center"/>
    </xf>
    <xf numFmtId="185" fontId="28" fillId="0" borderId="91" xfId="0" applyNumberFormat="1" applyFont="1" applyFill="1" applyBorder="1" applyAlignment="1" applyProtection="1">
      <alignment vertical="center"/>
    </xf>
    <xf numFmtId="183" fontId="28" fillId="0" borderId="1" xfId="0" applyNumberFormat="1" applyFont="1" applyBorder="1" applyAlignment="1" applyProtection="1">
      <alignment horizontal="right" vertical="center"/>
    </xf>
    <xf numFmtId="183" fontId="28" fillId="0" borderId="299" xfId="0" applyNumberFormat="1" applyFont="1" applyBorder="1" applyAlignment="1" applyProtection="1">
      <alignment horizontal="right" vertical="center"/>
    </xf>
    <xf numFmtId="185" fontId="28" fillId="0" borderId="473" xfId="0" applyNumberFormat="1" applyFont="1" applyFill="1" applyBorder="1" applyAlignment="1" applyProtection="1">
      <alignment vertical="center"/>
    </xf>
    <xf numFmtId="185" fontId="28" fillId="0" borderId="408" xfId="0" applyNumberFormat="1" applyFont="1" applyFill="1" applyBorder="1" applyAlignment="1" applyProtection="1">
      <alignment vertical="center"/>
    </xf>
    <xf numFmtId="185" fontId="28" fillId="0" borderId="409" xfId="0" applyNumberFormat="1" applyFont="1" applyFill="1" applyBorder="1" applyAlignment="1" applyProtection="1">
      <alignment vertical="center"/>
    </xf>
    <xf numFmtId="185" fontId="28" fillId="0" borderId="474" xfId="0" applyNumberFormat="1" applyFont="1" applyFill="1" applyBorder="1" applyAlignment="1" applyProtection="1">
      <alignment vertical="center"/>
    </xf>
    <xf numFmtId="185" fontId="28" fillId="0" borderId="475" xfId="0" applyNumberFormat="1" applyFont="1" applyFill="1" applyBorder="1" applyAlignment="1" applyProtection="1">
      <alignment vertical="center"/>
    </xf>
    <xf numFmtId="183" fontId="28" fillId="0" borderId="465" xfId="0" applyNumberFormat="1" applyFont="1" applyBorder="1" applyAlignment="1" applyProtection="1">
      <alignment horizontal="right" vertical="center"/>
    </xf>
    <xf numFmtId="183" fontId="28" fillId="0" borderId="286" xfId="0" applyNumberFormat="1" applyFont="1" applyBorder="1" applyAlignment="1" applyProtection="1">
      <alignment horizontal="right" vertical="center"/>
    </xf>
    <xf numFmtId="185" fontId="28" fillId="0" borderId="436" xfId="0" applyNumberFormat="1" applyFont="1" applyFill="1" applyBorder="1" applyAlignment="1" applyProtection="1">
      <alignment vertical="center"/>
    </xf>
    <xf numFmtId="185" fontId="28" fillId="0" borderId="108" xfId="0" applyNumberFormat="1" applyFont="1" applyFill="1" applyBorder="1" applyAlignment="1" applyProtection="1">
      <alignment vertical="center"/>
    </xf>
    <xf numFmtId="178" fontId="28" fillId="0" borderId="256" xfId="0" applyNumberFormat="1" applyFont="1" applyFill="1" applyBorder="1" applyAlignment="1" applyProtection="1">
      <alignment vertical="center"/>
    </xf>
    <xf numFmtId="185" fontId="28" fillId="0" borderId="312" xfId="0" applyNumberFormat="1" applyFont="1" applyFill="1" applyBorder="1" applyAlignment="1" applyProtection="1">
      <alignment vertical="center"/>
    </xf>
    <xf numFmtId="185" fontId="28" fillId="0" borderId="313" xfId="0" applyNumberFormat="1" applyFont="1" applyFill="1" applyBorder="1" applyAlignment="1" applyProtection="1">
      <alignment vertical="center"/>
    </xf>
    <xf numFmtId="185" fontId="28" fillId="0" borderId="314" xfId="0" applyNumberFormat="1" applyFont="1" applyFill="1" applyBorder="1" applyAlignment="1" applyProtection="1">
      <alignment vertical="center"/>
    </xf>
    <xf numFmtId="185" fontId="28" fillId="0" borderId="175" xfId="0" applyNumberFormat="1" applyFont="1" applyFill="1" applyBorder="1" applyAlignment="1" applyProtection="1">
      <alignment vertical="center"/>
    </xf>
    <xf numFmtId="185" fontId="28" fillId="0" borderId="176" xfId="0" applyNumberFormat="1" applyFont="1" applyFill="1" applyBorder="1" applyAlignment="1" applyProtection="1">
      <alignment vertical="center"/>
    </xf>
    <xf numFmtId="183" fontId="28" fillId="0" borderId="136" xfId="0" applyNumberFormat="1" applyFont="1" applyBorder="1" applyAlignment="1" applyProtection="1">
      <alignment horizontal="right" vertical="center"/>
    </xf>
    <xf numFmtId="185" fontId="28" fillId="0" borderId="254" xfId="0" applyNumberFormat="1" applyFont="1" applyBorder="1" applyAlignment="1" applyProtection="1">
      <alignment vertical="center"/>
    </xf>
    <xf numFmtId="185" fontId="28" fillId="0" borderId="411" xfId="0" applyNumberFormat="1" applyFont="1" applyBorder="1" applyAlignment="1" applyProtection="1">
      <alignment vertical="center"/>
    </xf>
    <xf numFmtId="185" fontId="0" fillId="0" borderId="0" xfId="0" applyNumberFormat="1" applyAlignment="1" applyProtection="1">
      <alignment vertical="center"/>
    </xf>
    <xf numFmtId="0" fontId="12" fillId="0" borderId="0" xfId="0" applyFont="1" applyFill="1" applyProtection="1"/>
    <xf numFmtId="0" fontId="63" fillId="0" borderId="0" xfId="0" applyFont="1" applyFill="1" applyBorder="1" applyAlignment="1" applyProtection="1">
      <alignment vertical="center"/>
    </xf>
    <xf numFmtId="0" fontId="28" fillId="0" borderId="0" xfId="0" applyFont="1" applyFill="1" applyBorder="1" applyAlignment="1" applyProtection="1">
      <alignment vertical="center" shrinkToFit="1"/>
    </xf>
    <xf numFmtId="0" fontId="28" fillId="0" borderId="269" xfId="0" applyFont="1" applyFill="1" applyBorder="1" applyAlignment="1" applyProtection="1">
      <alignment vertical="center" shrinkToFit="1"/>
    </xf>
    <xf numFmtId="0" fontId="38" fillId="0" borderId="0" xfId="0" applyFont="1" applyBorder="1" applyAlignment="1" applyProtection="1"/>
    <xf numFmtId="0" fontId="23" fillId="0" borderId="263" xfId="0" applyFont="1" applyFill="1" applyBorder="1" applyAlignment="1" applyProtection="1">
      <alignment horizontal="center" vertical="center" justifyLastLine="1"/>
    </xf>
    <xf numFmtId="0" fontId="23" fillId="0" borderId="301" xfId="0" applyFont="1" applyFill="1" applyBorder="1" applyAlignment="1" applyProtection="1">
      <alignment horizontal="center" vertical="center" justifyLastLine="1"/>
    </xf>
    <xf numFmtId="0" fontId="63" fillId="4" borderId="397" xfId="0" applyFont="1" applyFill="1" applyBorder="1" applyAlignment="1" applyProtection="1">
      <alignment vertical="center"/>
      <protection locked="0"/>
    </xf>
    <xf numFmtId="0" fontId="63" fillId="4" borderId="466" xfId="0" applyFont="1" applyFill="1" applyBorder="1" applyAlignment="1" applyProtection="1">
      <alignment vertical="center"/>
      <protection locked="0"/>
    </xf>
    <xf numFmtId="0" fontId="74" fillId="4" borderId="466" xfId="0" applyFont="1" applyFill="1" applyBorder="1" applyAlignment="1" applyProtection="1">
      <alignment vertical="center" wrapText="1"/>
      <protection locked="0"/>
    </xf>
    <xf numFmtId="0" fontId="63" fillId="4" borderId="471" xfId="0" applyFont="1" applyFill="1" applyBorder="1" applyAlignment="1" applyProtection="1">
      <alignment vertical="center"/>
      <protection locked="0"/>
    </xf>
    <xf numFmtId="0" fontId="63" fillId="4" borderId="472" xfId="0" applyFont="1" applyFill="1" applyBorder="1" applyAlignment="1" applyProtection="1">
      <alignment vertical="center"/>
      <protection locked="0"/>
    </xf>
    <xf numFmtId="0" fontId="74" fillId="4" borderId="472" xfId="0" applyFont="1" applyFill="1" applyBorder="1" applyAlignment="1" applyProtection="1">
      <alignment vertical="center" wrapText="1"/>
      <protection locked="0"/>
    </xf>
    <xf numFmtId="176" fontId="64" fillId="4" borderId="469" xfId="0" applyNumberFormat="1" applyFont="1" applyFill="1" applyBorder="1" applyAlignment="1" applyProtection="1">
      <protection locked="0"/>
    </xf>
    <xf numFmtId="176" fontId="64" fillId="4" borderId="461" xfId="0" applyNumberFormat="1" applyFont="1" applyFill="1" applyBorder="1" applyAlignment="1" applyProtection="1">
      <protection locked="0"/>
    </xf>
    <xf numFmtId="176" fontId="64" fillId="4" borderId="460" xfId="0" applyNumberFormat="1" applyFont="1" applyFill="1" applyBorder="1" applyAlignment="1" applyProtection="1">
      <protection locked="0"/>
    </xf>
    <xf numFmtId="176" fontId="64" fillId="4" borderId="468" xfId="0" applyNumberFormat="1" applyFont="1" applyFill="1" applyBorder="1" applyAlignment="1" applyProtection="1">
      <protection locked="0"/>
    </xf>
    <xf numFmtId="0" fontId="64" fillId="7" borderId="296" xfId="0" applyFont="1" applyFill="1" applyBorder="1" applyAlignment="1" applyProtection="1">
      <alignment vertical="center" wrapText="1"/>
      <protection locked="0"/>
    </xf>
    <xf numFmtId="0" fontId="64" fillId="7" borderId="459" xfId="0" applyFont="1" applyFill="1" applyBorder="1" applyAlignment="1" applyProtection="1">
      <alignment vertical="center" wrapText="1"/>
      <protection locked="0"/>
    </xf>
    <xf numFmtId="0" fontId="64" fillId="7" borderId="294" xfId="0" applyFont="1" applyFill="1" applyBorder="1" applyAlignment="1" applyProtection="1">
      <alignment vertical="center" wrapText="1"/>
      <protection locked="0"/>
    </xf>
    <xf numFmtId="0" fontId="64" fillId="7" borderId="263" xfId="0" applyFont="1" applyFill="1" applyBorder="1" applyAlignment="1" applyProtection="1">
      <alignment vertical="center" shrinkToFit="1"/>
      <protection locked="0"/>
    </xf>
    <xf numFmtId="0" fontId="63" fillId="4" borderId="476" xfId="0" applyFont="1" applyFill="1" applyBorder="1" applyAlignment="1" applyProtection="1">
      <alignment vertical="center"/>
      <protection locked="0"/>
    </xf>
    <xf numFmtId="0" fontId="64" fillId="4" borderId="467" xfId="0" applyFont="1" applyFill="1" applyBorder="1" applyAlignment="1" applyProtection="1">
      <alignment vertical="center"/>
      <protection locked="0"/>
    </xf>
    <xf numFmtId="0" fontId="74" fillId="4" borderId="467" xfId="0" applyFont="1" applyFill="1" applyBorder="1" applyAlignment="1" applyProtection="1">
      <alignment vertical="center" wrapText="1"/>
      <protection locked="0"/>
    </xf>
    <xf numFmtId="38" fontId="64" fillId="4" borderId="436" xfId="0" applyNumberFormat="1" applyFont="1" applyFill="1" applyBorder="1" applyAlignment="1" applyProtection="1">
      <alignment vertical="center"/>
      <protection locked="0"/>
    </xf>
    <xf numFmtId="38" fontId="64" fillId="4" borderId="477" xfId="0" applyNumberFormat="1" applyFont="1" applyFill="1" applyBorder="1" applyAlignment="1" applyProtection="1">
      <alignment vertical="center"/>
      <protection locked="0"/>
    </xf>
    <xf numFmtId="0" fontId="64" fillId="7" borderId="308" xfId="0" applyFont="1" applyFill="1" applyBorder="1" applyAlignment="1" applyProtection="1">
      <alignment vertical="center" shrinkToFit="1"/>
      <protection locked="0"/>
    </xf>
    <xf numFmtId="0" fontId="63" fillId="4" borderId="227" xfId="0" applyFont="1" applyFill="1" applyBorder="1" applyAlignment="1" applyProtection="1">
      <alignment vertical="center"/>
      <protection locked="0"/>
    </xf>
    <xf numFmtId="0" fontId="64" fillId="4" borderId="268" xfId="0" applyFont="1" applyFill="1" applyBorder="1" applyAlignment="1" applyProtection="1">
      <alignment vertical="center"/>
      <protection locked="0"/>
    </xf>
    <xf numFmtId="0" fontId="74" fillId="4" borderId="268" xfId="0" applyFont="1" applyFill="1" applyBorder="1" applyAlignment="1" applyProtection="1">
      <alignment vertical="center" wrapText="1"/>
      <protection locked="0"/>
    </xf>
    <xf numFmtId="0" fontId="64" fillId="7" borderId="310" xfId="0" applyFont="1" applyFill="1" applyBorder="1" applyAlignment="1" applyProtection="1">
      <alignment vertical="center" shrinkToFit="1"/>
      <protection locked="0"/>
    </xf>
    <xf numFmtId="0" fontId="63" fillId="4" borderId="163" xfId="0" applyFont="1" applyFill="1" applyBorder="1" applyAlignment="1" applyProtection="1">
      <alignment vertical="center"/>
      <protection locked="0"/>
    </xf>
    <xf numFmtId="0" fontId="64" fillId="4" borderId="200" xfId="0" applyFont="1" applyFill="1" applyBorder="1" applyAlignment="1" applyProtection="1">
      <alignment vertical="center"/>
      <protection locked="0"/>
    </xf>
    <xf numFmtId="0" fontId="74" fillId="4" borderId="200" xfId="0" applyFont="1" applyFill="1" applyBorder="1" applyAlignment="1" applyProtection="1">
      <alignment vertical="center" wrapText="1"/>
      <protection locked="0"/>
    </xf>
    <xf numFmtId="38" fontId="64" fillId="4" borderId="397" xfId="11" applyFont="1" applyFill="1" applyBorder="1" applyAlignment="1" applyProtection="1">
      <alignment vertical="center" shrinkToFit="1"/>
      <protection locked="0"/>
    </xf>
    <xf numFmtId="38" fontId="64" fillId="4" borderId="163" xfId="11" applyFont="1" applyFill="1" applyBorder="1" applyAlignment="1" applyProtection="1">
      <alignment vertical="center" shrinkToFit="1"/>
      <protection locked="0"/>
    </xf>
    <xf numFmtId="38" fontId="36" fillId="10" borderId="185" xfId="11" applyFont="1" applyFill="1" applyBorder="1" applyAlignment="1" applyProtection="1">
      <alignment vertical="center"/>
      <protection locked="0"/>
    </xf>
    <xf numFmtId="0" fontId="64" fillId="0" borderId="0" xfId="5" applyFont="1" applyBorder="1" applyProtection="1">
      <alignment vertical="center"/>
    </xf>
    <xf numFmtId="0" fontId="7" fillId="0" borderId="0" xfId="0" applyFont="1" applyBorder="1" applyAlignment="1" applyProtection="1">
      <alignment horizontal="left"/>
    </xf>
    <xf numFmtId="0" fontId="64" fillId="0" borderId="0" xfId="0" applyFont="1" applyBorder="1" applyAlignment="1" applyProtection="1"/>
    <xf numFmtId="0" fontId="9" fillId="0" borderId="0" xfId="0" applyFont="1" applyBorder="1" applyAlignment="1" applyProtection="1">
      <alignment horizontal="left" vertical="center"/>
    </xf>
    <xf numFmtId="0" fontId="23" fillId="0" borderId="22" xfId="0" applyFont="1" applyBorder="1" applyAlignment="1" applyProtection="1">
      <alignment horizontal="distributed" vertical="center"/>
    </xf>
    <xf numFmtId="0" fontId="23" fillId="0" borderId="271" xfId="0" applyFont="1" applyBorder="1" applyAlignment="1" applyProtection="1">
      <alignment horizontal="distributed" vertical="center"/>
    </xf>
    <xf numFmtId="0" fontId="23" fillId="0" borderId="271" xfId="0" applyFont="1" applyBorder="1" applyAlignment="1" applyProtection="1">
      <alignment horizontal="distributed" vertical="center" wrapText="1"/>
    </xf>
    <xf numFmtId="0" fontId="36" fillId="0" borderId="248" xfId="0" applyFont="1" applyBorder="1" applyAlignment="1" applyProtection="1">
      <alignment horizontal="distributed" vertical="center" wrapText="1"/>
    </xf>
    <xf numFmtId="0" fontId="23" fillId="0" borderId="141" xfId="0" applyFont="1" applyBorder="1" applyAlignment="1" applyProtection="1">
      <alignment horizontal="distributed" vertical="center"/>
    </xf>
    <xf numFmtId="182" fontId="64" fillId="0" borderId="0" xfId="0" applyNumberFormat="1" applyFont="1" applyBorder="1" applyAlignment="1" applyProtection="1"/>
    <xf numFmtId="38" fontId="64" fillId="2" borderId="320" xfId="11" applyFont="1" applyFill="1" applyBorder="1" applyAlignment="1" applyProtection="1">
      <alignment vertical="center" shrinkToFit="1"/>
      <protection locked="0"/>
    </xf>
    <xf numFmtId="0" fontId="64" fillId="2" borderId="250" xfId="0" applyFont="1" applyFill="1" applyBorder="1" applyAlignment="1" applyProtection="1">
      <alignment horizontal="center" vertical="center" wrapText="1"/>
      <protection locked="0"/>
    </xf>
    <xf numFmtId="38" fontId="64" fillId="2" borderId="2" xfId="11" applyFont="1" applyFill="1" applyBorder="1" applyAlignment="1" applyProtection="1">
      <alignment vertical="center" shrinkToFit="1"/>
      <protection locked="0"/>
    </xf>
    <xf numFmtId="38" fontId="64" fillId="2" borderId="231" xfId="11" applyFont="1" applyFill="1" applyBorder="1" applyAlignment="1" applyProtection="1">
      <alignment vertical="center" shrinkToFit="1"/>
      <protection locked="0"/>
    </xf>
    <xf numFmtId="38" fontId="64" fillId="2" borderId="178" xfId="11" applyFont="1" applyFill="1" applyBorder="1" applyAlignment="1" applyProtection="1">
      <alignment vertical="center" shrinkToFit="1"/>
      <protection locked="0"/>
    </xf>
    <xf numFmtId="38" fontId="64" fillId="2" borderId="25" xfId="11" applyFont="1" applyFill="1" applyBorder="1" applyAlignment="1" applyProtection="1">
      <alignment vertical="center" shrinkToFit="1"/>
      <protection locked="0"/>
    </xf>
    <xf numFmtId="0" fontId="23" fillId="0" borderId="268" xfId="0" applyFont="1" applyFill="1" applyBorder="1" applyAlignment="1" applyProtection="1">
      <alignment horizontal="center" vertical="center" wrapText="1"/>
    </xf>
    <xf numFmtId="0" fontId="0" fillId="0" borderId="0" xfId="0" applyFill="1" applyProtection="1"/>
    <xf numFmtId="0" fontId="0" fillId="0" borderId="172" xfId="0" applyNumberFormat="1" applyFill="1" applyBorder="1" applyAlignment="1" applyProtection="1">
      <alignment horizontal="center" vertical="center"/>
    </xf>
    <xf numFmtId="0" fontId="23" fillId="0" borderId="0" xfId="0" applyFont="1" applyFill="1" applyProtection="1"/>
    <xf numFmtId="0" fontId="4" fillId="0" borderId="0" xfId="0" applyFont="1" applyFill="1" applyAlignment="1" applyProtection="1">
      <alignment horizontal="center" vertical="center"/>
    </xf>
    <xf numFmtId="0" fontId="23" fillId="0" borderId="269" xfId="0" applyFont="1" applyBorder="1" applyAlignment="1" applyProtection="1">
      <alignment horizontal="center" vertical="center" wrapText="1"/>
    </xf>
    <xf numFmtId="0" fontId="20" fillId="0" borderId="0" xfId="0" applyFont="1" applyFill="1" applyAlignment="1" applyProtection="1">
      <alignment vertical="center"/>
    </xf>
    <xf numFmtId="176" fontId="20" fillId="0" borderId="0" xfId="0" applyNumberFormat="1" applyFont="1" applyFill="1" applyAlignment="1" applyProtection="1">
      <alignment vertical="center"/>
    </xf>
    <xf numFmtId="0" fontId="46" fillId="0" borderId="0" xfId="0" applyFont="1" applyFill="1" applyAlignment="1" applyProtection="1">
      <alignment horizontal="center" vertical="center"/>
    </xf>
    <xf numFmtId="0" fontId="48" fillId="0" borderId="0" xfId="0" applyFont="1" applyFill="1" applyAlignment="1" applyProtection="1">
      <alignment horizontal="center" vertical="center"/>
    </xf>
    <xf numFmtId="0" fontId="21" fillId="0" borderId="0" xfId="0" applyFont="1" applyFill="1" applyAlignment="1" applyProtection="1">
      <alignment vertical="center" shrinkToFit="1"/>
    </xf>
    <xf numFmtId="0" fontId="48" fillId="0" borderId="0" xfId="0" applyFont="1" applyFill="1" applyAlignment="1" applyProtection="1">
      <alignment horizontal="center" vertical="center" shrinkToFit="1"/>
    </xf>
    <xf numFmtId="0" fontId="0" fillId="0" borderId="0" xfId="0" applyFill="1" applyBorder="1" applyAlignment="1" applyProtection="1">
      <alignment horizontal="center" vertical="center"/>
    </xf>
    <xf numFmtId="0" fontId="31" fillId="0" borderId="0" xfId="0" applyFont="1" applyFill="1" applyBorder="1" applyAlignment="1" applyProtection="1">
      <alignment horizontal="center" vertical="center" wrapText="1"/>
    </xf>
    <xf numFmtId="0" fontId="32" fillId="0" borderId="0" xfId="0" applyFont="1" applyFill="1" applyBorder="1" applyAlignment="1" applyProtection="1">
      <alignment horizontal="center" vertical="center" wrapText="1"/>
    </xf>
    <xf numFmtId="0" fontId="22" fillId="0" borderId="0" xfId="0" applyFont="1" applyFill="1" applyBorder="1" applyAlignment="1" applyProtection="1">
      <alignment horizontal="left"/>
    </xf>
    <xf numFmtId="0" fontId="0" fillId="0" borderId="0" xfId="0" applyFill="1" applyBorder="1" applyProtection="1"/>
    <xf numFmtId="0" fontId="0" fillId="0" borderId="0" xfId="0" applyFill="1" applyBorder="1" applyAlignment="1" applyProtection="1">
      <alignment wrapText="1"/>
    </xf>
    <xf numFmtId="0" fontId="0" fillId="0" borderId="0" xfId="0" applyFill="1" applyBorder="1" applyAlignment="1" applyProtection="1">
      <alignment horizontal="center" vertical="center" wrapText="1"/>
    </xf>
    <xf numFmtId="0" fontId="72" fillId="0" borderId="0" xfId="0" applyFont="1" applyProtection="1"/>
    <xf numFmtId="0" fontId="0" fillId="0" borderId="0" xfId="0" applyFill="1" applyAlignment="1" applyProtection="1">
      <alignment vertical="top"/>
    </xf>
    <xf numFmtId="0" fontId="73" fillId="0" borderId="0" xfId="0" applyFont="1" applyAlignment="1" applyProtection="1">
      <alignment horizontal="left" vertical="center"/>
    </xf>
    <xf numFmtId="0" fontId="87" fillId="0" borderId="0" xfId="0" applyFont="1" applyAlignment="1" applyProtection="1">
      <alignment horizontal="left"/>
    </xf>
    <xf numFmtId="0" fontId="61" fillId="0" borderId="0" xfId="0" applyFont="1" applyFill="1" applyAlignment="1" applyProtection="1"/>
    <xf numFmtId="0" fontId="0" fillId="0" borderId="0" xfId="0" applyFont="1" applyFill="1" applyAlignment="1" applyProtection="1"/>
    <xf numFmtId="0" fontId="61" fillId="0" borderId="0" xfId="0" applyFont="1" applyFill="1" applyProtection="1"/>
    <xf numFmtId="0" fontId="61" fillId="0" borderId="0" xfId="0" applyFont="1" applyFill="1" applyAlignment="1" applyProtection="1">
      <alignment vertical="top"/>
    </xf>
    <xf numFmtId="0" fontId="87" fillId="0" borderId="0" xfId="0" applyFont="1" applyAlignment="1" applyProtection="1">
      <alignment horizontal="left" vertical="center"/>
    </xf>
    <xf numFmtId="180" fontId="23" fillId="10" borderId="185" xfId="0" applyNumberFormat="1" applyFont="1" applyFill="1" applyBorder="1" applyAlignment="1" applyProtection="1">
      <alignment horizontal="center" vertical="center"/>
      <protection locked="0"/>
    </xf>
    <xf numFmtId="176" fontId="23" fillId="10" borderId="329" xfId="0" applyNumberFormat="1" applyFont="1" applyFill="1" applyBorder="1" applyAlignment="1" applyProtection="1">
      <alignment horizontal="center" vertical="center" wrapText="1"/>
      <protection locked="0"/>
    </xf>
    <xf numFmtId="179" fontId="23" fillId="10" borderId="330" xfId="0" applyNumberFormat="1" applyFont="1" applyFill="1" applyBorder="1" applyAlignment="1" applyProtection="1">
      <alignment horizontal="center" vertical="center" wrapText="1"/>
      <protection locked="0"/>
    </xf>
    <xf numFmtId="176" fontId="23" fillId="10" borderId="330" xfId="0" applyNumberFormat="1" applyFont="1" applyFill="1" applyBorder="1" applyAlignment="1" applyProtection="1">
      <alignment horizontal="center" vertical="center" wrapText="1"/>
      <protection locked="0"/>
    </xf>
    <xf numFmtId="179" fontId="23" fillId="10" borderId="331" xfId="0" applyNumberFormat="1" applyFont="1" applyFill="1" applyBorder="1" applyAlignment="1" applyProtection="1">
      <alignment horizontal="center" vertical="center" wrapText="1"/>
      <protection locked="0"/>
    </xf>
    <xf numFmtId="181" fontId="23" fillId="10" borderId="185" xfId="0" applyNumberFormat="1" applyFont="1" applyFill="1" applyBorder="1" applyAlignment="1" applyProtection="1">
      <alignment horizontal="center" vertical="center" shrinkToFit="1"/>
      <protection locked="0"/>
    </xf>
    <xf numFmtId="38" fontId="64" fillId="10" borderId="481" xfId="11" applyFont="1" applyFill="1" applyBorder="1" applyAlignment="1" applyProtection="1">
      <alignment vertical="center"/>
      <protection locked="0"/>
    </xf>
    <xf numFmtId="182" fontId="64" fillId="0" borderId="482" xfId="0" applyNumberFormat="1" applyFont="1" applyBorder="1" applyAlignment="1" applyProtection="1"/>
    <xf numFmtId="38" fontId="36" fillId="10" borderId="418" xfId="11" applyFont="1" applyFill="1" applyBorder="1" applyAlignment="1" applyProtection="1">
      <alignment vertical="center" shrinkToFit="1"/>
      <protection locked="0"/>
    </xf>
    <xf numFmtId="38" fontId="36" fillId="10" borderId="186" xfId="11" applyFont="1" applyFill="1" applyBorder="1" applyAlignment="1" applyProtection="1">
      <alignment vertical="center" shrinkToFit="1"/>
      <protection locked="0"/>
    </xf>
    <xf numFmtId="38" fontId="36" fillId="10" borderId="184" xfId="11" applyFont="1" applyFill="1" applyBorder="1" applyAlignment="1" applyProtection="1">
      <alignment vertical="center" shrinkToFit="1"/>
      <protection locked="0"/>
    </xf>
    <xf numFmtId="182" fontId="64" fillId="10" borderId="418" xfId="11" applyNumberFormat="1" applyFont="1" applyFill="1" applyBorder="1" applyAlignment="1" applyProtection="1">
      <alignment vertical="center"/>
      <protection locked="0"/>
    </xf>
    <xf numFmtId="182" fontId="64" fillId="10" borderId="186" xfId="11" applyNumberFormat="1" applyFont="1" applyFill="1" applyBorder="1" applyAlignment="1" applyProtection="1">
      <alignment vertical="center"/>
      <protection locked="0"/>
    </xf>
    <xf numFmtId="182" fontId="64" fillId="10" borderId="184" xfId="11" applyNumberFormat="1" applyFont="1" applyFill="1" applyBorder="1" applyAlignment="1" applyProtection="1">
      <alignment vertical="center"/>
      <protection locked="0"/>
    </xf>
    <xf numFmtId="0" fontId="36" fillId="0" borderId="465" xfId="0" applyFont="1" applyBorder="1" applyAlignment="1" applyProtection="1">
      <alignment horizontal="center" vertical="center"/>
    </xf>
    <xf numFmtId="180" fontId="23" fillId="0" borderId="203" xfId="0" applyNumberFormat="1" applyFont="1" applyFill="1" applyBorder="1" applyAlignment="1" applyProtection="1">
      <alignment horizontal="center" vertical="center"/>
    </xf>
    <xf numFmtId="0" fontId="23" fillId="0" borderId="268" xfId="0" applyFont="1" applyFill="1" applyBorder="1" applyAlignment="1" applyProtection="1">
      <alignment horizontal="center" vertical="center"/>
    </xf>
    <xf numFmtId="0" fontId="23" fillId="0" borderId="269" xfId="0" applyFont="1" applyFill="1" applyBorder="1" applyAlignment="1" applyProtection="1">
      <alignment horizontal="center" vertical="center"/>
    </xf>
    <xf numFmtId="0" fontId="12" fillId="0" borderId="485" xfId="5" applyFont="1" applyBorder="1" applyProtection="1">
      <alignment vertical="center"/>
    </xf>
    <xf numFmtId="0" fontId="0" fillId="0" borderId="0" xfId="0" applyBorder="1" applyProtection="1"/>
    <xf numFmtId="0" fontId="12" fillId="0" borderId="485" xfId="0" applyFont="1" applyBorder="1" applyAlignment="1" applyProtection="1"/>
    <xf numFmtId="0" fontId="78" fillId="0" borderId="485" xfId="0" applyFont="1" applyBorder="1" applyAlignment="1" applyProtection="1"/>
    <xf numFmtId="0" fontId="28" fillId="0" borderId="485" xfId="0" applyFont="1" applyBorder="1" applyAlignment="1" applyProtection="1">
      <alignment vertical="center"/>
    </xf>
    <xf numFmtId="0" fontId="36" fillId="0" borderId="277" xfId="0" applyFont="1" applyBorder="1" applyAlignment="1" applyProtection="1">
      <alignment horizontal="center" vertical="center"/>
    </xf>
    <xf numFmtId="0" fontId="36" fillId="0" borderId="152" xfId="0" applyFont="1" applyBorder="1" applyAlignment="1" applyProtection="1">
      <alignment vertical="center"/>
    </xf>
    <xf numFmtId="0" fontId="36" fillId="0" borderId="465" xfId="0" applyFont="1" applyBorder="1" applyAlignment="1" applyProtection="1">
      <alignment horizontal="distributed" vertical="center"/>
    </xf>
    <xf numFmtId="0" fontId="36" fillId="0" borderId="91" xfId="0" applyFont="1" applyBorder="1" applyAlignment="1" applyProtection="1">
      <alignment vertical="center"/>
    </xf>
    <xf numFmtId="184" fontId="64" fillId="0" borderId="487" xfId="11" applyNumberFormat="1" applyFont="1" applyFill="1" applyBorder="1" applyAlignment="1" applyProtection="1">
      <alignment vertical="center"/>
    </xf>
    <xf numFmtId="183" fontId="64" fillId="0" borderId="328" xfId="10" applyNumberFormat="1" applyFont="1" applyFill="1" applyBorder="1" applyAlignment="1" applyProtection="1">
      <alignment vertical="center" shrinkToFit="1"/>
    </xf>
    <xf numFmtId="182" fontId="64" fillId="0" borderId="317" xfId="0" applyNumberFormat="1" applyFont="1" applyFill="1" applyBorder="1" applyAlignment="1" applyProtection="1">
      <alignment vertical="center"/>
    </xf>
    <xf numFmtId="0" fontId="28" fillId="0" borderId="0" xfId="5" applyFont="1" applyAlignment="1" applyProtection="1">
      <alignment vertical="center" wrapText="1"/>
    </xf>
    <xf numFmtId="0" fontId="23" fillId="0" borderId="262" xfId="0" applyFont="1" applyFill="1" applyBorder="1" applyAlignment="1" applyProtection="1"/>
    <xf numFmtId="0" fontId="0" fillId="0" borderId="255" xfId="0" applyFill="1" applyBorder="1" applyAlignment="1" applyProtection="1"/>
    <xf numFmtId="0" fontId="23" fillId="0" borderId="255" xfId="9" applyFont="1" applyFill="1" applyBorder="1" applyAlignment="1" applyProtection="1">
      <alignment horizontal="center" vertical="center"/>
    </xf>
    <xf numFmtId="0" fontId="23" fillId="0" borderId="255" xfId="9" applyFont="1" applyFill="1" applyBorder="1" applyAlignment="1" applyProtection="1">
      <alignment horizontal="center" vertical="center" wrapText="1"/>
    </xf>
    <xf numFmtId="38" fontId="64" fillId="0" borderId="255" xfId="11" applyFont="1" applyFill="1" applyBorder="1" applyAlignment="1" applyProtection="1">
      <alignment vertical="center"/>
    </xf>
    <xf numFmtId="0" fontId="28" fillId="0" borderId="255" xfId="0" applyFont="1" applyFill="1" applyBorder="1" applyAlignment="1" applyProtection="1">
      <alignment horizontal="centerContinuous"/>
    </xf>
    <xf numFmtId="0" fontId="0" fillId="0" borderId="255" xfId="0" applyBorder="1" applyAlignment="1" applyProtection="1"/>
    <xf numFmtId="0" fontId="12" fillId="0" borderId="255" xfId="0" applyFont="1" applyBorder="1" applyAlignment="1" applyProtection="1">
      <alignment horizontal="centerContinuous"/>
    </xf>
    <xf numFmtId="0" fontId="0" fillId="0" borderId="255" xfId="0" applyFont="1" applyBorder="1" applyAlignment="1" applyProtection="1">
      <alignment horizontal="centerContinuous"/>
    </xf>
    <xf numFmtId="0" fontId="0" fillId="0" borderId="255" xfId="0" applyFont="1" applyBorder="1" applyAlignment="1" applyProtection="1">
      <alignment horizontal="center"/>
    </xf>
    <xf numFmtId="0" fontId="23" fillId="0" borderId="490" xfId="0" applyFont="1" applyBorder="1" applyAlignment="1" applyProtection="1"/>
    <xf numFmtId="0" fontId="28" fillId="0" borderId="489" xfId="0" applyFont="1" applyFill="1" applyBorder="1" applyAlignment="1" applyProtection="1">
      <alignment horizontal="center" vertical="center" shrinkToFit="1"/>
    </xf>
    <xf numFmtId="3" fontId="28" fillId="0" borderId="489" xfId="11" applyNumberFormat="1" applyFont="1" applyFill="1" applyBorder="1" applyAlignment="1" applyProtection="1">
      <alignment horizontal="right" vertical="center" shrinkToFit="1"/>
    </xf>
    <xf numFmtId="3" fontId="28" fillId="0" borderId="489" xfId="11" applyNumberFormat="1" applyFont="1" applyFill="1" applyBorder="1" applyAlignment="1" applyProtection="1">
      <alignment vertical="center" shrinkToFit="1"/>
    </xf>
    <xf numFmtId="3" fontId="28" fillId="0" borderId="487" xfId="11" applyNumberFormat="1" applyFont="1" applyFill="1" applyBorder="1" applyAlignment="1" applyProtection="1">
      <alignment vertical="center" shrinkToFit="1"/>
    </xf>
    <xf numFmtId="0" fontId="0" fillId="0" borderId="255" xfId="0" applyBorder="1" applyAlignment="1" applyProtection="1">
      <alignment horizontal="centerContinuous"/>
    </xf>
    <xf numFmtId="0" fontId="12" fillId="0" borderId="255" xfId="0" applyFont="1" applyBorder="1" applyAlignment="1" applyProtection="1">
      <alignment horizontal="centerContinuous" vertical="center"/>
    </xf>
    <xf numFmtId="38" fontId="64" fillId="10" borderId="492" xfId="11" applyFont="1" applyFill="1" applyBorder="1" applyAlignment="1" applyProtection="1">
      <alignment vertical="center" wrapText="1"/>
      <protection locked="0"/>
    </xf>
    <xf numFmtId="38" fontId="64" fillId="10" borderId="493" xfId="11" applyFont="1" applyFill="1" applyBorder="1" applyAlignment="1" applyProtection="1">
      <alignment vertical="center" wrapText="1"/>
      <protection locked="0"/>
    </xf>
    <xf numFmtId="38" fontId="64" fillId="10" borderId="494" xfId="11" applyFont="1" applyFill="1" applyBorder="1" applyAlignment="1" applyProtection="1">
      <alignment vertical="center" wrapText="1"/>
      <protection locked="0"/>
    </xf>
    <xf numFmtId="3" fontId="28" fillId="0" borderId="489" xfId="0" applyNumberFormat="1" applyFont="1" applyFill="1" applyBorder="1" applyAlignment="1" applyProtection="1">
      <alignment horizontal="right" vertical="center" shrinkToFit="1"/>
    </xf>
    <xf numFmtId="38" fontId="36" fillId="0" borderId="269" xfId="11" applyFont="1" applyFill="1" applyBorder="1" applyAlignment="1" applyProtection="1">
      <alignment vertical="center"/>
    </xf>
    <xf numFmtId="0" fontId="28" fillId="0" borderId="231" xfId="0" applyFont="1" applyBorder="1" applyAlignment="1" applyProtection="1"/>
    <xf numFmtId="0" fontId="28" fillId="0" borderId="1" xfId="0" applyFont="1" applyBorder="1" applyAlignment="1" applyProtection="1"/>
    <xf numFmtId="178" fontId="28" fillId="0" borderId="231" xfId="0" applyNumberFormat="1" applyFont="1" applyBorder="1" applyAlignment="1" applyProtection="1">
      <alignment vertical="center"/>
    </xf>
    <xf numFmtId="178" fontId="28" fillId="0" borderId="1" xfId="0" applyNumberFormat="1" applyFont="1" applyBorder="1" applyAlignment="1" applyProtection="1">
      <alignment vertical="center"/>
    </xf>
    <xf numFmtId="0" fontId="0" fillId="0" borderId="485" xfId="0" applyFill="1" applyBorder="1" applyProtection="1"/>
    <xf numFmtId="0" fontId="46" fillId="0" borderId="485" xfId="0" applyFont="1" applyFill="1" applyBorder="1" applyAlignment="1" applyProtection="1">
      <alignment horizontal="center" vertical="center"/>
    </xf>
    <xf numFmtId="0" fontId="48" fillId="0" borderId="485" xfId="0" applyFont="1" applyFill="1" applyBorder="1" applyAlignment="1" applyProtection="1">
      <alignment horizontal="center" vertical="center"/>
    </xf>
    <xf numFmtId="0" fontId="48" fillId="0" borderId="485" xfId="0" applyFont="1" applyFill="1" applyBorder="1" applyAlignment="1" applyProtection="1">
      <alignment horizontal="center" vertical="center" shrinkToFit="1"/>
    </xf>
    <xf numFmtId="0" fontId="0" fillId="0" borderId="485" xfId="0" applyFill="1" applyBorder="1" applyAlignment="1" applyProtection="1">
      <alignment horizontal="center" vertical="center"/>
    </xf>
    <xf numFmtId="0" fontId="22" fillId="0" borderId="485" xfId="0" applyFont="1" applyFill="1" applyBorder="1" applyAlignment="1" applyProtection="1">
      <alignment horizontal="left"/>
    </xf>
    <xf numFmtId="0" fontId="0" fillId="0" borderId="485" xfId="0" applyFill="1" applyBorder="1" applyAlignment="1" applyProtection="1">
      <alignment horizontal="center"/>
    </xf>
    <xf numFmtId="0" fontId="23" fillId="0" borderId="485" xfId="0" applyFont="1" applyFill="1" applyBorder="1" applyProtection="1"/>
    <xf numFmtId="38" fontId="64" fillId="2" borderId="161" xfId="11" applyFont="1" applyFill="1" applyBorder="1" applyAlignment="1" applyProtection="1">
      <alignment vertical="center" shrinkToFit="1"/>
      <protection locked="0"/>
    </xf>
    <xf numFmtId="38" fontId="64" fillId="2" borderId="162" xfId="11" applyFont="1" applyFill="1" applyBorder="1" applyAlignment="1" applyProtection="1">
      <alignment vertical="center" shrinkToFit="1"/>
      <protection locked="0"/>
    </xf>
    <xf numFmtId="38" fontId="64" fillId="2" borderId="227" xfId="11" applyFont="1" applyFill="1" applyBorder="1" applyAlignment="1" applyProtection="1">
      <alignment vertical="center" shrinkToFit="1"/>
      <protection locked="0"/>
    </xf>
    <xf numFmtId="38" fontId="64" fillId="2" borderId="164" xfId="11" applyFont="1" applyFill="1" applyBorder="1" applyAlignment="1" applyProtection="1">
      <alignment vertical="center" shrinkToFit="1"/>
      <protection locked="0"/>
    </xf>
    <xf numFmtId="0" fontId="36" fillId="2" borderId="165" xfId="10" applyFont="1" applyFill="1" applyBorder="1" applyAlignment="1" applyProtection="1">
      <alignment vertical="center" wrapText="1"/>
      <protection locked="0"/>
    </xf>
    <xf numFmtId="0" fontId="36" fillId="2" borderId="230" xfId="10" applyFont="1" applyFill="1" applyBorder="1" applyAlignment="1" applyProtection="1">
      <alignment vertical="center" wrapText="1"/>
      <protection locked="0"/>
    </xf>
    <xf numFmtId="0" fontId="36" fillId="2" borderId="163" xfId="10" applyFont="1" applyFill="1" applyBorder="1" applyAlignment="1" applyProtection="1">
      <alignment vertical="center" wrapText="1"/>
      <protection locked="0"/>
    </xf>
    <xf numFmtId="0" fontId="23" fillId="2" borderId="496" xfId="10" applyFont="1" applyFill="1" applyBorder="1" applyAlignment="1" applyProtection="1">
      <alignment vertical="center" wrapText="1" shrinkToFit="1"/>
      <protection locked="0"/>
    </xf>
    <xf numFmtId="0" fontId="23" fillId="2" borderId="318" xfId="10" applyFont="1" applyFill="1" applyBorder="1" applyAlignment="1" applyProtection="1">
      <alignment vertical="center" wrapText="1" shrinkToFit="1"/>
      <protection locked="0"/>
    </xf>
    <xf numFmtId="0" fontId="23" fillId="2" borderId="319" xfId="1" applyFont="1" applyFill="1" applyBorder="1" applyAlignment="1" applyProtection="1">
      <alignment vertical="center" wrapText="1" shrinkToFit="1"/>
      <protection locked="0"/>
    </xf>
    <xf numFmtId="38" fontId="64" fillId="2" borderId="438" xfId="1" applyNumberFormat="1" applyFont="1" applyFill="1" applyBorder="1" applyAlignment="1" applyProtection="1">
      <alignment horizontal="right" vertical="center" shrinkToFit="1"/>
      <protection locked="0"/>
    </xf>
    <xf numFmtId="38" fontId="64" fillId="2" borderId="437" xfId="1" applyNumberFormat="1" applyFont="1" applyFill="1" applyBorder="1" applyAlignment="1" applyProtection="1">
      <alignment horizontal="center" vertical="center" shrinkToFit="1"/>
      <protection locked="0"/>
    </xf>
    <xf numFmtId="0" fontId="23" fillId="2" borderId="444" xfId="1" applyFont="1" applyFill="1" applyBorder="1" applyAlignment="1" applyProtection="1">
      <alignment vertical="center" wrapText="1"/>
      <protection locked="0"/>
    </xf>
    <xf numFmtId="38" fontId="64" fillId="2" borderId="246" xfId="1" applyNumberFormat="1" applyFont="1" applyFill="1" applyBorder="1" applyAlignment="1" applyProtection="1">
      <alignment vertical="center"/>
      <protection locked="0"/>
    </xf>
    <xf numFmtId="38" fontId="64" fillId="2" borderId="268" xfId="1" applyNumberFormat="1" applyFont="1" applyFill="1" applyBorder="1" applyAlignment="1" applyProtection="1">
      <alignment horizontal="center" vertical="center"/>
      <protection locked="0"/>
    </xf>
    <xf numFmtId="0" fontId="64" fillId="2" borderId="250" xfId="1" applyFont="1" applyFill="1" applyBorder="1" applyAlignment="1" applyProtection="1">
      <alignment horizontal="center" vertical="center" wrapText="1"/>
      <protection locked="0"/>
    </xf>
    <xf numFmtId="0" fontId="23" fillId="0" borderId="0" xfId="1" applyFont="1" applyBorder="1" applyAlignment="1" applyProtection="1">
      <alignment vertical="center"/>
    </xf>
    <xf numFmtId="0" fontId="23" fillId="2" borderId="227" xfId="1" applyFont="1" applyFill="1" applyBorder="1" applyAlignment="1" applyProtection="1">
      <alignment vertical="center" wrapText="1"/>
      <protection locked="0"/>
    </xf>
    <xf numFmtId="0" fontId="23" fillId="0" borderId="0" xfId="1" applyFont="1" applyFill="1" applyBorder="1" applyAlignment="1" applyProtection="1">
      <alignment horizontal="center" vertical="center" shrinkToFit="1"/>
    </xf>
    <xf numFmtId="0" fontId="23" fillId="0" borderId="0" xfId="1" applyFont="1" applyBorder="1" applyAlignment="1" applyProtection="1"/>
    <xf numFmtId="38" fontId="64" fillId="2" borderId="445" xfId="1" applyNumberFormat="1" applyFont="1" applyFill="1" applyBorder="1" applyAlignment="1" applyProtection="1">
      <alignment vertical="center" shrinkToFit="1"/>
      <protection locked="0"/>
    </xf>
    <xf numFmtId="38" fontId="64" fillId="2" borderId="268" xfId="1" applyNumberFormat="1" applyFont="1" applyFill="1" applyBorder="1" applyAlignment="1" applyProtection="1">
      <alignment horizontal="center" vertical="center" shrinkToFit="1"/>
      <protection locked="0"/>
    </xf>
    <xf numFmtId="0" fontId="64" fillId="2" borderId="250" xfId="1" applyFont="1" applyFill="1" applyBorder="1" applyAlignment="1" applyProtection="1">
      <alignment horizontal="center" vertical="center" shrinkToFit="1"/>
      <protection locked="0"/>
    </xf>
    <xf numFmtId="3" fontId="36" fillId="0" borderId="254" xfId="0" applyNumberFormat="1" applyFont="1" applyFill="1" applyBorder="1" applyAlignment="1" applyProtection="1">
      <alignment horizontal="right" vertical="center" shrinkToFit="1"/>
    </xf>
    <xf numFmtId="3" fontId="36" fillId="0" borderId="131" xfId="0" applyNumberFormat="1" applyFont="1" applyFill="1" applyBorder="1" applyAlignment="1" applyProtection="1">
      <alignment horizontal="right" vertical="center" shrinkToFit="1"/>
    </xf>
    <xf numFmtId="3" fontId="36" fillId="0" borderId="269" xfId="0" applyNumberFormat="1" applyFont="1" applyBorder="1" applyAlignment="1" applyProtection="1">
      <alignment horizontal="right" vertical="center" shrinkToFit="1"/>
    </xf>
    <xf numFmtId="176" fontId="64" fillId="4" borderId="157" xfId="9" applyNumberFormat="1" applyFont="1" applyFill="1" applyBorder="1" applyAlignment="1" applyProtection="1">
      <alignment horizontal="center" vertical="center"/>
      <protection locked="0"/>
    </xf>
    <xf numFmtId="176" fontId="64" fillId="4" borderId="53" xfId="9" applyNumberFormat="1" applyFont="1" applyFill="1" applyBorder="1" applyAlignment="1" applyProtection="1">
      <alignment horizontal="center" vertical="center"/>
      <protection locked="0"/>
    </xf>
    <xf numFmtId="176" fontId="64" fillId="4" borderId="54" xfId="9" applyNumberFormat="1" applyFont="1" applyFill="1" applyBorder="1" applyAlignment="1" applyProtection="1">
      <alignment horizontal="center" vertical="center"/>
      <protection locked="0"/>
    </xf>
    <xf numFmtId="0" fontId="28" fillId="0" borderId="245" xfId="0" applyFont="1" applyFill="1" applyBorder="1" applyAlignment="1" applyProtection="1">
      <alignment vertical="center" shrinkToFit="1"/>
    </xf>
    <xf numFmtId="0" fontId="64" fillId="4" borderId="93" xfId="9" applyFont="1" applyFill="1" applyBorder="1" applyAlignment="1" applyProtection="1">
      <alignment horizontal="center" vertical="center" shrinkToFit="1"/>
      <protection locked="0"/>
    </xf>
    <xf numFmtId="176" fontId="64" fillId="4" borderId="39" xfId="9" applyNumberFormat="1" applyFont="1" applyFill="1" applyBorder="1" applyAlignment="1" applyProtection="1">
      <alignment horizontal="center" vertical="center" shrinkToFit="1"/>
      <protection locked="0"/>
    </xf>
    <xf numFmtId="0" fontId="64" fillId="4" borderId="245" xfId="11" applyNumberFormat="1" applyFont="1" applyFill="1" applyBorder="1" applyAlignment="1" applyProtection="1">
      <alignment horizontal="center" vertical="center" shrinkToFit="1"/>
      <protection locked="0"/>
    </xf>
    <xf numFmtId="176" fontId="64" fillId="4" borderId="286" xfId="11" applyNumberFormat="1" applyFont="1" applyFill="1" applyBorder="1" applyAlignment="1" applyProtection="1">
      <alignment horizontal="center" vertical="center" shrinkToFit="1"/>
      <protection locked="0"/>
    </xf>
    <xf numFmtId="0" fontId="64" fillId="4" borderId="66" xfId="11" applyNumberFormat="1" applyFont="1" applyFill="1" applyBorder="1" applyAlignment="1" applyProtection="1">
      <alignment horizontal="center" vertical="center" shrinkToFit="1"/>
      <protection locked="0"/>
    </xf>
    <xf numFmtId="176" fontId="64" fillId="4" borderId="52" xfId="11" applyNumberFormat="1" applyFont="1" applyFill="1" applyBorder="1" applyAlignment="1" applyProtection="1">
      <alignment horizontal="center" vertical="center" shrinkToFit="1"/>
      <protection locked="0"/>
    </xf>
    <xf numFmtId="176" fontId="64" fillId="4" borderId="398" xfId="11" applyNumberFormat="1" applyFont="1" applyFill="1" applyBorder="1" applyAlignment="1" applyProtection="1">
      <alignment horizontal="center" vertical="center" shrinkToFit="1"/>
      <protection locked="0"/>
    </xf>
    <xf numFmtId="0" fontId="64" fillId="4" borderId="94" xfId="11" applyNumberFormat="1" applyFont="1" applyFill="1" applyBorder="1" applyAlignment="1" applyProtection="1">
      <alignment horizontal="center" vertical="center" shrinkToFit="1"/>
      <protection locked="0"/>
    </xf>
    <xf numFmtId="176" fontId="64" fillId="4" borderId="49" xfId="11" applyNumberFormat="1" applyFont="1" applyFill="1" applyBorder="1" applyAlignment="1" applyProtection="1">
      <alignment horizontal="center" vertical="center" shrinkToFit="1"/>
      <protection locked="0"/>
    </xf>
    <xf numFmtId="0" fontId="28" fillId="0" borderId="489" xfId="0" applyFont="1" applyFill="1" applyBorder="1" applyAlignment="1" applyProtection="1">
      <alignment vertical="center" shrinkToFit="1"/>
    </xf>
    <xf numFmtId="176" fontId="64" fillId="4" borderId="51" xfId="9" applyNumberFormat="1" applyFont="1" applyFill="1" applyBorder="1" applyAlignment="1" applyProtection="1">
      <alignment horizontal="center" vertical="center" shrinkToFit="1"/>
      <protection locked="0"/>
    </xf>
    <xf numFmtId="176" fontId="64" fillId="4" borderId="53" xfId="9" applyNumberFormat="1" applyFont="1" applyFill="1" applyBorder="1" applyAlignment="1" applyProtection="1">
      <alignment horizontal="center" vertical="center" shrinkToFit="1"/>
      <protection locked="0"/>
    </xf>
    <xf numFmtId="176" fontId="64" fillId="4" borderId="45" xfId="9" applyNumberFormat="1" applyFont="1" applyFill="1" applyBorder="1" applyAlignment="1" applyProtection="1">
      <alignment horizontal="center" vertical="center" shrinkToFit="1"/>
      <protection locked="0"/>
    </xf>
    <xf numFmtId="176" fontId="64" fillId="4" borderId="43" xfId="9" applyNumberFormat="1" applyFont="1" applyFill="1" applyBorder="1" applyAlignment="1" applyProtection="1">
      <alignment horizontal="center" vertical="center" shrinkToFit="1"/>
      <protection locked="0"/>
    </xf>
    <xf numFmtId="176" fontId="64" fillId="4" borderId="47" xfId="9" applyNumberFormat="1" applyFont="1" applyFill="1" applyBorder="1" applyAlignment="1" applyProtection="1">
      <alignment horizontal="center" vertical="center" shrinkToFit="1"/>
      <protection locked="0"/>
    </xf>
    <xf numFmtId="0" fontId="25" fillId="4" borderId="71" xfId="9" applyFont="1" applyFill="1" applyBorder="1" applyAlignment="1" applyProtection="1">
      <alignment horizontal="center" vertical="center" wrapText="1"/>
      <protection locked="0"/>
    </xf>
    <xf numFmtId="0" fontId="25" fillId="4" borderId="248" xfId="9" applyFont="1" applyFill="1" applyBorder="1" applyAlignment="1" applyProtection="1">
      <alignment horizontal="center" vertical="center" wrapText="1"/>
      <protection locked="0"/>
    </xf>
    <xf numFmtId="0" fontId="25" fillId="4" borderId="152" xfId="9" applyFont="1" applyFill="1" applyBorder="1" applyAlignment="1" applyProtection="1">
      <alignment horizontal="center" vertical="center" wrapText="1"/>
      <protection locked="0"/>
    </xf>
    <xf numFmtId="0" fontId="25" fillId="4" borderId="72" xfId="9" applyFont="1" applyFill="1" applyBorder="1" applyAlignment="1" applyProtection="1">
      <alignment horizontal="center" vertical="center" wrapText="1"/>
      <protection locked="0"/>
    </xf>
    <xf numFmtId="0" fontId="36" fillId="10" borderId="470" xfId="0" applyFont="1" applyFill="1" applyBorder="1" applyAlignment="1" applyProtection="1">
      <alignment horizontal="center" vertical="center"/>
      <protection locked="0"/>
    </xf>
    <xf numFmtId="0" fontId="36" fillId="10" borderId="297" xfId="0" applyFont="1" applyFill="1" applyBorder="1" applyAlignment="1" applyProtection="1">
      <alignment horizontal="center" vertical="center"/>
      <protection locked="0"/>
    </xf>
    <xf numFmtId="0" fontId="36" fillId="0" borderId="66" xfId="0" applyFont="1" applyFill="1" applyBorder="1" applyAlignment="1" applyProtection="1">
      <alignment horizontal="center" vertical="center"/>
    </xf>
    <xf numFmtId="38" fontId="64" fillId="4" borderId="268" xfId="0" applyNumberFormat="1" applyFont="1" applyFill="1" applyBorder="1" applyAlignment="1" applyProtection="1">
      <alignment vertical="center"/>
      <protection locked="0"/>
    </xf>
    <xf numFmtId="38" fontId="64" fillId="4" borderId="463" xfId="0" applyNumberFormat="1" applyFont="1" applyFill="1" applyBorder="1" applyAlignment="1" applyProtection="1">
      <alignment vertical="center"/>
      <protection locked="0"/>
    </xf>
    <xf numFmtId="38" fontId="64" fillId="4" borderId="200" xfId="0" applyNumberFormat="1" applyFont="1" applyFill="1" applyBorder="1" applyAlignment="1" applyProtection="1">
      <alignment vertical="center"/>
      <protection locked="0"/>
    </xf>
    <xf numFmtId="38" fontId="64" fillId="4" borderId="164" xfId="0" applyNumberFormat="1" applyFont="1" applyFill="1" applyBorder="1" applyAlignment="1" applyProtection="1">
      <alignment vertical="center"/>
      <protection locked="0"/>
    </xf>
    <xf numFmtId="3" fontId="28" fillId="0" borderId="285" xfId="0" applyNumberFormat="1" applyFont="1" applyFill="1" applyBorder="1" applyAlignment="1" applyProtection="1">
      <alignment vertical="center"/>
    </xf>
    <xf numFmtId="3" fontId="28" fillId="0" borderId="269" xfId="0" applyNumberFormat="1" applyFont="1" applyFill="1" applyBorder="1" applyAlignment="1" applyProtection="1">
      <alignment vertical="center"/>
    </xf>
    <xf numFmtId="3" fontId="36" fillId="0" borderId="254" xfId="0" applyNumberFormat="1" applyFont="1" applyBorder="1" applyAlignment="1">
      <alignment horizontal="right" vertical="center" shrinkToFit="1"/>
    </xf>
    <xf numFmtId="3" fontId="36" fillId="0" borderId="257" xfId="0" applyNumberFormat="1" applyFont="1" applyBorder="1" applyAlignment="1">
      <alignment horizontal="right" vertical="center" shrinkToFit="1"/>
    </xf>
    <xf numFmtId="3" fontId="36" fillId="0" borderId="130" xfId="0" applyNumberFormat="1" applyFont="1" applyBorder="1" applyAlignment="1">
      <alignment horizontal="right" vertical="center" shrinkToFit="1"/>
    </xf>
    <xf numFmtId="3" fontId="36" fillId="0" borderId="321" xfId="0" applyNumberFormat="1" applyFont="1" applyBorder="1" applyAlignment="1">
      <alignment horizontal="right" vertical="center" shrinkToFit="1"/>
    </xf>
    <xf numFmtId="3" fontId="36" fillId="0" borderId="284" xfId="0" applyNumberFormat="1" applyFont="1" applyBorder="1" applyAlignment="1">
      <alignment horizontal="right" vertical="center" shrinkToFit="1"/>
    </xf>
    <xf numFmtId="3" fontId="36" fillId="0" borderId="283" xfId="0" applyNumberFormat="1" applyFont="1" applyBorder="1" applyAlignment="1">
      <alignment horizontal="right" vertical="center" shrinkToFit="1"/>
    </xf>
    <xf numFmtId="3" fontId="36" fillId="0" borderId="258" xfId="0" applyNumberFormat="1" applyFont="1" applyBorder="1" applyAlignment="1">
      <alignment horizontal="right" vertical="center" shrinkToFit="1"/>
    </xf>
    <xf numFmtId="38" fontId="64" fillId="10" borderId="123" xfId="11" applyNumberFormat="1" applyFont="1" applyFill="1" applyBorder="1" applyAlignment="1" applyProtection="1">
      <alignment vertical="center" shrinkToFit="1"/>
      <protection locked="0"/>
    </xf>
    <xf numFmtId="38" fontId="64" fillId="10" borderId="186" xfId="11" applyNumberFormat="1" applyFont="1" applyFill="1" applyBorder="1" applyAlignment="1" applyProtection="1">
      <alignment vertical="center" shrinkToFit="1"/>
      <protection locked="0"/>
    </xf>
    <xf numFmtId="38" fontId="64" fillId="10" borderId="146" xfId="11" applyNumberFormat="1" applyFont="1" applyFill="1" applyBorder="1" applyAlignment="1" applyProtection="1">
      <alignment vertical="center" shrinkToFit="1"/>
      <protection locked="0"/>
    </xf>
    <xf numFmtId="38" fontId="64" fillId="10" borderId="184" xfId="11" applyNumberFormat="1" applyFont="1" applyFill="1" applyBorder="1" applyAlignment="1" applyProtection="1">
      <alignment vertical="center" shrinkToFit="1"/>
      <protection locked="0"/>
    </xf>
    <xf numFmtId="183" fontId="64" fillId="0" borderId="245" xfId="0" applyNumberFormat="1" applyFont="1" applyBorder="1" applyAlignment="1" applyProtection="1">
      <alignment vertical="center" shrinkToFit="1"/>
    </xf>
    <xf numFmtId="183" fontId="64" fillId="0" borderId="254" xfId="0" applyNumberFormat="1" applyFont="1" applyBorder="1" applyAlignment="1" applyProtection="1">
      <alignment vertical="center" shrinkToFit="1"/>
    </xf>
    <xf numFmtId="182" fontId="64" fillId="0" borderId="130" xfId="0" applyNumberFormat="1" applyFont="1" applyFill="1" applyBorder="1" applyAlignment="1" applyProtection="1">
      <alignment vertical="center" shrinkToFit="1"/>
    </xf>
    <xf numFmtId="182" fontId="64" fillId="0" borderId="122" xfId="0" applyNumberFormat="1" applyFont="1" applyFill="1" applyBorder="1" applyAlignment="1" applyProtection="1">
      <alignment vertical="center" shrinkToFit="1"/>
    </xf>
    <xf numFmtId="189" fontId="64" fillId="0" borderId="254" xfId="0" applyNumberFormat="1" applyFont="1" applyBorder="1" applyAlignment="1" applyProtection="1">
      <alignment vertical="center" shrinkToFit="1"/>
    </xf>
    <xf numFmtId="182" fontId="64" fillId="10" borderId="483" xfId="11" applyNumberFormat="1" applyFont="1" applyFill="1" applyBorder="1" applyAlignment="1" applyProtection="1">
      <alignment vertical="center" shrinkToFit="1"/>
      <protection locked="0"/>
    </xf>
    <xf numFmtId="182" fontId="64" fillId="10" borderId="484" xfId="11" applyNumberFormat="1" applyFont="1" applyFill="1" applyBorder="1" applyAlignment="1" applyProtection="1">
      <alignment vertical="center" shrinkToFit="1"/>
      <protection locked="0"/>
    </xf>
    <xf numFmtId="182" fontId="64" fillId="10" borderId="481" xfId="11" applyNumberFormat="1" applyFont="1" applyFill="1" applyBorder="1" applyAlignment="1" applyProtection="1">
      <alignment vertical="center" shrinkToFit="1"/>
      <protection locked="0"/>
    </xf>
    <xf numFmtId="3" fontId="64" fillId="0" borderId="285" xfId="0" applyNumberFormat="1" applyFont="1" applyFill="1" applyBorder="1" applyAlignment="1" applyProtection="1">
      <alignment vertical="center" shrinkToFit="1"/>
    </xf>
    <xf numFmtId="3" fontId="64" fillId="0" borderId="285" xfId="0" applyNumberFormat="1" applyFont="1" applyBorder="1" applyAlignment="1" applyProtection="1">
      <alignment vertical="center" shrinkToFit="1"/>
    </xf>
    <xf numFmtId="3" fontId="80" fillId="0" borderId="396" xfId="0" applyNumberFormat="1" applyFont="1" applyBorder="1" applyAlignment="1" applyProtection="1">
      <alignment shrinkToFit="1"/>
    </xf>
    <xf numFmtId="3" fontId="64" fillId="4" borderId="359" xfId="0" applyNumberFormat="1" applyFont="1" applyFill="1" applyBorder="1" applyAlignment="1" applyProtection="1">
      <alignment vertical="center" shrinkToFit="1"/>
      <protection locked="0"/>
    </xf>
    <xf numFmtId="182" fontId="64" fillId="0" borderId="254" xfId="0" applyNumberFormat="1" applyFont="1" applyBorder="1" applyAlignment="1" applyProtection="1">
      <alignment vertical="center" shrinkToFit="1"/>
    </xf>
    <xf numFmtId="3" fontId="64" fillId="4" borderId="467" xfId="0" applyNumberFormat="1" applyFont="1" applyFill="1" applyBorder="1" applyAlignment="1" applyProtection="1">
      <alignment shrinkToFit="1"/>
      <protection locked="0"/>
    </xf>
    <xf numFmtId="3" fontId="64" fillId="4" borderId="436" xfId="0" applyNumberFormat="1" applyFont="1" applyFill="1" applyBorder="1" applyAlignment="1" applyProtection="1">
      <alignment shrinkToFit="1"/>
      <protection locked="0"/>
    </xf>
    <xf numFmtId="3" fontId="64" fillId="4" borderId="72" xfId="0" applyNumberFormat="1" applyFont="1" applyFill="1" applyBorder="1" applyAlignment="1" applyProtection="1">
      <alignment shrinkToFit="1"/>
      <protection locked="0"/>
    </xf>
    <xf numFmtId="3" fontId="64" fillId="4" borderId="91" xfId="0" applyNumberFormat="1" applyFont="1" applyFill="1" applyBorder="1" applyAlignment="1" applyProtection="1">
      <alignment shrinkToFit="1"/>
      <protection locked="0"/>
    </xf>
    <xf numFmtId="3" fontId="64" fillId="4" borderId="200" xfId="0" applyNumberFormat="1" applyFont="1" applyFill="1" applyBorder="1" applyAlignment="1" applyProtection="1">
      <alignment shrinkToFit="1"/>
      <protection locked="0"/>
    </xf>
    <xf numFmtId="0" fontId="4" fillId="0" borderId="0" xfId="0" applyFont="1" applyFill="1" applyBorder="1" applyAlignment="1" applyProtection="1">
      <alignment horizontal="center" vertical="center"/>
    </xf>
    <xf numFmtId="0" fontId="5" fillId="0" borderId="0" xfId="0" applyFont="1" applyFill="1" applyBorder="1" applyAlignment="1" applyProtection="1">
      <alignment horizontal="distributed" vertical="center"/>
    </xf>
    <xf numFmtId="0" fontId="19" fillId="0" borderId="0" xfId="0" applyFont="1" applyFill="1" applyBorder="1" applyAlignment="1" applyProtection="1">
      <alignment horizontal="distributed" vertical="center"/>
    </xf>
    <xf numFmtId="0" fontId="46" fillId="0" borderId="0" xfId="0" applyFont="1" applyFill="1" applyBorder="1" applyAlignment="1" applyProtection="1">
      <alignment horizontal="center" vertical="center"/>
    </xf>
    <xf numFmtId="0" fontId="48" fillId="0" borderId="0" xfId="0" applyFont="1" applyFill="1" applyBorder="1" applyAlignment="1" applyProtection="1">
      <alignment horizontal="center" vertical="center"/>
    </xf>
    <xf numFmtId="0" fontId="48" fillId="0" borderId="0" xfId="0" applyFont="1" applyFill="1" applyBorder="1" applyAlignment="1" applyProtection="1">
      <alignment horizontal="center" vertical="center" shrinkToFit="1"/>
    </xf>
    <xf numFmtId="0" fontId="23" fillId="0" borderId="0" xfId="0" applyFont="1" applyFill="1" applyBorder="1" applyProtection="1"/>
    <xf numFmtId="0" fontId="23" fillId="0" borderId="499" xfId="0" applyFont="1" applyFill="1" applyBorder="1" applyAlignment="1" applyProtection="1">
      <alignment horizontal="center" vertical="center" wrapText="1"/>
    </xf>
    <xf numFmtId="180" fontId="23" fillId="0" borderId="465" xfId="0" applyNumberFormat="1" applyFont="1" applyFill="1" applyBorder="1" applyAlignment="1" applyProtection="1">
      <alignment horizontal="center" vertical="center"/>
    </xf>
    <xf numFmtId="0" fontId="36" fillId="0" borderId="268" xfId="0" applyFont="1" applyBorder="1" applyAlignment="1" applyProtection="1">
      <alignment horizontal="center" vertical="center" justifyLastLine="1"/>
    </xf>
    <xf numFmtId="0" fontId="36" fillId="0" borderId="91" xfId="0" applyFont="1" applyBorder="1" applyAlignment="1" applyProtection="1">
      <alignment horizontal="center" vertical="center" justifyLastLine="1"/>
    </xf>
    <xf numFmtId="0" fontId="0" fillId="0" borderId="0" xfId="0" applyBorder="1" applyAlignment="1" applyProtection="1">
      <alignment vertical="center"/>
    </xf>
    <xf numFmtId="0" fontId="23" fillId="0" borderId="14" xfId="0" applyFont="1" applyBorder="1" applyAlignment="1" applyProtection="1">
      <alignment horizontal="center" vertical="center" wrapText="1"/>
    </xf>
    <xf numFmtId="0" fontId="36" fillId="0" borderId="248" xfId="0" applyFont="1" applyBorder="1" applyAlignment="1" applyProtection="1">
      <alignment horizontal="distributed" vertical="center"/>
    </xf>
    <xf numFmtId="0" fontId="23" fillId="0" borderId="233" xfId="0" applyFont="1" applyBorder="1" applyAlignment="1" applyProtection="1">
      <alignment horizontal="center" vertical="center"/>
    </xf>
    <xf numFmtId="0" fontId="23" fillId="0" borderId="22" xfId="0" applyFont="1" applyBorder="1" applyAlignment="1" applyProtection="1">
      <alignment horizontal="center" vertical="center"/>
    </xf>
    <xf numFmtId="0" fontId="23" fillId="0" borderId="13" xfId="0" applyFont="1" applyBorder="1" applyAlignment="1" applyProtection="1">
      <alignment horizontal="center" vertical="center"/>
    </xf>
    <xf numFmtId="0" fontId="36" fillId="0" borderId="132" xfId="0" applyFont="1" applyFill="1" applyBorder="1" applyAlignment="1" applyProtection="1">
      <alignment horizontal="center" vertical="center" wrapText="1"/>
    </xf>
    <xf numFmtId="0" fontId="23" fillId="0" borderId="121" xfId="0" applyFont="1" applyBorder="1" applyAlignment="1" applyProtection="1">
      <alignment horizontal="center" vertical="center" wrapText="1"/>
    </xf>
    <xf numFmtId="0" fontId="36" fillId="0" borderId="245" xfId="0" applyFont="1" applyBorder="1" applyAlignment="1" applyProtection="1">
      <alignment horizontal="distributed" vertical="center" justifyLastLine="1"/>
    </xf>
    <xf numFmtId="0" fontId="23" fillId="0" borderId="37" xfId="0" applyFont="1" applyBorder="1" applyAlignment="1" applyProtection="1">
      <alignment horizontal="center" vertical="center"/>
    </xf>
    <xf numFmtId="0" fontId="36" fillId="0" borderId="132" xfId="10" applyFont="1" applyFill="1" applyBorder="1" applyAlignment="1" applyProtection="1">
      <alignment horizontal="distributed" vertical="center"/>
    </xf>
    <xf numFmtId="0" fontId="36" fillId="0" borderId="248" xfId="10" applyFont="1" applyFill="1" applyBorder="1" applyAlignment="1" applyProtection="1">
      <alignment horizontal="distributed" vertical="center"/>
    </xf>
    <xf numFmtId="0" fontId="76" fillId="0" borderId="248" xfId="0" applyFont="1" applyBorder="1" applyAlignment="1" applyProtection="1">
      <alignment horizontal="distributed" vertical="center"/>
    </xf>
    <xf numFmtId="0" fontId="36" fillId="0" borderId="0" xfId="0" applyFont="1" applyBorder="1" applyAlignment="1" applyProtection="1">
      <alignment horizontal="center" vertical="center"/>
    </xf>
    <xf numFmtId="0" fontId="36" fillId="0" borderId="269" xfId="0" applyFont="1" applyBorder="1" applyAlignment="1" applyProtection="1">
      <alignment horizontal="distributed" vertical="center"/>
    </xf>
    <xf numFmtId="0" fontId="36" fillId="0" borderId="269" xfId="0" applyFont="1" applyFill="1" applyBorder="1" applyAlignment="1" applyProtection="1">
      <alignment horizontal="distributed" vertical="center"/>
    </xf>
    <xf numFmtId="0" fontId="36" fillId="0" borderId="269" xfId="0" applyFont="1" applyBorder="1" applyAlignment="1" applyProtection="1">
      <alignment horizontal="center" vertical="center"/>
    </xf>
    <xf numFmtId="0" fontId="23" fillId="0" borderId="278" xfId="0" applyFont="1" applyFill="1" applyBorder="1" applyAlignment="1" applyProtection="1">
      <alignment horizontal="center" vertical="center" wrapText="1"/>
    </xf>
    <xf numFmtId="0" fontId="23" fillId="0" borderId="37" xfId="0" applyFont="1" applyBorder="1" applyAlignment="1" applyProtection="1">
      <alignment horizontal="center" vertical="center" wrapText="1"/>
    </xf>
    <xf numFmtId="0" fontId="23" fillId="0" borderId="269" xfId="0" applyFont="1" applyBorder="1" applyAlignment="1" applyProtection="1">
      <alignment horizontal="center" vertical="center"/>
    </xf>
    <xf numFmtId="0" fontId="28" fillId="0" borderId="231" xfId="0" applyFont="1" applyFill="1" applyBorder="1" applyAlignment="1" applyProtection="1">
      <alignment horizontal="center" vertical="center"/>
    </xf>
    <xf numFmtId="0" fontId="61" fillId="0" borderId="131" xfId="0" applyFont="1" applyBorder="1" applyAlignment="1" applyProtection="1">
      <alignment horizontal="center" vertical="center" wrapText="1"/>
    </xf>
    <xf numFmtId="0" fontId="23" fillId="0" borderId="152" xfId="9" applyFont="1" applyFill="1" applyBorder="1" applyAlignment="1" applyProtection="1">
      <alignment horizontal="center" vertical="center" wrapText="1"/>
    </xf>
    <xf numFmtId="0" fontId="61" fillId="0" borderId="131" xfId="0" applyFont="1" applyFill="1" applyBorder="1" applyAlignment="1" applyProtection="1">
      <alignment horizontal="center" vertical="center" wrapText="1"/>
    </xf>
    <xf numFmtId="0" fontId="23" fillId="0" borderId="152" xfId="9" applyFont="1" applyFill="1" applyBorder="1" applyAlignment="1" applyProtection="1">
      <alignment horizontal="center" vertical="center" wrapText="1" justifyLastLine="1"/>
    </xf>
    <xf numFmtId="0" fontId="23" fillId="0" borderId="66" xfId="9" applyFont="1" applyFill="1" applyBorder="1" applyAlignment="1" applyProtection="1">
      <alignment horizontal="center" vertical="center" wrapText="1"/>
    </xf>
    <xf numFmtId="0" fontId="23" fillId="7" borderId="205" xfId="9" applyNumberFormat="1" applyFont="1" applyFill="1" applyBorder="1" applyAlignment="1" applyProtection="1">
      <alignment vertical="center" wrapText="1"/>
      <protection locked="0"/>
    </xf>
    <xf numFmtId="0" fontId="23" fillId="7" borderId="248" xfId="9" applyNumberFormat="1" applyFont="1" applyFill="1" applyBorder="1" applyAlignment="1" applyProtection="1">
      <alignment vertical="center" wrapText="1"/>
      <protection locked="0"/>
    </xf>
    <xf numFmtId="0" fontId="23" fillId="7" borderId="152" xfId="9" applyNumberFormat="1" applyFont="1" applyFill="1" applyBorder="1" applyAlignment="1" applyProtection="1">
      <alignment vertical="center" wrapText="1"/>
      <protection locked="0"/>
    </xf>
    <xf numFmtId="0" fontId="0" fillId="0" borderId="131" xfId="0" applyFill="1" applyBorder="1" applyAlignment="1" applyProtection="1">
      <alignment horizontal="center" vertical="center" wrapText="1"/>
    </xf>
    <xf numFmtId="0" fontId="23" fillId="0" borderId="36" xfId="0" applyFont="1" applyBorder="1" applyAlignment="1" applyProtection="1">
      <alignment horizontal="center" vertical="center"/>
    </xf>
    <xf numFmtId="0" fontId="36" fillId="0" borderId="465" xfId="0" applyFont="1" applyFill="1" applyBorder="1" applyAlignment="1" applyProtection="1">
      <alignment horizontal="center" vertical="center"/>
    </xf>
    <xf numFmtId="0" fontId="36" fillId="0" borderId="131" xfId="0" applyFont="1" applyFill="1" applyBorder="1" applyAlignment="1" applyProtection="1">
      <alignment horizontal="center" vertical="center"/>
    </xf>
    <xf numFmtId="0" fontId="28" fillId="0" borderId="277" xfId="0" applyFont="1" applyBorder="1" applyAlignment="1" applyProtection="1">
      <alignment horizontal="center" vertical="center"/>
    </xf>
    <xf numFmtId="0" fontId="23" fillId="0" borderId="0" xfId="0" applyFont="1" applyFill="1" applyBorder="1" applyAlignment="1" applyProtection="1">
      <alignment horizontal="center" vertical="center" wrapText="1" justifyLastLine="1"/>
    </xf>
    <xf numFmtId="0" fontId="28" fillId="0" borderId="286" xfId="0" applyFont="1" applyFill="1" applyBorder="1" applyAlignment="1" applyProtection="1">
      <alignment horizontal="center" vertical="center"/>
    </xf>
    <xf numFmtId="0" fontId="28" fillId="10" borderId="470" xfId="0" applyFont="1" applyFill="1" applyBorder="1" applyAlignment="1" applyProtection="1">
      <alignment horizontal="center" vertical="center"/>
      <protection locked="0"/>
    </xf>
    <xf numFmtId="0" fontId="28" fillId="10" borderId="297" xfId="0" applyFont="1" applyFill="1" applyBorder="1" applyAlignment="1" applyProtection="1">
      <alignment horizontal="center" vertical="center"/>
      <protection locked="0"/>
    </xf>
    <xf numFmtId="0" fontId="28" fillId="10" borderId="186" xfId="0" applyFont="1" applyFill="1" applyBorder="1" applyAlignment="1" applyProtection="1">
      <alignment horizontal="center" vertical="center"/>
      <protection locked="0"/>
    </xf>
    <xf numFmtId="0" fontId="28" fillId="10" borderId="184" xfId="0" applyFont="1" applyFill="1" applyBorder="1" applyAlignment="1" applyProtection="1">
      <alignment horizontal="center" vertical="center"/>
      <protection locked="0"/>
    </xf>
    <xf numFmtId="182" fontId="64" fillId="0" borderId="248" xfId="11" applyNumberFormat="1" applyFont="1" applyFill="1" applyBorder="1" applyAlignment="1" applyProtection="1">
      <alignment horizontal="right" vertical="center" shrinkToFit="1"/>
    </xf>
    <xf numFmtId="182" fontId="64" fillId="0" borderId="131" xfId="11" applyNumberFormat="1" applyFont="1" applyFill="1" applyBorder="1" applyAlignment="1" applyProtection="1">
      <alignment horizontal="right" vertical="center" shrinkToFit="1"/>
    </xf>
    <xf numFmtId="3" fontId="23" fillId="0" borderId="147" xfId="0" applyNumberFormat="1" applyFont="1" applyFill="1" applyBorder="1" applyAlignment="1" applyProtection="1">
      <alignment vertical="center" shrinkToFit="1"/>
    </xf>
    <xf numFmtId="3" fontId="23" fillId="0" borderId="403" xfId="0" applyNumberFormat="1" applyFont="1" applyFill="1" applyBorder="1" applyAlignment="1" applyProtection="1">
      <alignment vertical="center" shrinkToFit="1"/>
    </xf>
    <xf numFmtId="3" fontId="23" fillId="0" borderId="254" xfId="0" applyNumberFormat="1" applyFont="1" applyFill="1" applyBorder="1" applyAlignment="1" applyProtection="1">
      <alignment vertical="center" shrinkToFit="1"/>
    </xf>
    <xf numFmtId="3" fontId="23" fillId="0" borderId="404" xfId="0" applyNumberFormat="1" applyFont="1" applyFill="1" applyBorder="1" applyAlignment="1" applyProtection="1">
      <alignment vertical="center" shrinkToFit="1"/>
    </xf>
    <xf numFmtId="3" fontId="23" fillId="0" borderId="465" xfId="0" applyNumberFormat="1" applyFont="1" applyFill="1" applyBorder="1" applyAlignment="1" applyProtection="1">
      <alignment vertical="center" shrinkToFit="1"/>
    </xf>
    <xf numFmtId="3" fontId="23" fillId="0" borderId="436" xfId="0" applyNumberFormat="1" applyFont="1" applyFill="1" applyBorder="1" applyAlignment="1" applyProtection="1">
      <alignment vertical="center" shrinkToFit="1"/>
    </xf>
    <xf numFmtId="3" fontId="23" fillId="0" borderId="491" xfId="0" applyNumberFormat="1" applyFont="1" applyFill="1" applyBorder="1" applyAlignment="1" applyProtection="1">
      <alignment vertical="center" shrinkToFit="1"/>
    </xf>
    <xf numFmtId="3" fontId="23" fillId="0" borderId="277" xfId="0" applyNumberFormat="1" applyFont="1" applyFill="1" applyBorder="1" applyAlignment="1" applyProtection="1">
      <alignment vertical="center" shrinkToFit="1"/>
    </xf>
    <xf numFmtId="38" fontId="64" fillId="2" borderId="224" xfId="11" applyFont="1" applyFill="1" applyBorder="1" applyAlignment="1" applyProtection="1">
      <alignment vertical="center"/>
      <protection locked="0"/>
    </xf>
    <xf numFmtId="0" fontId="64" fillId="2" borderId="225" xfId="0" applyFont="1" applyFill="1" applyBorder="1" applyAlignment="1" applyProtection="1">
      <alignment horizontal="center" vertical="center" justifyLastLine="1"/>
      <protection locked="0"/>
    </xf>
    <xf numFmtId="0" fontId="45" fillId="0" borderId="0" xfId="0" applyFont="1" applyFill="1" applyAlignment="1" applyProtection="1">
      <alignment horizontal="center" vertical="center"/>
    </xf>
    <xf numFmtId="0" fontId="47" fillId="0" borderId="0" xfId="0" applyFont="1" applyFill="1" applyAlignment="1" applyProtection="1">
      <alignment horizontal="center" vertical="center"/>
    </xf>
    <xf numFmtId="0" fontId="23" fillId="0" borderId="0" xfId="0" applyFont="1" applyFill="1" applyBorder="1" applyAlignment="1" applyProtection="1">
      <alignment horizontal="center" vertical="center" wrapText="1"/>
    </xf>
    <xf numFmtId="182" fontId="28" fillId="0" borderId="105" xfId="0" applyNumberFormat="1" applyFont="1" applyFill="1" applyBorder="1" applyAlignment="1" applyProtection="1">
      <alignment horizontal="right" vertical="center"/>
    </xf>
    <xf numFmtId="182" fontId="28" fillId="0" borderId="0" xfId="0" applyNumberFormat="1" applyFont="1" applyFill="1" applyBorder="1" applyAlignment="1" applyProtection="1">
      <alignment horizontal="right" vertical="center"/>
    </xf>
    <xf numFmtId="182" fontId="28" fillId="0" borderId="6" xfId="0" applyNumberFormat="1" applyFont="1" applyFill="1" applyBorder="1" applyAlignment="1" applyProtection="1">
      <alignment horizontal="right" vertical="center"/>
    </xf>
    <xf numFmtId="182" fontId="28" fillId="0" borderId="107" xfId="0" applyNumberFormat="1" applyFont="1" applyFill="1" applyBorder="1" applyAlignment="1" applyProtection="1">
      <alignment horizontal="right" vertical="center"/>
    </xf>
    <xf numFmtId="182" fontId="28" fillId="0" borderId="309" xfId="0" applyNumberFormat="1" applyFont="1" applyFill="1" applyBorder="1" applyAlignment="1" applyProtection="1">
      <alignment horizontal="right" vertical="center"/>
    </xf>
    <xf numFmtId="182" fontId="28" fillId="0" borderId="1" xfId="0" applyNumberFormat="1" applyFont="1" applyFill="1" applyBorder="1" applyAlignment="1" applyProtection="1">
      <alignment horizontal="right" vertical="center"/>
    </xf>
    <xf numFmtId="182" fontId="28" fillId="0" borderId="299" xfId="0" applyNumberFormat="1" applyFont="1" applyFill="1" applyBorder="1" applyAlignment="1" applyProtection="1">
      <alignment horizontal="right" vertical="center"/>
    </xf>
    <xf numFmtId="182" fontId="28" fillId="0" borderId="254" xfId="0" applyNumberFormat="1" applyFont="1" applyFill="1" applyBorder="1" applyAlignment="1" applyProtection="1">
      <alignment horizontal="right" vertical="center"/>
    </xf>
    <xf numFmtId="182" fontId="28" fillId="0" borderId="285" xfId="0" applyNumberFormat="1" applyFont="1" applyFill="1" applyBorder="1" applyAlignment="1" applyProtection="1">
      <alignment horizontal="right" vertical="center"/>
    </xf>
    <xf numFmtId="182" fontId="28" fillId="0" borderId="269" xfId="0" applyNumberFormat="1" applyFont="1" applyFill="1" applyBorder="1" applyAlignment="1" applyProtection="1">
      <alignment horizontal="right" vertical="center"/>
    </xf>
    <xf numFmtId="182" fontId="28" fillId="0" borderId="231" xfId="0" applyNumberFormat="1" applyFont="1" applyFill="1" applyBorder="1" applyAlignment="1" applyProtection="1">
      <alignment horizontal="right" vertical="center"/>
    </xf>
    <xf numFmtId="182" fontId="28" fillId="0" borderId="117" xfId="0" applyNumberFormat="1" applyFont="1" applyFill="1" applyBorder="1" applyAlignment="1" applyProtection="1">
      <alignment horizontal="right" vertical="center"/>
    </xf>
    <xf numFmtId="182" fontId="28" fillId="0" borderId="136" xfId="0" applyNumberFormat="1" applyFont="1" applyFill="1" applyBorder="1" applyAlignment="1" applyProtection="1">
      <alignment horizontal="right" vertical="center"/>
    </xf>
    <xf numFmtId="0" fontId="28" fillId="0" borderId="231" xfId="0" applyNumberFormat="1" applyFont="1" applyFill="1" applyBorder="1" applyAlignment="1" applyProtection="1">
      <alignment horizontal="right"/>
    </xf>
    <xf numFmtId="0" fontId="28" fillId="0" borderId="0" xfId="0" applyNumberFormat="1" applyFont="1" applyFill="1" applyBorder="1" applyAlignment="1" applyProtection="1">
      <alignment horizontal="right"/>
    </xf>
    <xf numFmtId="0" fontId="28" fillId="0" borderId="6" xfId="0" applyNumberFormat="1" applyFont="1" applyFill="1" applyBorder="1" applyAlignment="1" applyProtection="1">
      <alignment horizontal="right"/>
    </xf>
    <xf numFmtId="0" fontId="28" fillId="0" borderId="231" xfId="0" applyNumberFormat="1" applyFont="1" applyFill="1" applyBorder="1" applyAlignment="1" applyProtection="1">
      <alignment horizontal="right" vertical="center"/>
    </xf>
    <xf numFmtId="0" fontId="28" fillId="0" borderId="277" xfId="0" applyNumberFormat="1" applyFont="1" applyFill="1" applyBorder="1" applyAlignment="1" applyProtection="1">
      <alignment horizontal="right" vertical="center"/>
    </xf>
    <xf numFmtId="0" fontId="28" fillId="0" borderId="0" xfId="0" applyNumberFormat="1" applyFont="1" applyFill="1" applyBorder="1" applyAlignment="1" applyProtection="1">
      <alignment horizontal="right" vertical="center"/>
    </xf>
    <xf numFmtId="0" fontId="28" fillId="0" borderId="6" xfId="0" applyNumberFormat="1" applyFont="1" applyFill="1" applyBorder="1" applyAlignment="1" applyProtection="1">
      <alignment horizontal="right" vertical="center"/>
    </xf>
    <xf numFmtId="0" fontId="28" fillId="0" borderId="495" xfId="0" applyNumberFormat="1" applyFont="1" applyFill="1" applyBorder="1" applyAlignment="1" applyProtection="1">
      <alignment horizontal="right" vertical="center"/>
    </xf>
    <xf numFmtId="183" fontId="28" fillId="0" borderId="254" xfId="0" applyNumberFormat="1" applyFont="1" applyFill="1" applyBorder="1" applyAlignment="1" applyProtection="1">
      <alignment horizontal="right" vertical="center"/>
    </xf>
    <xf numFmtId="183" fontId="28" fillId="0" borderId="268" xfId="0" applyNumberFormat="1" applyFont="1" applyFill="1" applyBorder="1" applyAlignment="1" applyProtection="1">
      <alignment horizontal="right" vertical="center"/>
    </xf>
    <xf numFmtId="183" fontId="28" fillId="0" borderId="285" xfId="0" applyNumberFormat="1" applyFont="1" applyFill="1" applyBorder="1" applyAlignment="1" applyProtection="1">
      <alignment horizontal="right" vertical="center"/>
    </xf>
    <xf numFmtId="183" fontId="28" fillId="0" borderId="269" xfId="0" applyNumberFormat="1" applyFont="1" applyFill="1" applyBorder="1" applyAlignment="1" applyProtection="1">
      <alignment horizontal="right" vertical="center"/>
    </xf>
    <xf numFmtId="183" fontId="28" fillId="0" borderId="105" xfId="0" applyNumberFormat="1" applyFont="1" applyFill="1" applyBorder="1" applyAlignment="1" applyProtection="1">
      <alignment horizontal="right" vertical="center"/>
    </xf>
    <xf numFmtId="183" fontId="28" fillId="0" borderId="0" xfId="0" applyNumberFormat="1" applyFont="1" applyFill="1" applyBorder="1" applyAlignment="1" applyProtection="1">
      <alignment horizontal="right" vertical="center"/>
    </xf>
    <xf numFmtId="183" fontId="28" fillId="0" borderId="6" xfId="0" applyNumberFormat="1" applyFont="1" applyFill="1" applyBorder="1" applyAlignment="1" applyProtection="1">
      <alignment horizontal="right" vertical="center"/>
    </xf>
    <xf numFmtId="183" fontId="28" fillId="0" borderId="107" xfId="0" applyNumberFormat="1" applyFont="1" applyFill="1" applyBorder="1" applyAlignment="1" applyProtection="1">
      <alignment horizontal="right" vertical="center"/>
    </xf>
    <xf numFmtId="183" fontId="28" fillId="0" borderId="309" xfId="0" applyNumberFormat="1" applyFont="1" applyFill="1" applyBorder="1" applyAlignment="1" applyProtection="1">
      <alignment horizontal="right" vertical="center"/>
    </xf>
    <xf numFmtId="183" fontId="28" fillId="0" borderId="1" xfId="0" applyNumberFormat="1" applyFont="1" applyFill="1" applyBorder="1" applyAlignment="1" applyProtection="1">
      <alignment horizontal="right" vertical="center"/>
    </xf>
    <xf numFmtId="183" fontId="28" fillId="0" borderId="299" xfId="0" applyNumberFormat="1" applyFont="1" applyFill="1" applyBorder="1" applyAlignment="1" applyProtection="1">
      <alignment horizontal="right" vertical="center"/>
    </xf>
    <xf numFmtId="0" fontId="64" fillId="0" borderId="295" xfId="0" applyFont="1" applyFill="1" applyBorder="1" applyAlignment="1" applyProtection="1">
      <alignment vertical="center" wrapText="1"/>
      <protection locked="0"/>
    </xf>
    <xf numFmtId="0" fontId="63" fillId="0" borderId="4" xfId="0" applyFont="1" applyFill="1" applyBorder="1" applyAlignment="1" applyProtection="1">
      <alignment vertical="center"/>
      <protection locked="0"/>
    </xf>
    <xf numFmtId="0" fontId="63" fillId="0" borderId="152" xfId="0" applyFont="1" applyFill="1" applyBorder="1" applyAlignment="1" applyProtection="1">
      <alignment vertical="center"/>
      <protection locked="0"/>
    </xf>
    <xf numFmtId="0" fontId="74" fillId="0" borderId="152" xfId="0" applyFont="1" applyFill="1" applyBorder="1" applyAlignment="1" applyProtection="1">
      <alignment vertical="center" wrapText="1"/>
      <protection locked="0"/>
    </xf>
    <xf numFmtId="0" fontId="64" fillId="0" borderId="231" xfId="0" applyNumberFormat="1" applyFont="1" applyFill="1" applyBorder="1" applyAlignment="1" applyProtection="1">
      <protection locked="0"/>
    </xf>
    <xf numFmtId="0" fontId="64" fillId="0" borderId="270" xfId="0" applyNumberFormat="1" applyFont="1" applyFill="1" applyBorder="1" applyAlignment="1" applyProtection="1">
      <protection locked="0"/>
    </xf>
    <xf numFmtId="0" fontId="64" fillId="0" borderId="458" xfId="0" applyFont="1" applyFill="1" applyBorder="1" applyAlignment="1" applyProtection="1">
      <alignment vertical="center" wrapText="1"/>
      <protection locked="0"/>
    </xf>
    <xf numFmtId="0" fontId="64" fillId="0" borderId="48" xfId="0" applyNumberFormat="1" applyFont="1" applyFill="1" applyBorder="1" applyAlignment="1" applyProtection="1">
      <protection locked="0"/>
    </xf>
    <xf numFmtId="0" fontId="64" fillId="0" borderId="462" xfId="0" applyNumberFormat="1" applyFont="1" applyFill="1" applyBorder="1" applyAlignment="1" applyProtection="1">
      <protection locked="0"/>
    </xf>
    <xf numFmtId="0" fontId="64" fillId="0" borderId="301" xfId="0" applyFont="1" applyFill="1" applyBorder="1" applyAlignment="1" applyProtection="1">
      <alignment vertical="center" wrapText="1"/>
      <protection locked="0"/>
    </xf>
    <xf numFmtId="0" fontId="63" fillId="0" borderId="302" xfId="0" applyFont="1" applyFill="1" applyBorder="1" applyAlignment="1" applyProtection="1">
      <alignment vertical="center"/>
      <protection locked="0"/>
    </xf>
    <xf numFmtId="0" fontId="63" fillId="0" borderId="303" xfId="0" applyFont="1" applyFill="1" applyBorder="1" applyAlignment="1" applyProtection="1">
      <alignment vertical="center"/>
      <protection locked="0"/>
    </xf>
    <xf numFmtId="0" fontId="74" fillId="0" borderId="303" xfId="0" applyFont="1" applyFill="1" applyBorder="1" applyAlignment="1" applyProtection="1">
      <alignment vertical="center" wrapText="1"/>
      <protection locked="0"/>
    </xf>
    <xf numFmtId="0" fontId="64" fillId="0" borderId="25" xfId="0" applyNumberFormat="1" applyFont="1" applyFill="1" applyBorder="1" applyAlignment="1" applyProtection="1">
      <protection locked="0"/>
    </xf>
    <xf numFmtId="0" fontId="64" fillId="0" borderId="304" xfId="0" applyNumberFormat="1" applyFont="1" applyFill="1" applyBorder="1" applyAlignment="1" applyProtection="1">
      <protection locked="0"/>
    </xf>
    <xf numFmtId="3" fontId="36" fillId="0" borderId="254" xfId="0" applyNumberFormat="1" applyFont="1" applyFill="1" applyBorder="1" applyAlignment="1">
      <alignment horizontal="right" vertical="center" shrinkToFit="1"/>
    </xf>
    <xf numFmtId="3" fontId="36" fillId="0" borderId="283" xfId="0" applyNumberFormat="1" applyFont="1" applyFill="1" applyBorder="1" applyAlignment="1">
      <alignment horizontal="right" vertical="center" shrinkToFit="1"/>
    </xf>
    <xf numFmtId="3" fontId="36" fillId="0" borderId="258" xfId="0" applyNumberFormat="1" applyFont="1" applyFill="1" applyBorder="1" applyAlignment="1">
      <alignment horizontal="right" vertical="center" shrinkToFit="1"/>
    </xf>
    <xf numFmtId="3" fontId="36" fillId="0" borderId="259" xfId="0" applyNumberFormat="1" applyFont="1" applyFill="1" applyBorder="1" applyAlignment="1">
      <alignment horizontal="right" vertical="center" shrinkToFit="1"/>
    </xf>
    <xf numFmtId="3" fontId="36" fillId="0" borderId="282" xfId="0" applyNumberFormat="1" applyFont="1" applyFill="1" applyBorder="1" applyAlignment="1">
      <alignment horizontal="right" vertical="center" shrinkToFit="1"/>
    </xf>
    <xf numFmtId="3" fontId="36" fillId="0" borderId="281" xfId="0" applyNumberFormat="1" applyFont="1" applyFill="1" applyBorder="1" applyAlignment="1">
      <alignment horizontal="right" vertical="center" shrinkToFit="1"/>
    </xf>
    <xf numFmtId="3" fontId="36" fillId="0" borderId="130" xfId="0" applyNumberFormat="1" applyFont="1" applyFill="1" applyBorder="1" applyAlignment="1">
      <alignment horizontal="right" vertical="center" shrinkToFit="1"/>
    </xf>
    <xf numFmtId="3" fontId="36" fillId="0" borderId="280" xfId="0" applyNumberFormat="1" applyFont="1" applyFill="1" applyBorder="1" applyAlignment="1">
      <alignment horizontal="right" vertical="center" shrinkToFit="1"/>
    </xf>
    <xf numFmtId="3" fontId="36" fillId="0" borderId="257" xfId="0" applyNumberFormat="1" applyFont="1" applyFill="1" applyBorder="1" applyAlignment="1">
      <alignment horizontal="right" vertical="center" shrinkToFit="1"/>
    </xf>
    <xf numFmtId="0" fontId="36" fillId="0" borderId="251" xfId="0" applyFont="1" applyFill="1" applyBorder="1" applyAlignment="1" applyProtection="1">
      <alignment horizontal="center" vertical="center"/>
      <protection locked="0"/>
    </xf>
    <xf numFmtId="0" fontId="36" fillId="0" borderId="464" xfId="0" applyFont="1" applyFill="1" applyBorder="1" applyAlignment="1" applyProtection="1">
      <alignment horizontal="center" vertical="center"/>
      <protection locked="0"/>
    </xf>
    <xf numFmtId="0" fontId="36" fillId="0" borderId="144" xfId="0" applyFont="1" applyFill="1" applyBorder="1" applyAlignment="1" applyProtection="1">
      <alignment horizontal="center" vertical="center"/>
      <protection locked="0"/>
    </xf>
    <xf numFmtId="0" fontId="85" fillId="0" borderId="485" xfId="1" applyBorder="1" applyAlignment="1" applyProtection="1">
      <alignment vertical="center"/>
    </xf>
    <xf numFmtId="0" fontId="85" fillId="0" borderId="0" xfId="1" applyBorder="1" applyAlignment="1" applyProtection="1">
      <alignment vertical="center"/>
    </xf>
    <xf numFmtId="183" fontId="85" fillId="0" borderId="232" xfId="1" applyNumberFormat="1" applyFill="1" applyBorder="1" applyAlignment="1" applyProtection="1">
      <alignment vertical="center" shrinkToFit="1"/>
    </xf>
    <xf numFmtId="38" fontId="85" fillId="10" borderId="123" xfId="1" applyNumberFormat="1" applyFill="1" applyBorder="1" applyAlignment="1" applyProtection="1">
      <alignment vertical="center" shrinkToFit="1"/>
      <protection locked="0"/>
    </xf>
    <xf numFmtId="38" fontId="85" fillId="10" borderId="186" xfId="1" applyNumberFormat="1" applyFill="1" applyBorder="1" applyAlignment="1" applyProtection="1">
      <alignment vertical="center" shrinkToFit="1"/>
      <protection locked="0"/>
    </xf>
    <xf numFmtId="0" fontId="85" fillId="0" borderId="38" xfId="1" applyBorder="1" applyAlignment="1" applyProtection="1">
      <alignment vertical="center"/>
    </xf>
    <xf numFmtId="0" fontId="85" fillId="0" borderId="0" xfId="1" applyFill="1" applyBorder="1" applyAlignment="1" applyProtection="1">
      <alignment horizontal="center" vertical="center" shrinkToFit="1"/>
    </xf>
    <xf numFmtId="183" fontId="85" fillId="0" borderId="0" xfId="1" applyNumberFormat="1" applyFill="1" applyBorder="1" applyAlignment="1" applyProtection="1">
      <alignment vertical="center" shrinkToFit="1"/>
    </xf>
    <xf numFmtId="183" fontId="85" fillId="0" borderId="0" xfId="1" applyNumberFormat="1" applyFill="1" applyBorder="1" applyAlignment="1" applyProtection="1">
      <alignment horizontal="right" vertical="center" shrinkToFit="1"/>
    </xf>
    <xf numFmtId="0" fontId="85" fillId="0" borderId="485" xfId="1" applyBorder="1" applyAlignment="1" applyProtection="1"/>
    <xf numFmtId="38" fontId="85" fillId="10" borderId="123" xfId="1" applyNumberFormat="1" applyFill="1" applyBorder="1" applyAlignment="1" applyProtection="1">
      <alignment vertical="center"/>
      <protection locked="0"/>
    </xf>
    <xf numFmtId="0" fontId="85" fillId="0" borderId="0" xfId="1" applyBorder="1" applyAlignment="1" applyProtection="1"/>
    <xf numFmtId="182" fontId="85" fillId="0" borderId="231" xfId="1" applyNumberFormat="1" applyFill="1" applyBorder="1" applyAlignment="1" applyProtection="1">
      <alignment vertical="center" shrinkToFit="1"/>
    </xf>
    <xf numFmtId="182" fontId="85" fillId="10" borderId="252" xfId="1" applyNumberFormat="1" applyFill="1" applyBorder="1" applyAlignment="1" applyProtection="1">
      <alignment vertical="center" shrinkToFit="1"/>
      <protection locked="0"/>
    </xf>
    <xf numFmtId="38" fontId="85" fillId="0" borderId="0" xfId="1" applyNumberFormat="1" applyBorder="1" applyAlignment="1" applyProtection="1">
      <alignment vertical="center"/>
    </xf>
    <xf numFmtId="182" fontId="85" fillId="0" borderId="328" xfId="1" applyNumberFormat="1" applyFill="1" applyBorder="1" applyAlignment="1" applyProtection="1">
      <alignment vertical="center"/>
    </xf>
    <xf numFmtId="182" fontId="85" fillId="10" borderId="186" xfId="1" applyNumberFormat="1" applyFill="1" applyBorder="1" applyAlignment="1" applyProtection="1">
      <alignment vertical="center"/>
      <protection locked="0"/>
    </xf>
    <xf numFmtId="0" fontId="85" fillId="0" borderId="0" xfId="2" applyBorder="1" applyAlignment="1" applyProtection="1">
      <alignment vertical="center"/>
    </xf>
    <xf numFmtId="0" fontId="85" fillId="0" borderId="0" xfId="2" applyBorder="1" applyAlignment="1" applyProtection="1">
      <alignment horizontal="left" vertical="center"/>
    </xf>
    <xf numFmtId="0" fontId="23" fillId="0" borderId="0" xfId="12" applyFont="1" applyAlignment="1">
      <alignment vertical="center" shrinkToFit="1"/>
    </xf>
    <xf numFmtId="0" fontId="8" fillId="0" borderId="0" xfId="0" applyFont="1" applyAlignment="1">
      <alignment vertical="center" shrinkToFit="1"/>
    </xf>
    <xf numFmtId="0" fontId="8" fillId="0" borderId="0" xfId="0" applyFont="1" applyAlignment="1">
      <alignment shrinkToFit="1"/>
    </xf>
    <xf numFmtId="0" fontId="23" fillId="0" borderId="0" xfId="12" applyFont="1" applyAlignment="1">
      <alignment horizontal="left" vertical="center" wrapText="1"/>
    </xf>
    <xf numFmtId="0" fontId="23" fillId="5" borderId="0" xfId="12" applyFont="1" applyFill="1" applyAlignment="1">
      <alignment horizontal="center" vertical="center" wrapText="1"/>
    </xf>
    <xf numFmtId="0" fontId="23" fillId="0" borderId="0" xfId="12" applyFont="1" applyAlignment="1">
      <alignment horizontal="center" vertical="center" wrapText="1"/>
    </xf>
    <xf numFmtId="0" fontId="8" fillId="0" borderId="0" xfId="0" applyFont="1" applyAlignment="1">
      <alignment horizontal="center" vertical="center"/>
    </xf>
    <xf numFmtId="0" fontId="8" fillId="8" borderId="0" xfId="0" applyFont="1" applyFill="1" applyAlignment="1">
      <alignment horizontal="center" vertical="center"/>
    </xf>
    <xf numFmtId="0" fontId="8" fillId="0" borderId="0" xfId="0" applyFont="1" applyAlignment="1">
      <alignment horizontal="center"/>
    </xf>
    <xf numFmtId="0" fontId="23" fillId="9" borderId="0" xfId="12" applyFont="1" applyFill="1" applyAlignment="1">
      <alignment horizontal="center" vertical="center" wrapText="1"/>
    </xf>
    <xf numFmtId="0" fontId="23" fillId="0" borderId="0" xfId="12" applyFont="1" applyAlignment="1">
      <alignment vertical="center"/>
    </xf>
    <xf numFmtId="0" fontId="23" fillId="0" borderId="63" xfId="12" applyFont="1" applyBorder="1" applyAlignment="1">
      <alignment vertical="center" shrinkToFit="1"/>
    </xf>
    <xf numFmtId="0" fontId="23" fillId="0" borderId="63" xfId="12" applyNumberFormat="1" applyFont="1" applyBorder="1" applyAlignment="1">
      <alignment vertical="center" shrinkToFit="1"/>
    </xf>
    <xf numFmtId="0" fontId="23" fillId="0" borderId="465" xfId="12" applyFont="1" applyFill="1" applyBorder="1" applyAlignment="1">
      <alignment vertical="center" shrinkToFit="1"/>
    </xf>
    <xf numFmtId="0" fontId="23" fillId="0" borderId="63" xfId="12" applyFont="1" applyBorder="1" applyAlignment="1">
      <alignment vertical="center"/>
    </xf>
    <xf numFmtId="0" fontId="23" fillId="0" borderId="133" xfId="12" applyFont="1" applyBorder="1" applyAlignment="1">
      <alignment vertical="center"/>
    </xf>
    <xf numFmtId="0" fontId="23" fillId="0" borderId="0" xfId="12" applyFont="1" applyBorder="1" applyAlignment="1">
      <alignment vertical="center"/>
    </xf>
    <xf numFmtId="0" fontId="8" fillId="0" borderId="0" xfId="0" applyFont="1" applyAlignment="1">
      <alignment vertical="center"/>
    </xf>
    <xf numFmtId="0" fontId="23" fillId="0" borderId="96" xfId="12" applyFont="1" applyBorder="1" applyAlignment="1">
      <alignment vertical="center"/>
    </xf>
    <xf numFmtId="0" fontId="23" fillId="0" borderId="92" xfId="12" applyFont="1" applyBorder="1" applyAlignment="1">
      <alignment vertical="center"/>
    </xf>
    <xf numFmtId="0" fontId="23" fillId="0" borderId="134" xfId="12" applyFont="1" applyBorder="1" applyAlignment="1">
      <alignment vertical="center"/>
    </xf>
    <xf numFmtId="0" fontId="23" fillId="0" borderId="135" xfId="12" applyFont="1" applyBorder="1" applyAlignment="1">
      <alignment vertical="center"/>
    </xf>
    <xf numFmtId="0" fontId="8" fillId="0" borderId="0" xfId="0" applyFont="1"/>
    <xf numFmtId="0" fontId="8" fillId="0" borderId="132" xfId="0" applyFont="1" applyBorder="1" applyAlignment="1">
      <alignment horizontal="center" vertical="center"/>
    </xf>
    <xf numFmtId="0" fontId="23" fillId="0" borderId="132" xfId="12" applyFont="1" applyBorder="1" applyAlignment="1">
      <alignment vertical="center" wrapText="1"/>
    </xf>
    <xf numFmtId="0" fontId="23" fillId="0" borderId="132" xfId="12" applyFont="1" applyBorder="1" applyAlignment="1">
      <alignment vertical="center"/>
    </xf>
    <xf numFmtId="0" fontId="23" fillId="0" borderId="132" xfId="12" applyFont="1" applyBorder="1" applyAlignment="1">
      <alignment horizontal="center" vertical="center"/>
    </xf>
    <xf numFmtId="0" fontId="23" fillId="0" borderId="101" xfId="12" applyFont="1" applyBorder="1" applyAlignment="1">
      <alignment vertical="center" shrinkToFit="1"/>
    </xf>
    <xf numFmtId="0" fontId="23" fillId="0" borderId="66" xfId="12" applyNumberFormat="1" applyFont="1" applyBorder="1" applyAlignment="1">
      <alignment vertical="center" shrinkToFit="1"/>
    </xf>
    <xf numFmtId="0" fontId="23" fillId="0" borderId="66" xfId="12" applyFont="1" applyFill="1" applyBorder="1" applyAlignment="1">
      <alignment vertical="center" shrinkToFit="1"/>
    </xf>
    <xf numFmtId="0" fontId="23" fillId="0" borderId="101" xfId="12" applyFont="1" applyBorder="1" applyAlignment="1">
      <alignment vertical="center"/>
    </xf>
    <xf numFmtId="0" fontId="23" fillId="0" borderId="66" xfId="12" applyFont="1" applyBorder="1" applyAlignment="1">
      <alignment vertical="center"/>
    </xf>
    <xf numFmtId="0" fontId="23" fillId="0" borderId="91" xfId="12" applyFont="1" applyBorder="1" applyAlignment="1">
      <alignment vertical="center"/>
    </xf>
    <xf numFmtId="0" fontId="23" fillId="0" borderId="7" xfId="12" applyFont="1" applyBorder="1" applyAlignment="1">
      <alignment vertical="center"/>
    </xf>
    <xf numFmtId="0" fontId="23" fillId="0" borderId="152" xfId="12" applyFont="1" applyBorder="1" applyAlignment="1">
      <alignment vertical="center"/>
    </xf>
    <xf numFmtId="0" fontId="23" fillId="0" borderId="6" xfId="12" applyFont="1" applyBorder="1" applyAlignment="1">
      <alignment vertical="center"/>
    </xf>
    <xf numFmtId="0" fontId="23" fillId="0" borderId="66" xfId="89" applyNumberFormat="1" applyFont="1" applyFill="1" applyBorder="1" applyAlignment="1">
      <alignment vertical="center" shrinkToFit="1"/>
    </xf>
    <xf numFmtId="0" fontId="23" fillId="0" borderId="88" xfId="12" applyFont="1" applyBorder="1" applyAlignment="1">
      <alignment vertical="center"/>
    </xf>
    <xf numFmtId="0" fontId="23" fillId="0" borderId="131" xfId="12" applyFont="1" applyBorder="1" applyAlignment="1">
      <alignment vertical="center"/>
    </xf>
    <xf numFmtId="0" fontId="23" fillId="0" borderId="66" xfId="12" applyFont="1" applyBorder="1" applyAlignment="1">
      <alignment vertical="center" shrinkToFit="1"/>
    </xf>
    <xf numFmtId="0" fontId="23" fillId="0" borderId="9" xfId="12" applyFont="1" applyBorder="1" applyAlignment="1">
      <alignment vertical="center"/>
    </xf>
    <xf numFmtId="0" fontId="31" fillId="0" borderId="1" xfId="0" applyFont="1" applyFill="1" applyBorder="1" applyAlignment="1">
      <alignment vertical="center" wrapText="1"/>
    </xf>
    <xf numFmtId="0" fontId="23" fillId="0" borderId="0" xfId="12" applyFont="1" applyFill="1" applyAlignment="1">
      <alignment vertical="center"/>
    </xf>
    <xf numFmtId="0" fontId="23" fillId="0" borderId="66" xfId="108" applyNumberFormat="1" applyFont="1" applyBorder="1" applyAlignment="1">
      <alignment vertical="center" shrinkToFit="1"/>
    </xf>
    <xf numFmtId="0" fontId="23" fillId="0" borderId="317" xfId="12" applyFont="1" applyBorder="1" applyAlignment="1">
      <alignment vertical="center"/>
    </xf>
    <xf numFmtId="0" fontId="23" fillId="0" borderId="66" xfId="0" applyFont="1" applyFill="1" applyBorder="1" applyAlignment="1">
      <alignment vertical="center" shrinkToFit="1"/>
    </xf>
    <xf numFmtId="0" fontId="23" fillId="0" borderId="101" xfId="12" applyFont="1" applyBorder="1" applyAlignment="1">
      <alignment vertical="center" wrapText="1"/>
    </xf>
    <xf numFmtId="0" fontId="23" fillId="0" borderId="131" xfId="0" applyFont="1" applyFill="1" applyBorder="1" applyAlignment="1">
      <alignment vertical="center" shrinkToFit="1"/>
    </xf>
    <xf numFmtId="0" fontId="23" fillId="0" borderId="8" xfId="12" applyFont="1" applyBorder="1" applyAlignment="1">
      <alignment vertical="center"/>
    </xf>
    <xf numFmtId="0" fontId="23" fillId="0" borderId="60" xfId="12" applyFont="1" applyBorder="1" applyAlignment="1">
      <alignment vertical="center"/>
    </xf>
    <xf numFmtId="0" fontId="23" fillId="0" borderId="136" xfId="12" applyFont="1" applyBorder="1" applyAlignment="1">
      <alignment vertical="center"/>
    </xf>
    <xf numFmtId="0" fontId="23" fillId="0" borderId="131" xfId="89" applyNumberFormat="1" applyFont="1" applyFill="1" applyBorder="1" applyAlignment="1">
      <alignment vertical="center" shrinkToFit="1"/>
    </xf>
    <xf numFmtId="0" fontId="23" fillId="0" borderId="8" xfId="12" applyFont="1" applyFill="1" applyBorder="1" applyAlignment="1">
      <alignment vertical="center"/>
    </xf>
    <xf numFmtId="0" fontId="23" fillId="0" borderId="231" xfId="12" applyFont="1" applyBorder="1" applyAlignment="1">
      <alignment horizontal="center" vertical="center" textRotation="255"/>
    </xf>
    <xf numFmtId="0" fontId="23" fillId="0" borderId="0" xfId="12" applyFont="1" applyBorder="1" applyAlignment="1">
      <alignment horizontal="center" vertical="center" textRotation="255"/>
    </xf>
    <xf numFmtId="0" fontId="23" fillId="0" borderId="66" xfId="12" applyFont="1" applyBorder="1" applyAlignment="1">
      <alignment vertical="center" wrapText="1"/>
    </xf>
    <xf numFmtId="0" fontId="23" fillId="0" borderId="131" xfId="12" applyFont="1" applyBorder="1" applyAlignment="1">
      <alignment vertical="center" wrapText="1"/>
    </xf>
    <xf numFmtId="0" fontId="23" fillId="0" borderId="465" xfId="0" applyFont="1" applyFill="1" applyBorder="1" applyAlignment="1">
      <alignment vertical="center" shrinkToFit="1"/>
    </xf>
    <xf numFmtId="0" fontId="23" fillId="0" borderId="131" xfId="12" applyFont="1" applyFill="1" applyBorder="1" applyAlignment="1">
      <alignment vertical="center" shrinkToFit="1"/>
    </xf>
    <xf numFmtId="0" fontId="23" fillId="6" borderId="500" xfId="0" applyFont="1" applyFill="1" applyBorder="1" applyAlignment="1">
      <alignment horizontal="center" vertical="center" shrinkToFit="1"/>
    </xf>
    <xf numFmtId="0" fontId="23" fillId="0" borderId="500" xfId="89" applyNumberFormat="1" applyFont="1" applyFill="1" applyBorder="1" applyAlignment="1">
      <alignment horizontal="center" vertical="center" shrinkToFit="1"/>
    </xf>
    <xf numFmtId="0" fontId="23" fillId="0" borderId="500" xfId="0" applyNumberFormat="1" applyFont="1" applyFill="1" applyBorder="1" applyAlignment="1">
      <alignment horizontal="center" vertical="center" shrinkToFit="1"/>
    </xf>
    <xf numFmtId="0" fontId="0" fillId="8" borderId="1" xfId="0" applyFont="1" applyFill="1" applyBorder="1" applyAlignment="1">
      <alignment horizontal="center" vertical="center"/>
    </xf>
    <xf numFmtId="0" fontId="0" fillId="8" borderId="0" xfId="0" applyFont="1" applyFill="1" applyAlignment="1">
      <alignment horizontal="center" vertical="center"/>
    </xf>
    <xf numFmtId="0" fontId="0" fillId="0" borderId="500" xfId="0" applyFont="1" applyFill="1" applyBorder="1" applyAlignment="1">
      <alignment horizontal="center" vertical="center" wrapText="1"/>
    </xf>
    <xf numFmtId="0" fontId="23" fillId="0" borderId="500" xfId="0" applyFont="1" applyBorder="1" applyAlignment="1">
      <alignment horizontal="center" vertical="center" shrinkToFit="1"/>
    </xf>
    <xf numFmtId="0" fontId="0" fillId="0" borderId="1" xfId="0" applyFont="1" applyFill="1" applyBorder="1" applyAlignment="1">
      <alignment vertical="center" wrapText="1"/>
    </xf>
    <xf numFmtId="0" fontId="0" fillId="6" borderId="500" xfId="0" applyFont="1" applyFill="1" applyBorder="1" applyAlignment="1">
      <alignment horizontal="center" vertical="center" shrinkToFit="1"/>
    </xf>
    <xf numFmtId="0" fontId="23" fillId="0" borderId="465" xfId="0" applyNumberFormat="1" applyFont="1" applyFill="1" applyBorder="1" applyAlignment="1">
      <alignment vertical="center" shrinkToFit="1"/>
    </xf>
    <xf numFmtId="0" fontId="0" fillId="0" borderId="500" xfId="0" applyFont="1" applyFill="1" applyBorder="1" applyAlignment="1">
      <alignment vertical="center" wrapText="1"/>
    </xf>
    <xf numFmtId="0" fontId="0" fillId="0" borderId="500" xfId="0" applyNumberFormat="1" applyFont="1" applyFill="1" applyBorder="1" applyAlignment="1">
      <alignment horizontal="center" vertical="center" shrinkToFit="1"/>
    </xf>
    <xf numFmtId="0" fontId="0" fillId="0" borderId="0" xfId="0" applyFont="1" applyAlignment="1">
      <alignment horizontal="center"/>
    </xf>
    <xf numFmtId="0" fontId="0" fillId="0" borderId="0" xfId="0" applyFont="1"/>
    <xf numFmtId="0" fontId="0" fillId="0" borderId="0" xfId="0" applyFont="1" applyAlignment="1">
      <alignment vertical="center" shrinkToFit="1"/>
    </xf>
    <xf numFmtId="0" fontId="0" fillId="0" borderId="0" xfId="0" applyFont="1" applyAlignment="1">
      <alignment horizontal="center" vertical="center" shrinkToFit="1"/>
    </xf>
    <xf numFmtId="0" fontId="0" fillId="0" borderId="0" xfId="0" applyFont="1" applyAlignment="1">
      <alignment shrinkToFit="1"/>
    </xf>
    <xf numFmtId="0" fontId="0" fillId="0" borderId="0" xfId="0" applyFont="1" applyAlignment="1">
      <alignment horizontal="center" shrinkToFit="1"/>
    </xf>
    <xf numFmtId="0" fontId="0" fillId="8" borderId="1" xfId="0" applyFont="1" applyFill="1" applyBorder="1" applyAlignment="1">
      <alignment vertical="center"/>
    </xf>
    <xf numFmtId="0" fontId="23" fillId="0" borderId="465" xfId="89" applyNumberFormat="1" applyFont="1" applyFill="1" applyBorder="1" applyAlignment="1">
      <alignment vertical="center" shrinkToFit="1"/>
    </xf>
    <xf numFmtId="0" fontId="31" fillId="0" borderId="500" xfId="0" applyFont="1" applyFill="1" applyBorder="1" applyAlignment="1">
      <alignment vertical="center" wrapText="1"/>
    </xf>
    <xf numFmtId="0" fontId="23" fillId="0" borderId="231" xfId="89" applyNumberFormat="1" applyFont="1" applyFill="1" applyBorder="1" applyAlignment="1">
      <alignment vertical="center" shrinkToFit="1"/>
    </xf>
    <xf numFmtId="0" fontId="0" fillId="0" borderId="0" xfId="0" applyFont="1" applyAlignment="1">
      <alignment vertical="center"/>
    </xf>
    <xf numFmtId="38" fontId="64" fillId="4" borderId="499" xfId="11" applyFont="1" applyFill="1" applyBorder="1" applyAlignment="1" applyProtection="1">
      <alignment vertical="center" shrinkToFit="1"/>
      <protection locked="0"/>
    </xf>
    <xf numFmtId="3" fontId="23" fillId="0" borderId="465" xfId="0" applyNumberFormat="1" applyFont="1" applyFill="1" applyBorder="1" applyAlignment="1" applyProtection="1">
      <alignment vertical="center"/>
    </xf>
    <xf numFmtId="3" fontId="28" fillId="0" borderId="500" xfId="11" applyNumberFormat="1" applyFont="1" applyFill="1" applyBorder="1" applyAlignment="1" applyProtection="1">
      <alignment vertical="center" shrinkToFit="1"/>
    </xf>
    <xf numFmtId="0" fontId="0" fillId="0" borderId="0" xfId="0" applyBorder="1" applyAlignment="1" applyProtection="1">
      <alignment horizontal="center"/>
    </xf>
    <xf numFmtId="3" fontId="28" fillId="0" borderId="473" xfId="11" applyNumberFormat="1" applyFont="1" applyFill="1" applyBorder="1" applyAlignment="1" applyProtection="1">
      <alignment vertical="center" shrinkToFit="1"/>
    </xf>
    <xf numFmtId="0" fontId="64" fillId="10" borderId="185" xfId="0" applyFont="1" applyFill="1" applyBorder="1" applyAlignment="1" applyProtection="1">
      <alignment horizontal="center" vertical="center"/>
      <protection locked="0"/>
    </xf>
    <xf numFmtId="188" fontId="36" fillId="10" borderId="470" xfId="0" applyNumberFormat="1" applyFont="1" applyFill="1" applyBorder="1" applyAlignment="1" applyProtection="1">
      <alignment vertical="center" shrinkToFit="1"/>
      <protection locked="0"/>
    </xf>
    <xf numFmtId="188" fontId="36" fillId="10" borderId="184" xfId="0" applyNumberFormat="1" applyFont="1" applyFill="1" applyBorder="1" applyAlignment="1" applyProtection="1">
      <alignment vertical="center" shrinkToFit="1"/>
      <protection locked="0"/>
    </xf>
    <xf numFmtId="38" fontId="64" fillId="4" borderId="463" xfId="11" applyFont="1" applyFill="1" applyBorder="1" applyAlignment="1" applyProtection="1">
      <alignment vertical="center" shrinkToFit="1"/>
      <protection locked="0"/>
    </xf>
    <xf numFmtId="0" fontId="85" fillId="0" borderId="6" xfId="1" applyFill="1" applyBorder="1" applyAlignment="1" applyProtection="1">
      <alignment horizontal="center" vertical="center" shrinkToFit="1"/>
    </xf>
    <xf numFmtId="0" fontId="85" fillId="7" borderId="233" xfId="1" applyFill="1" applyBorder="1" applyAlignment="1" applyProtection="1">
      <alignment vertical="center" wrapText="1" shrinkToFit="1"/>
      <protection locked="0"/>
    </xf>
    <xf numFmtId="38" fontId="85" fillId="7" borderId="248" xfId="1" applyNumberFormat="1" applyFill="1" applyBorder="1" applyAlignment="1" applyProtection="1">
      <alignment vertical="center"/>
      <protection locked="0"/>
    </xf>
    <xf numFmtId="0" fontId="85" fillId="7" borderId="332" xfId="1" applyFill="1" applyBorder="1" applyAlignment="1" applyProtection="1">
      <alignment horizontal="center" vertical="center" justifyLastLine="1"/>
      <protection locked="0"/>
    </xf>
    <xf numFmtId="0" fontId="85" fillId="0" borderId="0" xfId="1" applyFill="1" applyBorder="1" applyAlignment="1" applyProtection="1">
      <alignment vertical="center"/>
    </xf>
    <xf numFmtId="0" fontId="85" fillId="4" borderId="41" xfId="1" applyFill="1" applyBorder="1" applyAlignment="1" applyProtection="1">
      <alignment vertical="center" wrapText="1" shrinkToFit="1"/>
      <protection locked="0"/>
    </xf>
    <xf numFmtId="38" fontId="85" fillId="4" borderId="246" xfId="1" applyNumberFormat="1" applyFill="1" applyBorder="1" applyAlignment="1" applyProtection="1">
      <alignment vertical="center" wrapText="1"/>
      <protection locked="0"/>
    </xf>
    <xf numFmtId="38" fontId="85" fillId="4" borderId="218" xfId="1" applyNumberFormat="1" applyFill="1" applyBorder="1" applyAlignment="1" applyProtection="1">
      <alignment horizontal="center" vertical="center" wrapText="1"/>
      <protection locked="0"/>
    </xf>
    <xf numFmtId="0" fontId="85" fillId="4" borderId="148" xfId="1" applyFill="1" applyBorder="1" applyAlignment="1" applyProtection="1">
      <alignment horizontal="center" vertical="center" justifyLastLine="1"/>
      <protection locked="0"/>
    </xf>
    <xf numFmtId="38" fontId="85" fillId="7" borderId="60" xfId="1" applyNumberFormat="1" applyFill="1" applyBorder="1" applyAlignment="1" applyProtection="1">
      <alignment vertical="center"/>
      <protection locked="0"/>
    </xf>
    <xf numFmtId="0" fontId="85" fillId="7" borderId="118" xfId="1" applyFill="1" applyBorder="1" applyAlignment="1" applyProtection="1">
      <alignment horizontal="center" vertical="center" justifyLastLine="1"/>
      <protection locked="0"/>
    </xf>
    <xf numFmtId="0" fontId="85" fillId="4" borderId="40" xfId="1" applyFill="1" applyBorder="1" applyAlignment="1" applyProtection="1">
      <alignment vertical="center" wrapText="1" shrinkToFit="1"/>
      <protection locked="0"/>
    </xf>
    <xf numFmtId="38" fontId="85" fillId="4" borderId="98" xfId="1" applyNumberFormat="1" applyFill="1" applyBorder="1" applyAlignment="1" applyProtection="1">
      <alignment vertical="center" wrapText="1"/>
      <protection locked="0"/>
    </xf>
    <xf numFmtId="38" fontId="85" fillId="2" borderId="217" xfId="1" applyNumberFormat="1" applyFill="1" applyBorder="1" applyAlignment="1" applyProtection="1">
      <alignment horizontal="center" vertical="center"/>
      <protection locked="0"/>
    </xf>
    <xf numFmtId="0" fontId="85" fillId="4" borderId="392" xfId="1" applyFill="1" applyBorder="1" applyAlignment="1" applyProtection="1">
      <alignment horizontal="center" vertical="center" justifyLastLine="1"/>
      <protection locked="0"/>
    </xf>
    <xf numFmtId="183" fontId="85" fillId="0" borderId="328" xfId="1" applyNumberFormat="1" applyFill="1" applyBorder="1" applyAlignment="1" applyProtection="1">
      <alignment vertical="center" shrinkToFit="1"/>
    </xf>
    <xf numFmtId="38" fontId="85" fillId="10" borderId="417" xfId="1" applyNumberFormat="1" applyFill="1" applyBorder="1" applyAlignment="1" applyProtection="1">
      <alignment vertical="center" shrinkToFit="1"/>
      <protection locked="0"/>
    </xf>
    <xf numFmtId="38" fontId="85" fillId="10" borderId="418" xfId="1" applyNumberFormat="1" applyFill="1" applyBorder="1" applyAlignment="1" applyProtection="1">
      <alignment vertical="center" shrinkToFit="1"/>
      <protection locked="0"/>
    </xf>
    <xf numFmtId="0" fontId="71" fillId="0" borderId="277" xfId="0" applyNumberFormat="1" applyFont="1" applyFill="1" applyBorder="1" applyAlignment="1" applyProtection="1">
      <alignment horizontal="center" vertical="center"/>
    </xf>
    <xf numFmtId="0" fontId="71" fillId="0" borderId="91" xfId="0" applyNumberFormat="1" applyFont="1" applyFill="1" applyBorder="1" applyAlignment="1" applyProtection="1">
      <alignment horizontal="center" vertical="center"/>
    </xf>
    <xf numFmtId="0" fontId="71" fillId="0" borderId="1" xfId="0" applyNumberFormat="1" applyFont="1" applyFill="1" applyBorder="1" applyAlignment="1" applyProtection="1">
      <alignment horizontal="center" vertical="center"/>
    </xf>
    <xf numFmtId="0" fontId="71" fillId="0" borderId="136" xfId="0" applyNumberFormat="1" applyFont="1" applyFill="1" applyBorder="1" applyAlignment="1" applyProtection="1">
      <alignment horizontal="center" vertical="center"/>
    </xf>
    <xf numFmtId="0" fontId="23" fillId="0" borderId="268" xfId="0" applyFont="1" applyBorder="1" applyAlignment="1" applyProtection="1">
      <alignment horizontal="center" vertical="center"/>
    </xf>
    <xf numFmtId="0" fontId="23" fillId="0" borderId="286" xfId="0" applyFont="1" applyBorder="1" applyAlignment="1" applyProtection="1">
      <alignment horizontal="center" vertical="center"/>
    </xf>
    <xf numFmtId="0" fontId="23" fillId="0" borderId="285" xfId="0" applyFont="1" applyBorder="1" applyAlignment="1" applyProtection="1">
      <alignment horizontal="center" vertical="center"/>
    </xf>
    <xf numFmtId="0" fontId="26" fillId="0" borderId="278" xfId="0" applyFont="1" applyFill="1" applyBorder="1" applyAlignment="1" applyProtection="1">
      <alignment horizontal="center" vertical="center" wrapText="1"/>
    </xf>
    <xf numFmtId="0" fontId="26" fillId="0" borderId="231" xfId="0" applyFont="1" applyFill="1" applyBorder="1" applyAlignment="1" applyProtection="1">
      <alignment horizontal="center" vertical="center" wrapText="1"/>
    </xf>
    <xf numFmtId="0" fontId="26" fillId="0" borderId="277" xfId="0" applyFont="1" applyFill="1" applyBorder="1" applyAlignment="1" applyProtection="1">
      <alignment horizontal="center" vertical="center" wrapText="1"/>
    </xf>
    <xf numFmtId="0" fontId="26" fillId="0" borderId="91" xfId="0" applyFont="1" applyFill="1" applyBorder="1" applyAlignment="1" applyProtection="1">
      <alignment horizontal="center" vertical="center" wrapText="1"/>
    </xf>
    <xf numFmtId="0" fontId="26" fillId="0" borderId="1" xfId="0" applyFont="1" applyFill="1" applyBorder="1" applyAlignment="1" applyProtection="1">
      <alignment horizontal="center" vertical="center" wrapText="1"/>
    </xf>
    <xf numFmtId="0" fontId="26" fillId="0" borderId="136" xfId="0" applyFont="1" applyFill="1" applyBorder="1" applyAlignment="1" applyProtection="1">
      <alignment horizontal="center" vertical="center" wrapText="1"/>
    </xf>
    <xf numFmtId="0" fontId="30" fillId="0" borderId="154" xfId="0" applyFont="1" applyFill="1" applyBorder="1" applyAlignment="1" applyProtection="1">
      <alignment horizontal="center" vertical="center"/>
    </xf>
    <xf numFmtId="0" fontId="30" fillId="0" borderId="155" xfId="0" applyFont="1" applyFill="1" applyBorder="1" applyAlignment="1" applyProtection="1">
      <alignment horizontal="center" vertical="center"/>
    </xf>
    <xf numFmtId="0" fontId="30" fillId="0" borderId="156" xfId="0" applyFont="1" applyFill="1" applyBorder="1" applyAlignment="1" applyProtection="1">
      <alignment horizontal="center" vertical="center"/>
    </xf>
    <xf numFmtId="0" fontId="29" fillId="0" borderId="22" xfId="0" applyFont="1" applyFill="1" applyBorder="1" applyAlignment="1" applyProtection="1">
      <alignment horizontal="center" vertical="center"/>
    </xf>
    <xf numFmtId="0" fontId="29" fillId="0" borderId="13" xfId="0" applyFont="1" applyFill="1" applyBorder="1" applyAlignment="1" applyProtection="1">
      <alignment horizontal="center" vertical="center"/>
    </xf>
    <xf numFmtId="0" fontId="29" fillId="0" borderId="14" xfId="0" applyFont="1" applyFill="1" applyBorder="1" applyAlignment="1" applyProtection="1">
      <alignment horizontal="center" vertical="center"/>
    </xf>
    <xf numFmtId="0" fontId="34" fillId="0" borderId="0" xfId="0" applyFont="1" applyFill="1" applyAlignment="1" applyProtection="1">
      <alignment horizontal="left" vertical="top" wrapText="1"/>
    </xf>
    <xf numFmtId="0" fontId="45" fillId="0" borderId="0" xfId="0" applyFont="1" applyFill="1" applyAlignment="1" applyProtection="1">
      <alignment horizontal="center" vertical="center"/>
    </xf>
    <xf numFmtId="0" fontId="47" fillId="0" borderId="0" xfId="0" applyFont="1" applyFill="1" applyAlignment="1" applyProtection="1">
      <alignment horizontal="center" vertical="center"/>
    </xf>
    <xf numFmtId="0" fontId="47" fillId="0" borderId="0" xfId="0" applyFont="1" applyFill="1" applyAlignment="1" applyProtection="1">
      <alignment horizontal="center" vertical="center" shrinkToFit="1"/>
    </xf>
    <xf numFmtId="0" fontId="34" fillId="0" borderId="436" xfId="0" applyFont="1" applyFill="1" applyBorder="1" applyAlignment="1" applyProtection="1">
      <alignment vertical="top" wrapText="1"/>
      <protection locked="0"/>
    </xf>
    <xf numFmtId="0" fontId="34" fillId="0" borderId="231" xfId="0" applyFont="1" applyBorder="1" applyAlignment="1" applyProtection="1">
      <alignment vertical="top" wrapText="1"/>
      <protection locked="0"/>
    </xf>
    <xf numFmtId="0" fontId="34" fillId="0" borderId="277" xfId="0" applyFont="1" applyBorder="1" applyAlignment="1" applyProtection="1">
      <alignment vertical="top" wrapText="1"/>
      <protection locked="0"/>
    </xf>
    <xf numFmtId="0" fontId="34" fillId="0" borderId="152" xfId="0" applyFont="1" applyBorder="1" applyAlignment="1" applyProtection="1">
      <alignment vertical="top" wrapText="1"/>
      <protection locked="0"/>
    </xf>
    <xf numFmtId="0" fontId="34" fillId="0" borderId="0" xfId="0" applyFont="1" applyBorder="1" applyAlignment="1" applyProtection="1">
      <alignment vertical="top" wrapText="1"/>
      <protection locked="0"/>
    </xf>
    <xf numFmtId="0" fontId="34" fillId="0" borderId="6" xfId="0" applyFont="1" applyBorder="1" applyAlignment="1" applyProtection="1">
      <alignment vertical="top" wrapText="1"/>
      <protection locked="0"/>
    </xf>
    <xf numFmtId="0" fontId="34" fillId="0" borderId="91" xfId="0" applyFont="1" applyBorder="1" applyAlignment="1" applyProtection="1">
      <alignment vertical="top" wrapText="1"/>
      <protection locked="0"/>
    </xf>
    <xf numFmtId="0" fontId="34" fillId="0" borderId="1" xfId="0" applyFont="1" applyBorder="1" applyAlignment="1" applyProtection="1">
      <alignment vertical="top" wrapText="1"/>
      <protection locked="0"/>
    </xf>
    <xf numFmtId="0" fontId="34" fillId="0" borderId="136" xfId="0" applyFont="1" applyBorder="1" applyAlignment="1" applyProtection="1">
      <alignment vertical="top" wrapText="1"/>
      <protection locked="0"/>
    </xf>
    <xf numFmtId="0" fontId="23" fillId="0" borderId="465" xfId="0" applyFont="1" applyFill="1" applyBorder="1" applyAlignment="1" applyProtection="1">
      <alignment horizontal="center" vertical="center" wrapText="1"/>
    </xf>
    <xf numFmtId="0" fontId="0" fillId="0" borderId="131" xfId="0" applyBorder="1" applyAlignment="1" applyProtection="1">
      <alignment horizontal="center" vertical="center"/>
    </xf>
    <xf numFmtId="0" fontId="0" fillId="0" borderId="436" xfId="0" applyFill="1" applyBorder="1" applyAlignment="1" applyProtection="1">
      <alignment horizontal="center" vertical="center"/>
    </xf>
    <xf numFmtId="0" fontId="0" fillId="0" borderId="231" xfId="0" applyBorder="1" applyAlignment="1" applyProtection="1">
      <alignment horizontal="center" vertical="center"/>
    </xf>
    <xf numFmtId="0" fontId="0" fillId="0" borderId="277" xfId="0" applyBorder="1" applyAlignment="1" applyProtection="1">
      <alignment horizontal="center" vertical="center"/>
    </xf>
    <xf numFmtId="0" fontId="0" fillId="0" borderId="91" xfId="0" applyBorder="1" applyAlignment="1" applyProtection="1">
      <alignment horizontal="center" vertical="center"/>
    </xf>
    <xf numFmtId="0" fontId="0" fillId="0" borderId="1" xfId="0" applyBorder="1" applyAlignment="1" applyProtection="1">
      <alignment horizontal="center" vertical="center"/>
    </xf>
    <xf numFmtId="0" fontId="0" fillId="0" borderId="136" xfId="0" applyBorder="1" applyAlignment="1" applyProtection="1">
      <alignment horizontal="center" vertical="center"/>
    </xf>
    <xf numFmtId="0" fontId="84" fillId="4" borderId="80" xfId="0" applyFont="1" applyFill="1" applyBorder="1" applyAlignment="1" applyProtection="1">
      <alignment horizontal="center" vertical="center" wrapText="1"/>
    </xf>
    <xf numFmtId="0" fontId="84" fillId="4" borderId="82" xfId="0" applyFont="1" applyFill="1" applyBorder="1" applyAlignment="1" applyProtection="1">
      <alignment horizontal="center" vertical="center" wrapText="1"/>
    </xf>
    <xf numFmtId="0" fontId="41" fillId="4" borderId="73" xfId="0" applyFont="1" applyFill="1" applyBorder="1" applyAlignment="1">
      <alignment horizontal="center" vertical="center"/>
    </xf>
    <xf numFmtId="0" fontId="41" fillId="4" borderId="74" xfId="0" applyFont="1" applyFill="1" applyBorder="1" applyAlignment="1">
      <alignment horizontal="center" vertical="center"/>
    </xf>
    <xf numFmtId="0" fontId="41" fillId="4" borderId="83" xfId="0" applyFont="1" applyFill="1" applyBorder="1" applyAlignment="1">
      <alignment horizontal="center" vertical="center"/>
    </xf>
    <xf numFmtId="0" fontId="41" fillId="4" borderId="84" xfId="0" applyFont="1" applyFill="1" applyBorder="1" applyAlignment="1">
      <alignment horizontal="center" vertical="center"/>
    </xf>
    <xf numFmtId="0" fontId="41" fillId="4" borderId="85" xfId="0" applyFont="1" applyFill="1" applyBorder="1" applyAlignment="1">
      <alignment horizontal="center" vertical="center"/>
    </xf>
    <xf numFmtId="0" fontId="41" fillId="4" borderId="86" xfId="0" applyFont="1" applyFill="1" applyBorder="1" applyAlignment="1">
      <alignment horizontal="center" vertical="center"/>
    </xf>
    <xf numFmtId="0" fontId="16" fillId="0" borderId="231" xfId="0" applyFont="1" applyFill="1" applyBorder="1" applyAlignment="1" applyProtection="1">
      <alignment horizontal="center"/>
      <protection hidden="1"/>
    </xf>
    <xf numFmtId="0" fontId="16" fillId="0" borderId="0" xfId="0" applyFont="1" applyFill="1" applyAlignment="1" applyProtection="1">
      <alignment horizontal="center" vertical="center"/>
      <protection hidden="1"/>
    </xf>
    <xf numFmtId="0" fontId="16" fillId="0" borderId="0" xfId="0" applyFont="1" applyFill="1" applyBorder="1" applyAlignment="1" applyProtection="1">
      <alignment horizontal="center"/>
      <protection hidden="1"/>
    </xf>
    <xf numFmtId="0" fontId="41" fillId="4" borderId="73" xfId="0" applyFont="1" applyFill="1" applyBorder="1" applyAlignment="1" applyProtection="1">
      <alignment horizontal="center" vertical="center"/>
    </xf>
    <xf numFmtId="0" fontId="41" fillId="4" borderId="74" xfId="0" applyFont="1" applyFill="1" applyBorder="1" applyAlignment="1" applyProtection="1">
      <alignment horizontal="center" vertical="center"/>
    </xf>
    <xf numFmtId="0" fontId="41" fillId="4" borderId="80" xfId="0" applyFont="1" applyFill="1" applyBorder="1" applyAlignment="1" applyProtection="1">
      <alignment horizontal="center" vertical="center"/>
    </xf>
    <xf numFmtId="0" fontId="41" fillId="4" borderId="82" xfId="0" applyFont="1" applyFill="1" applyBorder="1" applyAlignment="1" applyProtection="1">
      <alignment horizontal="center" vertical="center"/>
    </xf>
    <xf numFmtId="0" fontId="84" fillId="4" borderId="75" xfId="0" applyFont="1" applyFill="1" applyBorder="1" applyAlignment="1" applyProtection="1">
      <alignment horizontal="center" vertical="center" wrapText="1"/>
    </xf>
    <xf numFmtId="0" fontId="84" fillId="4" borderId="77" xfId="0" applyFont="1" applyFill="1" applyBorder="1" applyAlignment="1" applyProtection="1">
      <alignment horizontal="center" vertical="center" wrapText="1"/>
    </xf>
    <xf numFmtId="0" fontId="37" fillId="4" borderId="79" xfId="0" applyFont="1" applyFill="1" applyBorder="1" applyAlignment="1">
      <alignment horizontal="center" vertical="center"/>
    </xf>
    <xf numFmtId="0" fontId="37" fillId="4" borderId="81" xfId="0" applyFont="1" applyFill="1" applyBorder="1" applyAlignment="1">
      <alignment horizontal="center" vertical="center"/>
    </xf>
    <xf numFmtId="0" fontId="28" fillId="0" borderId="10" xfId="10" applyFont="1" applyFill="1" applyBorder="1" applyAlignment="1">
      <alignment horizontal="distributed" vertical="center"/>
    </xf>
    <xf numFmtId="0" fontId="28" fillId="0" borderId="0" xfId="10" applyFont="1" applyFill="1" applyBorder="1" applyAlignment="1">
      <alignment horizontal="distributed" vertical="center"/>
    </xf>
    <xf numFmtId="0" fontId="28" fillId="0" borderId="19" xfId="10" applyFont="1" applyFill="1" applyBorder="1" applyAlignment="1">
      <alignment horizontal="distributed" vertical="center"/>
    </xf>
    <xf numFmtId="0" fontId="28" fillId="0" borderId="223" xfId="10" applyFont="1" applyFill="1" applyBorder="1" applyAlignment="1">
      <alignment horizontal="distributed" vertical="center"/>
    </xf>
    <xf numFmtId="0" fontId="41" fillId="4" borderId="76" xfId="0" applyFont="1" applyFill="1" applyBorder="1" applyAlignment="1" applyProtection="1">
      <alignment horizontal="center" vertical="center"/>
    </xf>
    <xf numFmtId="0" fontId="41" fillId="4" borderId="78" xfId="0" applyFont="1" applyFill="1" applyBorder="1" applyAlignment="1" applyProtection="1">
      <alignment horizontal="center" vertical="center"/>
    </xf>
    <xf numFmtId="0" fontId="37" fillId="4" borderId="68" xfId="0" applyFont="1" applyFill="1" applyBorder="1" applyAlignment="1">
      <alignment horizontal="center" vertical="center" wrapText="1"/>
    </xf>
    <xf numFmtId="0" fontId="37" fillId="4" borderId="67" xfId="0" applyFont="1" applyFill="1" applyBorder="1" applyAlignment="1">
      <alignment horizontal="center" vertical="center" wrapText="1"/>
    </xf>
    <xf numFmtId="0" fontId="37" fillId="4" borderId="70" xfId="0" applyFont="1" applyFill="1" applyBorder="1" applyAlignment="1">
      <alignment horizontal="center" vertical="center" wrapText="1"/>
    </xf>
    <xf numFmtId="0" fontId="37" fillId="4" borderId="69" xfId="0" applyFont="1" applyFill="1" applyBorder="1" applyAlignment="1">
      <alignment horizontal="center" vertical="center" wrapText="1"/>
    </xf>
    <xf numFmtId="0" fontId="27" fillId="0" borderId="22" xfId="0" applyFont="1" applyBorder="1" applyAlignment="1">
      <alignment horizontal="center" vertical="center"/>
    </xf>
    <xf numFmtId="0" fontId="27" fillId="0" borderId="13" xfId="0" applyFont="1" applyBorder="1" applyAlignment="1">
      <alignment horizontal="center" vertical="center"/>
    </xf>
    <xf numFmtId="0" fontId="27" fillId="0" borderId="14" xfId="0" applyFont="1" applyBorder="1" applyAlignment="1">
      <alignment horizontal="center" vertical="center"/>
    </xf>
    <xf numFmtId="0" fontId="27" fillId="0" borderId="19" xfId="0" applyFont="1" applyBorder="1" applyAlignment="1">
      <alignment horizontal="center" vertical="center"/>
    </xf>
    <xf numFmtId="0" fontId="27" fillId="0" borderId="223" xfId="0" applyFont="1" applyBorder="1" applyAlignment="1">
      <alignment horizontal="center" vertical="center"/>
    </xf>
    <xf numFmtId="0" fontId="27" fillId="0" borderId="221" xfId="0" applyFont="1" applyBorder="1" applyAlignment="1">
      <alignment horizontal="center" vertical="center"/>
    </xf>
    <xf numFmtId="0" fontId="28" fillId="0" borderId="22" xfId="0" applyFont="1" applyBorder="1" applyAlignment="1" applyProtection="1">
      <alignment horizontal="center" vertical="center"/>
    </xf>
    <xf numFmtId="0" fontId="28" fillId="0" borderId="13" xfId="0" applyFont="1" applyBorder="1" applyAlignment="1" applyProtection="1">
      <alignment horizontal="center" vertical="center"/>
    </xf>
    <xf numFmtId="0" fontId="28" fillId="0" borderId="10" xfId="0" applyFont="1" applyBorder="1" applyAlignment="1" applyProtection="1">
      <alignment horizontal="center" vertical="center"/>
    </xf>
    <xf numFmtId="0" fontId="28" fillId="0" borderId="0" xfId="0" applyFont="1" applyBorder="1" applyAlignment="1" applyProtection="1">
      <alignment horizontal="center" vertical="center"/>
    </xf>
    <xf numFmtId="0" fontId="28" fillId="0" borderId="24" xfId="0" applyFont="1" applyBorder="1" applyAlignment="1">
      <alignment horizontal="center" vertical="center"/>
    </xf>
    <xf numFmtId="0" fontId="28" fillId="0" borderId="13" xfId="0" applyFont="1" applyBorder="1" applyAlignment="1">
      <alignment horizontal="center" vertical="center"/>
    </xf>
    <xf numFmtId="0" fontId="28" fillId="0" borderId="16" xfId="0" applyFont="1" applyBorder="1" applyAlignment="1">
      <alignment horizontal="center" vertical="center"/>
    </xf>
    <xf numFmtId="0" fontId="28" fillId="0" borderId="152" xfId="0" applyFont="1" applyBorder="1" applyAlignment="1">
      <alignment horizontal="center" vertical="center"/>
    </xf>
    <xf numFmtId="0" fontId="28" fillId="0" borderId="0" xfId="0" applyFont="1" applyBorder="1" applyAlignment="1">
      <alignment horizontal="center" vertical="center"/>
    </xf>
    <xf numFmtId="0" fontId="28" fillId="0" borderId="6" xfId="0" applyFont="1" applyBorder="1" applyAlignment="1">
      <alignment horizontal="center" vertical="center"/>
    </xf>
    <xf numFmtId="0" fontId="26" fillId="0" borderId="24" xfId="0" applyFont="1" applyBorder="1" applyAlignment="1">
      <alignment horizontal="distributed" vertical="center" wrapText="1"/>
    </xf>
    <xf numFmtId="0" fontId="26" fillId="0" borderId="13" xfId="0" applyFont="1" applyBorder="1" applyAlignment="1">
      <alignment horizontal="distributed" vertical="center"/>
    </xf>
    <xf numFmtId="0" fontId="26" fillId="0" borderId="14" xfId="0" applyFont="1" applyBorder="1" applyAlignment="1">
      <alignment horizontal="distributed" vertical="center"/>
    </xf>
    <xf numFmtId="0" fontId="26" fillId="0" borderId="152" xfId="0" applyFont="1" applyBorder="1" applyAlignment="1">
      <alignment horizontal="distributed" vertical="center"/>
    </xf>
    <xf numFmtId="0" fontId="26" fillId="0" borderId="0" xfId="0" applyFont="1" applyBorder="1" applyAlignment="1">
      <alignment horizontal="distributed" vertical="center"/>
    </xf>
    <xf numFmtId="0" fontId="26" fillId="0" borderId="21" xfId="0" applyFont="1" applyBorder="1" applyAlignment="1">
      <alignment horizontal="distributed" vertical="center"/>
    </xf>
    <xf numFmtId="0" fontId="24" fillId="0" borderId="278" xfId="0" applyFont="1" applyBorder="1" applyAlignment="1">
      <alignment horizontal="center" vertical="center" shrinkToFit="1"/>
    </xf>
    <xf numFmtId="0" fontId="24" fillId="0" borderId="277" xfId="0" applyFont="1" applyBorder="1" applyAlignment="1">
      <alignment horizontal="center" vertical="center" shrinkToFit="1"/>
    </xf>
    <xf numFmtId="0" fontId="16" fillId="0" borderId="1" xfId="0" applyFont="1" applyFill="1" applyBorder="1" applyAlignment="1" applyProtection="1">
      <alignment horizontal="center"/>
      <protection hidden="1"/>
    </xf>
    <xf numFmtId="0" fontId="84" fillId="4" borderId="73" xfId="0" applyFont="1" applyFill="1" applyBorder="1" applyAlignment="1" applyProtection="1">
      <alignment horizontal="center" vertical="center" wrapText="1"/>
    </xf>
    <xf numFmtId="0" fontId="84" fillId="4" borderId="74" xfId="0" applyFont="1" applyFill="1" applyBorder="1" applyAlignment="1" applyProtection="1">
      <alignment horizontal="center" vertical="center" wrapText="1"/>
    </xf>
    <xf numFmtId="0" fontId="28" fillId="0" borderId="22" xfId="10" applyFont="1" applyFill="1" applyBorder="1" applyAlignment="1">
      <alignment horizontal="distributed" vertical="center"/>
    </xf>
    <xf numFmtId="0" fontId="28" fillId="0" borderId="13" xfId="10" applyFont="1" applyFill="1" applyBorder="1" applyAlignment="1">
      <alignment horizontal="distributed" vertical="center"/>
    </xf>
    <xf numFmtId="0" fontId="5" fillId="0" borderId="246" xfId="0" applyFont="1" applyBorder="1" applyAlignment="1" applyProtection="1">
      <alignment horizontal="left" vertical="center" wrapText="1"/>
    </xf>
    <xf numFmtId="0" fontId="5" fillId="0" borderId="228" xfId="0" applyFont="1" applyBorder="1" applyAlignment="1" applyProtection="1">
      <alignment horizontal="left" vertical="center" wrapText="1"/>
    </xf>
    <xf numFmtId="0" fontId="5" fillId="0" borderId="229" xfId="0" applyFont="1" applyBorder="1" applyAlignment="1" applyProtection="1">
      <alignment horizontal="left" vertical="center" wrapText="1"/>
    </xf>
    <xf numFmtId="0" fontId="5" fillId="0" borderId="141" xfId="0" applyFont="1" applyBorder="1" applyAlignment="1" applyProtection="1">
      <alignment horizontal="left" vertical="center" wrapText="1"/>
    </xf>
    <xf numFmtId="0" fontId="5" fillId="0" borderId="139" xfId="0" applyFont="1" applyBorder="1" applyAlignment="1" applyProtection="1">
      <alignment horizontal="left" vertical="center" wrapText="1"/>
    </xf>
    <xf numFmtId="0" fontId="5" fillId="0" borderId="159" xfId="0" applyFont="1" applyBorder="1" applyAlignment="1" applyProtection="1">
      <alignment horizontal="left" vertical="center" wrapText="1"/>
    </xf>
    <xf numFmtId="0" fontId="12" fillId="0" borderId="0" xfId="0" applyFont="1" applyBorder="1" applyAlignment="1" applyProtection="1">
      <alignment horizontal="left" wrapText="1"/>
    </xf>
    <xf numFmtId="0" fontId="12" fillId="0" borderId="87" xfId="0" applyFont="1" applyBorder="1" applyAlignment="1" applyProtection="1">
      <alignment horizontal="left" wrapText="1"/>
    </xf>
    <xf numFmtId="0" fontId="28" fillId="0" borderId="235" xfId="0" applyFont="1" applyBorder="1" applyAlignment="1" applyProtection="1">
      <alignment horizontal="left" vertical="top" wrapText="1"/>
      <protection locked="0"/>
    </xf>
    <xf numFmtId="0" fontId="28" fillId="0" borderId="231" xfId="0" applyFont="1" applyBorder="1" applyAlignment="1" applyProtection="1">
      <alignment horizontal="left" vertical="top" wrapText="1"/>
      <protection locked="0"/>
    </xf>
    <xf numFmtId="0" fontId="28" fillId="0" borderId="234" xfId="0" applyFont="1" applyBorder="1" applyAlignment="1" applyProtection="1">
      <alignment horizontal="left" vertical="top" wrapText="1"/>
      <protection locked="0"/>
    </xf>
    <xf numFmtId="0" fontId="28" fillId="0" borderId="10" xfId="0" applyFont="1" applyBorder="1" applyAlignment="1" applyProtection="1">
      <alignment horizontal="left" vertical="top" wrapText="1"/>
      <protection locked="0"/>
    </xf>
    <xf numFmtId="0" fontId="28" fillId="0" borderId="0" xfId="0" applyFont="1" applyBorder="1" applyAlignment="1" applyProtection="1">
      <alignment horizontal="left" vertical="top" wrapText="1"/>
      <protection locked="0"/>
    </xf>
    <xf numFmtId="0" fontId="28" fillId="0" borderId="21" xfId="0" applyFont="1" applyBorder="1" applyAlignment="1" applyProtection="1">
      <alignment horizontal="left" vertical="top" wrapText="1"/>
      <protection locked="0"/>
    </xf>
    <xf numFmtId="0" fontId="28" fillId="0" borderId="19" xfId="0" applyFont="1" applyBorder="1" applyAlignment="1" applyProtection="1">
      <alignment horizontal="left" vertical="top" wrapText="1"/>
      <protection locked="0"/>
    </xf>
    <xf numFmtId="0" fontId="28" fillId="0" borderId="223" xfId="0" applyFont="1" applyBorder="1" applyAlignment="1" applyProtection="1">
      <alignment horizontal="left" vertical="top" wrapText="1"/>
      <protection locked="0"/>
    </xf>
    <xf numFmtId="0" fontId="28" fillId="0" borderId="221" xfId="0" applyFont="1" applyBorder="1" applyAlignment="1" applyProtection="1">
      <alignment horizontal="left" vertical="top" wrapText="1"/>
      <protection locked="0"/>
    </xf>
    <xf numFmtId="0" fontId="33" fillId="0" borderId="154" xfId="0" applyFont="1" applyBorder="1" applyAlignment="1" applyProtection="1">
      <alignment horizontal="center" vertical="center"/>
    </xf>
    <xf numFmtId="0" fontId="33" fillId="0" borderId="156" xfId="0" applyFont="1" applyBorder="1" applyAlignment="1" applyProtection="1">
      <alignment horizontal="center" vertical="center"/>
    </xf>
    <xf numFmtId="0" fontId="23" fillId="0" borderId="154" xfId="0" applyFont="1" applyBorder="1" applyAlignment="1" applyProtection="1">
      <alignment horizontal="center" vertical="center"/>
    </xf>
    <xf numFmtId="0" fontId="23" fillId="0" borderId="156" xfId="0" applyFont="1" applyBorder="1" applyAlignment="1" applyProtection="1">
      <alignment horizontal="center" vertical="center"/>
    </xf>
    <xf numFmtId="0" fontId="33" fillId="0" borderId="155" xfId="0" applyFont="1" applyBorder="1" applyAlignment="1" applyProtection="1">
      <alignment horizontal="center" vertical="center"/>
    </xf>
    <xf numFmtId="0" fontId="5" fillId="0" borderId="11" xfId="0" applyFont="1" applyBorder="1" applyAlignment="1" applyProtection="1">
      <alignment horizontal="left" vertical="center" wrapText="1"/>
    </xf>
    <xf numFmtId="0" fontId="5" fillId="0" borderId="1" xfId="0" applyFont="1" applyBorder="1" applyAlignment="1" applyProtection="1">
      <alignment horizontal="left" vertical="center" wrapText="1"/>
    </xf>
    <xf numFmtId="0" fontId="5" fillId="0" borderId="3" xfId="0" applyFont="1" applyBorder="1" applyAlignment="1" applyProtection="1">
      <alignment horizontal="left" vertical="center" wrapText="1"/>
    </xf>
    <xf numFmtId="0" fontId="33" fillId="0" borderId="111" xfId="0" applyFont="1" applyBorder="1" applyAlignment="1" applyProtection="1">
      <alignment horizontal="center" vertical="center"/>
    </xf>
    <xf numFmtId="0" fontId="33" fillId="0" borderId="486" xfId="0" applyFont="1" applyBorder="1" applyAlignment="1" applyProtection="1">
      <alignment horizontal="center" vertical="center"/>
    </xf>
    <xf numFmtId="0" fontId="33" fillId="0" borderId="246" xfId="0" applyFont="1" applyBorder="1" applyAlignment="1" applyProtection="1">
      <alignment horizontal="center" vertical="center"/>
    </xf>
    <xf numFmtId="0" fontId="33" fillId="0" borderId="376" xfId="0" applyFont="1" applyBorder="1" applyAlignment="1" applyProtection="1">
      <alignment horizontal="center" vertical="center"/>
    </xf>
    <xf numFmtId="0" fontId="33" fillId="0" borderId="141" xfId="0" applyFont="1" applyBorder="1" applyAlignment="1" applyProtection="1">
      <alignment horizontal="center" vertical="center"/>
    </xf>
    <xf numFmtId="0" fontId="33" fillId="0" borderId="159" xfId="0" applyFont="1" applyBorder="1" applyAlignment="1" applyProtection="1">
      <alignment horizontal="center" vertical="center"/>
    </xf>
    <xf numFmtId="0" fontId="0" fillId="0" borderId="22" xfId="0" applyBorder="1" applyAlignment="1" applyProtection="1">
      <alignment horizontal="center" vertical="center" wrapText="1"/>
    </xf>
    <xf numFmtId="0" fontId="0" fillId="0" borderId="14" xfId="0" applyBorder="1" applyAlignment="1" applyProtection="1">
      <alignment horizontal="center" vertical="center"/>
    </xf>
    <xf numFmtId="0" fontId="23" fillId="0" borderId="29" xfId="0" applyFont="1" applyBorder="1" applyAlignment="1" applyProtection="1">
      <alignment horizontal="center" vertical="center"/>
    </xf>
    <xf numFmtId="0" fontId="0" fillId="0" borderId="30" xfId="0" applyBorder="1" applyAlignment="1" applyProtection="1">
      <alignment horizontal="center" vertical="center"/>
    </xf>
    <xf numFmtId="0" fontId="0" fillId="0" borderId="31" xfId="0" applyBorder="1" applyAlignment="1" applyProtection="1">
      <alignment horizontal="center" vertical="center"/>
    </xf>
    <xf numFmtId="0" fontId="23" fillId="0" borderId="22" xfId="7" applyFont="1" applyFill="1" applyBorder="1" applyAlignment="1" applyProtection="1">
      <alignment horizontal="center" vertical="center" wrapText="1"/>
    </xf>
    <xf numFmtId="0" fontId="23" fillId="0" borderId="19" xfId="7" applyFont="1" applyFill="1" applyBorder="1" applyAlignment="1" applyProtection="1">
      <alignment horizontal="center" vertical="center" wrapText="1"/>
    </xf>
    <xf numFmtId="0" fontId="23" fillId="0" borderId="111" xfId="0" applyFont="1" applyFill="1" applyBorder="1" applyAlignment="1" applyProtection="1">
      <alignment horizontal="center" vertical="center" wrapText="1"/>
    </xf>
    <xf numFmtId="0" fontId="23" fillId="0" borderId="12" xfId="0" applyFont="1" applyFill="1" applyBorder="1" applyAlignment="1" applyProtection="1">
      <alignment horizontal="center" vertical="center" wrapText="1"/>
    </xf>
    <xf numFmtId="0" fontId="23" fillId="0" borderId="26" xfId="0" applyFont="1" applyFill="1" applyBorder="1" applyAlignment="1" applyProtection="1">
      <alignment horizontal="center" vertical="center" wrapText="1"/>
    </xf>
    <xf numFmtId="0" fontId="23" fillId="0" borderId="242" xfId="0" applyFont="1" applyFill="1" applyBorder="1" applyAlignment="1" applyProtection="1">
      <alignment horizontal="center" vertical="center" wrapText="1"/>
    </xf>
    <xf numFmtId="0" fontId="23" fillId="0" borderId="194" xfId="0" applyFont="1" applyFill="1" applyBorder="1" applyAlignment="1" applyProtection="1">
      <alignment horizontal="center" vertical="center" wrapText="1"/>
    </xf>
    <xf numFmtId="0" fontId="23" fillId="0" borderId="233" xfId="0" applyFont="1" applyFill="1" applyBorder="1" applyAlignment="1" applyProtection="1">
      <alignment horizontal="center" vertical="center"/>
    </xf>
    <xf numFmtId="0" fontId="23" fillId="0" borderId="192" xfId="0" applyFont="1" applyFill="1" applyBorder="1" applyAlignment="1" applyProtection="1">
      <alignment horizontal="center" vertical="center"/>
    </xf>
    <xf numFmtId="0" fontId="76" fillId="0" borderId="245" xfId="0" applyFont="1" applyBorder="1" applyAlignment="1" applyProtection="1">
      <alignment horizontal="center" vertical="center"/>
    </xf>
    <xf numFmtId="0" fontId="76" fillId="0" borderId="245" xfId="0" applyFont="1" applyBorder="1" applyAlignment="1" applyProtection="1">
      <alignment horizontal="distributed" vertical="center" justifyLastLine="1"/>
    </xf>
    <xf numFmtId="0" fontId="0" fillId="0" borderId="245" xfId="0" applyBorder="1" applyAlignment="1" applyProtection="1">
      <alignment horizontal="distributed" vertical="center" justifyLastLine="1"/>
    </xf>
    <xf numFmtId="183" fontId="64" fillId="0" borderId="268" xfId="0" applyNumberFormat="1" applyFont="1" applyBorder="1" applyAlignment="1" applyProtection="1">
      <alignment horizontal="left" vertical="center" shrinkToFit="1"/>
    </xf>
    <xf numFmtId="183" fontId="64" fillId="0" borderId="285" xfId="0" applyNumberFormat="1" applyFont="1" applyBorder="1" applyAlignment="1" applyProtection="1">
      <alignment horizontal="left" vertical="center" shrinkToFit="1"/>
    </xf>
    <xf numFmtId="0" fontId="36" fillId="0" borderId="268" xfId="0" applyFont="1" applyBorder="1" applyAlignment="1" applyProtection="1">
      <alignment horizontal="center" vertical="center" justifyLastLine="1"/>
    </xf>
    <xf numFmtId="0" fontId="36" fillId="0" borderId="285" xfId="0" applyFont="1" applyBorder="1" applyAlignment="1" applyProtection="1">
      <alignment horizontal="center" vertical="center" justifyLastLine="1"/>
    </xf>
    <xf numFmtId="0" fontId="76" fillId="0" borderId="500" xfId="0" applyFont="1" applyBorder="1" applyAlignment="1" applyProtection="1">
      <alignment horizontal="center" vertical="center" wrapText="1"/>
    </xf>
    <xf numFmtId="0" fontId="76" fillId="0" borderId="465" xfId="0" applyFont="1" applyBorder="1" applyAlignment="1" applyProtection="1">
      <alignment horizontal="center" vertical="center" wrapText="1"/>
    </xf>
    <xf numFmtId="0" fontId="64" fillId="0" borderId="268" xfId="0" applyFont="1" applyBorder="1" applyAlignment="1" applyProtection="1">
      <alignment horizontal="center" vertical="center" justifyLastLine="1"/>
    </xf>
    <xf numFmtId="0" fontId="64" fillId="0" borderId="285" xfId="0" applyFont="1" applyBorder="1" applyAlignment="1" applyProtection="1">
      <alignment horizontal="center" vertical="center" justifyLastLine="1"/>
    </xf>
    <xf numFmtId="0" fontId="12" fillId="0" borderId="10" xfId="0" applyFont="1" applyBorder="1" applyAlignment="1" applyProtection="1">
      <alignment horizontal="left" vertical="center" wrapText="1"/>
    </xf>
    <xf numFmtId="0" fontId="12" fillId="0" borderId="0" xfId="0" applyFont="1" applyAlignment="1" applyProtection="1">
      <alignment horizontal="left" vertical="center" wrapText="1"/>
    </xf>
    <xf numFmtId="0" fontId="12" fillId="0" borderId="10" xfId="0" applyFont="1" applyBorder="1" applyAlignment="1" applyProtection="1">
      <alignment wrapText="1"/>
    </xf>
    <xf numFmtId="0" fontId="12" fillId="0" borderId="0" xfId="0" applyFont="1" applyAlignment="1" applyProtection="1">
      <alignment wrapText="1"/>
    </xf>
    <xf numFmtId="0" fontId="13" fillId="0" borderId="111" xfId="0" applyFont="1" applyBorder="1" applyAlignment="1" applyProtection="1">
      <alignment vertical="center" wrapText="1"/>
    </xf>
    <xf numFmtId="0" fontId="13" fillId="0" borderId="120" xfId="0" applyFont="1" applyBorder="1" applyAlignment="1" applyProtection="1">
      <alignment wrapText="1"/>
    </xf>
    <xf numFmtId="0" fontId="13" fillId="0" borderId="246" xfId="0" applyFont="1" applyBorder="1" applyAlignment="1" applyProtection="1">
      <alignment vertical="center" wrapText="1"/>
    </xf>
    <xf numFmtId="0" fontId="13" fillId="0" borderId="42" xfId="0" applyFont="1" applyBorder="1" applyAlignment="1" applyProtection="1">
      <alignment wrapText="1"/>
    </xf>
    <xf numFmtId="0" fontId="13" fillId="0" borderId="141" xfId="0" applyFont="1" applyBorder="1" applyAlignment="1" applyProtection="1">
      <alignment vertical="center" wrapText="1"/>
    </xf>
    <xf numFmtId="0" fontId="13" fillId="0" borderId="125" xfId="0" applyFont="1" applyBorder="1" applyAlignment="1" applyProtection="1">
      <alignment wrapText="1"/>
    </xf>
    <xf numFmtId="3" fontId="64" fillId="0" borderId="367" xfId="0" applyNumberFormat="1" applyFont="1" applyFill="1" applyBorder="1" applyAlignment="1" applyProtection="1">
      <alignment vertical="center"/>
    </xf>
    <xf numFmtId="3" fontId="64" fillId="0" borderId="368" xfId="0" applyNumberFormat="1" applyFont="1" applyFill="1" applyBorder="1" applyAlignment="1" applyProtection="1">
      <alignment vertical="center"/>
    </xf>
    <xf numFmtId="3" fontId="64" fillId="0" borderId="369" xfId="0" applyNumberFormat="1" applyFont="1" applyFill="1" applyBorder="1" applyAlignment="1" applyProtection="1">
      <alignment vertical="center"/>
    </xf>
    <xf numFmtId="3" fontId="64" fillId="0" borderId="370" xfId="0" applyNumberFormat="1" applyFont="1" applyFill="1" applyBorder="1" applyAlignment="1" applyProtection="1">
      <alignment vertical="center"/>
    </xf>
    <xf numFmtId="0" fontId="13" fillId="0" borderId="12" xfId="0" applyFont="1" applyBorder="1" applyAlignment="1" applyProtection="1">
      <alignment wrapText="1"/>
    </xf>
    <xf numFmtId="0" fontId="12" fillId="0" borderId="246" xfId="0" applyFont="1" applyBorder="1" applyAlignment="1" applyProtection="1">
      <alignment vertical="center" wrapText="1"/>
    </xf>
    <xf numFmtId="0" fontId="12" fillId="0" borderId="286" xfId="0" applyFont="1" applyBorder="1" applyAlignment="1" applyProtection="1">
      <alignment vertical="center" wrapText="1"/>
    </xf>
    <xf numFmtId="0" fontId="12" fillId="0" borderId="141" xfId="0" applyFont="1" applyBorder="1" applyAlignment="1" applyProtection="1">
      <alignment vertical="center"/>
    </xf>
    <xf numFmtId="0" fontId="12" fillId="0" borderId="139" xfId="0" applyFont="1" applyBorder="1" applyAlignment="1" applyProtection="1"/>
    <xf numFmtId="3" fontId="64" fillId="0" borderId="363" xfId="0" applyNumberFormat="1" applyFont="1" applyBorder="1" applyAlignment="1" applyProtection="1">
      <alignment horizontal="right" vertical="center"/>
    </xf>
    <xf numFmtId="3" fontId="64" fillId="0" borderId="364" xfId="0" applyNumberFormat="1" applyFont="1" applyBorder="1" applyAlignment="1" applyProtection="1">
      <alignment horizontal="right" vertical="center"/>
    </xf>
    <xf numFmtId="3" fontId="64" fillId="0" borderId="365" xfId="0" applyNumberFormat="1" applyFont="1" applyBorder="1" applyAlignment="1" applyProtection="1">
      <alignment horizontal="right" vertical="center"/>
    </xf>
    <xf numFmtId="0" fontId="28" fillId="0" borderId="248" xfId="10" applyFont="1" applyFill="1" applyBorder="1" applyAlignment="1" applyProtection="1">
      <alignment horizontal="center" vertical="center" shrinkToFit="1"/>
    </xf>
    <xf numFmtId="0" fontId="28" fillId="0" borderId="286" xfId="10" applyFont="1" applyFill="1" applyBorder="1" applyAlignment="1" applyProtection="1">
      <alignment horizontal="center" vertical="center" shrinkToFit="1"/>
    </xf>
    <xf numFmtId="0" fontId="28" fillId="0" borderId="248" xfId="0" applyFont="1" applyFill="1" applyBorder="1" applyAlignment="1" applyProtection="1">
      <alignment horizontal="left" vertical="center" wrapText="1"/>
    </xf>
    <xf numFmtId="0" fontId="0" fillId="0" borderId="285" xfId="0" applyFill="1" applyBorder="1" applyAlignment="1" applyProtection="1">
      <alignment vertical="center"/>
    </xf>
    <xf numFmtId="0" fontId="36" fillId="0" borderId="245" xfId="0" applyFont="1" applyBorder="1" applyAlignment="1" applyProtection="1">
      <alignment horizontal="center" vertical="center" wrapText="1"/>
    </xf>
    <xf numFmtId="0" fontId="28" fillId="0" borderId="152" xfId="0" applyFont="1" applyBorder="1" applyAlignment="1" applyProtection="1">
      <alignment horizontal="left" vertical="center" wrapText="1"/>
    </xf>
    <xf numFmtId="0" fontId="0" fillId="0" borderId="152" xfId="0" applyBorder="1" applyAlignment="1" applyProtection="1">
      <alignment horizontal="left" vertical="center"/>
    </xf>
    <xf numFmtId="0" fontId="36" fillId="0" borderId="245" xfId="0" applyFont="1" applyBorder="1" applyAlignment="1" applyProtection="1">
      <alignment horizontal="distributed" vertical="center"/>
    </xf>
    <xf numFmtId="0" fontId="76" fillId="0" borderId="248" xfId="0" applyFont="1" applyBorder="1" applyAlignment="1" applyProtection="1">
      <alignment horizontal="distributed" vertical="center"/>
    </xf>
    <xf numFmtId="0" fontId="36" fillId="0" borderId="245" xfId="0" applyFont="1" applyFill="1" applyBorder="1" applyAlignment="1" applyProtection="1">
      <alignment horizontal="distributed" vertical="center" justifyLastLine="1"/>
    </xf>
    <xf numFmtId="0" fontId="23" fillId="0" borderId="121" xfId="0" applyFont="1" applyBorder="1" applyAlignment="1" applyProtection="1">
      <alignment horizontal="center" vertical="center" wrapText="1"/>
    </xf>
    <xf numFmtId="0" fontId="0" fillId="0" borderId="181" xfId="0" applyBorder="1" applyAlignment="1" applyProtection="1">
      <alignment horizontal="center" vertical="center"/>
    </xf>
    <xf numFmtId="0" fontId="36" fillId="0" borderId="236" xfId="0" applyFont="1" applyBorder="1" applyAlignment="1" applyProtection="1">
      <alignment horizontal="center" vertical="center"/>
    </xf>
    <xf numFmtId="0" fontId="76" fillId="0" borderId="9" xfId="0" applyFont="1" applyBorder="1" applyAlignment="1" applyProtection="1">
      <alignment horizontal="center" vertical="center"/>
    </xf>
    <xf numFmtId="0" fontId="36" fillId="0" borderId="236" xfId="0" applyFont="1" applyFill="1" applyBorder="1" applyAlignment="1" applyProtection="1">
      <alignment horizontal="center" vertical="center" wrapText="1"/>
    </xf>
    <xf numFmtId="0" fontId="36" fillId="0" borderId="256" xfId="0" applyFont="1" applyFill="1" applyBorder="1" applyAlignment="1" applyProtection="1">
      <alignment horizontal="center" vertical="center" wrapText="1"/>
    </xf>
    <xf numFmtId="0" fontId="36" fillId="0" borderId="0" xfId="0" applyFont="1" applyBorder="1" applyAlignment="1" applyProtection="1">
      <alignment horizontal="center" vertical="center"/>
    </xf>
    <xf numFmtId="0" fontId="29" fillId="0" borderId="132" xfId="0" applyFont="1" applyBorder="1" applyAlignment="1" applyProtection="1">
      <alignment horizontal="center" vertical="center"/>
    </xf>
    <xf numFmtId="0" fontId="36" fillId="0" borderId="132" xfId="0" applyFont="1" applyBorder="1" applyAlignment="1" applyProtection="1">
      <alignment horizontal="center" vertical="center"/>
    </xf>
    <xf numFmtId="0" fontId="36" fillId="0" borderId="317" xfId="0" applyFont="1" applyBorder="1" applyAlignment="1" applyProtection="1">
      <alignment horizontal="center" vertical="center"/>
    </xf>
    <xf numFmtId="0" fontId="36" fillId="0" borderId="132" xfId="0" applyFont="1" applyBorder="1" applyAlignment="1" applyProtection="1">
      <alignment horizontal="center" vertical="center" wrapText="1"/>
    </xf>
    <xf numFmtId="0" fontId="36" fillId="0" borderId="132" xfId="0" applyFont="1" applyFill="1" applyBorder="1" applyAlignment="1" applyProtection="1">
      <alignment horizontal="center" vertical="center" wrapText="1"/>
    </xf>
    <xf numFmtId="0" fontId="36" fillId="0" borderId="465" xfId="0" applyFont="1" applyFill="1" applyBorder="1" applyAlignment="1" applyProtection="1">
      <alignment horizontal="center" vertical="center" wrapText="1"/>
    </xf>
    <xf numFmtId="0" fontId="23" fillId="0" borderId="181" xfId="0" applyFont="1" applyBorder="1" applyAlignment="1" applyProtection="1">
      <alignment horizontal="center" vertical="center" wrapText="1"/>
    </xf>
    <xf numFmtId="0" fontId="36" fillId="0" borderId="231" xfId="5" applyFont="1" applyBorder="1" applyAlignment="1" applyProtection="1">
      <alignment horizontal="distributed" vertical="center" justifyLastLine="1"/>
    </xf>
    <xf numFmtId="0" fontId="76" fillId="0" borderId="231" xfId="0" applyFont="1" applyBorder="1" applyAlignment="1" applyProtection="1">
      <alignment horizontal="distributed" vertical="center" justifyLastLine="1"/>
    </xf>
    <xf numFmtId="0" fontId="25" fillId="0" borderId="121" xfId="0" applyFont="1" applyBorder="1" applyAlignment="1" applyProtection="1">
      <alignment horizontal="distributed" vertical="center" wrapText="1"/>
    </xf>
    <xf numFmtId="0" fontId="25" fillId="0" borderId="181" xfId="0" applyFont="1" applyBorder="1" applyAlignment="1" applyProtection="1">
      <alignment horizontal="distributed" vertical="center"/>
    </xf>
    <xf numFmtId="0" fontId="36" fillId="0" borderId="132" xfId="10" applyFont="1" applyFill="1" applyBorder="1" applyAlignment="1" applyProtection="1">
      <alignment horizontal="distributed" vertical="center"/>
    </xf>
    <xf numFmtId="0" fontId="36" fillId="0" borderId="248" xfId="10" applyFont="1" applyFill="1" applyBorder="1" applyAlignment="1" applyProtection="1">
      <alignment horizontal="distributed" vertical="center"/>
    </xf>
    <xf numFmtId="0" fontId="23" fillId="0" borderId="248" xfId="0" applyFont="1" applyBorder="1" applyAlignment="1" applyProtection="1">
      <alignment horizontal="center" vertical="center" wrapText="1"/>
    </xf>
    <xf numFmtId="0" fontId="0" fillId="0" borderId="285" xfId="0" applyBorder="1" applyAlignment="1" applyProtection="1">
      <alignment vertical="center"/>
    </xf>
    <xf numFmtId="0" fontId="36" fillId="0" borderId="132" xfId="10" applyFont="1" applyFill="1" applyBorder="1" applyAlignment="1" applyProtection="1">
      <alignment horizontal="distributed" vertical="center" wrapText="1" shrinkToFit="1"/>
    </xf>
    <xf numFmtId="0" fontId="36" fillId="0" borderId="248" xfId="10" applyFont="1" applyFill="1" applyBorder="1" applyAlignment="1" applyProtection="1">
      <alignment horizontal="distributed" vertical="center" wrapText="1" shrinkToFit="1"/>
    </xf>
    <xf numFmtId="0" fontId="76" fillId="0" borderId="286" xfId="0" applyFont="1" applyBorder="1" applyAlignment="1" applyProtection="1">
      <alignment horizontal="distributed" vertical="center"/>
    </xf>
    <xf numFmtId="0" fontId="23" fillId="0" borderId="22" xfId="0" applyFont="1" applyBorder="1" applyAlignment="1" applyProtection="1">
      <alignment horizontal="center" vertical="center" wrapText="1"/>
    </xf>
    <xf numFmtId="0" fontId="23" fillId="0" borderId="10" xfId="0" applyFont="1" applyBorder="1" applyAlignment="1" applyProtection="1">
      <alignment horizontal="center" vertical="center" wrapText="1"/>
    </xf>
    <xf numFmtId="0" fontId="23" fillId="0" borderId="22" xfId="0" applyFont="1" applyBorder="1" applyAlignment="1" applyProtection="1">
      <alignment horizontal="center" vertical="center"/>
    </xf>
    <xf numFmtId="0" fontId="23" fillId="0" borderId="10" xfId="0" applyFont="1" applyBorder="1" applyAlignment="1" applyProtection="1">
      <alignment horizontal="center" vertical="center"/>
    </xf>
    <xf numFmtId="0" fontId="23" fillId="0" borderId="126" xfId="0" applyFont="1" applyBorder="1" applyAlignment="1" applyProtection="1">
      <alignment horizontal="center" vertical="center" wrapText="1"/>
    </xf>
    <xf numFmtId="0" fontId="28" fillId="2" borderId="377" xfId="0" applyFont="1" applyFill="1" applyBorder="1" applyAlignment="1" applyProtection="1">
      <alignment horizontal="left" vertical="center" wrapText="1"/>
      <protection locked="0"/>
    </xf>
    <xf numFmtId="0" fontId="0" fillId="0" borderId="382" xfId="0" applyBorder="1" applyAlignment="1" applyProtection="1">
      <alignment vertical="center"/>
      <protection locked="0"/>
    </xf>
    <xf numFmtId="0" fontId="28" fillId="2" borderId="439" xfId="0" applyFont="1" applyFill="1" applyBorder="1" applyAlignment="1" applyProtection="1">
      <alignment horizontal="left" vertical="center" wrapText="1"/>
      <protection locked="0"/>
    </xf>
    <xf numFmtId="0" fontId="0" fillId="0" borderId="440" xfId="0" applyBorder="1" applyAlignment="1" applyProtection="1">
      <alignment vertical="center"/>
      <protection locked="0"/>
    </xf>
    <xf numFmtId="0" fontId="28" fillId="2" borderId="441" xfId="0" applyFont="1" applyFill="1" applyBorder="1" applyAlignment="1" applyProtection="1">
      <alignment horizontal="left" vertical="center" wrapText="1"/>
      <protection locked="0"/>
    </xf>
    <xf numFmtId="0" fontId="0" fillId="0" borderId="442" xfId="0" applyBorder="1" applyAlignment="1" applyProtection="1">
      <alignment vertical="center"/>
      <protection locked="0"/>
    </xf>
    <xf numFmtId="0" fontId="85" fillId="0" borderId="248" xfId="1" applyFill="1" applyBorder="1" applyAlignment="1" applyProtection="1">
      <alignment horizontal="left" vertical="center" wrapText="1"/>
    </xf>
    <xf numFmtId="0" fontId="85" fillId="0" borderId="285" xfId="1" applyFill="1" applyBorder="1" applyAlignment="1" applyProtection="1">
      <alignment vertical="center"/>
    </xf>
    <xf numFmtId="0" fontId="33" fillId="0" borderId="22" xfId="0" applyFont="1" applyBorder="1" applyAlignment="1" applyProtection="1">
      <alignment horizontal="center" vertical="center"/>
    </xf>
    <xf numFmtId="0" fontId="33" fillId="0" borderId="14" xfId="0" applyFont="1" applyBorder="1" applyAlignment="1" applyProtection="1">
      <alignment horizontal="center" vertical="center"/>
    </xf>
    <xf numFmtId="0" fontId="33" fillId="0" borderId="19" xfId="0" applyFont="1" applyBorder="1" applyAlignment="1" applyProtection="1">
      <alignment horizontal="center" vertical="center"/>
    </xf>
    <xf numFmtId="0" fontId="33" fillId="0" borderId="221" xfId="0" applyFont="1" applyBorder="1" applyAlignment="1" applyProtection="1">
      <alignment horizontal="center" vertical="center"/>
    </xf>
    <xf numFmtId="0" fontId="23" fillId="0" borderId="1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24" xfId="0" applyFont="1" applyBorder="1" applyAlignment="1" applyProtection="1">
      <alignment horizontal="center" vertical="center"/>
    </xf>
    <xf numFmtId="0" fontId="23" fillId="0" borderId="152" xfId="0" applyFont="1" applyBorder="1" applyAlignment="1" applyProtection="1">
      <alignment horizontal="center" vertical="center"/>
    </xf>
    <xf numFmtId="0" fontId="28" fillId="2" borderId="383" xfId="0" applyFont="1" applyFill="1" applyBorder="1" applyAlignment="1" applyProtection="1">
      <alignment horizontal="left" vertical="center" wrapText="1"/>
      <protection locked="0"/>
    </xf>
    <xf numFmtId="0" fontId="0" fillId="0" borderId="384" xfId="0" applyBorder="1" applyAlignment="1" applyProtection="1">
      <alignment vertical="center"/>
      <protection locked="0"/>
    </xf>
    <xf numFmtId="0" fontId="23" fillId="0" borderId="235" xfId="10" applyFont="1" applyFill="1" applyBorder="1" applyAlignment="1" applyProtection="1">
      <alignment horizontal="distributed" vertical="center"/>
    </xf>
    <xf numFmtId="0" fontId="23" fillId="0" borderId="231" xfId="10" applyFont="1" applyFill="1" applyBorder="1" applyAlignment="1" applyProtection="1">
      <alignment horizontal="distributed" vertical="center"/>
    </xf>
    <xf numFmtId="0" fontId="23" fillId="0" borderId="141" xfId="10" applyFont="1" applyFill="1" applyBorder="1" applyAlignment="1" applyProtection="1">
      <alignment horizontal="distributed" vertical="center"/>
    </xf>
    <xf numFmtId="0" fontId="23" fillId="0" borderId="139" xfId="10" applyFont="1" applyFill="1" applyBorder="1" applyAlignment="1" applyProtection="1">
      <alignment horizontal="distributed" vertical="center"/>
    </xf>
    <xf numFmtId="0" fontId="64" fillId="0" borderId="197" xfId="0" applyFont="1" applyBorder="1" applyAlignment="1" applyProtection="1">
      <alignment vertical="center" shrinkToFit="1"/>
    </xf>
    <xf numFmtId="0" fontId="64" fillId="0" borderId="198" xfId="0" applyFont="1" applyBorder="1" applyAlignment="1" applyProtection="1">
      <alignment vertical="center" shrinkToFit="1"/>
    </xf>
    <xf numFmtId="0" fontId="0" fillId="0" borderId="16" xfId="0" applyBorder="1" applyAlignment="1" applyProtection="1">
      <alignment vertical="center"/>
    </xf>
    <xf numFmtId="0" fontId="23" fillId="0" borderId="385" xfId="0" applyFont="1" applyBorder="1" applyAlignment="1" applyProtection="1">
      <alignment horizontal="center" vertical="center" wrapText="1"/>
    </xf>
    <xf numFmtId="0" fontId="0" fillId="0" borderId="386" xfId="0" applyBorder="1" applyAlignment="1" applyProtection="1">
      <alignment vertical="center"/>
    </xf>
    <xf numFmtId="0" fontId="33" fillId="0" borderId="24" xfId="0" applyFont="1" applyBorder="1" applyAlignment="1" applyProtection="1">
      <alignment horizontal="center" vertical="center"/>
    </xf>
    <xf numFmtId="0" fontId="33" fillId="0" borderId="192" xfId="0" applyFont="1" applyBorder="1" applyAlignment="1" applyProtection="1">
      <alignment horizontal="center" vertical="center"/>
    </xf>
    <xf numFmtId="0" fontId="23" fillId="0" borderId="271" xfId="10" applyFont="1" applyFill="1" applyBorder="1" applyAlignment="1" applyProtection="1">
      <alignment horizontal="distributed" vertical="center" wrapText="1" shrinkToFit="1"/>
    </xf>
    <xf numFmtId="0" fontId="23" fillId="0" borderId="11" xfId="10" applyFont="1" applyFill="1" applyBorder="1" applyAlignment="1" applyProtection="1">
      <alignment horizontal="distributed" vertical="center" wrapText="1" shrinkToFit="1"/>
    </xf>
    <xf numFmtId="0" fontId="23" fillId="0" borderId="246" xfId="10" applyFont="1" applyFill="1" applyBorder="1" applyAlignment="1" applyProtection="1">
      <alignment horizontal="distributed" vertical="center" wrapText="1" shrinkToFit="1"/>
    </xf>
    <xf numFmtId="0" fontId="0" fillId="0" borderId="376" xfId="0" applyBorder="1" applyAlignment="1" applyProtection="1">
      <alignment horizontal="distributed" vertical="center"/>
    </xf>
    <xf numFmtId="0" fontId="28" fillId="2" borderId="380" xfId="0" applyFont="1" applyFill="1" applyBorder="1" applyAlignment="1" applyProtection="1">
      <alignment horizontal="left" vertical="center" wrapText="1"/>
      <protection locked="0"/>
    </xf>
    <xf numFmtId="0" fontId="0" fillId="0" borderId="381" xfId="0" applyBorder="1" applyAlignment="1" applyProtection="1">
      <alignment vertical="center"/>
      <protection locked="0"/>
    </xf>
    <xf numFmtId="0" fontId="23" fillId="0" borderId="10" xfId="10" applyFont="1" applyFill="1" applyBorder="1" applyAlignment="1" applyProtection="1">
      <alignment horizontal="distributed" vertical="center"/>
    </xf>
    <xf numFmtId="0" fontId="28" fillId="0" borderId="236" xfId="0" applyFont="1" applyBorder="1" applyAlignment="1" applyProtection="1">
      <alignment horizontal="center" vertical="center"/>
    </xf>
    <xf numFmtId="0" fontId="0" fillId="0" borderId="256" xfId="0" applyBorder="1" applyAlignment="1" applyProtection="1">
      <alignment horizontal="center" vertical="center"/>
    </xf>
    <xf numFmtId="0" fontId="36" fillId="0" borderId="0" xfId="0" applyFont="1" applyFill="1" applyBorder="1" applyAlignment="1" applyProtection="1">
      <alignment horizontal="center" vertical="center"/>
    </xf>
    <xf numFmtId="0" fontId="0" fillId="0" borderId="0" xfId="0" applyBorder="1" applyAlignment="1" applyProtection="1">
      <alignment horizontal="center" vertical="center"/>
    </xf>
    <xf numFmtId="0" fontId="36" fillId="0" borderId="248" xfId="5" applyFont="1" applyBorder="1" applyAlignment="1" applyProtection="1">
      <alignment horizontal="distributed" vertical="center" justifyLastLine="1"/>
    </xf>
    <xf numFmtId="0" fontId="76" fillId="0" borderId="232" xfId="0" applyFont="1" applyBorder="1" applyAlignment="1" applyProtection="1">
      <alignment horizontal="distributed" vertical="center" justifyLastLine="1"/>
    </xf>
    <xf numFmtId="0" fontId="76" fillId="0" borderId="248" xfId="0" applyFont="1" applyBorder="1" applyAlignment="1" applyProtection="1">
      <alignment horizontal="distributed" vertical="center" justifyLastLine="1"/>
    </xf>
    <xf numFmtId="0" fontId="15" fillId="0" borderId="246" xfId="0" applyFont="1" applyBorder="1" applyAlignment="1" applyProtection="1">
      <alignment vertical="center" wrapText="1"/>
    </xf>
    <xf numFmtId="0" fontId="15" fillId="0" borderId="286" xfId="0" applyFont="1" applyBorder="1" applyAlignment="1" applyProtection="1">
      <alignment vertical="center" wrapText="1"/>
    </xf>
    <xf numFmtId="0" fontId="31" fillId="0" borderId="275" xfId="0" applyFont="1" applyBorder="1" applyAlignment="1" applyProtection="1">
      <alignment vertical="center"/>
    </xf>
    <xf numFmtId="0" fontId="13" fillId="0" borderId="246" xfId="0" applyFont="1" applyBorder="1" applyAlignment="1" applyProtection="1">
      <alignment horizontal="left" vertical="center" wrapText="1"/>
    </xf>
    <xf numFmtId="0" fontId="13" fillId="0" borderId="286" xfId="0" applyFont="1" applyBorder="1" applyAlignment="1" applyProtection="1">
      <alignment horizontal="left" vertical="center" wrapText="1"/>
    </xf>
    <xf numFmtId="0" fontId="0" fillId="0" borderId="275" xfId="0" applyBorder="1" applyAlignment="1" applyProtection="1">
      <alignment vertical="center"/>
    </xf>
    <xf numFmtId="0" fontId="0" fillId="0" borderId="190" xfId="0" applyBorder="1" applyAlignment="1" applyProtection="1">
      <alignment horizontal="center" vertical="center"/>
    </xf>
    <xf numFmtId="0" fontId="28" fillId="0" borderId="236" xfId="0" applyFont="1" applyBorder="1" applyAlignment="1" applyProtection="1">
      <alignment horizontal="center" vertical="center" wrapText="1"/>
    </xf>
    <xf numFmtId="0" fontId="23" fillId="0" borderId="29" xfId="0" applyFont="1" applyBorder="1" applyAlignment="1" applyProtection="1">
      <alignment horizontal="center" vertical="center" wrapText="1"/>
    </xf>
    <xf numFmtId="0" fontId="23" fillId="0" borderId="30" xfId="0" applyFont="1" applyBorder="1" applyAlignment="1" applyProtection="1">
      <alignment horizontal="center" vertical="center" wrapText="1"/>
    </xf>
    <xf numFmtId="0" fontId="23" fillId="0" borderId="31" xfId="0" applyFont="1" applyBorder="1" applyAlignment="1" applyProtection="1">
      <alignment horizontal="center" vertical="center" wrapText="1"/>
    </xf>
    <xf numFmtId="0" fontId="23" fillId="0" borderId="32" xfId="0" applyFont="1" applyBorder="1" applyAlignment="1" applyProtection="1">
      <alignment horizontal="center" vertical="center" wrapText="1"/>
    </xf>
    <xf numFmtId="0" fontId="23" fillId="0" borderId="203" xfId="0" applyFont="1" applyBorder="1" applyAlignment="1" applyProtection="1">
      <alignment horizontal="center" vertical="center" wrapText="1"/>
    </xf>
    <xf numFmtId="0" fontId="23" fillId="0" borderId="33" xfId="0" applyFont="1" applyBorder="1" applyAlignment="1" applyProtection="1">
      <alignment horizontal="center" vertical="center" wrapText="1"/>
    </xf>
    <xf numFmtId="0" fontId="23" fillId="0" borderId="16" xfId="0" applyFont="1" applyBorder="1" applyAlignment="1" applyProtection="1">
      <alignment horizontal="center" vertical="center" wrapText="1"/>
    </xf>
    <xf numFmtId="0" fontId="23" fillId="0" borderId="6" xfId="0" applyFont="1" applyBorder="1" applyAlignment="1" applyProtection="1">
      <alignment horizontal="center" vertical="center" wrapText="1"/>
    </xf>
    <xf numFmtId="0" fontId="23" fillId="0" borderId="22" xfId="0" applyFont="1" applyBorder="1" applyAlignment="1" applyProtection="1">
      <alignment horizontal="center" vertical="center" justifyLastLine="1"/>
    </xf>
    <xf numFmtId="0" fontId="23" fillId="0" borderId="13" xfId="0" applyFont="1" applyBorder="1" applyAlignment="1" applyProtection="1">
      <alignment horizontal="center" vertical="center" justifyLastLine="1"/>
    </xf>
    <xf numFmtId="0" fontId="23" fillId="0" borderId="14" xfId="0" applyFont="1" applyBorder="1" applyAlignment="1" applyProtection="1">
      <alignment horizontal="center" vertical="center" justifyLastLine="1"/>
    </xf>
    <xf numFmtId="0" fontId="23" fillId="0" borderId="10" xfId="0" applyFont="1" applyBorder="1" applyAlignment="1" applyProtection="1">
      <alignment horizontal="center" vertical="center" justifyLastLine="1"/>
    </xf>
    <xf numFmtId="0" fontId="23" fillId="0" borderId="0" xfId="0" applyFont="1" applyBorder="1" applyAlignment="1" applyProtection="1">
      <alignment horizontal="center" vertical="center" justifyLastLine="1"/>
    </xf>
    <xf numFmtId="0" fontId="23" fillId="0" borderId="21" xfId="0" applyFont="1" applyBorder="1" applyAlignment="1" applyProtection="1">
      <alignment horizontal="center" vertical="center" justifyLastLine="1"/>
    </xf>
    <xf numFmtId="0" fontId="23" fillId="0" borderId="22" xfId="0" applyFont="1" applyBorder="1" applyAlignment="1" applyProtection="1">
      <alignment horizontal="center" vertical="center" wrapText="1" justifyLastLine="1"/>
    </xf>
    <xf numFmtId="0" fontId="23" fillId="0" borderId="10" xfId="0" applyFont="1" applyBorder="1" applyAlignment="1" applyProtection="1">
      <alignment horizontal="center" vertical="center" wrapText="1" justifyLastLine="1"/>
    </xf>
    <xf numFmtId="0" fontId="23" fillId="0" borderId="37" xfId="0" applyFont="1" applyBorder="1" applyAlignment="1" applyProtection="1">
      <alignment horizontal="center" vertical="center"/>
    </xf>
    <xf numFmtId="0" fontId="23" fillId="0" borderId="9" xfId="0" applyFont="1" applyBorder="1" applyAlignment="1" applyProtection="1">
      <alignment horizontal="center" vertical="center"/>
    </xf>
    <xf numFmtId="0" fontId="36" fillId="0" borderId="268" xfId="5" applyFont="1" applyBorder="1" applyAlignment="1" applyProtection="1">
      <alignment horizontal="distributed" vertical="center" justifyLastLine="1"/>
    </xf>
    <xf numFmtId="0" fontId="76" fillId="0" borderId="285" xfId="0" applyFont="1" applyBorder="1" applyAlignment="1" applyProtection="1">
      <alignment horizontal="distributed" vertical="center" justifyLastLine="1"/>
    </xf>
    <xf numFmtId="0" fontId="76" fillId="0" borderId="268" xfId="0" applyFont="1" applyBorder="1" applyAlignment="1" applyProtection="1">
      <alignment horizontal="distributed" vertical="center" justifyLastLine="1"/>
    </xf>
    <xf numFmtId="0" fontId="36" fillId="0" borderId="268" xfId="10" applyFont="1" applyFill="1" applyBorder="1" applyAlignment="1" applyProtection="1">
      <alignment horizontal="distributed" vertical="center" shrinkToFit="1"/>
    </xf>
    <xf numFmtId="0" fontId="0" fillId="0" borderId="286" xfId="0" applyBorder="1" applyAlignment="1" applyProtection="1">
      <alignment horizontal="distributed" vertical="center" shrinkToFit="1"/>
    </xf>
    <xf numFmtId="0" fontId="36" fillId="0" borderId="269" xfId="0" applyFont="1" applyBorder="1" applyAlignment="1" applyProtection="1">
      <alignment horizontal="distributed" vertical="center" wrapText="1" justifyLastLine="1"/>
    </xf>
    <xf numFmtId="0" fontId="76" fillId="0" borderId="269" xfId="0" applyFont="1" applyBorder="1" applyAlignment="1" applyProtection="1">
      <alignment horizontal="distributed" vertical="center" justifyLastLine="1"/>
    </xf>
    <xf numFmtId="0" fontId="36" fillId="0" borderId="317" xfId="0" applyFont="1" applyBorder="1" applyAlignment="1" applyProtection="1">
      <alignment horizontal="distributed" vertical="center"/>
    </xf>
    <xf numFmtId="0" fontId="0" fillId="0" borderId="268" xfId="0" applyBorder="1" applyAlignment="1" applyProtection="1">
      <alignment horizontal="distributed" vertical="center"/>
    </xf>
    <xf numFmtId="0" fontId="13" fillId="0" borderId="19" xfId="0" applyFont="1" applyBorder="1" applyAlignment="1" applyProtection="1">
      <alignment vertical="center" wrapText="1"/>
    </xf>
    <xf numFmtId="0" fontId="13" fillId="0" borderId="223" xfId="0" applyFont="1" applyBorder="1" applyAlignment="1" applyProtection="1">
      <alignment vertical="center" wrapText="1"/>
    </xf>
    <xf numFmtId="0" fontId="0" fillId="0" borderId="221" xfId="0" applyBorder="1" applyAlignment="1" applyProtection="1">
      <alignment vertical="center"/>
    </xf>
    <xf numFmtId="0" fontId="36" fillId="0" borderId="248" xfId="0" applyFont="1" applyBorder="1" applyAlignment="1" applyProtection="1">
      <alignment horizontal="distributed" vertical="center"/>
    </xf>
    <xf numFmtId="0" fontId="36" fillId="0" borderId="228" xfId="0" applyFont="1" applyBorder="1" applyAlignment="1" applyProtection="1">
      <alignment horizontal="distributed" vertical="center"/>
    </xf>
    <xf numFmtId="0" fontId="36" fillId="0" borderId="248" xfId="0" applyFont="1" applyBorder="1" applyAlignment="1" applyProtection="1">
      <alignment horizontal="distributed" vertical="center" justifyLastLine="1"/>
    </xf>
    <xf numFmtId="0" fontId="36" fillId="0" borderId="228" xfId="0" applyFont="1" applyBorder="1" applyAlignment="1" applyProtection="1">
      <alignment horizontal="distributed" vertical="center" justifyLastLine="1"/>
    </xf>
    <xf numFmtId="0" fontId="36" fillId="0" borderId="278" xfId="0" applyFont="1" applyBorder="1" applyAlignment="1" applyProtection="1">
      <alignment horizontal="distributed" vertical="center"/>
    </xf>
    <xf numFmtId="0" fontId="23" fillId="0" borderId="271" xfId="0" applyFont="1" applyBorder="1" applyAlignment="1" applyProtection="1">
      <alignment horizontal="center" vertical="center"/>
    </xf>
    <xf numFmtId="0" fontId="23" fillId="0" borderId="270" xfId="0" applyFont="1" applyBorder="1" applyAlignment="1" applyProtection="1">
      <alignment horizontal="center" vertical="center"/>
    </xf>
    <xf numFmtId="0" fontId="36" fillId="0" borderId="245" xfId="0" applyFont="1" applyBorder="1" applyAlignment="1" applyProtection="1">
      <alignment horizontal="distributed" vertical="center" justifyLastLine="1"/>
    </xf>
    <xf numFmtId="0" fontId="23" fillId="0" borderId="248" xfId="0" applyFont="1" applyBorder="1" applyAlignment="1" applyProtection="1">
      <alignment horizontal="distributed" vertical="center" justifyLastLine="1"/>
    </xf>
    <xf numFmtId="0" fontId="13" fillId="0" borderId="286" xfId="0" applyFont="1" applyBorder="1" applyAlignment="1" applyProtection="1">
      <alignment vertical="center" wrapText="1"/>
    </xf>
    <xf numFmtId="0" fontId="0" fillId="0" borderId="286" xfId="0" applyBorder="1" applyAlignment="1" applyProtection="1">
      <alignment vertical="center"/>
    </xf>
    <xf numFmtId="0" fontId="13" fillId="0" borderId="227" xfId="0" applyFont="1" applyBorder="1" applyAlignment="1" applyProtection="1">
      <alignment horizontal="center" vertical="center"/>
    </xf>
    <xf numFmtId="0" fontId="13" fillId="0" borderId="286" xfId="0" applyFont="1" applyBorder="1" applyAlignment="1" applyProtection="1">
      <alignment horizontal="center" vertical="center"/>
    </xf>
    <xf numFmtId="0" fontId="0" fillId="0" borderId="432" xfId="0" applyBorder="1" applyAlignment="1" applyProtection="1">
      <alignment vertical="center"/>
    </xf>
    <xf numFmtId="0" fontId="0" fillId="0" borderId="223" xfId="0" applyBorder="1" applyAlignment="1" applyProtection="1">
      <alignment vertical="center"/>
    </xf>
    <xf numFmtId="0" fontId="0" fillId="0" borderId="14" xfId="0" applyBorder="1" applyAlignment="1" applyProtection="1">
      <alignment vertical="center"/>
    </xf>
    <xf numFmtId="0" fontId="23" fillId="0" borderId="19" xfId="0" applyFont="1" applyBorder="1" applyAlignment="1" applyProtection="1">
      <alignment horizontal="center" vertical="center"/>
    </xf>
    <xf numFmtId="0" fontId="23" fillId="0" borderId="223" xfId="0" applyFont="1" applyBorder="1" applyAlignment="1" applyProtection="1">
      <alignment horizontal="center" vertical="center"/>
    </xf>
    <xf numFmtId="0" fontId="13" fillId="0" borderId="497" xfId="0" applyFont="1" applyBorder="1" applyAlignment="1" applyProtection="1">
      <alignment vertical="center"/>
    </xf>
    <xf numFmtId="0" fontId="0" fillId="0" borderId="12" xfId="0" applyBorder="1" applyAlignment="1" applyProtection="1"/>
    <xf numFmtId="0" fontId="0" fillId="0" borderId="498" xfId="0" applyBorder="1" applyAlignment="1" applyProtection="1"/>
    <xf numFmtId="0" fontId="28" fillId="0" borderId="23" xfId="0" applyFont="1" applyBorder="1" applyAlignment="1" applyProtection="1">
      <alignment horizontal="center" vertical="center"/>
    </xf>
    <xf numFmtId="0" fontId="23" fillId="0" borderId="24" xfId="0" applyFont="1" applyBorder="1" applyAlignment="1" applyProtection="1">
      <alignment horizontal="center" vertical="center" wrapText="1"/>
    </xf>
    <xf numFmtId="0" fontId="23" fillId="0" borderId="192" xfId="0" applyFont="1" applyBorder="1" applyAlignment="1" applyProtection="1">
      <alignment horizontal="center" vertical="center" wrapText="1"/>
    </xf>
    <xf numFmtId="0" fontId="23" fillId="0" borderId="22" xfId="0" applyFont="1" applyBorder="1" applyAlignment="1" applyProtection="1">
      <alignment horizontal="center" vertical="distributed" textRotation="255" wrapText="1" justifyLastLine="1"/>
    </xf>
    <xf numFmtId="0" fontId="0" fillId="0" borderId="89" xfId="0" applyBorder="1" applyAlignment="1" applyProtection="1">
      <alignment horizontal="center" vertical="distributed" textRotation="255" wrapText="1" justifyLastLine="1"/>
    </xf>
    <xf numFmtId="0" fontId="0" fillId="0" borderId="10" xfId="0" applyBorder="1" applyAlignment="1" applyProtection="1">
      <alignment horizontal="center" vertical="distributed" textRotation="255" wrapText="1" justifyLastLine="1"/>
    </xf>
    <xf numFmtId="0" fontId="0" fillId="0" borderId="87" xfId="0" applyBorder="1" applyAlignment="1" applyProtection="1">
      <alignment horizontal="center" vertical="distributed" textRotation="255" wrapText="1" justifyLastLine="1"/>
    </xf>
    <xf numFmtId="0" fontId="0" fillId="0" borderId="11" xfId="0" applyBorder="1" applyAlignment="1" applyProtection="1">
      <alignment horizontal="center" vertical="distributed" textRotation="255" wrapText="1" justifyLastLine="1"/>
    </xf>
    <xf numFmtId="0" fontId="0" fillId="0" borderId="446" xfId="0" applyBorder="1" applyAlignment="1" applyProtection="1">
      <alignment horizontal="center" vertical="distributed" textRotation="255" wrapText="1" justifyLastLine="1"/>
    </xf>
    <xf numFmtId="0" fontId="0" fillId="0" borderId="443" xfId="0" applyBorder="1" applyAlignment="1" applyProtection="1">
      <alignment horizontal="center" vertical="distributed" textRotation="255" wrapText="1" justifyLastLine="1"/>
    </xf>
    <xf numFmtId="0" fontId="0" fillId="0" borderId="435" xfId="0" applyBorder="1" applyAlignment="1" applyProtection="1">
      <alignment horizontal="center" vertical="distributed" textRotation="255" wrapText="1" justifyLastLine="1"/>
    </xf>
    <xf numFmtId="38" fontId="64" fillId="0" borderId="447" xfId="11" applyFont="1" applyFill="1" applyBorder="1" applyAlignment="1" applyProtection="1">
      <alignment horizontal="center" vertical="distributed" textRotation="255" wrapText="1" justifyLastLine="1"/>
    </xf>
    <xf numFmtId="0" fontId="0" fillId="0" borderId="448" xfId="0" applyBorder="1" applyAlignment="1" applyProtection="1">
      <alignment horizontal="center" vertical="distributed" textRotation="255" wrapText="1" justifyLastLine="1"/>
    </xf>
    <xf numFmtId="0" fontId="0" fillId="0" borderId="449" xfId="0" applyBorder="1" applyAlignment="1" applyProtection="1">
      <alignment horizontal="center" vertical="distributed" textRotation="255" wrapText="1" justifyLastLine="1"/>
    </xf>
    <xf numFmtId="0" fontId="0" fillId="0" borderId="450" xfId="0" applyBorder="1" applyAlignment="1" applyProtection="1">
      <alignment horizontal="center" vertical="distributed" textRotation="255" wrapText="1" justifyLastLine="1"/>
    </xf>
    <xf numFmtId="0" fontId="0" fillId="0" borderId="451" xfId="0" applyBorder="1" applyAlignment="1" applyProtection="1">
      <alignment horizontal="center" vertical="distributed" textRotation="255" wrapText="1" justifyLastLine="1"/>
    </xf>
    <xf numFmtId="0" fontId="23" fillId="0" borderId="36" xfId="0" applyFont="1" applyBorder="1" applyAlignment="1" applyProtection="1">
      <alignment horizontal="center" vertical="distributed" textRotation="255" wrapText="1" justifyLastLine="1"/>
    </xf>
    <xf numFmtId="0" fontId="23" fillId="0" borderId="17" xfId="0" applyFont="1" applyBorder="1" applyAlignment="1" applyProtection="1">
      <alignment horizontal="center" vertical="distributed" textRotation="255" wrapText="1" justifyLastLine="1"/>
    </xf>
    <xf numFmtId="0" fontId="23" fillId="0" borderId="18" xfId="0" applyFont="1" applyBorder="1" applyAlignment="1" applyProtection="1">
      <alignment horizontal="center" vertical="distributed" textRotation="255" wrapText="1" justifyLastLine="1"/>
    </xf>
    <xf numFmtId="0" fontId="23" fillId="0" borderId="24" xfId="0" applyFont="1" applyFill="1" applyBorder="1" applyAlignment="1" applyProtection="1">
      <alignment horizontal="center" vertical="center" shrinkToFit="1"/>
    </xf>
    <xf numFmtId="0" fontId="23" fillId="0" borderId="14" xfId="0" applyFont="1" applyFill="1" applyBorder="1" applyAlignment="1" applyProtection="1">
      <alignment horizontal="center" vertical="center" shrinkToFit="1"/>
    </xf>
    <xf numFmtId="38" fontId="64" fillId="0" borderId="95" xfId="11" applyFont="1" applyFill="1" applyBorder="1" applyAlignment="1" applyProtection="1">
      <alignment horizontal="center" vertical="center"/>
    </xf>
    <xf numFmtId="38" fontId="64" fillId="0" borderId="90" xfId="11" applyFont="1" applyFill="1" applyBorder="1" applyAlignment="1" applyProtection="1">
      <alignment horizontal="center" vertical="center"/>
    </xf>
    <xf numFmtId="38" fontId="64" fillId="0" borderId="27" xfId="11" applyFont="1" applyFill="1" applyBorder="1" applyAlignment="1" applyProtection="1">
      <alignment horizontal="center" vertical="center"/>
    </xf>
    <xf numFmtId="38" fontId="64" fillId="0" borderId="28" xfId="11" applyFont="1" applyFill="1" applyBorder="1" applyAlignment="1" applyProtection="1">
      <alignment horizontal="center" vertical="center"/>
    </xf>
    <xf numFmtId="0" fontId="36" fillId="0" borderId="436" xfId="0" applyFont="1" applyBorder="1" applyAlignment="1" applyProtection="1">
      <alignment horizontal="center" vertical="center" justifyLastLine="1"/>
    </xf>
    <xf numFmtId="0" fontId="36" fillId="0" borderId="277" xfId="0" applyFont="1" applyBorder="1" applyAlignment="1" applyProtection="1">
      <alignment horizontal="center" vertical="center" justifyLastLine="1"/>
    </xf>
    <xf numFmtId="0" fontId="36" fillId="0" borderId="91" xfId="0" applyFont="1" applyBorder="1" applyAlignment="1" applyProtection="1">
      <alignment horizontal="center" vertical="center" justifyLastLine="1"/>
    </xf>
    <xf numFmtId="0" fontId="36" fillId="0" borderId="136" xfId="0" applyFont="1" applyBorder="1" applyAlignment="1" applyProtection="1">
      <alignment horizontal="center" vertical="center" justifyLastLine="1"/>
    </xf>
    <xf numFmtId="0" fontId="36" fillId="0" borderId="436" xfId="0" applyFont="1" applyBorder="1" applyAlignment="1" applyProtection="1">
      <alignment horizontal="distributed" vertical="center" justifyLastLine="1"/>
    </xf>
    <xf numFmtId="0" fontId="76" fillId="0" borderId="277" xfId="0" applyFont="1" applyBorder="1" applyAlignment="1" applyProtection="1">
      <alignment horizontal="distributed" vertical="center" justifyLastLine="1"/>
    </xf>
    <xf numFmtId="0" fontId="76" fillId="0" borderId="91" xfId="0" applyFont="1" applyBorder="1" applyAlignment="1" applyProtection="1">
      <alignment horizontal="distributed" vertical="center" justifyLastLine="1"/>
    </xf>
    <xf numFmtId="0" fontId="76" fillId="0" borderId="136" xfId="0" applyFont="1" applyBorder="1" applyAlignment="1" applyProtection="1">
      <alignment horizontal="distributed" vertical="center" justifyLastLine="1"/>
    </xf>
    <xf numFmtId="0" fontId="36" fillId="0" borderId="152" xfId="0" applyFont="1" applyBorder="1" applyAlignment="1" applyProtection="1">
      <alignment horizontal="distributed" vertical="center"/>
    </xf>
    <xf numFmtId="0" fontId="76" fillId="0" borderId="488" xfId="0" applyFont="1" applyBorder="1" applyAlignment="1" applyProtection="1">
      <alignment horizontal="distributed" vertical="center"/>
    </xf>
    <xf numFmtId="0" fontId="23" fillId="0" borderId="13" xfId="0" applyFont="1" applyBorder="1" applyAlignment="1" applyProtection="1">
      <alignment horizontal="center" vertical="center" wrapText="1"/>
    </xf>
    <xf numFmtId="0" fontId="0" fillId="0" borderId="13" xfId="0" applyBorder="1" applyAlignment="1" applyProtection="1">
      <alignment vertical="center"/>
    </xf>
    <xf numFmtId="0" fontId="23" fillId="0" borderId="0" xfId="0" applyFont="1" applyBorder="1" applyAlignment="1" applyProtection="1">
      <alignment horizontal="center" vertical="center" wrapText="1"/>
    </xf>
    <xf numFmtId="0" fontId="0" fillId="0" borderId="0" xfId="0" applyBorder="1" applyAlignment="1" applyProtection="1">
      <alignment vertical="center"/>
    </xf>
    <xf numFmtId="0" fontId="0" fillId="0" borderId="21" xfId="0" applyBorder="1" applyAlignment="1" applyProtection="1">
      <alignment vertical="center"/>
    </xf>
    <xf numFmtId="0" fontId="76" fillId="0" borderId="256" xfId="0" applyFont="1" applyBorder="1" applyAlignment="1" applyProtection="1">
      <alignment horizontal="center" vertical="center"/>
    </xf>
    <xf numFmtId="0" fontId="23" fillId="0" borderId="14" xfId="0" applyFont="1" applyBorder="1" applyAlignment="1" applyProtection="1">
      <alignment horizontal="center" vertical="center" wrapText="1"/>
    </xf>
    <xf numFmtId="0" fontId="23" fillId="0" borderId="19" xfId="0" applyFont="1" applyBorder="1" applyAlignment="1" applyProtection="1">
      <alignment horizontal="center" vertical="center" wrapText="1"/>
    </xf>
    <xf numFmtId="0" fontId="23" fillId="0" borderId="223" xfId="0" applyFont="1" applyBorder="1" applyAlignment="1" applyProtection="1">
      <alignment horizontal="center" vertical="center" wrapText="1"/>
    </xf>
    <xf numFmtId="0" fontId="23" fillId="0" borderId="221" xfId="0" applyFont="1" applyBorder="1" applyAlignment="1" applyProtection="1">
      <alignment horizontal="center" vertical="center" wrapText="1"/>
    </xf>
    <xf numFmtId="0" fontId="23" fillId="0" borderId="36" xfId="0" applyFont="1" applyBorder="1" applyAlignment="1" applyProtection="1">
      <alignment horizontal="center" vertical="center" wrapText="1"/>
    </xf>
    <xf numFmtId="0" fontId="23" fillId="0" borderId="194" xfId="0" applyFont="1" applyBorder="1" applyAlignment="1" applyProtection="1">
      <alignment horizontal="center" vertical="center" wrapText="1"/>
    </xf>
    <xf numFmtId="0" fontId="36" fillId="0" borderId="236" xfId="0" applyFont="1" applyBorder="1" applyAlignment="1" applyProtection="1">
      <alignment horizontal="distributed" vertical="center"/>
    </xf>
    <xf numFmtId="0" fontId="23" fillId="0" borderId="111" xfId="0" applyFont="1" applyBorder="1" applyAlignment="1" applyProtection="1">
      <alignment horizontal="center" vertical="center" wrapText="1"/>
    </xf>
    <xf numFmtId="0" fontId="23" fillId="0" borderId="12" xfId="0" applyFont="1" applyBorder="1" applyAlignment="1" applyProtection="1">
      <alignment horizontal="center" vertical="center" wrapText="1"/>
    </xf>
    <xf numFmtId="0" fontId="23" fillId="0" borderId="26" xfId="0" applyFont="1" applyBorder="1" applyAlignment="1" applyProtection="1">
      <alignment horizontal="center" vertical="center" wrapText="1"/>
    </xf>
    <xf numFmtId="0" fontId="23" fillId="0" borderId="170" xfId="0" applyFont="1" applyBorder="1" applyAlignment="1" applyProtection="1">
      <alignment horizontal="center" vertical="center" wrapText="1"/>
    </xf>
    <xf numFmtId="0" fontId="23" fillId="0" borderId="233" xfId="0" applyFont="1" applyBorder="1" applyAlignment="1" applyProtection="1">
      <alignment horizontal="center" vertical="center"/>
    </xf>
    <xf numFmtId="0" fontId="23" fillId="0" borderId="192" xfId="0" applyFont="1" applyBorder="1" applyAlignment="1" applyProtection="1">
      <alignment horizontal="center" vertical="center"/>
    </xf>
    <xf numFmtId="0" fontId="36" fillId="0" borderId="232" xfId="0" applyFont="1" applyBorder="1" applyAlignment="1" applyProtection="1">
      <alignment horizontal="distributed" vertical="center"/>
    </xf>
    <xf numFmtId="0" fontId="36" fillId="0" borderId="248" xfId="0" applyFont="1" applyFill="1" applyBorder="1" applyAlignment="1" applyProtection="1">
      <alignment horizontal="center" vertical="center" wrapText="1"/>
    </xf>
    <xf numFmtId="0" fontId="0" fillId="0" borderId="232" xfId="0" applyBorder="1" applyAlignment="1" applyProtection="1">
      <alignment horizontal="center" vertical="center" wrapText="1"/>
    </xf>
    <xf numFmtId="0" fontId="76" fillId="0" borderId="232" xfId="0" applyFont="1" applyBorder="1" applyAlignment="1" applyProtection="1">
      <alignment horizontal="center" vertical="center" wrapText="1"/>
    </xf>
    <xf numFmtId="0" fontId="36" fillId="0" borderId="499" xfId="10" applyFont="1" applyFill="1" applyBorder="1" applyAlignment="1" applyProtection="1">
      <alignment horizontal="left" vertical="center" shrinkToFit="1"/>
    </xf>
    <xf numFmtId="0" fontId="36" fillId="0" borderId="285" xfId="10" applyFont="1" applyFill="1" applyBorder="1" applyAlignment="1" applyProtection="1">
      <alignment horizontal="left" vertical="center" shrinkToFit="1"/>
    </xf>
    <xf numFmtId="0" fontId="85" fillId="0" borderId="499" xfId="1" applyFill="1" applyBorder="1" applyAlignment="1" applyProtection="1">
      <alignment horizontal="left" vertical="center" shrinkToFit="1"/>
    </xf>
    <xf numFmtId="0" fontId="85" fillId="0" borderId="285" xfId="1" applyFill="1" applyBorder="1" applyAlignment="1" applyProtection="1">
      <alignment horizontal="left" vertical="center" shrinkToFit="1"/>
    </xf>
    <xf numFmtId="0" fontId="28" fillId="0" borderId="499" xfId="10" applyFont="1" applyFill="1" applyBorder="1" applyAlignment="1" applyProtection="1">
      <alignment horizontal="left" vertical="center" shrinkToFit="1"/>
    </xf>
    <xf numFmtId="0" fontId="28" fillId="0" borderId="285" xfId="10" applyFont="1" applyFill="1" applyBorder="1" applyAlignment="1" applyProtection="1">
      <alignment horizontal="left" vertical="center" shrinkToFit="1"/>
    </xf>
    <xf numFmtId="0" fontId="23" fillId="0" borderId="141" xfId="0" applyFont="1" applyBorder="1" applyAlignment="1" applyProtection="1">
      <alignment horizontal="center" vertical="center"/>
    </xf>
    <xf numFmtId="0" fontId="23" fillId="0" borderId="139" xfId="0" applyFont="1" applyBorder="1" applyAlignment="1" applyProtection="1">
      <alignment horizontal="center" vertical="center"/>
    </xf>
    <xf numFmtId="0" fontId="0" fillId="0" borderId="159" xfId="0" applyBorder="1" applyAlignment="1" applyProtection="1">
      <alignment horizontal="center" vertical="center"/>
    </xf>
    <xf numFmtId="0" fontId="23" fillId="7" borderId="431" xfId="0" applyFont="1" applyFill="1" applyBorder="1" applyAlignment="1" applyProtection="1">
      <alignment horizontal="center" vertical="center" wrapText="1"/>
      <protection locked="0"/>
    </xf>
    <xf numFmtId="0" fontId="23" fillId="7" borderId="432" xfId="0" applyFont="1" applyFill="1" applyBorder="1" applyAlignment="1" applyProtection="1">
      <alignment horizontal="center" vertical="center" wrapText="1"/>
      <protection locked="0"/>
    </xf>
    <xf numFmtId="0" fontId="23" fillId="0" borderId="19" xfId="0" applyFont="1" applyBorder="1" applyAlignment="1" applyProtection="1">
      <alignment horizontal="distributed" vertical="center"/>
    </xf>
    <xf numFmtId="0" fontId="23" fillId="0" borderId="223" xfId="0" applyFont="1" applyBorder="1" applyAlignment="1" applyProtection="1">
      <alignment horizontal="distributed" vertical="center"/>
    </xf>
    <xf numFmtId="0" fontId="23" fillId="0" borderId="221" xfId="0" applyFont="1" applyBorder="1" applyAlignment="1" applyProtection="1">
      <alignment horizontal="distributed" vertical="center"/>
    </xf>
    <xf numFmtId="0" fontId="23" fillId="0" borderId="14" xfId="0" applyFont="1" applyBorder="1" applyAlignment="1" applyProtection="1">
      <alignment horizontal="center" vertical="center"/>
    </xf>
    <xf numFmtId="0" fontId="23" fillId="0" borderId="155" xfId="0" applyFont="1" applyBorder="1" applyAlignment="1" applyProtection="1">
      <alignment horizontal="center" vertical="center"/>
    </xf>
    <xf numFmtId="0" fontId="15" fillId="0" borderId="0" xfId="0" applyFont="1" applyBorder="1" applyAlignment="1" applyProtection="1">
      <alignment vertical="center" wrapText="1"/>
    </xf>
    <xf numFmtId="0" fontId="31" fillId="0" borderId="0" xfId="0" applyFont="1" applyBorder="1" applyAlignment="1" applyProtection="1">
      <alignment vertical="center" wrapText="1"/>
    </xf>
    <xf numFmtId="0" fontId="31" fillId="0" borderId="21" xfId="0" applyFont="1" applyBorder="1" applyAlignment="1" applyProtection="1">
      <alignment vertical="center" wrapText="1"/>
    </xf>
    <xf numFmtId="0" fontId="31" fillId="0" borderId="286" xfId="0" applyFont="1" applyBorder="1" applyAlignment="1" applyProtection="1">
      <alignment vertical="center" wrapText="1"/>
    </xf>
    <xf numFmtId="0" fontId="31" fillId="0" borderId="275" xfId="0" applyFont="1" applyBorder="1" applyAlignment="1" applyProtection="1">
      <alignment vertical="center" wrapText="1"/>
    </xf>
    <xf numFmtId="0" fontId="15" fillId="0" borderId="223" xfId="0" applyFont="1" applyBorder="1" applyAlignment="1" applyProtection="1">
      <alignment vertical="center" wrapText="1"/>
    </xf>
    <xf numFmtId="0" fontId="31" fillId="0" borderId="223" xfId="0" applyFont="1" applyBorder="1" applyAlignment="1" applyProtection="1">
      <alignment vertical="center" wrapText="1"/>
    </xf>
    <xf numFmtId="0" fontId="31" fillId="0" borderId="221" xfId="0" applyFont="1" applyBorder="1" applyAlignment="1" applyProtection="1">
      <alignment vertical="center" wrapText="1"/>
    </xf>
    <xf numFmtId="0" fontId="23" fillId="0" borderId="154" xfId="0" applyFont="1" applyBorder="1" applyAlignment="1" applyProtection="1">
      <alignment horizontal="distributed" vertical="center" justifyLastLine="1"/>
    </xf>
    <xf numFmtId="0" fontId="23" fillId="0" borderId="155" xfId="0" applyFont="1" applyBorder="1" applyAlignment="1" applyProtection="1">
      <alignment horizontal="distributed" vertical="center" justifyLastLine="1"/>
    </xf>
    <xf numFmtId="0" fontId="23" fillId="0" borderId="156" xfId="0" applyFont="1" applyBorder="1" applyAlignment="1" applyProtection="1">
      <alignment horizontal="distributed" vertical="center" justifyLastLine="1"/>
    </xf>
    <xf numFmtId="0" fontId="23" fillId="0" borderId="10" xfId="0" applyFont="1" applyBorder="1" applyAlignment="1" applyProtection="1">
      <alignment horizontal="distributed" vertical="center"/>
    </xf>
    <xf numFmtId="0" fontId="23" fillId="0" borderId="0" xfId="0" applyFont="1" applyBorder="1" applyAlignment="1" applyProtection="1">
      <alignment horizontal="distributed" vertical="center"/>
    </xf>
    <xf numFmtId="3" fontId="64" fillId="4" borderId="158" xfId="0" applyNumberFormat="1" applyFont="1" applyFill="1" applyBorder="1" applyAlignment="1" applyProtection="1">
      <alignment horizontal="right" shrinkToFit="1"/>
      <protection locked="0"/>
    </xf>
    <xf numFmtId="3" fontId="64" fillId="4" borderId="433" xfId="0" applyNumberFormat="1" applyFont="1" applyFill="1" applyBorder="1" applyAlignment="1" applyProtection="1">
      <alignment horizontal="right" shrinkToFit="1"/>
      <protection locked="0"/>
    </xf>
    <xf numFmtId="3" fontId="64" fillId="4" borderId="434" xfId="0" applyNumberFormat="1" applyFont="1" applyFill="1" applyBorder="1" applyAlignment="1" applyProtection="1">
      <alignment horizontal="right" shrinkToFit="1"/>
      <protection locked="0"/>
    </xf>
    <xf numFmtId="3" fontId="64" fillId="4" borderId="435" xfId="0" applyNumberFormat="1" applyFont="1" applyFill="1" applyBorder="1" applyAlignment="1" applyProtection="1">
      <alignment horizontal="right" shrinkToFit="1"/>
      <protection locked="0"/>
    </xf>
    <xf numFmtId="0" fontId="23" fillId="0" borderId="246" xfId="0" applyFont="1" applyBorder="1" applyAlignment="1" applyProtection="1">
      <alignment horizontal="distributed" vertical="center"/>
    </xf>
    <xf numFmtId="0" fontId="23" fillId="0" borderId="286" xfId="0" applyFont="1" applyBorder="1" applyAlignment="1" applyProtection="1">
      <alignment horizontal="distributed" vertical="center"/>
    </xf>
    <xf numFmtId="0" fontId="23" fillId="0" borderId="231" xfId="0" applyFont="1" applyBorder="1" applyAlignment="1" applyProtection="1">
      <alignment horizontal="center" vertical="center"/>
    </xf>
    <xf numFmtId="0" fontId="0" fillId="0" borderId="270" xfId="0" applyBorder="1" applyAlignment="1" applyProtection="1">
      <alignment horizontal="center" vertical="center"/>
    </xf>
    <xf numFmtId="0" fontId="36" fillId="0" borderId="268" xfId="0" applyFont="1" applyBorder="1" applyAlignment="1" applyProtection="1">
      <alignment horizontal="distributed" vertical="center"/>
    </xf>
    <xf numFmtId="0" fontId="36" fillId="0" borderId="269" xfId="0" applyFont="1" applyFill="1" applyBorder="1" applyAlignment="1" applyProtection="1">
      <alignment horizontal="distributed" vertical="center"/>
    </xf>
    <xf numFmtId="0" fontId="76" fillId="0" borderId="269" xfId="0" applyFont="1" applyBorder="1" applyAlignment="1" applyProtection="1">
      <alignment horizontal="distributed" vertical="center"/>
    </xf>
    <xf numFmtId="0" fontId="36" fillId="0" borderId="269" xfId="0" applyFont="1" applyBorder="1" applyAlignment="1" applyProtection="1">
      <alignment horizontal="distributed" vertical="center" justifyLastLine="1"/>
    </xf>
    <xf numFmtId="0" fontId="36" fillId="0" borderId="268" xfId="0" applyFont="1" applyBorder="1" applyAlignment="1" applyProtection="1">
      <alignment horizontal="distributed" vertical="center" justifyLastLine="1"/>
    </xf>
    <xf numFmtId="0" fontId="36" fillId="0" borderId="269" xfId="0" applyFont="1" applyBorder="1" applyAlignment="1" applyProtection="1">
      <alignment horizontal="distributed" vertical="center"/>
    </xf>
    <xf numFmtId="0" fontId="23" fillId="0" borderId="269" xfId="0" applyFont="1" applyBorder="1" applyAlignment="1" applyProtection="1">
      <alignment horizontal="center" vertical="center"/>
    </xf>
    <xf numFmtId="0" fontId="0" fillId="0" borderId="269" xfId="0" applyBorder="1" applyAlignment="1" applyProtection="1">
      <alignment horizontal="center" vertical="center"/>
    </xf>
    <xf numFmtId="0" fontId="0" fillId="0" borderId="268" xfId="0" applyBorder="1" applyAlignment="1" applyProtection="1">
      <alignment horizontal="center" vertical="center"/>
    </xf>
    <xf numFmtId="0" fontId="0" fillId="0" borderId="14" xfId="0" applyBorder="1" applyAlignment="1" applyProtection="1">
      <alignment horizontal="center" vertical="center" wrapText="1"/>
    </xf>
    <xf numFmtId="0" fontId="0" fillId="0" borderId="21" xfId="0" applyBorder="1" applyAlignment="1" applyProtection="1">
      <alignment horizontal="center" vertical="center" wrapText="1"/>
    </xf>
    <xf numFmtId="0" fontId="23" fillId="7" borderId="429" xfId="0" applyFont="1" applyFill="1" applyBorder="1" applyAlignment="1" applyProtection="1">
      <alignment horizontal="center" vertical="center" wrapText="1"/>
      <protection locked="0"/>
    </xf>
    <xf numFmtId="0" fontId="23" fillId="7" borderId="430" xfId="0" applyFont="1" applyFill="1" applyBorder="1" applyAlignment="1" applyProtection="1">
      <alignment horizontal="center" vertical="center" wrapText="1"/>
      <protection locked="0"/>
    </xf>
    <xf numFmtId="0" fontId="23" fillId="0" borderId="278" xfId="0" applyFont="1" applyFill="1" applyBorder="1" applyAlignment="1" applyProtection="1">
      <alignment horizontal="distributed" vertical="center"/>
    </xf>
    <xf numFmtId="0" fontId="23" fillId="0" borderId="277" xfId="0" applyFont="1" applyFill="1" applyBorder="1" applyAlignment="1" applyProtection="1">
      <alignment horizontal="distributed" vertical="center"/>
    </xf>
    <xf numFmtId="0" fontId="23" fillId="0" borderId="278" xfId="0" applyFont="1" applyFill="1" applyBorder="1" applyAlignment="1" applyProtection="1">
      <alignment horizontal="distributed" vertical="center" wrapText="1"/>
    </xf>
    <xf numFmtId="0" fontId="23" fillId="0" borderId="231" xfId="0" applyFont="1" applyFill="1" applyBorder="1" applyAlignment="1" applyProtection="1">
      <alignment horizontal="distributed" vertical="center"/>
    </xf>
    <xf numFmtId="0" fontId="23" fillId="0" borderId="425" xfId="0" applyFont="1" applyBorder="1" applyAlignment="1" applyProtection="1">
      <alignment horizontal="center" vertical="center"/>
    </xf>
    <xf numFmtId="0" fontId="36" fillId="0" borderId="269" xfId="0" applyFont="1" applyBorder="1" applyAlignment="1" applyProtection="1">
      <alignment horizontal="center" vertical="center" wrapText="1"/>
    </xf>
    <xf numFmtId="0" fontId="0" fillId="0" borderId="317" xfId="0" applyBorder="1" applyAlignment="1" applyProtection="1">
      <alignment horizontal="center" vertical="center" wrapText="1"/>
    </xf>
    <xf numFmtId="0" fontId="23" fillId="0" borderId="17" xfId="0" applyFont="1" applyBorder="1" applyAlignment="1" applyProtection="1">
      <alignment horizontal="center" vertical="center" wrapText="1"/>
    </xf>
    <xf numFmtId="0" fontId="23" fillId="0" borderId="37" xfId="0" applyFont="1" applyBorder="1" applyAlignment="1" applyProtection="1">
      <alignment horizontal="center" vertical="center" wrapText="1"/>
    </xf>
    <xf numFmtId="0" fontId="23" fillId="0" borderId="9" xfId="0" applyFont="1" applyBorder="1" applyAlignment="1" applyProtection="1">
      <alignment horizontal="center" vertical="center" wrapText="1"/>
    </xf>
    <xf numFmtId="0" fontId="0" fillId="0" borderId="274" xfId="0" applyBorder="1" applyAlignment="1" applyProtection="1">
      <alignment horizontal="center" vertical="center"/>
    </xf>
    <xf numFmtId="0" fontId="23" fillId="0" borderId="205" xfId="0" applyFont="1" applyFill="1" applyBorder="1" applyAlignment="1" applyProtection="1">
      <alignment horizontal="distributed" vertical="center" wrapText="1"/>
    </xf>
    <xf numFmtId="0" fontId="23" fillId="0" borderId="138" xfId="0" applyFont="1" applyFill="1" applyBorder="1" applyAlignment="1" applyProtection="1">
      <alignment horizontal="distributed" vertical="center" wrapText="1"/>
    </xf>
    <xf numFmtId="0" fontId="0" fillId="0" borderId="16" xfId="0" applyBorder="1" applyAlignment="1" applyProtection="1">
      <alignment horizontal="center" vertical="center"/>
    </xf>
    <xf numFmtId="0" fontId="28" fillId="0" borderId="269" xfId="0" applyFont="1" applyBorder="1" applyAlignment="1" applyProtection="1">
      <alignment horizontal="center" vertical="center" wrapText="1"/>
    </xf>
    <xf numFmtId="0" fontId="0" fillId="0" borderId="22" xfId="0" applyBorder="1" applyAlignment="1" applyProtection="1">
      <alignment horizontal="center" vertical="center"/>
    </xf>
    <xf numFmtId="0" fontId="0" fillId="0" borderId="13" xfId="0" applyBorder="1" applyAlignment="1" applyProtection="1">
      <alignment horizontal="center" vertical="center"/>
    </xf>
    <xf numFmtId="0" fontId="23" fillId="0" borderId="278" xfId="0" applyFont="1" applyFill="1" applyBorder="1" applyAlignment="1" applyProtection="1">
      <alignment horizontal="center" vertical="center" wrapText="1"/>
    </xf>
    <xf numFmtId="0" fontId="23" fillId="0" borderId="152" xfId="0" applyFont="1" applyFill="1" applyBorder="1" applyAlignment="1" applyProtection="1">
      <alignment horizontal="center" vertical="center" wrapText="1"/>
    </xf>
    <xf numFmtId="0" fontId="23" fillId="0" borderId="205" xfId="0" applyFont="1" applyFill="1" applyBorder="1" applyAlignment="1" applyProtection="1">
      <alignment horizontal="distributed" vertical="center"/>
    </xf>
    <xf numFmtId="0" fontId="23" fillId="0" borderId="139" xfId="0" applyFont="1" applyFill="1" applyBorder="1" applyAlignment="1" applyProtection="1">
      <alignment horizontal="distributed" vertical="center"/>
    </xf>
    <xf numFmtId="0" fontId="0" fillId="0" borderId="393" xfId="0" applyFont="1" applyBorder="1" applyAlignment="1" applyProtection="1">
      <alignment horizontal="center" vertical="center"/>
    </xf>
    <xf numFmtId="0" fontId="36" fillId="0" borderId="272" xfId="0" applyFont="1" applyBorder="1" applyAlignment="1" applyProtection="1">
      <alignment horizontal="center" vertical="center" wrapText="1"/>
    </xf>
    <xf numFmtId="0" fontId="76" fillId="0" borderId="269" xfId="0" applyFont="1" applyBorder="1" applyAlignment="1" applyProtection="1">
      <alignment horizontal="center" vertical="center" wrapText="1"/>
    </xf>
    <xf numFmtId="0" fontId="36" fillId="0" borderId="269" xfId="0" applyFont="1" applyBorder="1" applyAlignment="1" applyProtection="1">
      <alignment horizontal="center" vertical="center"/>
    </xf>
    <xf numFmtId="0" fontId="76" fillId="0" borderId="269" xfId="0" applyFont="1" applyBorder="1" applyAlignment="1" applyProtection="1">
      <alignment horizontal="center" vertical="center"/>
    </xf>
    <xf numFmtId="0" fontId="28" fillId="0" borderId="269" xfId="0" applyFont="1" applyFill="1" applyBorder="1" applyAlignment="1" applyProtection="1">
      <alignment horizontal="distributed" vertical="center"/>
    </xf>
    <xf numFmtId="0" fontId="68" fillId="0" borderId="269" xfId="0" applyFont="1" applyBorder="1" applyAlignment="1" applyProtection="1">
      <alignment horizontal="distributed" vertical="center"/>
    </xf>
    <xf numFmtId="0" fontId="23" fillId="0" borderId="221" xfId="0" applyFont="1" applyBorder="1" applyAlignment="1" applyProtection="1">
      <alignment horizontal="center" vertical="center"/>
    </xf>
    <xf numFmtId="0" fontId="36" fillId="0" borderId="286" xfId="0" applyFont="1" applyBorder="1" applyAlignment="1" applyProtection="1">
      <alignment horizontal="distributed" vertical="center"/>
    </xf>
    <xf numFmtId="0" fontId="0" fillId="0" borderId="70" xfId="0" applyFont="1" applyBorder="1" applyAlignment="1" applyProtection="1">
      <alignment horizontal="center" vertical="center"/>
    </xf>
    <xf numFmtId="0" fontId="76" fillId="0" borderId="269" xfId="0" applyFont="1" applyBorder="1" applyAlignment="1" applyProtection="1">
      <alignment horizontal="distributed" vertical="center" wrapText="1" justifyLastLine="1"/>
    </xf>
    <xf numFmtId="0" fontId="0" fillId="0" borderId="269" xfId="0" applyBorder="1" applyAlignment="1" applyProtection="1">
      <alignment horizontal="distributed" vertical="center" wrapText="1" justifyLastLine="1"/>
    </xf>
    <xf numFmtId="0" fontId="25" fillId="0" borderId="269" xfId="0" applyFont="1" applyFill="1" applyBorder="1" applyAlignment="1" applyProtection="1">
      <alignment horizontal="distributed" vertical="center"/>
    </xf>
    <xf numFmtId="0" fontId="32" fillId="0" borderId="269" xfId="0" applyFont="1" applyBorder="1" applyAlignment="1" applyProtection="1">
      <alignment horizontal="distributed" vertical="center"/>
    </xf>
    <xf numFmtId="0" fontId="0" fillId="0" borderId="248" xfId="0" applyBorder="1" applyAlignment="1" applyProtection="1">
      <alignment horizontal="distributed"/>
    </xf>
    <xf numFmtId="0" fontId="0" fillId="0" borderId="269" xfId="0" applyBorder="1" applyAlignment="1" applyProtection="1">
      <alignment horizontal="distributed"/>
    </xf>
    <xf numFmtId="0" fontId="0" fillId="0" borderId="269" xfId="0" applyBorder="1" applyAlignment="1" applyProtection="1"/>
    <xf numFmtId="0" fontId="36" fillId="0" borderId="269" xfId="0" applyFont="1" applyFill="1" applyBorder="1" applyAlignment="1">
      <alignment horizontal="distributed" vertical="center"/>
    </xf>
    <xf numFmtId="0" fontId="36" fillId="0" borderId="268" xfId="0" applyFont="1" applyFill="1" applyBorder="1" applyAlignment="1">
      <alignment horizontal="distributed" vertical="center"/>
    </xf>
    <xf numFmtId="0" fontId="36" fillId="0" borderId="248" xfId="0" applyFont="1" applyBorder="1" applyAlignment="1">
      <alignment horizontal="distributed" vertical="center"/>
    </xf>
    <xf numFmtId="0" fontId="36" fillId="0" borderId="286" xfId="0" applyFont="1" applyBorder="1" applyAlignment="1">
      <alignment horizontal="distributed" vertical="center"/>
    </xf>
    <xf numFmtId="0" fontId="36" fillId="0" borderId="283" xfId="0" applyFont="1" applyBorder="1" applyAlignment="1">
      <alignment horizontal="distributed" vertical="center"/>
    </xf>
    <xf numFmtId="0" fontId="36" fillId="0" borderId="317" xfId="0" applyFont="1" applyBorder="1" applyAlignment="1">
      <alignment horizontal="center" vertical="center" wrapText="1"/>
    </xf>
    <xf numFmtId="0" fontId="36" fillId="0" borderId="9" xfId="0" applyFont="1" applyBorder="1" applyAlignment="1">
      <alignment horizontal="center" vertical="center"/>
    </xf>
    <xf numFmtId="0" fontId="36" fillId="0" borderId="322" xfId="0" applyFont="1" applyBorder="1" applyAlignment="1">
      <alignment horizontal="center" vertical="center"/>
    </xf>
    <xf numFmtId="0" fontId="36" fillId="0" borderId="268" xfId="0" applyFont="1" applyBorder="1" applyAlignment="1">
      <alignment horizontal="center" vertical="center"/>
    </xf>
    <xf numFmtId="0" fontId="36" fillId="0" borderId="286" xfId="0" applyFont="1" applyBorder="1" applyAlignment="1">
      <alignment horizontal="center" vertical="center"/>
    </xf>
    <xf numFmtId="0" fontId="36" fillId="0" borderId="285" xfId="0" applyFont="1" applyBorder="1" applyAlignment="1">
      <alignment horizontal="center" vertical="center"/>
    </xf>
    <xf numFmtId="0" fontId="36" fillId="0" borderId="317" xfId="0" applyFont="1" applyBorder="1" applyAlignment="1">
      <alignment horizontal="center" vertical="center"/>
    </xf>
    <xf numFmtId="0" fontId="36" fillId="0" borderId="231" xfId="0" applyFont="1" applyBorder="1" applyAlignment="1">
      <alignment horizontal="center" vertical="center"/>
    </xf>
    <xf numFmtId="0" fontId="36" fillId="0" borderId="277" xfId="0" applyFont="1" applyBorder="1" applyAlignment="1">
      <alignment horizontal="center" vertical="center"/>
    </xf>
    <xf numFmtId="3" fontId="36" fillId="0" borderId="323" xfId="0" applyNumberFormat="1" applyFont="1" applyBorder="1" applyAlignment="1">
      <alignment horizontal="right" vertical="center" shrinkToFit="1"/>
    </xf>
    <xf numFmtId="3" fontId="36" fillId="0" borderId="324" xfId="0" applyNumberFormat="1" applyFont="1" applyBorder="1" applyAlignment="1">
      <alignment horizontal="right" vertical="center" shrinkToFit="1"/>
    </xf>
    <xf numFmtId="3" fontId="36" fillId="0" borderId="325" xfId="0" applyNumberFormat="1" applyFont="1" applyBorder="1" applyAlignment="1">
      <alignment horizontal="right" vertical="center" shrinkToFit="1"/>
    </xf>
    <xf numFmtId="0" fontId="36" fillId="0" borderId="269" xfId="0" applyFont="1" applyBorder="1" applyAlignment="1">
      <alignment horizontal="distributed" vertical="center"/>
    </xf>
    <xf numFmtId="0" fontId="0" fillId="0" borderId="269" xfId="0" applyBorder="1" applyAlignment="1">
      <alignment horizontal="distributed" vertical="center"/>
    </xf>
    <xf numFmtId="0" fontId="0" fillId="0" borderId="268" xfId="0" applyBorder="1" applyAlignment="1">
      <alignment horizontal="distributed" vertical="center"/>
    </xf>
    <xf numFmtId="0" fontId="36" fillId="0" borderId="278" xfId="0" applyFont="1" applyBorder="1" applyAlignment="1">
      <alignment horizontal="center" vertical="center" justifyLastLine="1"/>
    </xf>
    <xf numFmtId="0" fontId="36" fillId="0" borderId="231" xfId="0" applyFont="1" applyBorder="1" applyAlignment="1">
      <alignment horizontal="center" vertical="center" justifyLastLine="1"/>
    </xf>
    <xf numFmtId="0" fontId="36" fillId="0" borderId="277" xfId="0" applyFont="1" applyBorder="1" applyAlignment="1">
      <alignment horizontal="center" vertical="center" justifyLastLine="1"/>
    </xf>
    <xf numFmtId="0" fontId="36" fillId="0" borderId="152" xfId="0" applyFont="1" applyBorder="1" applyAlignment="1">
      <alignment horizontal="center" vertical="center" justifyLastLine="1"/>
    </xf>
    <xf numFmtId="0" fontId="36" fillId="0" borderId="0" xfId="0" applyFont="1" applyBorder="1" applyAlignment="1">
      <alignment horizontal="center" vertical="center" justifyLastLine="1"/>
    </xf>
    <xf numFmtId="0" fontId="36" fillId="0" borderId="6" xfId="0" applyFont="1" applyBorder="1" applyAlignment="1">
      <alignment horizontal="center" vertical="center" justifyLastLine="1"/>
    </xf>
    <xf numFmtId="0" fontId="36" fillId="0" borderId="60" xfId="0" applyFont="1" applyBorder="1" applyAlignment="1">
      <alignment horizontal="center" vertical="center" justifyLastLine="1"/>
    </xf>
    <xf numFmtId="0" fontId="36" fillId="0" borderId="1" xfId="0" applyFont="1" applyBorder="1" applyAlignment="1">
      <alignment horizontal="center" vertical="center" justifyLastLine="1"/>
    </xf>
    <xf numFmtId="0" fontId="36" fillId="0" borderId="136" xfId="0" applyFont="1" applyBorder="1" applyAlignment="1">
      <alignment horizontal="center" vertical="center" justifyLastLine="1"/>
    </xf>
    <xf numFmtId="0" fontId="36" fillId="0" borderId="272" xfId="0" applyFont="1" applyBorder="1" applyAlignment="1">
      <alignment horizontal="distributed" vertical="center"/>
    </xf>
    <xf numFmtId="3" fontId="36" fillId="0" borderId="291" xfId="0" applyNumberFormat="1" applyFont="1" applyFill="1" applyBorder="1" applyAlignment="1">
      <alignment horizontal="right" vertical="center" shrinkToFit="1"/>
    </xf>
    <xf numFmtId="3" fontId="36" fillId="0" borderId="290" xfId="0" applyNumberFormat="1" applyFont="1" applyFill="1" applyBorder="1" applyAlignment="1">
      <alignment horizontal="right" vertical="center" shrinkToFit="1"/>
    </xf>
    <xf numFmtId="3" fontId="36" fillId="0" borderId="289" xfId="0" applyNumberFormat="1" applyFont="1" applyFill="1" applyBorder="1" applyAlignment="1">
      <alignment horizontal="right" vertical="center" shrinkToFit="1"/>
    </xf>
    <xf numFmtId="0" fontId="36" fillId="0" borderId="248" xfId="0" applyFont="1" applyFill="1" applyBorder="1" applyAlignment="1">
      <alignment horizontal="distributed" vertical="center"/>
    </xf>
    <xf numFmtId="0" fontId="36" fillId="0" borderId="286" xfId="0" applyFont="1" applyFill="1" applyBorder="1" applyAlignment="1">
      <alignment horizontal="distributed" vertical="center"/>
    </xf>
    <xf numFmtId="0" fontId="36" fillId="0" borderId="283" xfId="0" applyFont="1" applyFill="1" applyBorder="1" applyAlignment="1">
      <alignment horizontal="distributed" vertical="center"/>
    </xf>
    <xf numFmtId="0" fontId="36" fillId="0" borderId="268" xfId="0" applyFont="1" applyBorder="1" applyAlignment="1">
      <alignment horizontal="distributed" vertical="center"/>
    </xf>
    <xf numFmtId="3" fontId="36" fillId="0" borderId="288" xfId="0" applyNumberFormat="1" applyFont="1" applyBorder="1" applyAlignment="1">
      <alignment horizontal="right" vertical="center" shrinkToFit="1"/>
    </xf>
    <xf numFmtId="3" fontId="36" fillId="0" borderId="287" xfId="0" applyNumberFormat="1" applyFont="1" applyBorder="1" applyAlignment="1">
      <alignment horizontal="right" vertical="center" shrinkToFit="1"/>
    </xf>
    <xf numFmtId="0" fontId="36" fillId="0" borderId="269" xfId="0" applyFont="1" applyBorder="1" applyAlignment="1">
      <alignment horizontal="center" vertical="center"/>
    </xf>
    <xf numFmtId="0" fontId="0" fillId="0" borderId="269" xfId="0" applyBorder="1" applyAlignment="1">
      <alignment horizontal="center" vertical="center"/>
    </xf>
    <xf numFmtId="0" fontId="36" fillId="0" borderId="269" xfId="0" applyFont="1" applyBorder="1" applyAlignment="1">
      <alignment horizontal="distributed" vertical="center" justifyLastLine="1"/>
    </xf>
    <xf numFmtId="0" fontId="0" fillId="0" borderId="269" xfId="0" applyBorder="1" applyAlignment="1">
      <alignment horizontal="distributed" vertical="center" justifyLastLine="1"/>
    </xf>
    <xf numFmtId="0" fontId="23" fillId="7" borderId="248" xfId="9" applyNumberFormat="1" applyFont="1" applyFill="1" applyBorder="1" applyAlignment="1" applyProtection="1">
      <alignment vertical="center" wrapText="1"/>
      <protection locked="0"/>
    </xf>
    <xf numFmtId="0" fontId="23" fillId="7" borderId="286" xfId="9" applyNumberFormat="1" applyFont="1" applyFill="1" applyBorder="1" applyAlignment="1" applyProtection="1">
      <alignment vertical="center" wrapText="1"/>
      <protection locked="0"/>
    </xf>
    <xf numFmtId="0" fontId="23" fillId="7" borderId="42" xfId="9" applyNumberFormat="1" applyFont="1" applyFill="1" applyBorder="1" applyAlignment="1" applyProtection="1">
      <alignment vertical="center" wrapText="1"/>
      <protection locked="0"/>
    </xf>
    <xf numFmtId="0" fontId="23" fillId="7" borderId="205" xfId="9" applyNumberFormat="1" applyFont="1" applyFill="1" applyBorder="1" applyAlignment="1" applyProtection="1">
      <alignment vertical="center" wrapText="1"/>
      <protection locked="0"/>
    </xf>
    <xf numFmtId="0" fontId="23" fillId="7" borderId="139" xfId="9" applyNumberFormat="1" applyFont="1" applyFill="1" applyBorder="1" applyAlignment="1" applyProtection="1">
      <alignment vertical="center" wrapText="1"/>
      <protection locked="0"/>
    </xf>
    <xf numFmtId="0" fontId="23" fillId="7" borderId="125" xfId="9" applyNumberFormat="1" applyFont="1" applyFill="1" applyBorder="1" applyAlignment="1" applyProtection="1">
      <alignment vertical="center" wrapText="1"/>
      <protection locked="0"/>
    </xf>
    <xf numFmtId="0" fontId="23" fillId="0" borderId="37" xfId="9" applyFont="1" applyFill="1" applyBorder="1" applyAlignment="1" applyProtection="1">
      <alignment horizontal="center" vertical="center" wrapText="1"/>
    </xf>
    <xf numFmtId="0" fontId="23" fillId="0" borderId="66" xfId="9" applyFont="1" applyFill="1" applyBorder="1" applyAlignment="1" applyProtection="1">
      <alignment horizontal="center" vertical="center" wrapText="1"/>
    </xf>
    <xf numFmtId="0" fontId="0" fillId="0" borderId="66" xfId="0" applyBorder="1" applyAlignment="1" applyProtection="1">
      <alignment horizontal="center" vertical="center" wrapText="1"/>
    </xf>
    <xf numFmtId="0" fontId="0" fillId="0" borderId="58" xfId="0" applyBorder="1" applyAlignment="1" applyProtection="1">
      <alignment horizontal="center" vertical="center" wrapText="1"/>
    </xf>
    <xf numFmtId="0" fontId="23" fillId="7" borderId="152" xfId="9" applyNumberFormat="1" applyFont="1" applyFill="1" applyBorder="1" applyAlignment="1" applyProtection="1">
      <alignment vertical="center" wrapText="1"/>
      <protection locked="0"/>
    </xf>
    <xf numFmtId="0" fontId="23" fillId="7" borderId="0" xfId="9" applyNumberFormat="1" applyFont="1" applyFill="1" applyBorder="1" applyAlignment="1" applyProtection="1">
      <alignment vertical="center" wrapText="1"/>
      <protection locked="0"/>
    </xf>
    <xf numFmtId="0" fontId="23" fillId="7" borderId="87" xfId="9" applyNumberFormat="1" applyFont="1" applyFill="1" applyBorder="1" applyAlignment="1" applyProtection="1">
      <alignment vertical="center" wrapText="1"/>
      <protection locked="0"/>
    </xf>
    <xf numFmtId="0" fontId="23" fillId="0" borderId="278" xfId="9" applyFont="1" applyFill="1" applyBorder="1" applyAlignment="1" applyProtection="1">
      <alignment horizontal="center" vertical="center" wrapText="1"/>
    </xf>
    <xf numFmtId="0" fontId="23" fillId="0" borderId="152" xfId="9" applyFont="1" applyFill="1" applyBorder="1" applyAlignment="1" applyProtection="1">
      <alignment horizontal="center" vertical="center" wrapText="1"/>
    </xf>
    <xf numFmtId="0" fontId="23" fillId="0" borderId="50" xfId="9" applyFont="1" applyFill="1" applyBorder="1" applyAlignment="1" applyProtection="1">
      <alignment horizontal="center" vertical="center" wrapText="1"/>
    </xf>
    <xf numFmtId="0" fontId="23" fillId="7" borderId="34" xfId="9" applyNumberFormat="1" applyFont="1" applyFill="1" applyBorder="1" applyAlignment="1" applyProtection="1">
      <alignment vertical="center" wrapText="1"/>
      <protection locked="0"/>
    </xf>
    <xf numFmtId="0" fontId="23" fillId="7" borderId="12" xfId="9" applyNumberFormat="1" applyFont="1" applyFill="1" applyBorder="1" applyAlignment="1" applyProtection="1">
      <alignment vertical="center" wrapText="1"/>
      <protection locked="0"/>
    </xf>
    <xf numFmtId="0" fontId="23" fillId="7" borderId="120" xfId="9" applyNumberFormat="1" applyFont="1" applyFill="1" applyBorder="1" applyAlignment="1" applyProtection="1">
      <alignment vertical="center" wrapText="1"/>
      <protection locked="0"/>
    </xf>
    <xf numFmtId="0" fontId="23" fillId="0" borderId="317" xfId="9" applyFont="1" applyFill="1" applyBorder="1" applyAlignment="1" applyProtection="1">
      <alignment horizontal="center" vertical="center" textRotation="255" wrapText="1"/>
    </xf>
    <xf numFmtId="0" fontId="23" fillId="0" borderId="66" xfId="9" applyFont="1" applyFill="1" applyBorder="1" applyAlignment="1" applyProtection="1">
      <alignment horizontal="center" vertical="center" textRotation="255" wrapText="1"/>
    </xf>
    <xf numFmtId="0" fontId="23" fillId="0" borderId="58" xfId="9" applyFont="1" applyFill="1" applyBorder="1" applyAlignment="1" applyProtection="1">
      <alignment horizontal="center" vertical="center" textRotation="255" wrapText="1"/>
    </xf>
    <xf numFmtId="0" fontId="23" fillId="0" borderId="273" xfId="9" applyFont="1" applyFill="1" applyBorder="1" applyAlignment="1" applyProtection="1">
      <alignment horizontal="center" vertical="center" wrapText="1"/>
    </xf>
    <xf numFmtId="0" fontId="23" fillId="0" borderId="126" xfId="9" applyFont="1" applyFill="1" applyBorder="1" applyAlignment="1" applyProtection="1">
      <alignment horizontal="center" vertical="center" wrapText="1"/>
    </xf>
    <xf numFmtId="0" fontId="23" fillId="0" borderId="190" xfId="9" applyFont="1" applyFill="1" applyBorder="1" applyAlignment="1" applyProtection="1">
      <alignment horizontal="center" vertical="center" wrapText="1"/>
    </xf>
    <xf numFmtId="0" fontId="23" fillId="0" borderId="24" xfId="9" applyFont="1" applyFill="1" applyBorder="1" applyAlignment="1" applyProtection="1">
      <alignment horizontal="center" vertical="center" wrapText="1" justifyLastLine="1"/>
    </xf>
    <xf numFmtId="0" fontId="23" fillId="0" borderId="152" xfId="9" applyFont="1" applyFill="1" applyBorder="1" applyAlignment="1" applyProtection="1">
      <alignment horizontal="center" vertical="center" wrapText="1" justifyLastLine="1"/>
    </xf>
    <xf numFmtId="0" fontId="23" fillId="0" borderId="91" xfId="9" applyFont="1" applyFill="1" applyBorder="1" applyAlignment="1" applyProtection="1">
      <alignment horizontal="center" vertical="center" wrapText="1" justifyLastLine="1"/>
    </xf>
    <xf numFmtId="0" fontId="23" fillId="0" borderId="24" xfId="9" applyFont="1" applyFill="1" applyBorder="1" applyAlignment="1" applyProtection="1">
      <alignment horizontal="center" vertical="center" textRotation="255" wrapText="1"/>
    </xf>
    <xf numFmtId="0" fontId="23" fillId="0" borderId="152" xfId="9" applyFont="1" applyFill="1" applyBorder="1" applyAlignment="1" applyProtection="1">
      <alignment horizontal="center" vertical="center" textRotation="255" wrapText="1"/>
    </xf>
    <xf numFmtId="0" fontId="23" fillId="0" borderId="50" xfId="9" applyFont="1" applyFill="1" applyBorder="1" applyAlignment="1" applyProtection="1">
      <alignment horizontal="center" vertical="center" textRotation="255" wrapText="1"/>
    </xf>
    <xf numFmtId="0" fontId="23" fillId="0" borderId="13" xfId="9" applyFont="1" applyFill="1" applyBorder="1" applyAlignment="1" applyProtection="1">
      <alignment horizontal="center" vertical="center" wrapText="1" justifyLastLine="1"/>
    </xf>
    <xf numFmtId="0" fontId="23" fillId="0" borderId="0" xfId="9" applyFont="1" applyFill="1" applyBorder="1" applyAlignment="1" applyProtection="1">
      <alignment horizontal="center" vertical="center" wrapText="1" justifyLastLine="1"/>
    </xf>
    <xf numFmtId="0" fontId="23" fillId="0" borderId="1" xfId="9" applyFont="1" applyFill="1" applyBorder="1" applyAlignment="1" applyProtection="1">
      <alignment horizontal="center" vertical="center" wrapText="1" justifyLastLine="1"/>
    </xf>
    <xf numFmtId="0" fontId="61" fillId="0" borderId="317" xfId="0" applyFont="1" applyBorder="1" applyAlignment="1" applyProtection="1">
      <alignment horizontal="center" vertical="center" wrapText="1"/>
    </xf>
    <xf numFmtId="0" fontId="61" fillId="0" borderId="66" xfId="0" applyFont="1" applyBorder="1" applyAlignment="1" applyProtection="1">
      <alignment horizontal="center" vertical="center" wrapText="1"/>
    </xf>
    <xf numFmtId="0" fontId="61" fillId="0" borderId="131" xfId="0" applyFont="1" applyBorder="1" applyAlignment="1" applyProtection="1">
      <alignment horizontal="center" vertical="center" wrapText="1"/>
    </xf>
    <xf numFmtId="0" fontId="23" fillId="0" borderId="37" xfId="9" applyFont="1" applyFill="1" applyBorder="1" applyAlignment="1" applyProtection="1">
      <alignment horizontal="center" vertical="center" wrapText="1" shrinkToFit="1"/>
    </xf>
    <xf numFmtId="0" fontId="23" fillId="0" borderId="66" xfId="9" applyFont="1" applyFill="1" applyBorder="1" applyAlignment="1" applyProtection="1">
      <alignment horizontal="center" vertical="center" wrapText="1" shrinkToFit="1"/>
    </xf>
    <xf numFmtId="0" fontId="23" fillId="0" borderId="24" xfId="9" applyFont="1" applyFill="1" applyBorder="1" applyAlignment="1" applyProtection="1">
      <alignment horizontal="center" vertical="center"/>
    </xf>
    <xf numFmtId="0" fontId="23" fillId="0" borderId="14" xfId="9" applyFont="1" applyFill="1" applyBorder="1" applyAlignment="1" applyProtection="1">
      <alignment horizontal="center" vertical="center"/>
    </xf>
    <xf numFmtId="0" fontId="23" fillId="0" borderId="91" xfId="9" applyFont="1" applyFill="1" applyBorder="1" applyAlignment="1" applyProtection="1">
      <alignment horizontal="center" vertical="center"/>
    </xf>
    <xf numFmtId="0" fontId="23" fillId="0" borderId="20" xfId="9" applyFont="1" applyFill="1" applyBorder="1" applyAlignment="1" applyProtection="1">
      <alignment horizontal="center" vertical="center"/>
    </xf>
    <xf numFmtId="0" fontId="23" fillId="0" borderId="104" xfId="9" applyFont="1" applyFill="1" applyBorder="1" applyAlignment="1" applyProtection="1">
      <alignment horizontal="center" vertical="center" wrapText="1"/>
    </xf>
    <xf numFmtId="0" fontId="23" fillId="0" borderId="110" xfId="9" applyFont="1" applyFill="1" applyBorder="1" applyAlignment="1" applyProtection="1">
      <alignment horizontal="center" vertical="center" wrapText="1"/>
    </xf>
    <xf numFmtId="0" fontId="28" fillId="0" borderId="278" xfId="0" applyFont="1" applyFill="1" applyBorder="1" applyAlignment="1" applyProtection="1">
      <alignment horizontal="center" vertical="center"/>
    </xf>
    <xf numFmtId="0" fontId="28" fillId="0" borderId="231" xfId="0" applyFont="1" applyFill="1" applyBorder="1" applyAlignment="1" applyProtection="1">
      <alignment horizontal="center" vertical="center"/>
    </xf>
    <xf numFmtId="0" fontId="28" fillId="0" borderId="277" xfId="0" applyFont="1" applyFill="1" applyBorder="1" applyAlignment="1" applyProtection="1">
      <alignment horizontal="center" vertical="center"/>
    </xf>
    <xf numFmtId="0" fontId="28" fillId="0" borderId="91" xfId="0" applyFont="1" applyFill="1" applyBorder="1" applyAlignment="1" applyProtection="1">
      <alignment horizontal="center" vertical="center"/>
    </xf>
    <xf numFmtId="0" fontId="28" fillId="0" borderId="1" xfId="0" applyFont="1" applyFill="1" applyBorder="1" applyAlignment="1" applyProtection="1">
      <alignment horizontal="center" vertical="center"/>
    </xf>
    <xf numFmtId="0" fontId="28" fillId="0" borderId="136" xfId="0" applyFont="1" applyFill="1" applyBorder="1" applyAlignment="1" applyProtection="1">
      <alignment horizontal="center" vertical="center"/>
    </xf>
    <xf numFmtId="0" fontId="61" fillId="0" borderId="317" xfId="0" applyFont="1" applyFill="1" applyBorder="1" applyAlignment="1" applyProtection="1">
      <alignment horizontal="center" vertical="center" wrapText="1"/>
    </xf>
    <xf numFmtId="0" fontId="61" fillId="0" borderId="66" xfId="0" applyFont="1" applyFill="1" applyBorder="1" applyAlignment="1" applyProtection="1">
      <alignment horizontal="center" vertical="center" wrapText="1"/>
    </xf>
    <xf numFmtId="0" fontId="61" fillId="0" borderId="131" xfId="0" applyFont="1" applyFill="1" applyBorder="1" applyAlignment="1" applyProtection="1">
      <alignment horizontal="center" vertical="center" wrapText="1"/>
    </xf>
    <xf numFmtId="0" fontId="61" fillId="0" borderId="278" xfId="0" applyFont="1" applyBorder="1" applyAlignment="1" applyProtection="1">
      <alignment horizontal="center" vertical="center" wrapText="1"/>
    </xf>
    <xf numFmtId="0" fontId="24" fillId="0" borderId="278" xfId="0" applyFont="1" applyFill="1" applyBorder="1" applyAlignment="1" applyProtection="1">
      <alignment horizontal="center" vertical="center" wrapText="1"/>
    </xf>
    <xf numFmtId="0" fontId="24" fillId="0" borderId="231" xfId="0" applyFont="1" applyFill="1" applyBorder="1" applyAlignment="1" applyProtection="1">
      <alignment horizontal="center" vertical="center" wrapText="1"/>
    </xf>
    <xf numFmtId="0" fontId="24" fillId="0" borderId="91" xfId="0" applyFont="1" applyFill="1" applyBorder="1" applyAlignment="1" applyProtection="1">
      <alignment horizontal="center" vertical="center" wrapText="1"/>
    </xf>
    <xf numFmtId="0" fontId="24" fillId="0" borderId="1" xfId="0" applyFont="1" applyFill="1" applyBorder="1" applyAlignment="1" applyProtection="1">
      <alignment horizontal="center" vertical="center" wrapText="1"/>
    </xf>
    <xf numFmtId="0" fontId="28" fillId="0" borderId="278" xfId="0" applyFont="1" applyFill="1" applyBorder="1" applyAlignment="1" applyProtection="1">
      <alignment horizontal="center" vertical="center" wrapText="1"/>
    </xf>
    <xf numFmtId="0" fontId="28" fillId="0" borderId="231" xfId="0" applyFont="1" applyFill="1" applyBorder="1" applyAlignment="1" applyProtection="1">
      <alignment horizontal="center" vertical="center" wrapText="1"/>
    </xf>
    <xf numFmtId="0" fontId="28" fillId="0" borderId="277" xfId="0" applyFont="1" applyFill="1" applyBorder="1" applyAlignment="1" applyProtection="1">
      <alignment horizontal="center" vertical="center" wrapText="1"/>
    </xf>
    <xf numFmtId="0" fontId="28" fillId="0" borderId="91" xfId="0" applyFont="1" applyFill="1" applyBorder="1" applyAlignment="1" applyProtection="1">
      <alignment horizontal="center" vertical="center" wrapText="1"/>
    </xf>
    <xf numFmtId="0" fontId="28" fillId="0" borderId="1" xfId="0" applyFont="1" applyFill="1" applyBorder="1" applyAlignment="1" applyProtection="1">
      <alignment horizontal="center" vertical="center" wrapText="1"/>
    </xf>
    <xf numFmtId="0" fontId="28" fillId="0" borderId="136" xfId="0" applyFont="1" applyFill="1" applyBorder="1" applyAlignment="1" applyProtection="1">
      <alignment horizontal="center" vertical="center" wrapText="1"/>
    </xf>
    <xf numFmtId="0" fontId="23" fillId="0" borderId="36" xfId="9" applyFont="1" applyFill="1" applyBorder="1" applyAlignment="1" applyProtection="1">
      <alignment horizontal="distributed" vertical="center"/>
    </xf>
    <xf numFmtId="0" fontId="23" fillId="0" borderId="17" xfId="9" applyFont="1" applyFill="1" applyBorder="1" applyAlignment="1" applyProtection="1">
      <alignment horizontal="distributed" vertical="center"/>
    </xf>
    <xf numFmtId="0" fontId="23" fillId="0" borderId="18" xfId="9" applyFont="1" applyFill="1" applyBorder="1" applyAlignment="1" applyProtection="1">
      <alignment horizontal="distributed" vertical="center"/>
    </xf>
    <xf numFmtId="0" fontId="23" fillId="0" borderId="24" xfId="0" applyFont="1" applyFill="1" applyBorder="1" applyAlignment="1" applyProtection="1">
      <alignment horizontal="center" vertical="center" wrapText="1"/>
    </xf>
    <xf numFmtId="0" fontId="23" fillId="0" borderId="13" xfId="0" applyFont="1" applyFill="1" applyBorder="1" applyAlignment="1" applyProtection="1">
      <alignment horizontal="center" vertical="center" wrapText="1"/>
    </xf>
    <xf numFmtId="0" fontId="23" fillId="0" borderId="14" xfId="0" applyFont="1" applyFill="1" applyBorder="1" applyAlignment="1" applyProtection="1">
      <alignment horizontal="center" vertical="center" wrapText="1"/>
    </xf>
    <xf numFmtId="0" fontId="23" fillId="0" borderId="0" xfId="0" applyFont="1" applyFill="1" applyBorder="1" applyAlignment="1" applyProtection="1">
      <alignment horizontal="center" vertical="center" wrapText="1"/>
    </xf>
    <xf numFmtId="0" fontId="23" fillId="0" borderId="21" xfId="0" applyFont="1" applyFill="1" applyBorder="1" applyAlignment="1" applyProtection="1">
      <alignment horizontal="center" vertical="center" wrapText="1"/>
    </xf>
    <xf numFmtId="0" fontId="23" fillId="0" borderId="127" xfId="0" applyFont="1" applyFill="1" applyBorder="1" applyAlignment="1" applyProtection="1">
      <alignment horizontal="center" vertical="center" wrapText="1"/>
    </xf>
    <xf numFmtId="0" fontId="23" fillId="0" borderId="223" xfId="0" applyFont="1" applyFill="1" applyBorder="1" applyAlignment="1" applyProtection="1">
      <alignment horizontal="center" vertical="center" wrapText="1"/>
    </xf>
    <xf numFmtId="0" fontId="23" fillId="0" borderId="221" xfId="0" applyFont="1" applyFill="1" applyBorder="1" applyAlignment="1" applyProtection="1">
      <alignment horizontal="center" vertical="center" wrapText="1"/>
    </xf>
    <xf numFmtId="0" fontId="23" fillId="0" borderId="22" xfId="9" applyFont="1" applyFill="1" applyBorder="1" applyAlignment="1" applyProtection="1">
      <alignment horizontal="center" vertical="distributed" textRotation="255" wrapText="1" justifyLastLine="1"/>
    </xf>
    <xf numFmtId="0" fontId="23" fillId="0" borderId="16" xfId="9" applyFont="1" applyFill="1" applyBorder="1" applyAlignment="1" applyProtection="1">
      <alignment horizontal="center" vertical="distributed" textRotation="255" wrapText="1" justifyLastLine="1"/>
    </xf>
    <xf numFmtId="0" fontId="23" fillId="0" borderId="10" xfId="9" applyFont="1" applyFill="1" applyBorder="1" applyAlignment="1" applyProtection="1">
      <alignment horizontal="center" vertical="distributed" textRotation="255" wrapText="1" justifyLastLine="1"/>
    </xf>
    <xf numFmtId="0" fontId="23" fillId="0" borderId="6" xfId="9" applyFont="1" applyFill="1" applyBorder="1" applyAlignment="1" applyProtection="1">
      <alignment horizontal="center" vertical="distributed" textRotation="255" wrapText="1" justifyLastLine="1"/>
    </xf>
    <xf numFmtId="0" fontId="23" fillId="0" borderId="99" xfId="9" applyFont="1" applyFill="1" applyBorder="1" applyAlignment="1" applyProtection="1">
      <alignment horizontal="center" vertical="distributed" textRotation="255" wrapText="1" justifyLastLine="1"/>
    </xf>
    <xf numFmtId="0" fontId="23" fillId="0" borderId="56" xfId="9" applyFont="1" applyFill="1" applyBorder="1" applyAlignment="1" applyProtection="1">
      <alignment horizontal="center" vertical="distributed" textRotation="255" wrapText="1" justifyLastLine="1"/>
    </xf>
    <xf numFmtId="0" fontId="23" fillId="0" borderId="37" xfId="9" applyFont="1" applyFill="1" applyBorder="1" applyAlignment="1" applyProtection="1">
      <alignment horizontal="center" vertical="distributed" textRotation="255" wrapText="1" justifyLastLine="1"/>
    </xf>
    <xf numFmtId="0" fontId="23" fillId="0" borderId="66" xfId="9" applyFont="1" applyFill="1" applyBorder="1" applyAlignment="1" applyProtection="1">
      <alignment horizontal="center" vertical="distributed" textRotation="255" wrapText="1" justifyLastLine="1"/>
    </xf>
    <xf numFmtId="0" fontId="23" fillId="0" borderId="58" xfId="9" applyFont="1" applyFill="1" applyBorder="1" applyAlignment="1" applyProtection="1">
      <alignment horizontal="center" vertical="distributed" textRotation="255" wrapText="1" justifyLastLine="1"/>
    </xf>
    <xf numFmtId="0" fontId="23" fillId="0" borderId="24" xfId="9" applyFont="1" applyFill="1" applyBorder="1" applyAlignment="1" applyProtection="1">
      <alignment horizontal="center" vertical="center" wrapText="1"/>
    </xf>
    <xf numFmtId="0" fontId="23" fillId="0" borderId="278" xfId="9" applyFont="1" applyFill="1" applyBorder="1" applyAlignment="1" applyProtection="1">
      <alignment horizontal="center" vertical="center" wrapText="1" shrinkToFit="1"/>
    </xf>
    <xf numFmtId="0" fontId="23" fillId="0" borderId="152" xfId="9" applyFont="1" applyFill="1" applyBorder="1" applyAlignment="1" applyProtection="1">
      <alignment horizontal="center" vertical="center" wrapText="1" shrinkToFit="1"/>
    </xf>
    <xf numFmtId="0" fontId="23" fillId="0" borderId="50" xfId="9" applyFont="1" applyFill="1" applyBorder="1" applyAlignment="1" applyProtection="1">
      <alignment horizontal="center" vertical="center" wrapText="1" shrinkToFit="1"/>
    </xf>
    <xf numFmtId="0" fontId="0" fillId="0" borderId="182" xfId="0" applyBorder="1" applyAlignment="1" applyProtection="1">
      <alignment horizontal="center" vertical="center" wrapText="1"/>
    </xf>
    <xf numFmtId="0" fontId="23" fillId="0" borderId="152" xfId="9" applyFont="1" applyFill="1" applyBorder="1" applyAlignment="1" applyProtection="1">
      <alignment horizontal="center" vertical="center"/>
    </xf>
    <xf numFmtId="0" fontId="23" fillId="0" borderId="50" xfId="9" applyFont="1" applyFill="1" applyBorder="1" applyAlignment="1" applyProtection="1">
      <alignment horizontal="center" vertical="center"/>
    </xf>
    <xf numFmtId="0" fontId="25" fillId="0" borderId="278" xfId="9" applyFont="1" applyFill="1" applyBorder="1" applyAlignment="1" applyProtection="1">
      <alignment horizontal="distributed" vertical="center" wrapText="1" justifyLastLine="1"/>
    </xf>
    <xf numFmtId="0" fontId="25" fillId="0" borderId="152" xfId="9" applyFont="1" applyFill="1" applyBorder="1" applyAlignment="1" applyProtection="1">
      <alignment horizontal="distributed" vertical="center" wrapText="1" justifyLastLine="1"/>
    </xf>
    <xf numFmtId="0" fontId="25" fillId="0" borderId="66" xfId="9" applyFont="1" applyFill="1" applyBorder="1" applyAlignment="1" applyProtection="1">
      <alignment horizontal="center" vertical="center" wrapText="1" justifyLastLine="1"/>
    </xf>
    <xf numFmtId="0" fontId="25" fillId="0" borderId="58" xfId="9" applyFont="1" applyFill="1" applyBorder="1" applyAlignment="1" applyProtection="1">
      <alignment horizontal="center" vertical="center" wrapText="1" justifyLastLine="1"/>
    </xf>
    <xf numFmtId="0" fontId="23" fillId="0" borderId="66" xfId="0" applyFont="1" applyBorder="1" applyAlignment="1" applyProtection="1">
      <alignment horizontal="center" vertical="center" textRotation="255" wrapText="1"/>
    </xf>
    <xf numFmtId="0" fontId="23" fillId="0" borderId="58" xfId="0" applyFont="1" applyBorder="1" applyAlignment="1" applyProtection="1">
      <alignment horizontal="center" vertical="center" textRotation="255" wrapText="1"/>
    </xf>
    <xf numFmtId="0" fontId="25" fillId="0" borderId="24" xfId="9" applyFont="1" applyFill="1" applyBorder="1" applyAlignment="1" applyProtection="1">
      <alignment horizontal="center" vertical="center" wrapText="1"/>
    </xf>
    <xf numFmtId="0" fontId="25" fillId="0" borderId="13" xfId="9" applyFont="1" applyFill="1" applyBorder="1" applyAlignment="1" applyProtection="1">
      <alignment horizontal="center" vertical="center" wrapText="1"/>
    </xf>
    <xf numFmtId="0" fontId="25" fillId="0" borderId="152" xfId="9" applyFont="1" applyFill="1" applyBorder="1" applyAlignment="1" applyProtection="1">
      <alignment horizontal="center" vertical="center" wrapText="1"/>
    </xf>
    <xf numFmtId="0" fontId="25" fillId="0" borderId="0" xfId="9" applyFont="1" applyFill="1" applyBorder="1" applyAlignment="1" applyProtection="1">
      <alignment horizontal="center" vertical="center" wrapText="1"/>
    </xf>
    <xf numFmtId="0" fontId="25" fillId="0" borderId="91" xfId="9" applyFont="1" applyFill="1" applyBorder="1" applyAlignment="1" applyProtection="1">
      <alignment horizontal="center" vertical="center" wrapText="1"/>
    </xf>
    <xf numFmtId="0" fontId="25" fillId="0" borderId="1" xfId="9" applyFont="1" applyFill="1" applyBorder="1" applyAlignment="1" applyProtection="1">
      <alignment horizontal="center" vertical="center" wrapText="1"/>
    </xf>
    <xf numFmtId="0" fontId="74" fillId="0" borderId="278" xfId="0" applyFont="1" applyFill="1" applyBorder="1" applyAlignment="1" applyProtection="1">
      <alignment horizontal="center" vertical="center"/>
    </xf>
    <xf numFmtId="0" fontId="74" fillId="0" borderId="231" xfId="0" applyFont="1" applyFill="1" applyBorder="1" applyAlignment="1" applyProtection="1">
      <alignment horizontal="center" vertical="center"/>
    </xf>
    <xf numFmtId="0" fontId="74" fillId="0" borderId="277" xfId="0" applyFont="1" applyFill="1" applyBorder="1" applyAlignment="1" applyProtection="1">
      <alignment horizontal="center" vertical="center"/>
    </xf>
    <xf numFmtId="0" fontId="74" fillId="0" borderId="91" xfId="0" applyFont="1" applyFill="1" applyBorder="1" applyAlignment="1" applyProtection="1">
      <alignment horizontal="center" vertical="center"/>
    </xf>
    <xf numFmtId="0" fontId="74" fillId="0" borderId="1" xfId="0" applyFont="1" applyFill="1" applyBorder="1" applyAlignment="1" applyProtection="1">
      <alignment horizontal="center" vertical="center"/>
    </xf>
    <xf numFmtId="0" fontId="74" fillId="0" borderId="136" xfId="0" applyFont="1" applyFill="1" applyBorder="1" applyAlignment="1" applyProtection="1">
      <alignment horizontal="center" vertical="center"/>
    </xf>
    <xf numFmtId="0" fontId="23" fillId="0" borderId="457" xfId="9" applyFont="1" applyFill="1" applyBorder="1" applyAlignment="1" applyProtection="1">
      <alignment horizontal="center" vertical="center" wrapText="1"/>
    </xf>
    <xf numFmtId="0" fontId="58" fillId="0" borderId="465" xfId="9" applyFont="1" applyFill="1" applyBorder="1" applyAlignment="1" applyProtection="1">
      <alignment horizontal="center" vertical="center" wrapText="1"/>
    </xf>
    <xf numFmtId="0" fontId="58" fillId="0" borderId="66" xfId="9" applyFont="1" applyFill="1" applyBorder="1" applyAlignment="1" applyProtection="1">
      <alignment horizontal="center" vertical="center" wrapText="1"/>
    </xf>
    <xf numFmtId="0" fontId="58" fillId="0" borderId="256" xfId="9" applyFont="1" applyFill="1" applyBorder="1" applyAlignment="1" applyProtection="1">
      <alignment horizontal="center" vertical="center" wrapText="1"/>
    </xf>
    <xf numFmtId="0" fontId="23" fillId="0" borderId="22" xfId="9" applyFont="1" applyFill="1" applyBorder="1" applyAlignment="1" applyProtection="1">
      <alignment horizontal="distributed" vertical="center"/>
    </xf>
    <xf numFmtId="0" fontId="23" fillId="0" borderId="10" xfId="9" applyFont="1" applyFill="1" applyBorder="1" applyAlignment="1" applyProtection="1">
      <alignment horizontal="distributed" vertical="center"/>
    </xf>
    <xf numFmtId="0" fontId="23" fillId="0" borderId="19" xfId="9" applyFont="1" applyFill="1" applyBorder="1" applyAlignment="1" applyProtection="1">
      <alignment horizontal="distributed" vertical="center"/>
    </xf>
    <xf numFmtId="0" fontId="23" fillId="0" borderId="36" xfId="9" applyFont="1" applyFill="1" applyBorder="1" applyAlignment="1" applyProtection="1">
      <alignment horizontal="center" vertical="distributed" textRotation="255" wrapText="1" justifyLastLine="1"/>
    </xf>
    <xf numFmtId="0" fontId="23" fillId="0" borderId="17" xfId="9" applyFont="1" applyFill="1" applyBorder="1" applyAlignment="1" applyProtection="1">
      <alignment horizontal="center" vertical="distributed" textRotation="255" wrapText="1" justifyLastLine="1"/>
    </xf>
    <xf numFmtId="0" fontId="23" fillId="0" borderId="57" xfId="9" applyFont="1" applyFill="1" applyBorder="1" applyAlignment="1" applyProtection="1">
      <alignment horizontal="center" vertical="distributed" textRotation="255" wrapText="1" justifyLastLine="1"/>
    </xf>
    <xf numFmtId="0" fontId="23" fillId="0" borderId="24" xfId="9" applyFont="1" applyFill="1" applyBorder="1" applyAlignment="1" applyProtection="1">
      <alignment horizontal="distributed" vertical="center" wrapText="1" justifyLastLine="1"/>
    </xf>
    <xf numFmtId="0" fontId="23" fillId="0" borderId="152" xfId="9" applyFont="1" applyFill="1" applyBorder="1" applyAlignment="1" applyProtection="1">
      <alignment horizontal="distributed" vertical="center" wrapText="1" justifyLastLine="1"/>
    </xf>
    <xf numFmtId="0" fontId="25" fillId="0" borderId="24" xfId="9" applyFont="1" applyFill="1" applyBorder="1" applyAlignment="1" applyProtection="1">
      <alignment horizontal="distributed" vertical="center" wrapText="1" justifyLastLine="1"/>
    </xf>
    <xf numFmtId="0" fontId="61" fillId="0" borderId="278" xfId="0" applyFont="1" applyFill="1" applyBorder="1" applyAlignment="1" applyProtection="1">
      <alignment horizontal="center" vertical="center" wrapText="1"/>
    </xf>
    <xf numFmtId="0" fontId="25" fillId="0" borderId="465" xfId="9" applyFont="1" applyFill="1" applyBorder="1" applyAlignment="1" applyProtection="1">
      <alignment horizontal="distributed" vertical="center" wrapText="1" justifyLastLine="1"/>
    </xf>
    <xf numFmtId="0" fontId="25" fillId="0" borderId="66" xfId="9" applyFont="1" applyFill="1" applyBorder="1" applyAlignment="1" applyProtection="1">
      <alignment horizontal="distributed" vertical="center" wrapText="1" justifyLastLine="1"/>
    </xf>
    <xf numFmtId="0" fontId="25" fillId="0" borderId="182" xfId="9" applyFont="1" applyFill="1" applyBorder="1" applyAlignment="1" applyProtection="1">
      <alignment horizontal="center" vertical="center" wrapText="1" justifyLastLine="1"/>
    </xf>
    <xf numFmtId="0" fontId="0" fillId="0" borderId="465" xfId="0" applyFont="1" applyFill="1" applyBorder="1" applyAlignment="1" applyProtection="1">
      <alignment horizontal="center" vertical="center" wrapText="1"/>
    </xf>
    <xf numFmtId="0" fontId="0" fillId="0" borderId="66" xfId="0" applyFont="1" applyFill="1" applyBorder="1" applyAlignment="1" applyProtection="1">
      <alignment horizontal="center" vertical="center" wrapText="1"/>
    </xf>
    <xf numFmtId="0" fontId="0" fillId="0" borderId="131" xfId="0" applyFont="1" applyFill="1" applyBorder="1" applyAlignment="1" applyProtection="1">
      <alignment horizontal="center" vertical="center" wrapText="1"/>
    </xf>
    <xf numFmtId="0" fontId="0" fillId="0" borderId="317" xfId="0" applyFill="1" applyBorder="1" applyAlignment="1" applyProtection="1">
      <alignment horizontal="center" vertical="center" wrapText="1"/>
    </xf>
    <xf numFmtId="0" fontId="0" fillId="0" borderId="66" xfId="0" applyFill="1" applyBorder="1" applyAlignment="1" applyProtection="1">
      <alignment horizontal="center" vertical="center" wrapText="1"/>
    </xf>
    <xf numFmtId="0" fontId="0" fillId="0" borderId="131" xfId="0" applyFill="1" applyBorder="1" applyAlignment="1" applyProtection="1">
      <alignment horizontal="center" vertical="center" wrapText="1"/>
    </xf>
    <xf numFmtId="0" fontId="23" fillId="0" borderId="399" xfId="9" applyFont="1" applyFill="1" applyBorder="1" applyAlignment="1" applyProtection="1">
      <alignment horizontal="center" vertical="center" textRotation="255" wrapText="1"/>
    </xf>
    <xf numFmtId="0" fontId="23" fillId="0" borderId="38" xfId="9" applyFont="1" applyFill="1" applyBorder="1" applyAlignment="1" applyProtection="1">
      <alignment horizontal="center" vertical="center" textRotation="255" wrapText="1"/>
    </xf>
    <xf numFmtId="0" fontId="23" fillId="0" borderId="38" xfId="0" applyFont="1" applyBorder="1" applyAlignment="1" applyProtection="1">
      <alignment horizontal="center" vertical="center" textRotation="255" wrapText="1"/>
    </xf>
    <xf numFmtId="0" fontId="23" fillId="0" borderId="59" xfId="0" applyFont="1" applyBorder="1" applyAlignment="1" applyProtection="1">
      <alignment horizontal="center" vertical="center" textRotation="255" wrapText="1"/>
    </xf>
    <xf numFmtId="0" fontId="24" fillId="0" borderId="13" xfId="9" applyFont="1" applyFill="1" applyBorder="1" applyAlignment="1" applyProtection="1">
      <alignment horizontal="distributed" vertical="center" wrapText="1" justifyLastLine="1"/>
    </xf>
    <xf numFmtId="0" fontId="24" fillId="0" borderId="0" xfId="9" applyFont="1" applyFill="1" applyBorder="1" applyAlignment="1" applyProtection="1">
      <alignment horizontal="distributed" vertical="center" wrapText="1" justifyLastLine="1"/>
    </xf>
    <xf numFmtId="0" fontId="23" fillId="0" borderId="35" xfId="9" applyFont="1" applyFill="1" applyBorder="1" applyAlignment="1" applyProtection="1">
      <alignment horizontal="center" vertical="center"/>
    </xf>
    <xf numFmtId="0" fontId="23" fillId="0" borderId="177" xfId="9" applyFont="1" applyFill="1" applyBorder="1" applyAlignment="1" applyProtection="1">
      <alignment horizontal="center" vertical="center"/>
    </xf>
    <xf numFmtId="0" fontId="25" fillId="0" borderId="16" xfId="9" applyFont="1" applyFill="1" applyBorder="1" applyAlignment="1" applyProtection="1">
      <alignment horizontal="center" vertical="center" wrapText="1"/>
    </xf>
    <xf numFmtId="0" fontId="25" fillId="0" borderId="6" xfId="9" applyFont="1" applyFill="1" applyBorder="1" applyAlignment="1" applyProtection="1">
      <alignment horizontal="center" vertical="center" wrapText="1"/>
    </xf>
    <xf numFmtId="0" fontId="25" fillId="0" borderId="136" xfId="9" applyFont="1" applyFill="1" applyBorder="1" applyAlignment="1" applyProtection="1">
      <alignment horizontal="center" vertical="center" wrapText="1"/>
    </xf>
    <xf numFmtId="0" fontId="24" fillId="0" borderId="277" xfId="0" applyFont="1" applyFill="1" applyBorder="1" applyAlignment="1" applyProtection="1">
      <alignment horizontal="center" vertical="center" wrapText="1"/>
    </xf>
    <xf numFmtId="0" fontId="24" fillId="0" borderId="136" xfId="0" applyFont="1" applyFill="1" applyBorder="1" applyAlignment="1" applyProtection="1">
      <alignment horizontal="center" vertical="center" wrapText="1"/>
    </xf>
    <xf numFmtId="0" fontId="23" fillId="0" borderId="22" xfId="9" applyFont="1" applyFill="1" applyBorder="1" applyAlignment="1" applyProtection="1">
      <alignment horizontal="center" vertical="center" textRotation="255" wrapText="1"/>
    </xf>
    <xf numFmtId="0" fontId="23" fillId="0" borderId="10" xfId="9" applyFont="1" applyFill="1" applyBorder="1" applyAlignment="1" applyProtection="1">
      <alignment horizontal="center" vertical="center" textRotation="255" wrapText="1"/>
    </xf>
    <xf numFmtId="0" fontId="23" fillId="0" borderId="99" xfId="9" applyFont="1" applyFill="1" applyBorder="1" applyAlignment="1" applyProtection="1">
      <alignment horizontal="center" vertical="center" textRotation="255" wrapText="1"/>
    </xf>
    <xf numFmtId="0" fontId="23" fillId="0" borderId="37" xfId="9" applyFont="1" applyFill="1" applyBorder="1" applyAlignment="1" applyProtection="1">
      <alignment horizontal="center" vertical="center" textRotation="255" wrapText="1"/>
    </xf>
    <xf numFmtId="0" fontId="23" fillId="0" borderId="400" xfId="9" applyFont="1" applyFill="1" applyBorder="1" applyAlignment="1" applyProtection="1">
      <alignment horizontal="center" vertical="center" wrapText="1"/>
    </xf>
    <xf numFmtId="0" fontId="23" fillId="0" borderId="401" xfId="9" applyFont="1" applyFill="1" applyBorder="1" applyAlignment="1" applyProtection="1">
      <alignment horizontal="center" vertical="center" wrapText="1"/>
    </xf>
    <xf numFmtId="0" fontId="0" fillId="0" borderId="401" xfId="0" applyBorder="1" applyAlignment="1" applyProtection="1">
      <alignment horizontal="center" vertical="center" wrapText="1"/>
    </xf>
    <xf numFmtId="0" fontId="0" fillId="0" borderId="402" xfId="0" applyBorder="1" applyAlignment="1" applyProtection="1">
      <alignment horizontal="center" vertical="center" wrapText="1"/>
    </xf>
    <xf numFmtId="0" fontId="23" fillId="0" borderId="443" xfId="0" applyFont="1" applyFill="1" applyBorder="1" applyAlignment="1" applyProtection="1">
      <alignment horizontal="center" vertical="distributed" textRotation="255" justifyLastLine="1"/>
    </xf>
    <xf numFmtId="0" fontId="0" fillId="0" borderId="277" xfId="0" applyBorder="1" applyAlignment="1" applyProtection="1">
      <alignment vertical="distributed" textRotation="255" justifyLastLine="1"/>
    </xf>
    <xf numFmtId="0" fontId="23" fillId="0" borderId="10" xfId="0" applyFont="1" applyFill="1" applyBorder="1" applyAlignment="1" applyProtection="1">
      <alignment horizontal="center" vertical="distributed" textRotation="255" justifyLastLine="1"/>
    </xf>
    <xf numFmtId="0" fontId="0" fillId="0" borderId="6" xfId="0" applyBorder="1" applyAlignment="1" applyProtection="1">
      <alignment vertical="distributed" textRotation="255" justifyLastLine="1"/>
    </xf>
    <xf numFmtId="0" fontId="0" fillId="0" borderId="10" xfId="0" applyBorder="1" applyAlignment="1" applyProtection="1">
      <alignment vertical="distributed" textRotation="255" justifyLastLine="1"/>
    </xf>
    <xf numFmtId="0" fontId="0" fillId="0" borderId="19" xfId="0" applyBorder="1" applyAlignment="1" applyProtection="1">
      <alignment vertical="distributed" textRotation="255" justifyLastLine="1"/>
    </xf>
    <xf numFmtId="0" fontId="0" fillId="0" borderId="226" xfId="0" applyBorder="1" applyAlignment="1" applyProtection="1">
      <alignment vertical="distributed" textRotation="255" justifyLastLine="1"/>
    </xf>
    <xf numFmtId="0" fontId="12" fillId="0" borderId="13" xfId="0" applyFont="1" applyFill="1" applyBorder="1" applyAlignment="1" applyProtection="1">
      <alignment horizontal="left" vertical="center" wrapText="1"/>
    </xf>
    <xf numFmtId="0" fontId="0" fillId="0" borderId="13" xfId="0" applyBorder="1" applyAlignment="1" applyProtection="1">
      <alignment horizontal="left" vertical="center" wrapText="1"/>
    </xf>
    <xf numFmtId="0" fontId="0" fillId="0" borderId="14" xfId="0" applyBorder="1" applyAlignment="1" applyProtection="1">
      <alignment horizontal="left" vertical="center" wrapText="1"/>
    </xf>
    <xf numFmtId="0" fontId="0" fillId="0" borderId="0" xfId="0" applyBorder="1" applyAlignment="1" applyProtection="1">
      <alignment horizontal="left" vertical="center" wrapText="1"/>
    </xf>
    <xf numFmtId="0" fontId="0" fillId="0" borderId="21" xfId="0" applyBorder="1" applyAlignment="1" applyProtection="1">
      <alignment horizontal="left" vertical="center" wrapText="1"/>
    </xf>
    <xf numFmtId="0" fontId="0" fillId="0" borderId="1" xfId="0" applyBorder="1" applyAlignment="1" applyProtection="1">
      <alignment horizontal="left" vertical="center" wrapText="1"/>
    </xf>
    <xf numFmtId="0" fontId="0" fillId="0" borderId="20" xfId="0" applyBorder="1" applyAlignment="1" applyProtection="1">
      <alignment horizontal="left" vertical="center" wrapText="1"/>
    </xf>
    <xf numFmtId="0" fontId="12" fillId="0" borderId="443" xfId="0" applyFont="1" applyFill="1" applyBorder="1" applyAlignment="1" applyProtection="1">
      <alignment horizontal="left" vertical="center" wrapText="1"/>
    </xf>
    <xf numFmtId="0" fontId="0" fillId="0" borderId="231" xfId="0" applyBorder="1" applyAlignment="1" applyProtection="1">
      <alignment horizontal="left" vertical="center" wrapText="1"/>
    </xf>
    <xf numFmtId="0" fontId="0" fillId="0" borderId="279" xfId="0" applyBorder="1" applyAlignment="1" applyProtection="1">
      <alignment horizontal="left" vertical="center" wrapText="1"/>
    </xf>
    <xf numFmtId="0" fontId="12" fillId="0" borderId="10" xfId="0" applyFont="1" applyFill="1" applyBorder="1" applyAlignment="1" applyProtection="1">
      <alignment horizontal="left" vertical="center" wrapText="1"/>
    </xf>
    <xf numFmtId="0" fontId="0" fillId="0" borderId="10" xfId="0" applyBorder="1" applyAlignment="1" applyProtection="1">
      <alignment horizontal="left" vertical="center" wrapText="1"/>
    </xf>
    <xf numFmtId="0" fontId="0" fillId="0" borderId="19" xfId="0" applyBorder="1" applyAlignment="1" applyProtection="1">
      <alignment horizontal="left" vertical="center" wrapText="1"/>
    </xf>
    <xf numFmtId="0" fontId="0" fillId="0" borderId="223" xfId="0" applyBorder="1" applyAlignment="1" applyProtection="1">
      <alignment horizontal="left" vertical="center" wrapText="1"/>
    </xf>
    <xf numFmtId="0" fontId="0" fillId="0" borderId="221" xfId="0" applyBorder="1" applyAlignment="1" applyProtection="1">
      <alignment horizontal="left" vertical="center" wrapText="1"/>
    </xf>
    <xf numFmtId="0" fontId="36" fillId="0" borderId="268" xfId="0" applyFont="1" applyFill="1" applyBorder="1" applyAlignment="1" applyProtection="1">
      <alignment horizontal="distributed" vertical="center"/>
    </xf>
    <xf numFmtId="0" fontId="76" fillId="0" borderId="285" xfId="0" applyFont="1" applyBorder="1" applyAlignment="1" applyProtection="1">
      <alignment horizontal="distributed" vertical="center"/>
    </xf>
    <xf numFmtId="0" fontId="23" fillId="0" borderId="36" xfId="0" applyFont="1" applyBorder="1" applyAlignment="1" applyProtection="1">
      <alignment horizontal="center" vertical="center"/>
    </xf>
    <xf numFmtId="0" fontId="23" fillId="0" borderId="17" xfId="0" applyFont="1" applyBorder="1" applyAlignment="1" applyProtection="1">
      <alignment horizontal="center" vertical="center"/>
    </xf>
    <xf numFmtId="0" fontId="23" fillId="0" borderId="194" xfId="0" applyFont="1" applyBorder="1" applyAlignment="1" applyProtection="1">
      <alignment horizontal="center" vertical="center"/>
    </xf>
    <xf numFmtId="0" fontId="25" fillId="0" borderId="121" xfId="0" applyFont="1" applyBorder="1" applyAlignment="1" applyProtection="1">
      <alignment horizontal="center" vertical="center" wrapText="1"/>
    </xf>
    <xf numFmtId="0" fontId="25" fillId="0" borderId="126" xfId="0" applyFont="1" applyBorder="1" applyAlignment="1" applyProtection="1">
      <alignment horizontal="center" vertical="center" wrapText="1"/>
    </xf>
    <xf numFmtId="0" fontId="32" fillId="0" borderId="126" xfId="0" applyFont="1" applyBorder="1" applyAlignment="1" applyProtection="1">
      <alignment horizontal="center" vertical="center" wrapText="1"/>
    </xf>
    <xf numFmtId="0" fontId="32" fillId="0" borderId="181" xfId="0" applyFont="1" applyBorder="1" applyAlignment="1" applyProtection="1">
      <alignment horizontal="center" vertical="center" wrapText="1"/>
    </xf>
    <xf numFmtId="0" fontId="23" fillId="0" borderId="22" xfId="0" applyFont="1" applyFill="1" applyBorder="1" applyAlignment="1" applyProtection="1">
      <alignment horizontal="center" vertical="center" wrapText="1"/>
    </xf>
    <xf numFmtId="0" fontId="0" fillId="0" borderId="10" xfId="0" applyBorder="1" applyAlignment="1" applyProtection="1">
      <alignment horizontal="center" vertical="center"/>
    </xf>
    <xf numFmtId="0" fontId="0" fillId="0" borderId="0" xfId="0" applyAlignment="1" applyProtection="1">
      <alignment horizontal="center" vertical="center"/>
    </xf>
    <xf numFmtId="0" fontId="0" fillId="0" borderId="19" xfId="0" applyBorder="1" applyAlignment="1" applyProtection="1">
      <alignment horizontal="center" vertical="center"/>
    </xf>
    <xf numFmtId="0" fontId="0" fillId="0" borderId="223" xfId="0" applyBorder="1" applyAlignment="1" applyProtection="1">
      <alignment horizontal="center" vertical="center"/>
    </xf>
    <xf numFmtId="0" fontId="23" fillId="0" borderId="10" xfId="0" applyFont="1" applyFill="1" applyBorder="1" applyAlignment="1" applyProtection="1">
      <alignment horizontal="center" vertical="center" textRotation="255"/>
    </xf>
    <xf numFmtId="0" fontId="0" fillId="0" borderId="6" xfId="0" applyBorder="1" applyAlignment="1" applyProtection="1">
      <alignment horizontal="center" vertical="center" textRotation="255"/>
    </xf>
    <xf numFmtId="0" fontId="0" fillId="0" borderId="10" xfId="0" applyBorder="1" applyAlignment="1" applyProtection="1">
      <alignment horizontal="center" vertical="center" textRotation="255"/>
    </xf>
    <xf numFmtId="0" fontId="0" fillId="0" borderId="11" xfId="0" applyBorder="1" applyAlignment="1" applyProtection="1">
      <alignment horizontal="center" vertical="center" textRotation="255"/>
    </xf>
    <xf numFmtId="0" fontId="0" fillId="0" borderId="136" xfId="0" applyBorder="1" applyAlignment="1" applyProtection="1">
      <alignment horizontal="center" vertical="center" textRotation="255"/>
    </xf>
    <xf numFmtId="0" fontId="23" fillId="0" borderId="443" xfId="0" applyFont="1" applyFill="1" applyBorder="1" applyAlignment="1" applyProtection="1">
      <alignment horizontal="center" vertical="center" textRotation="255"/>
    </xf>
    <xf numFmtId="0" fontId="0" fillId="0" borderId="277" xfId="0" applyBorder="1" applyAlignment="1" applyProtection="1">
      <alignment horizontal="center" vertical="center" textRotation="255"/>
    </xf>
    <xf numFmtId="0" fontId="12" fillId="0" borderId="443" xfId="0" applyFont="1" applyFill="1" applyBorder="1" applyAlignment="1" applyProtection="1">
      <alignment horizontal="center" vertical="center" textRotation="255"/>
    </xf>
    <xf numFmtId="0" fontId="0" fillId="0" borderId="231" xfId="0" applyBorder="1" applyAlignment="1" applyProtection="1">
      <alignment horizontal="center" vertical="center" textRotation="255"/>
    </xf>
    <xf numFmtId="0" fontId="0" fillId="0" borderId="279" xfId="0" applyBorder="1" applyAlignment="1" applyProtection="1">
      <alignment vertical="center"/>
    </xf>
    <xf numFmtId="0" fontId="0" fillId="0" borderId="0" xfId="0" applyBorder="1" applyAlignment="1" applyProtection="1">
      <alignment horizontal="center" vertical="center" textRotation="255"/>
    </xf>
    <xf numFmtId="0" fontId="0" fillId="0" borderId="19" xfId="0" applyBorder="1" applyAlignment="1" applyProtection="1">
      <alignment horizontal="center" vertical="center" textRotation="255"/>
    </xf>
    <xf numFmtId="0" fontId="0" fillId="0" borderId="223" xfId="0" applyBorder="1" applyAlignment="1" applyProtection="1">
      <alignment horizontal="center" vertical="center" textRotation="255"/>
    </xf>
    <xf numFmtId="0" fontId="0" fillId="0" borderId="6" xfId="0" applyBorder="1" applyAlignment="1" applyProtection="1">
      <alignment horizontal="center" vertical="distributed" textRotation="255" justifyLastLine="1"/>
    </xf>
    <xf numFmtId="0" fontId="0" fillId="0" borderId="10" xfId="0" applyBorder="1" applyAlignment="1" applyProtection="1">
      <alignment horizontal="center" vertical="distributed" textRotation="255" justifyLastLine="1"/>
    </xf>
    <xf numFmtId="0" fontId="0" fillId="0" borderId="11" xfId="0" applyBorder="1" applyAlignment="1" applyProtection="1">
      <alignment horizontal="center" vertical="distributed" textRotation="255" justifyLastLine="1"/>
    </xf>
    <xf numFmtId="0" fontId="0" fillId="0" borderId="136" xfId="0" applyBorder="1" applyAlignment="1" applyProtection="1">
      <alignment horizontal="center" vertical="distributed" textRotation="255" justifyLastLine="1"/>
    </xf>
    <xf numFmtId="0" fontId="25" fillId="0" borderId="268" xfId="0" applyFont="1" applyFill="1" applyBorder="1" applyAlignment="1" applyProtection="1">
      <alignment horizontal="distributed" vertical="center"/>
    </xf>
    <xf numFmtId="0" fontId="32" fillId="0" borderId="286" xfId="0" applyFont="1" applyBorder="1" applyAlignment="1" applyProtection="1">
      <alignment horizontal="distributed" vertical="center"/>
    </xf>
    <xf numFmtId="0" fontId="32" fillId="0" borderId="285" xfId="0" applyFont="1" applyBorder="1" applyAlignment="1" applyProtection="1">
      <alignment horizontal="distributed" vertical="center"/>
    </xf>
    <xf numFmtId="0" fontId="23" fillId="0" borderId="22" xfId="0" applyFont="1" applyFill="1" applyBorder="1" applyAlignment="1" applyProtection="1">
      <alignment horizontal="distributed" vertical="center" justifyLastLine="1"/>
    </xf>
    <xf numFmtId="0" fontId="23" fillId="0" borderId="13" xfId="0" applyFont="1" applyFill="1" applyBorder="1" applyAlignment="1" applyProtection="1">
      <alignment horizontal="distributed" vertical="center" justifyLastLine="1"/>
    </xf>
    <xf numFmtId="0" fontId="23" fillId="0" borderId="14" xfId="0" applyFont="1" applyFill="1" applyBorder="1" applyAlignment="1" applyProtection="1">
      <alignment horizontal="distributed" vertical="center" justifyLastLine="1"/>
    </xf>
    <xf numFmtId="0" fontId="23" fillId="0" borderId="10" xfId="0" applyFont="1" applyFill="1" applyBorder="1" applyAlignment="1" applyProtection="1">
      <alignment horizontal="distributed" vertical="center" justifyLastLine="1"/>
    </xf>
    <xf numFmtId="0" fontId="23" fillId="0" borderId="0" xfId="0" applyFont="1" applyFill="1" applyBorder="1" applyAlignment="1" applyProtection="1">
      <alignment horizontal="distributed" vertical="center" justifyLastLine="1"/>
    </xf>
    <xf numFmtId="0" fontId="23" fillId="0" borderId="21" xfId="0" applyFont="1" applyFill="1" applyBorder="1" applyAlignment="1" applyProtection="1">
      <alignment horizontal="distributed" vertical="center" justifyLastLine="1"/>
    </xf>
    <xf numFmtId="0" fontId="23" fillId="0" borderId="19" xfId="0" applyFont="1" applyFill="1" applyBorder="1" applyAlignment="1" applyProtection="1">
      <alignment horizontal="distributed" vertical="center" justifyLastLine="1"/>
    </xf>
    <xf numFmtId="0" fontId="23" fillId="0" borderId="223" xfId="0" applyFont="1" applyFill="1" applyBorder="1" applyAlignment="1" applyProtection="1">
      <alignment horizontal="distributed" vertical="center" justifyLastLine="1"/>
    </xf>
    <xf numFmtId="0" fontId="23" fillId="0" borderId="221" xfId="0" applyFont="1" applyFill="1" applyBorder="1" applyAlignment="1" applyProtection="1">
      <alignment horizontal="distributed" vertical="center" justifyLastLine="1"/>
    </xf>
    <xf numFmtId="0" fontId="36" fillId="0" borderId="269" xfId="0" applyFont="1" applyFill="1" applyBorder="1" applyAlignment="1" applyProtection="1">
      <alignment horizontal="center" vertical="center"/>
    </xf>
    <xf numFmtId="0" fontId="76" fillId="0" borderId="269" xfId="0" applyFont="1" applyFill="1" applyBorder="1" applyAlignment="1" applyProtection="1">
      <alignment horizontal="center" vertical="center"/>
    </xf>
    <xf numFmtId="0" fontId="36" fillId="0" borderId="465" xfId="0" applyFont="1" applyFill="1" applyBorder="1" applyAlignment="1" applyProtection="1">
      <alignment horizontal="center" vertical="center"/>
    </xf>
    <xf numFmtId="0" fontId="36" fillId="0" borderId="131" xfId="0" applyFont="1" applyFill="1" applyBorder="1" applyAlignment="1" applyProtection="1">
      <alignment horizontal="center" vertical="center"/>
    </xf>
    <xf numFmtId="0" fontId="76" fillId="0" borderId="465" xfId="0" applyFont="1" applyFill="1" applyBorder="1" applyAlignment="1" applyProtection="1">
      <alignment horizontal="center" vertical="center"/>
    </xf>
    <xf numFmtId="0" fontId="76" fillId="0" borderId="66" xfId="0" applyFont="1" applyFill="1" applyBorder="1" applyAlignment="1" applyProtection="1">
      <alignment horizontal="center" vertical="center"/>
    </xf>
    <xf numFmtId="0" fontId="76" fillId="0" borderId="131" xfId="0" applyFont="1" applyFill="1" applyBorder="1" applyAlignment="1" applyProtection="1">
      <alignment horizontal="center" vertical="center"/>
    </xf>
    <xf numFmtId="0" fontId="0" fillId="0" borderId="17" xfId="0" applyBorder="1" applyAlignment="1" applyProtection="1">
      <alignment horizontal="center" vertical="center"/>
    </xf>
    <xf numFmtId="0" fontId="0" fillId="0" borderId="194" xfId="0" applyBorder="1" applyAlignment="1" applyProtection="1">
      <alignment horizontal="center" vertical="center"/>
    </xf>
    <xf numFmtId="0" fontId="23" fillId="0" borderId="277" xfId="0" applyFont="1" applyFill="1" applyBorder="1" applyAlignment="1" applyProtection="1">
      <alignment horizontal="center" vertical="center" wrapText="1" justifyLastLine="1"/>
    </xf>
    <xf numFmtId="0" fontId="23" fillId="0" borderId="6" xfId="0" applyFont="1" applyFill="1" applyBorder="1" applyAlignment="1" applyProtection="1">
      <alignment horizontal="center" vertical="center" wrapText="1" justifyLastLine="1"/>
    </xf>
    <xf numFmtId="0" fontId="23" fillId="0" borderId="136" xfId="0" applyFont="1" applyFill="1" applyBorder="1" applyAlignment="1" applyProtection="1">
      <alignment horizontal="center" vertical="center" wrapText="1" justifyLastLine="1"/>
    </xf>
    <xf numFmtId="0" fontId="36" fillId="0" borderId="22" xfId="0" applyFont="1" applyFill="1" applyBorder="1" applyAlignment="1" applyProtection="1">
      <alignment horizontal="center" vertical="center" justifyLastLine="1"/>
    </xf>
    <xf numFmtId="0" fontId="36" fillId="0" borderId="10" xfId="0" applyFont="1" applyFill="1" applyBorder="1" applyAlignment="1" applyProtection="1">
      <alignment horizontal="center" vertical="center" justifyLastLine="1"/>
    </xf>
    <xf numFmtId="0" fontId="36" fillId="0" borderId="19" xfId="0" applyFont="1" applyFill="1" applyBorder="1" applyAlignment="1" applyProtection="1">
      <alignment horizontal="center" vertical="center" justifyLastLine="1"/>
    </xf>
    <xf numFmtId="0" fontId="36" fillId="0" borderId="36" xfId="0" applyFont="1" applyFill="1" applyBorder="1" applyAlignment="1" applyProtection="1">
      <alignment horizontal="center" vertical="center" justifyLastLine="1"/>
    </xf>
    <xf numFmtId="0" fontId="36" fillId="0" borderId="17" xfId="0" applyFont="1" applyFill="1" applyBorder="1" applyAlignment="1" applyProtection="1">
      <alignment horizontal="center" vertical="center" justifyLastLine="1"/>
    </xf>
    <xf numFmtId="0" fontId="36" fillId="0" borderId="194" xfId="0" applyFont="1" applyFill="1" applyBorder="1" applyAlignment="1" applyProtection="1">
      <alignment horizontal="center" vertical="center" justifyLastLine="1"/>
    </xf>
    <xf numFmtId="0" fontId="36" fillId="0" borderId="37" xfId="0" applyFont="1" applyFill="1" applyBorder="1" applyAlignment="1" applyProtection="1">
      <alignment horizontal="center" vertical="center" justifyLastLine="1"/>
    </xf>
    <xf numFmtId="0" fontId="36" fillId="0" borderId="66" xfId="0" applyFont="1" applyFill="1" applyBorder="1" applyAlignment="1" applyProtection="1">
      <alignment horizontal="center" vertical="center" justifyLastLine="1"/>
    </xf>
    <xf numFmtId="0" fontId="36" fillId="0" borderId="182" xfId="0" applyFont="1" applyFill="1" applyBorder="1" applyAlignment="1" applyProtection="1">
      <alignment horizontal="center" vertical="center" justifyLastLine="1"/>
    </xf>
    <xf numFmtId="0" fontId="36" fillId="0" borderId="37" xfId="0" applyFont="1" applyFill="1" applyBorder="1" applyAlignment="1" applyProtection="1">
      <alignment horizontal="center" vertical="center" wrapText="1"/>
    </xf>
    <xf numFmtId="0" fontId="36" fillId="0" borderId="66" xfId="0" applyFont="1" applyFill="1" applyBorder="1" applyAlignment="1" applyProtection="1">
      <alignment horizontal="center" vertical="center" wrapText="1"/>
    </xf>
    <xf numFmtId="0" fontId="36" fillId="0" borderId="182" xfId="0" applyFont="1" applyFill="1" applyBorder="1" applyAlignment="1" applyProtection="1">
      <alignment horizontal="center" vertical="center" wrapText="1"/>
    </xf>
    <xf numFmtId="0" fontId="36" fillId="0" borderId="24" xfId="0" applyFont="1" applyFill="1" applyBorder="1" applyAlignment="1" applyProtection="1">
      <alignment horizontal="center" vertical="center" wrapText="1" justifyLastLine="1"/>
    </xf>
    <xf numFmtId="0" fontId="36" fillId="0" borderId="16" xfId="0" applyFont="1" applyFill="1" applyBorder="1" applyAlignment="1" applyProtection="1">
      <alignment horizontal="center" vertical="center" wrapText="1" justifyLastLine="1"/>
    </xf>
    <xf numFmtId="0" fontId="36" fillId="0" borderId="152" xfId="0" applyFont="1" applyFill="1" applyBorder="1" applyAlignment="1" applyProtection="1">
      <alignment horizontal="center" vertical="center" wrapText="1" justifyLastLine="1"/>
    </xf>
    <xf numFmtId="0" fontId="36" fillId="0" borderId="6" xfId="0" applyFont="1" applyFill="1" applyBorder="1" applyAlignment="1" applyProtection="1">
      <alignment horizontal="center" vertical="center" wrapText="1" justifyLastLine="1"/>
    </xf>
    <xf numFmtId="0" fontId="36" fillId="0" borderId="192" xfId="0" applyFont="1" applyFill="1" applyBorder="1" applyAlignment="1" applyProtection="1">
      <alignment horizontal="center" vertical="center" wrapText="1" justifyLastLine="1"/>
    </xf>
    <xf numFmtId="0" fontId="36" fillId="0" borderId="171" xfId="0" applyFont="1" applyFill="1" applyBorder="1" applyAlignment="1" applyProtection="1">
      <alignment horizontal="center" vertical="center" wrapText="1" justifyLastLine="1"/>
    </xf>
    <xf numFmtId="0" fontId="36" fillId="0" borderId="14" xfId="0" applyFont="1" applyFill="1" applyBorder="1" applyAlignment="1" applyProtection="1">
      <alignment horizontal="center" vertical="center" wrapText="1" justifyLastLine="1"/>
    </xf>
    <xf numFmtId="0" fontId="36" fillId="0" borderId="21" xfId="0" applyFont="1" applyFill="1" applyBorder="1" applyAlignment="1" applyProtection="1">
      <alignment horizontal="center" vertical="center" wrapText="1" justifyLastLine="1"/>
    </xf>
    <xf numFmtId="0" fontId="36" fillId="0" borderId="293" xfId="0" applyFont="1" applyFill="1" applyBorder="1" applyAlignment="1" applyProtection="1">
      <alignment horizontal="center" vertical="center" wrapText="1" justifyLastLine="1"/>
    </xf>
    <xf numFmtId="0" fontId="23" fillId="0" borderId="465" xfId="0" applyFont="1" applyFill="1" applyBorder="1" applyAlignment="1" applyProtection="1">
      <alignment horizontal="center" vertical="center" justifyLastLine="1"/>
    </xf>
    <xf numFmtId="0" fontId="23" fillId="0" borderId="66" xfId="0" applyFont="1" applyFill="1" applyBorder="1" applyAlignment="1" applyProtection="1">
      <alignment horizontal="center" vertical="center" justifyLastLine="1"/>
    </xf>
    <xf numFmtId="0" fontId="23" fillId="0" borderId="131" xfId="0" applyFont="1" applyFill="1" applyBorder="1" applyAlignment="1" applyProtection="1">
      <alignment horizontal="center" vertical="center" justifyLastLine="1"/>
    </xf>
    <xf numFmtId="0" fontId="25" fillId="0" borderId="465" xfId="0" applyFont="1" applyFill="1" applyBorder="1" applyAlignment="1" applyProtection="1">
      <alignment horizontal="center" vertical="center" wrapText="1" justifyLastLine="1"/>
    </xf>
    <xf numFmtId="0" fontId="25" fillId="0" borderId="66" xfId="0" applyFont="1" applyFill="1" applyBorder="1" applyAlignment="1" applyProtection="1">
      <alignment horizontal="center" vertical="center" wrapText="1" justifyLastLine="1"/>
    </xf>
    <xf numFmtId="0" fontId="25" fillId="0" borderId="131" xfId="0" applyFont="1" applyFill="1" applyBorder="1" applyAlignment="1" applyProtection="1">
      <alignment horizontal="center" vertical="center" wrapText="1" justifyLastLine="1"/>
    </xf>
    <xf numFmtId="0" fontId="24" fillId="0" borderId="465" xfId="0" applyFont="1" applyFill="1" applyBorder="1" applyAlignment="1" applyProtection="1">
      <alignment horizontal="left" vertical="center" wrapText="1"/>
    </xf>
    <xf numFmtId="0" fontId="24" fillId="0" borderId="66" xfId="0" applyFont="1" applyFill="1" applyBorder="1" applyAlignment="1" applyProtection="1">
      <alignment horizontal="left" vertical="center" wrapText="1"/>
    </xf>
    <xf numFmtId="0" fontId="24" fillId="0" borderId="256" xfId="0" applyFont="1" applyFill="1" applyBorder="1" applyAlignment="1" applyProtection="1">
      <alignment horizontal="left" vertical="center" wrapText="1"/>
    </xf>
    <xf numFmtId="0" fontId="23" fillId="0" borderId="465" xfId="0" applyFont="1" applyFill="1" applyBorder="1" applyAlignment="1" applyProtection="1">
      <alignment horizontal="center" vertical="center" wrapText="1" justifyLastLine="1"/>
    </xf>
    <xf numFmtId="0" fontId="23" fillId="0" borderId="66" xfId="0" applyFont="1" applyFill="1" applyBorder="1" applyAlignment="1" applyProtection="1">
      <alignment horizontal="center" vertical="center" wrapText="1" justifyLastLine="1"/>
    </xf>
    <xf numFmtId="0" fontId="23" fillId="0" borderId="131" xfId="0" applyFont="1" applyFill="1" applyBorder="1" applyAlignment="1" applyProtection="1">
      <alignment horizontal="center" vertical="center" wrapText="1" justifyLastLine="1"/>
    </xf>
    <xf numFmtId="0" fontId="23" fillId="0" borderId="436" xfId="0" applyFont="1" applyFill="1" applyBorder="1" applyAlignment="1" applyProtection="1">
      <alignment horizontal="center" vertical="center" wrapText="1" justifyLastLine="1"/>
    </xf>
    <xf numFmtId="0" fontId="23" fillId="0" borderId="231" xfId="0" applyFont="1" applyFill="1" applyBorder="1" applyAlignment="1" applyProtection="1">
      <alignment horizontal="center" vertical="center" wrapText="1" justifyLastLine="1"/>
    </xf>
    <xf numFmtId="0" fontId="23" fillId="0" borderId="152" xfId="0" applyFont="1" applyFill="1" applyBorder="1" applyAlignment="1" applyProtection="1">
      <alignment horizontal="center" vertical="center" wrapText="1" justifyLastLine="1"/>
    </xf>
    <xf numFmtId="0" fontId="23" fillId="0" borderId="0" xfId="0" applyFont="1" applyFill="1" applyBorder="1" applyAlignment="1" applyProtection="1">
      <alignment horizontal="center" vertical="center" wrapText="1" justifyLastLine="1"/>
    </xf>
    <xf numFmtId="0" fontId="23" fillId="0" borderId="91" xfId="0" applyFont="1" applyFill="1" applyBorder="1" applyAlignment="1" applyProtection="1">
      <alignment horizontal="center" vertical="center" wrapText="1" justifyLastLine="1"/>
    </xf>
    <xf numFmtId="0" fontId="23" fillId="0" borderId="1" xfId="0" applyFont="1" applyFill="1" applyBorder="1" applyAlignment="1" applyProtection="1">
      <alignment horizontal="center" vertical="center" wrapText="1" justifyLastLine="1"/>
    </xf>
    <xf numFmtId="0" fontId="28" fillId="0" borderId="268" xfId="0" applyFont="1" applyFill="1" applyBorder="1" applyAlignment="1" applyProtection="1">
      <alignment horizontal="center" vertical="center"/>
    </xf>
    <xf numFmtId="0" fontId="28" fillId="0" borderId="286" xfId="0" applyFont="1" applyFill="1" applyBorder="1" applyAlignment="1" applyProtection="1">
      <alignment horizontal="center" vertical="center"/>
    </xf>
    <xf numFmtId="0" fontId="28" fillId="0" borderId="285" xfId="0" applyFont="1" applyFill="1" applyBorder="1" applyAlignment="1" applyProtection="1">
      <alignment horizontal="center" vertical="center"/>
    </xf>
    <xf numFmtId="0" fontId="28" fillId="0" borderId="268" xfId="0" applyFont="1" applyBorder="1" applyAlignment="1" applyProtection="1">
      <alignment horizontal="center" vertical="center"/>
    </xf>
    <xf numFmtId="0" fontId="28" fillId="0" borderId="285" xfId="0" applyFont="1" applyBorder="1" applyAlignment="1" applyProtection="1">
      <alignment horizontal="center" vertical="center"/>
    </xf>
    <xf numFmtId="0" fontId="28" fillId="0" borderId="268" xfId="0" applyFont="1" applyBorder="1" applyAlignment="1" applyProtection="1">
      <alignment horizontal="center" vertical="center" wrapText="1"/>
    </xf>
    <xf numFmtId="178" fontId="28" fillId="0" borderId="436" xfId="0" applyNumberFormat="1" applyFont="1" applyFill="1" applyBorder="1" applyAlignment="1" applyProtection="1">
      <alignment horizontal="center" vertical="center"/>
    </xf>
    <xf numFmtId="178" fontId="28" fillId="0" borderId="231" xfId="0" applyNumberFormat="1" applyFont="1" applyFill="1" applyBorder="1" applyAlignment="1" applyProtection="1">
      <alignment horizontal="center" vertical="center"/>
    </xf>
    <xf numFmtId="178" fontId="28" fillId="0" borderId="436" xfId="0" applyNumberFormat="1" applyFont="1" applyBorder="1" applyAlignment="1" applyProtection="1">
      <alignment horizontal="center" vertical="center"/>
    </xf>
    <xf numFmtId="178" fontId="28" fillId="0" borderId="231" xfId="0" applyNumberFormat="1" applyFont="1" applyBorder="1" applyAlignment="1" applyProtection="1">
      <alignment horizontal="center" vertical="center"/>
    </xf>
    <xf numFmtId="178" fontId="28" fillId="0" borderId="115" xfId="0" applyNumberFormat="1" applyFont="1" applyFill="1" applyBorder="1" applyAlignment="1" applyProtection="1">
      <alignment horizontal="center" vertical="center"/>
    </xf>
    <xf numFmtId="178" fontId="28" fillId="0" borderId="113" xfId="0" applyNumberFormat="1" applyFont="1" applyFill="1" applyBorder="1" applyAlignment="1" applyProtection="1">
      <alignment horizontal="center" vertical="center"/>
    </xf>
    <xf numFmtId="178" fontId="28" fillId="0" borderId="115" xfId="0" applyNumberFormat="1" applyFont="1" applyBorder="1" applyAlignment="1" applyProtection="1">
      <alignment horizontal="center" vertical="center"/>
    </xf>
    <xf numFmtId="178" fontId="28" fillId="0" borderId="113" xfId="0" applyNumberFormat="1" applyFont="1" applyBorder="1" applyAlignment="1" applyProtection="1">
      <alignment horizontal="center" vertical="center"/>
    </xf>
    <xf numFmtId="0" fontId="28" fillId="0" borderId="436" xfId="0" applyFont="1" applyBorder="1" applyAlignment="1" applyProtection="1">
      <alignment horizontal="center" vertical="center"/>
    </xf>
    <xf numFmtId="0" fontId="28" fillId="0" borderId="277" xfId="0" applyFont="1" applyBorder="1" applyAlignment="1" applyProtection="1">
      <alignment horizontal="center" vertical="center"/>
    </xf>
    <xf numFmtId="0" fontId="28" fillId="0" borderId="91" xfId="0" applyFont="1" applyBorder="1" applyAlignment="1" applyProtection="1">
      <alignment horizontal="center" vertical="center"/>
    </xf>
    <xf numFmtId="0" fontId="28" fillId="0" borderId="136" xfId="0" applyFont="1" applyBorder="1" applyAlignment="1" applyProtection="1">
      <alignment horizontal="center" vertical="center"/>
    </xf>
    <xf numFmtId="0" fontId="28" fillId="0" borderId="231" xfId="0" applyFont="1" applyBorder="1" applyAlignment="1" applyProtection="1">
      <alignment horizontal="center" vertical="center"/>
    </xf>
    <xf numFmtId="0" fontId="28" fillId="0" borderId="1" xfId="0" applyFont="1" applyBorder="1" applyAlignment="1" applyProtection="1">
      <alignment horizontal="center" vertical="center"/>
    </xf>
    <xf numFmtId="0" fontId="28" fillId="0" borderId="268" xfId="0" applyFont="1" applyFill="1" applyBorder="1" applyAlignment="1" applyProtection="1">
      <alignment horizontal="center" vertical="center" wrapText="1"/>
    </xf>
    <xf numFmtId="178" fontId="28" fillId="0" borderId="114" xfId="0" applyNumberFormat="1" applyFont="1" applyFill="1" applyBorder="1" applyAlignment="1" applyProtection="1">
      <alignment horizontal="center" vertical="center"/>
    </xf>
    <xf numFmtId="178" fontId="28" fillId="0" borderId="108" xfId="0" applyNumberFormat="1" applyFont="1" applyFill="1" applyBorder="1" applyAlignment="1" applyProtection="1">
      <alignment horizontal="center" vertical="center"/>
    </xf>
    <xf numFmtId="178" fontId="28" fillId="0" borderId="114" xfId="0" applyNumberFormat="1" applyFont="1" applyBorder="1" applyAlignment="1" applyProtection="1">
      <alignment horizontal="center" vertical="center"/>
    </xf>
    <xf numFmtId="178" fontId="28" fillId="0" borderId="108" xfId="0" applyNumberFormat="1" applyFont="1" applyBorder="1" applyAlignment="1" applyProtection="1">
      <alignment horizontal="center" vertical="center"/>
    </xf>
    <xf numFmtId="178" fontId="28" fillId="0" borderId="116" xfId="0" applyNumberFormat="1" applyFont="1" applyFill="1" applyBorder="1" applyAlignment="1" applyProtection="1">
      <alignment horizontal="center" vertical="center"/>
    </xf>
    <xf numFmtId="178" fontId="28" fillId="0" borderId="109" xfId="0" applyNumberFormat="1" applyFont="1" applyFill="1" applyBorder="1" applyAlignment="1" applyProtection="1">
      <alignment horizontal="center" vertical="center"/>
    </xf>
    <xf numFmtId="178" fontId="28" fillId="0" borderId="116" xfId="0" applyNumberFormat="1" applyFont="1" applyBorder="1" applyAlignment="1" applyProtection="1">
      <alignment horizontal="center" vertical="center"/>
    </xf>
    <xf numFmtId="178" fontId="28" fillId="0" borderId="109" xfId="0" applyNumberFormat="1" applyFont="1" applyBorder="1" applyAlignment="1" applyProtection="1">
      <alignment horizontal="center" vertical="center"/>
    </xf>
    <xf numFmtId="178" fontId="28" fillId="0" borderId="152" xfId="0" applyNumberFormat="1" applyFont="1" applyFill="1" applyBorder="1" applyAlignment="1" applyProtection="1">
      <alignment horizontal="center" vertical="center" wrapText="1"/>
    </xf>
    <xf numFmtId="178" fontId="28" fillId="0" borderId="0" xfId="0" applyNumberFormat="1" applyFont="1" applyFill="1" applyBorder="1" applyAlignment="1" applyProtection="1">
      <alignment horizontal="center" vertical="center" wrapText="1"/>
    </xf>
    <xf numFmtId="178" fontId="28" fillId="0" borderId="436" xfId="0" applyNumberFormat="1" applyFont="1" applyBorder="1" applyAlignment="1" applyProtection="1">
      <alignment horizontal="center" vertical="center" wrapText="1"/>
    </xf>
    <xf numFmtId="178" fontId="28" fillId="0" borderId="231" xfId="0" applyNumberFormat="1" applyFont="1" applyBorder="1" applyAlignment="1" applyProtection="1">
      <alignment horizontal="center" vertical="center" wrapText="1"/>
    </xf>
    <xf numFmtId="178" fontId="28" fillId="0" borderId="436" xfId="0" applyNumberFormat="1" applyFont="1" applyFill="1" applyBorder="1" applyAlignment="1" applyProtection="1">
      <alignment horizontal="center" vertical="center" wrapText="1"/>
    </xf>
    <xf numFmtId="178" fontId="28" fillId="0" borderId="231" xfId="0" applyNumberFormat="1" applyFont="1" applyFill="1" applyBorder="1" applyAlignment="1" applyProtection="1">
      <alignment horizontal="center" vertical="center" wrapText="1"/>
    </xf>
    <xf numFmtId="178" fontId="28" fillId="0" borderId="410" xfId="0" applyNumberFormat="1" applyFont="1" applyFill="1" applyBorder="1" applyAlignment="1" applyProtection="1">
      <alignment horizontal="center" vertical="center"/>
    </xf>
    <xf numFmtId="178" fontId="28" fillId="0" borderId="411" xfId="0" applyNumberFormat="1" applyFont="1" applyFill="1" applyBorder="1" applyAlignment="1" applyProtection="1">
      <alignment horizontal="center" vertical="center"/>
    </xf>
    <xf numFmtId="178" fontId="28" fillId="0" borderId="412" xfId="0" applyNumberFormat="1" applyFont="1" applyFill="1" applyBorder="1" applyAlignment="1" applyProtection="1">
      <alignment horizontal="center" vertical="center"/>
    </xf>
    <xf numFmtId="178" fontId="28" fillId="0" borderId="112" xfId="0" applyNumberFormat="1" applyFont="1" applyFill="1" applyBorder="1" applyAlignment="1" applyProtection="1">
      <alignment horizontal="center" vertical="center"/>
    </xf>
    <xf numFmtId="178" fontId="28" fillId="0" borderId="112" xfId="0" applyNumberFormat="1" applyFont="1" applyBorder="1" applyAlignment="1" applyProtection="1">
      <alignment horizontal="center" vertical="center"/>
    </xf>
    <xf numFmtId="178" fontId="28" fillId="0" borderId="413" xfId="0" applyNumberFormat="1" applyFont="1" applyFill="1" applyBorder="1" applyAlignment="1" applyProtection="1">
      <alignment horizontal="center" vertical="center"/>
    </xf>
    <xf numFmtId="178" fontId="28" fillId="0" borderId="413" xfId="0" applyNumberFormat="1" applyFont="1" applyBorder="1" applyAlignment="1" applyProtection="1">
      <alignment horizontal="center" vertical="center"/>
    </xf>
    <xf numFmtId="178" fontId="28" fillId="0" borderId="311" xfId="0" applyNumberFormat="1" applyFont="1" applyFill="1" applyBorder="1" applyAlignment="1" applyProtection="1">
      <alignment horizontal="center" vertical="center"/>
    </xf>
    <xf numFmtId="178" fontId="28" fillId="0" borderId="414" xfId="0" applyNumberFormat="1" applyFont="1" applyFill="1" applyBorder="1" applyAlignment="1" applyProtection="1">
      <alignment horizontal="center" vertical="center"/>
    </xf>
    <xf numFmtId="178" fontId="28" fillId="0" borderId="416" xfId="0" applyNumberFormat="1" applyFont="1" applyBorder="1" applyAlignment="1" applyProtection="1">
      <alignment horizontal="center" vertical="center"/>
    </xf>
    <xf numFmtId="178" fontId="28" fillId="0" borderId="408" xfId="0" applyNumberFormat="1" applyFont="1" applyBorder="1" applyAlignment="1" applyProtection="1">
      <alignment horizontal="center" vertical="center"/>
    </xf>
    <xf numFmtId="178" fontId="28" fillId="0" borderId="409" xfId="0" applyNumberFormat="1" applyFont="1" applyBorder="1" applyAlignment="1" applyProtection="1">
      <alignment horizontal="center" vertical="center"/>
    </xf>
    <xf numFmtId="0" fontId="24" fillId="0" borderId="465" xfId="0" applyFont="1" applyFill="1" applyBorder="1" applyAlignment="1" applyProtection="1">
      <alignment vertical="center" wrapText="1"/>
    </xf>
    <xf numFmtId="0" fontId="24" fillId="0" borderId="66" xfId="0" applyFont="1" applyFill="1" applyBorder="1" applyAlignment="1" applyProtection="1">
      <alignment vertical="center" wrapText="1"/>
    </xf>
    <xf numFmtId="0" fontId="23" fillId="0" borderId="269" xfId="0" applyFont="1" applyFill="1" applyBorder="1" applyAlignment="1" applyProtection="1">
      <alignment horizontal="center" vertical="center" wrapText="1" justifyLastLine="1"/>
    </xf>
    <xf numFmtId="0" fontId="23" fillId="0" borderId="421" xfId="0" applyFont="1" applyFill="1" applyBorder="1" applyAlignment="1" applyProtection="1">
      <alignment horizontal="center" vertical="center" wrapText="1"/>
    </xf>
    <xf numFmtId="0" fontId="0" fillId="0" borderId="424" xfId="0" applyBorder="1" applyAlignment="1" applyProtection="1">
      <alignment horizontal="center" vertical="center" wrapText="1"/>
    </xf>
    <xf numFmtId="0" fontId="23" fillId="0" borderId="104" xfId="0" applyFont="1" applyFill="1" applyBorder="1" applyAlignment="1" applyProtection="1">
      <alignment horizontal="center" vertical="center"/>
    </xf>
    <xf numFmtId="0" fontId="23" fillId="0" borderId="106" xfId="0" applyFont="1" applyFill="1" applyBorder="1" applyAlignment="1" applyProtection="1">
      <alignment horizontal="center" vertical="center"/>
    </xf>
    <xf numFmtId="0" fontId="23" fillId="0" borderId="36" xfId="0" applyFont="1" applyFill="1" applyBorder="1" applyAlignment="1" applyProtection="1">
      <alignment horizontal="center" vertical="center"/>
    </xf>
    <xf numFmtId="0" fontId="23" fillId="0" borderId="194" xfId="0" applyFont="1" applyFill="1" applyBorder="1" applyAlignment="1" applyProtection="1">
      <alignment horizontal="center" vertical="center"/>
    </xf>
    <xf numFmtId="0" fontId="25" fillId="0" borderId="121" xfId="0" applyFont="1" applyFill="1" applyBorder="1" applyAlignment="1" applyProtection="1">
      <alignment horizontal="center" vertical="center" wrapText="1"/>
    </xf>
    <xf numFmtId="0" fontId="32" fillId="0" borderId="181" xfId="0" applyFont="1" applyBorder="1" applyAlignment="1" applyProtection="1">
      <alignment horizontal="center" vertical="center"/>
    </xf>
    <xf numFmtId="0" fontId="36" fillId="0" borderId="436" xfId="0" applyFont="1" applyBorder="1" applyAlignment="1" applyProtection="1">
      <alignment horizontal="center" vertical="center"/>
    </xf>
    <xf numFmtId="0" fontId="36" fillId="0" borderId="91" xfId="0" applyFont="1" applyBorder="1" applyAlignment="1" applyProtection="1">
      <alignment horizontal="center" vertical="center"/>
    </xf>
    <xf numFmtId="0" fontId="23" fillId="0" borderId="420" xfId="0" applyFont="1" applyFill="1" applyBorder="1" applyAlignment="1" applyProtection="1">
      <alignment horizontal="center" vertical="center" wrapText="1"/>
    </xf>
    <xf numFmtId="0" fontId="0" fillId="0" borderId="423" xfId="0" applyBorder="1" applyAlignment="1" applyProtection="1">
      <alignment horizontal="center" vertical="center" wrapText="1"/>
    </xf>
    <xf numFmtId="0" fontId="23" fillId="0" borderId="104" xfId="0" applyFont="1" applyFill="1" applyBorder="1" applyAlignment="1" applyProtection="1">
      <alignment horizontal="center" vertical="center" justifyLastLine="1"/>
    </xf>
    <xf numFmtId="0" fontId="23" fillId="0" borderId="106" xfId="0" applyFont="1" applyFill="1" applyBorder="1" applyAlignment="1" applyProtection="1">
      <alignment horizontal="center" vertical="center" justifyLastLine="1"/>
    </xf>
    <xf numFmtId="0" fontId="23" fillId="0" borderId="16" xfId="0" applyFont="1" applyFill="1" applyBorder="1" applyAlignment="1" applyProtection="1">
      <alignment horizontal="center" vertical="center" justifyLastLine="1"/>
    </xf>
    <xf numFmtId="0" fontId="23" fillId="0" borderId="6" xfId="0" applyFont="1" applyFill="1" applyBorder="1" applyAlignment="1" applyProtection="1">
      <alignment horizontal="center" vertical="center" justifyLastLine="1"/>
    </xf>
    <xf numFmtId="0" fontId="23" fillId="0" borderId="37" xfId="0" applyFont="1" applyFill="1" applyBorder="1" applyAlignment="1" applyProtection="1">
      <alignment horizontal="center" vertical="center" justifyLastLine="1"/>
    </xf>
    <xf numFmtId="0" fontId="23" fillId="0" borderId="305" xfId="0" applyFont="1" applyFill="1" applyBorder="1" applyAlignment="1" applyProtection="1">
      <alignment horizontal="center" vertical="center" wrapText="1"/>
    </xf>
    <xf numFmtId="0" fontId="23" fillId="0" borderId="306" xfId="0" applyFont="1" applyFill="1" applyBorder="1" applyAlignment="1" applyProtection="1">
      <alignment horizontal="center" vertical="center" wrapText="1"/>
    </xf>
    <xf numFmtId="0" fontId="23" fillId="0" borderId="419" xfId="0" applyFont="1" applyFill="1" applyBorder="1" applyAlignment="1" applyProtection="1">
      <alignment horizontal="center" vertical="center" wrapText="1"/>
    </xf>
    <xf numFmtId="0" fontId="0" fillId="0" borderId="422" xfId="0" applyBorder="1" applyAlignment="1" applyProtection="1">
      <alignment horizontal="center" vertical="center" wrapText="1"/>
    </xf>
    <xf numFmtId="0" fontId="36" fillId="0" borderId="245" xfId="0" applyFont="1" applyBorder="1" applyAlignment="1" applyProtection="1">
      <alignment horizontal="center" vertical="center"/>
    </xf>
    <xf numFmtId="0" fontId="36" fillId="0" borderId="278" xfId="0" applyFont="1" applyFill="1" applyBorder="1" applyAlignment="1" applyProtection="1">
      <alignment horizontal="center" vertical="center" wrapText="1"/>
    </xf>
    <xf numFmtId="0" fontId="76" fillId="0" borderId="152" xfId="0" applyFont="1" applyBorder="1" applyAlignment="1" applyProtection="1">
      <alignment horizontal="center" vertical="center"/>
    </xf>
    <xf numFmtId="0" fontId="36" fillId="0" borderId="317" xfId="0" applyFont="1" applyFill="1" applyBorder="1" applyAlignment="1" applyProtection="1">
      <alignment horizontal="center" vertical="center" wrapText="1"/>
    </xf>
    <xf numFmtId="0" fontId="76" fillId="0" borderId="66" xfId="0" applyFont="1" applyBorder="1" applyAlignment="1" applyProtection="1">
      <alignment horizontal="center" vertical="center"/>
    </xf>
    <xf numFmtId="0" fontId="76" fillId="0" borderId="322" xfId="0" applyFont="1" applyBorder="1" applyAlignment="1" applyProtection="1">
      <alignment horizontal="center" vertical="center"/>
    </xf>
    <xf numFmtId="0" fontId="28" fillId="0" borderId="22" xfId="0" applyFont="1" applyBorder="1" applyAlignment="1" applyProtection="1">
      <alignment horizontal="center" vertical="center" justifyLastLine="1"/>
    </xf>
    <xf numFmtId="0" fontId="28" fillId="0" borderId="10" xfId="0" applyFont="1" applyBorder="1" applyAlignment="1" applyProtection="1">
      <alignment horizontal="center" vertical="center" justifyLastLine="1"/>
    </xf>
    <xf numFmtId="0" fontId="28" fillId="0" borderId="19" xfId="0" applyFont="1" applyBorder="1" applyAlignment="1" applyProtection="1">
      <alignment horizontal="center" vertical="center" justifyLastLine="1"/>
    </xf>
    <xf numFmtId="0" fontId="23" fillId="0" borderId="152" xfId="0" applyFont="1" applyBorder="1" applyAlignment="1" applyProtection="1">
      <alignment horizontal="center" vertical="center" wrapText="1"/>
    </xf>
    <xf numFmtId="0" fontId="0" fillId="0" borderId="126" xfId="0" applyBorder="1" applyAlignment="1" applyProtection="1">
      <alignment horizontal="center" vertical="center"/>
    </xf>
    <xf numFmtId="0" fontId="76" fillId="0" borderId="153" xfId="0" applyFont="1" applyBorder="1" applyAlignment="1" applyProtection="1">
      <alignment horizontal="center" vertical="center"/>
    </xf>
    <xf numFmtId="0" fontId="23" fillId="5" borderId="1" xfId="12" applyFont="1" applyFill="1" applyBorder="1" applyAlignment="1">
      <alignment horizontal="center" vertical="center" wrapText="1"/>
    </xf>
    <xf numFmtId="0" fontId="23" fillId="0" borderId="63" xfId="0" applyFont="1" applyBorder="1" applyAlignment="1">
      <alignment horizontal="center" vertical="center" textRotation="255" wrapText="1"/>
    </xf>
    <xf numFmtId="0" fontId="23" fillId="0" borderId="66" xfId="0" applyFont="1" applyBorder="1" applyAlignment="1">
      <alignment horizontal="center" vertical="center" textRotation="255" wrapText="1"/>
    </xf>
    <xf numFmtId="0" fontId="23" fillId="0" borderId="101" xfId="0" applyFont="1" applyBorder="1" applyAlignment="1">
      <alignment horizontal="center" vertical="center" textRotation="255" wrapText="1"/>
    </xf>
    <xf numFmtId="0" fontId="23" fillId="0" borderId="0" xfId="12" applyFont="1" applyAlignment="1">
      <alignment horizontal="left" vertical="center" shrinkToFit="1"/>
    </xf>
    <xf numFmtId="0" fontId="23" fillId="0" borderId="465" xfId="12" applyFont="1" applyFill="1" applyBorder="1" applyAlignment="1">
      <alignment horizontal="center" vertical="center"/>
    </xf>
    <xf numFmtId="0" fontId="23" fillId="0" borderId="66" xfId="12" applyFont="1" applyFill="1" applyBorder="1" applyAlignment="1">
      <alignment horizontal="center" vertical="center"/>
    </xf>
    <xf numFmtId="0" fontId="23" fillId="0" borderId="131" xfId="12" applyFont="1" applyFill="1" applyBorder="1" applyAlignment="1">
      <alignment horizontal="center" vertical="center"/>
    </xf>
    <xf numFmtId="0" fontId="23" fillId="0" borderId="317" xfId="12" applyFont="1" applyBorder="1" applyAlignment="1">
      <alignment horizontal="center" vertical="center" textRotation="255"/>
    </xf>
    <xf numFmtId="0" fontId="8" fillId="0" borderId="66" xfId="0" applyFont="1" applyBorder="1" applyAlignment="1">
      <alignment horizontal="center" vertical="center" textRotation="255"/>
    </xf>
    <xf numFmtId="0" fontId="23" fillId="6" borderId="465" xfId="12" applyFont="1" applyFill="1" applyBorder="1" applyAlignment="1">
      <alignment horizontal="center" vertical="center" textRotation="255"/>
    </xf>
    <xf numFmtId="0" fontId="23" fillId="6" borderId="66" xfId="12" applyFont="1" applyFill="1" applyBorder="1" applyAlignment="1">
      <alignment horizontal="center" vertical="center" textRotation="255"/>
    </xf>
    <xf numFmtId="0" fontId="23" fillId="6" borderId="131" xfId="12" applyFont="1" applyFill="1" applyBorder="1" applyAlignment="1">
      <alignment horizontal="center" vertical="center" textRotation="255"/>
    </xf>
    <xf numFmtId="0" fontId="23" fillId="0" borderId="133" xfId="12" applyFont="1" applyBorder="1" applyAlignment="1">
      <alignment horizontal="center" vertical="center" textRotation="255"/>
    </xf>
    <xf numFmtId="0" fontId="23" fillId="0" borderId="66" xfId="12" applyFont="1" applyBorder="1" applyAlignment="1">
      <alignment horizontal="center" vertical="center" textRotation="255"/>
    </xf>
    <xf numFmtId="0" fontId="23" fillId="0" borderId="131" xfId="12" applyFont="1" applyBorder="1" applyAlignment="1">
      <alignment horizontal="center" vertical="center" textRotation="255"/>
    </xf>
    <xf numFmtId="0" fontId="23" fillId="0" borderId="0" xfId="12" applyFont="1" applyAlignment="1">
      <alignment vertical="center" shrinkToFit="1"/>
    </xf>
    <xf numFmtId="0" fontId="23" fillId="5" borderId="0" xfId="12" applyFont="1" applyFill="1" applyAlignment="1">
      <alignment horizontal="center" vertical="center" wrapText="1"/>
    </xf>
    <xf numFmtId="0" fontId="23" fillId="0" borderId="317" xfId="12" applyFont="1" applyBorder="1" applyAlignment="1">
      <alignment vertical="center" textRotation="255"/>
    </xf>
    <xf numFmtId="0" fontId="23" fillId="0" borderId="66" xfId="12" applyFont="1" applyBorder="1" applyAlignment="1">
      <alignment vertical="center" textRotation="255"/>
    </xf>
    <xf numFmtId="0" fontId="23" fillId="0" borderId="131" xfId="12" applyFont="1" applyBorder="1" applyAlignment="1">
      <alignment vertical="center" textRotation="255"/>
    </xf>
    <xf numFmtId="0" fontId="23" fillId="0" borderId="63" xfId="12" applyFont="1" applyBorder="1" applyAlignment="1">
      <alignment horizontal="center" vertical="center" wrapText="1"/>
    </xf>
    <xf numFmtId="0" fontId="23" fillId="0" borderId="66" xfId="12" applyFont="1" applyBorder="1" applyAlignment="1">
      <alignment horizontal="center" vertical="center" wrapText="1"/>
    </xf>
    <xf numFmtId="0" fontId="23" fillId="0" borderId="101" xfId="12" applyFont="1" applyBorder="1" applyAlignment="1">
      <alignment horizontal="center" vertical="center" wrapText="1"/>
    </xf>
    <xf numFmtId="0" fontId="8" fillId="9" borderId="0" xfId="0" applyFont="1" applyFill="1" applyBorder="1" applyAlignment="1">
      <alignment horizontal="center" vertical="center"/>
    </xf>
    <xf numFmtId="0" fontId="8" fillId="8" borderId="0" xfId="0" applyFont="1" applyFill="1" applyBorder="1" applyAlignment="1">
      <alignment horizontal="center" vertical="center"/>
    </xf>
    <xf numFmtId="0" fontId="8" fillId="8" borderId="1" xfId="0" applyFont="1" applyFill="1" applyBorder="1" applyAlignment="1">
      <alignment horizontal="center" vertical="center"/>
    </xf>
    <xf numFmtId="0" fontId="23" fillId="0" borderId="133" xfId="0" applyFont="1" applyBorder="1" applyAlignment="1">
      <alignment horizontal="center" vertical="center" textRotation="255" wrapText="1"/>
    </xf>
    <xf numFmtId="0" fontId="23" fillId="0" borderId="131" xfId="0" applyFont="1" applyBorder="1" applyAlignment="1">
      <alignment horizontal="center" vertical="center" textRotation="255" wrapText="1"/>
    </xf>
    <xf numFmtId="0" fontId="23" fillId="0" borderId="465" xfId="12" applyFont="1" applyBorder="1" applyAlignment="1">
      <alignment horizontal="center" vertical="center"/>
    </xf>
    <xf numFmtId="0" fontId="23" fillId="0" borderId="66" xfId="12" applyFont="1" applyBorder="1" applyAlignment="1">
      <alignment horizontal="center" vertical="center"/>
    </xf>
    <xf numFmtId="0" fontId="23" fillId="0" borderId="131" xfId="12" applyFont="1" applyBorder="1" applyAlignment="1">
      <alignment horizontal="center" vertical="center"/>
    </xf>
  </cellXfs>
  <cellStyles count="109">
    <cellStyle name="Comma [0] 2" xfId="99" xr:uid="{00000000-0005-0000-0000-000000000000}"/>
    <cellStyle name="Normal 2" xfId="13" xr:uid="{00000000-0005-0000-0000-000001000000}"/>
    <cellStyle name="Normal 3" xfId="100" xr:uid="{00000000-0005-0000-0000-000002000000}"/>
    <cellStyle name="Normal 4" xfId="3" xr:uid="{00000000-0005-0000-0000-000003000000}"/>
    <cellStyle name="Normal 5" xfId="101" xr:uid="{00000000-0005-0000-0000-000004000000}"/>
    <cellStyle name="Normal 6" xfId="102" xr:uid="{00000000-0005-0000-0000-000005000000}"/>
    <cellStyle name="Normal 7" xfId="14" xr:uid="{00000000-0005-0000-0000-000006000000}"/>
    <cellStyle name="Normal 8" xfId="103" xr:uid="{00000000-0005-0000-0000-000007000000}"/>
    <cellStyle name="Normal 9" xfId="15" xr:uid="{00000000-0005-0000-0000-000008000000}"/>
    <cellStyle name="Percent 2" xfId="16" xr:uid="{00000000-0005-0000-0000-000009000000}"/>
    <cellStyle name="スタイル 1" xfId="17" xr:uid="{00000000-0005-0000-0000-00000A000000}"/>
    <cellStyle name="パーセント 2" xfId="18" xr:uid="{00000000-0005-0000-0000-00000B000000}"/>
    <cellStyle name="パーセント 3" xfId="19" xr:uid="{00000000-0005-0000-0000-00000C000000}"/>
    <cellStyle name="桁区切り" xfId="11" builtinId="6"/>
    <cellStyle name="桁区切り 2" xfId="20" xr:uid="{00000000-0005-0000-0000-00000E000000}"/>
    <cellStyle name="行レベル_1" xfId="1" builtinId="1" iLevel="0"/>
    <cellStyle name="常规_Sheet1" xfId="21" xr:uid="{00000000-0005-0000-0000-000010000000}"/>
    <cellStyle name="標準" xfId="0" builtinId="0"/>
    <cellStyle name="標準 10" xfId="22" xr:uid="{00000000-0005-0000-0000-000012000000}"/>
    <cellStyle name="標準 10 2" xfId="23" xr:uid="{00000000-0005-0000-0000-000013000000}"/>
    <cellStyle name="標準 11" xfId="24" xr:uid="{00000000-0005-0000-0000-000014000000}"/>
    <cellStyle name="標準 11 2" xfId="25" xr:uid="{00000000-0005-0000-0000-000015000000}"/>
    <cellStyle name="標準 12" xfId="26" xr:uid="{00000000-0005-0000-0000-000016000000}"/>
    <cellStyle name="標準 12 2" xfId="27" xr:uid="{00000000-0005-0000-0000-000017000000}"/>
    <cellStyle name="標準 13" xfId="28" xr:uid="{00000000-0005-0000-0000-000018000000}"/>
    <cellStyle name="標準 13 2" xfId="29" xr:uid="{00000000-0005-0000-0000-000019000000}"/>
    <cellStyle name="標準 14" xfId="30" xr:uid="{00000000-0005-0000-0000-00001A000000}"/>
    <cellStyle name="標準 14 2" xfId="31" xr:uid="{00000000-0005-0000-0000-00001B000000}"/>
    <cellStyle name="標準 15" xfId="32" xr:uid="{00000000-0005-0000-0000-00001C000000}"/>
    <cellStyle name="標準 15 2" xfId="33" xr:uid="{00000000-0005-0000-0000-00001D000000}"/>
    <cellStyle name="標準 16" xfId="34" xr:uid="{00000000-0005-0000-0000-00001E000000}"/>
    <cellStyle name="標準 16 2" xfId="35" xr:uid="{00000000-0005-0000-0000-00001F000000}"/>
    <cellStyle name="標準 17" xfId="36" xr:uid="{00000000-0005-0000-0000-000020000000}"/>
    <cellStyle name="標準 18" xfId="37" xr:uid="{00000000-0005-0000-0000-000021000000}"/>
    <cellStyle name="標準 19" xfId="38" xr:uid="{00000000-0005-0000-0000-000022000000}"/>
    <cellStyle name="標準 2" xfId="4" xr:uid="{00000000-0005-0000-0000-000023000000}"/>
    <cellStyle name="標準 2 2" xfId="39" xr:uid="{00000000-0005-0000-0000-000024000000}"/>
    <cellStyle name="標準 2 2 2" xfId="40" xr:uid="{00000000-0005-0000-0000-000025000000}"/>
    <cellStyle name="標準 2 2 3" xfId="41" xr:uid="{00000000-0005-0000-0000-000026000000}"/>
    <cellStyle name="標準 2 3" xfId="42" xr:uid="{00000000-0005-0000-0000-000027000000}"/>
    <cellStyle name="標準 2 3 2" xfId="43" xr:uid="{00000000-0005-0000-0000-000028000000}"/>
    <cellStyle name="標準 2 4" xfId="44" xr:uid="{00000000-0005-0000-0000-000029000000}"/>
    <cellStyle name="標準 2 4 2" xfId="45" xr:uid="{00000000-0005-0000-0000-00002A000000}"/>
    <cellStyle name="標準 2 5" xfId="46" xr:uid="{00000000-0005-0000-0000-00002B000000}"/>
    <cellStyle name="標準 20" xfId="47" xr:uid="{00000000-0005-0000-0000-00002C000000}"/>
    <cellStyle name="標準 21" xfId="48" xr:uid="{00000000-0005-0000-0000-00002D000000}"/>
    <cellStyle name="標準 22" xfId="49" xr:uid="{00000000-0005-0000-0000-00002E000000}"/>
    <cellStyle name="標準 23" xfId="50" xr:uid="{00000000-0005-0000-0000-00002F000000}"/>
    <cellStyle name="標準 24" xfId="51" xr:uid="{00000000-0005-0000-0000-000030000000}"/>
    <cellStyle name="標準 25" xfId="52" xr:uid="{00000000-0005-0000-0000-000031000000}"/>
    <cellStyle name="標準 26" xfId="53" xr:uid="{00000000-0005-0000-0000-000032000000}"/>
    <cellStyle name="標準 27" xfId="54" xr:uid="{00000000-0005-0000-0000-000033000000}"/>
    <cellStyle name="標準 28" xfId="55" xr:uid="{00000000-0005-0000-0000-000034000000}"/>
    <cellStyle name="標準 29" xfId="56" xr:uid="{00000000-0005-0000-0000-000035000000}"/>
    <cellStyle name="標準 3" xfId="5" xr:uid="{00000000-0005-0000-0000-000036000000}"/>
    <cellStyle name="標準 3 2" xfId="6" xr:uid="{00000000-0005-0000-0000-000037000000}"/>
    <cellStyle name="標準 3 2 2" xfId="7" xr:uid="{00000000-0005-0000-0000-000038000000}"/>
    <cellStyle name="標準 3 3" xfId="57" xr:uid="{00000000-0005-0000-0000-000039000000}"/>
    <cellStyle name="標準 30" xfId="58" xr:uid="{00000000-0005-0000-0000-00003A000000}"/>
    <cellStyle name="標準 31" xfId="59" xr:uid="{00000000-0005-0000-0000-00003B000000}"/>
    <cellStyle name="標準 32" xfId="60" xr:uid="{00000000-0005-0000-0000-00003C000000}"/>
    <cellStyle name="標準 33" xfId="61" xr:uid="{00000000-0005-0000-0000-00003D000000}"/>
    <cellStyle name="標準 34" xfId="62" xr:uid="{00000000-0005-0000-0000-00003E000000}"/>
    <cellStyle name="標準 35" xfId="63" xr:uid="{00000000-0005-0000-0000-00003F000000}"/>
    <cellStyle name="標準 36" xfId="64" xr:uid="{00000000-0005-0000-0000-000040000000}"/>
    <cellStyle name="標準 37" xfId="65" xr:uid="{00000000-0005-0000-0000-000041000000}"/>
    <cellStyle name="標準 38" xfId="66" xr:uid="{00000000-0005-0000-0000-000042000000}"/>
    <cellStyle name="標準 39" xfId="67" xr:uid="{00000000-0005-0000-0000-000043000000}"/>
    <cellStyle name="標準 4" xfId="8" xr:uid="{00000000-0005-0000-0000-000044000000}"/>
    <cellStyle name="標準 4 2" xfId="68" xr:uid="{00000000-0005-0000-0000-000045000000}"/>
    <cellStyle name="標準 4 3" xfId="106" xr:uid="{00000000-0005-0000-0000-000046000000}"/>
    <cellStyle name="標準 4 4" xfId="107" xr:uid="{00000000-0005-0000-0000-000047000000}"/>
    <cellStyle name="標準 40" xfId="69" xr:uid="{00000000-0005-0000-0000-000048000000}"/>
    <cellStyle name="標準 41" xfId="70" xr:uid="{00000000-0005-0000-0000-000049000000}"/>
    <cellStyle name="標準 42" xfId="71" xr:uid="{00000000-0005-0000-0000-00004A000000}"/>
    <cellStyle name="標準 43" xfId="72" xr:uid="{00000000-0005-0000-0000-00004B000000}"/>
    <cellStyle name="標準 44" xfId="73" xr:uid="{00000000-0005-0000-0000-00004C000000}"/>
    <cellStyle name="標準 45" xfId="74" xr:uid="{00000000-0005-0000-0000-00004D000000}"/>
    <cellStyle name="標準 46" xfId="75" xr:uid="{00000000-0005-0000-0000-00004E000000}"/>
    <cellStyle name="標準 47" xfId="76" xr:uid="{00000000-0005-0000-0000-00004F000000}"/>
    <cellStyle name="標準 48" xfId="77" xr:uid="{00000000-0005-0000-0000-000050000000}"/>
    <cellStyle name="標準 49" xfId="78" xr:uid="{00000000-0005-0000-0000-000051000000}"/>
    <cellStyle name="標準 5" xfId="9" xr:uid="{00000000-0005-0000-0000-000052000000}"/>
    <cellStyle name="標準 5 2" xfId="104" xr:uid="{00000000-0005-0000-0000-000053000000}"/>
    <cellStyle name="標準 50" xfId="79" xr:uid="{00000000-0005-0000-0000-000054000000}"/>
    <cellStyle name="標準 51" xfId="80" xr:uid="{00000000-0005-0000-0000-000055000000}"/>
    <cellStyle name="標準 52" xfId="81" xr:uid="{00000000-0005-0000-0000-000056000000}"/>
    <cellStyle name="標準 53" xfId="82" xr:uid="{00000000-0005-0000-0000-000057000000}"/>
    <cellStyle name="標準 54" xfId="83" xr:uid="{00000000-0005-0000-0000-000058000000}"/>
    <cellStyle name="標準 55" xfId="84" xr:uid="{00000000-0005-0000-0000-000059000000}"/>
    <cellStyle name="標準 56" xfId="85" xr:uid="{00000000-0005-0000-0000-00005A000000}"/>
    <cellStyle name="標準 57" xfId="86" xr:uid="{00000000-0005-0000-0000-00005B000000}"/>
    <cellStyle name="標準 58" xfId="87" xr:uid="{00000000-0005-0000-0000-00005C000000}"/>
    <cellStyle name="標準 59" xfId="88" xr:uid="{00000000-0005-0000-0000-00005D000000}"/>
    <cellStyle name="標準 6" xfId="12" xr:uid="{00000000-0005-0000-0000-00005E000000}"/>
    <cellStyle name="標準 6 2" xfId="89" xr:uid="{00000000-0005-0000-0000-00005F000000}"/>
    <cellStyle name="標準 6 3" xfId="108" xr:uid="{00000000-0005-0000-0000-000060000000}"/>
    <cellStyle name="標準 60" xfId="90" xr:uid="{00000000-0005-0000-0000-000061000000}"/>
    <cellStyle name="標準 61" xfId="91" xr:uid="{00000000-0005-0000-0000-000062000000}"/>
    <cellStyle name="標準 62" xfId="92" xr:uid="{00000000-0005-0000-0000-000063000000}"/>
    <cellStyle name="標準 63" xfId="93" xr:uid="{00000000-0005-0000-0000-000064000000}"/>
    <cellStyle name="標準 64" xfId="105" xr:uid="{00000000-0005-0000-0000-000065000000}"/>
    <cellStyle name="標準 7" xfId="94" xr:uid="{00000000-0005-0000-0000-000066000000}"/>
    <cellStyle name="標準 7 2" xfId="95" xr:uid="{00000000-0005-0000-0000-000067000000}"/>
    <cellStyle name="標準 8" xfId="96" xr:uid="{00000000-0005-0000-0000-000068000000}"/>
    <cellStyle name="標準 8 2" xfId="97" xr:uid="{00000000-0005-0000-0000-000069000000}"/>
    <cellStyle name="標準 9" xfId="98" xr:uid="{00000000-0005-0000-0000-00006A000000}"/>
    <cellStyle name="標準_BDA1S0T07201" xfId="10" xr:uid="{00000000-0005-0000-0000-00006B000000}"/>
    <cellStyle name="列レベル_1" xfId="2" builtinId="2" iLevel="0"/>
  </cellStyles>
  <dxfs count="0"/>
  <tableStyles count="0" defaultTableStyle="TableStyleMedium9" defaultPivotStyle="PivotStyleLight16"/>
  <colors>
    <mruColors>
      <color rgb="FFFFCF80"/>
      <color rgb="FFFCD5B4"/>
      <color rgb="FF35A16B"/>
      <color rgb="FFCCFFCC"/>
      <color rgb="FFFFFF99"/>
      <color rgb="FF0041FF"/>
      <color rgb="FF87E7B0"/>
      <color rgb="FF339966"/>
      <color rgb="FF7F878F"/>
      <color rgb="FFF2DC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6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6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6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7.x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drawing8.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7.emf"/><Relationship Id="rId1"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1.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3.emf"/><Relationship Id="rId1" Type="http://schemas.openxmlformats.org/officeDocument/2006/relationships/image" Target="../media/image32.emf"/><Relationship Id="rId6" Type="http://schemas.openxmlformats.org/officeDocument/2006/relationships/image" Target="../media/image37.emf"/><Relationship Id="rId5" Type="http://schemas.openxmlformats.org/officeDocument/2006/relationships/image" Target="../media/image36.emf"/><Relationship Id="rId4" Type="http://schemas.openxmlformats.org/officeDocument/2006/relationships/image" Target="../media/image3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5" Type="http://schemas.openxmlformats.org/officeDocument/2006/relationships/image" Target="../media/image42.emf"/><Relationship Id="rId4"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2" name="角丸四角形 2">
          <a:extLst>
            <a:ext uri="{FF2B5EF4-FFF2-40B4-BE49-F238E27FC236}">
              <a16:creationId xmlns:a16="http://schemas.microsoft.com/office/drawing/2014/main" id="{00000000-0008-0000-0000-000002000000}"/>
            </a:ext>
          </a:extLst>
        </xdr:cNvPr>
        <xdr:cNvSpPr/>
      </xdr:nvSpPr>
      <xdr:spPr bwMode="auto">
        <a:xfrm>
          <a:off x="2000250" y="4775200"/>
          <a:ext cx="32820887" cy="51181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51</xdr:row>
      <xdr:rowOff>202406</xdr:rowOff>
    </xdr:to>
    <xdr:sp macro="" textlink="">
      <xdr:nvSpPr>
        <xdr:cNvPr id="3" name="角丸四角形 6">
          <a:extLst>
            <a:ext uri="{FF2B5EF4-FFF2-40B4-BE49-F238E27FC236}">
              <a16:creationId xmlns:a16="http://schemas.microsoft.com/office/drawing/2014/main" id="{00000000-0008-0000-0000-000003000000}"/>
            </a:ext>
          </a:extLst>
        </xdr:cNvPr>
        <xdr:cNvSpPr/>
      </xdr:nvSpPr>
      <xdr:spPr bwMode="auto">
        <a:xfrm>
          <a:off x="1252966" y="9493036"/>
          <a:ext cx="12466157" cy="210558"/>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ysClr val="windowText" lastClr="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4" name="大かっこ 3">
          <a:extLst>
            <a:ext uri="{FF2B5EF4-FFF2-40B4-BE49-F238E27FC236}">
              <a16:creationId xmlns:a16="http://schemas.microsoft.com/office/drawing/2014/main" id="{00000000-0008-0000-0000-000004000000}"/>
            </a:ext>
          </a:extLst>
        </xdr:cNvPr>
        <xdr:cNvSpPr/>
      </xdr:nvSpPr>
      <xdr:spPr>
        <a:xfrm>
          <a:off x="2101850" y="3488764"/>
          <a:ext cx="32664400" cy="11035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また、この調査月票は統計の目的のみに使用するもので、入力いただいた個別の結果を、外部への提供や課税のための資料に利用することはなく、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oneCellAnchor>
    <xdr:from>
      <xdr:col>51</xdr:col>
      <xdr:colOff>117158</xdr:colOff>
      <xdr:row>3</xdr:row>
      <xdr:rowOff>13335</xdr:rowOff>
    </xdr:from>
    <xdr:ext cx="1093947" cy="1444943"/>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32178308" y="508635"/>
          <a:ext cx="1093947" cy="1444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66675</xdr:colOff>
      <xdr:row>7</xdr:row>
      <xdr:rowOff>38100</xdr:rowOff>
    </xdr:from>
    <xdr:ext cx="1293178" cy="291465"/>
    <xdr:pic>
      <xdr:nvPicPr>
        <xdr:cNvPr id="6" name="図 17">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193800"/>
          <a:ext cx="1293178" cy="2914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9</xdr:col>
      <xdr:colOff>194052</xdr:colOff>
      <xdr:row>35</xdr:row>
      <xdr:rowOff>127794</xdr:rowOff>
    </xdr:from>
    <xdr:to>
      <xdr:col>12</xdr:col>
      <xdr:colOff>248846</xdr:colOff>
      <xdr:row>37</xdr:row>
      <xdr:rowOff>23588</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4" name="正方形/長方形 13">
          <a:extLst>
            <a:ext uri="{FF2B5EF4-FFF2-40B4-BE49-F238E27FC236}">
              <a16:creationId xmlns:a16="http://schemas.microsoft.com/office/drawing/2014/main" id="{00000000-0008-0000-0000-00000E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5" name="正方形/長方形 14">
          <a:extLst>
            <a:ext uri="{FF2B5EF4-FFF2-40B4-BE49-F238E27FC236}">
              <a16:creationId xmlns:a16="http://schemas.microsoft.com/office/drawing/2014/main" id="{00000000-0008-0000-0000-00000F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19051</xdr:colOff>
      <xdr:row>26</xdr:row>
      <xdr:rowOff>85724</xdr:rowOff>
    </xdr:from>
    <xdr:to>
      <xdr:col>34</xdr:col>
      <xdr:colOff>189451</xdr:colOff>
      <xdr:row>34</xdr:row>
      <xdr:rowOff>127000</xdr:rowOff>
    </xdr:to>
    <xdr:sp macro="" textlink="">
      <xdr:nvSpPr>
        <xdr:cNvPr id="16" name="角丸四角形 1">
          <a:extLst>
            <a:ext uri="{FF2B5EF4-FFF2-40B4-BE49-F238E27FC236}">
              <a16:creationId xmlns:a16="http://schemas.microsoft.com/office/drawing/2014/main" id="{00000000-0008-0000-0100-000010000000}"/>
            </a:ext>
          </a:extLst>
        </xdr:cNvPr>
        <xdr:cNvSpPr/>
      </xdr:nvSpPr>
      <xdr:spPr>
        <a:xfrm>
          <a:off x="400051" y="5534024"/>
          <a:ext cx="6266400" cy="1717676"/>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38101</xdr:colOff>
      <xdr:row>8</xdr:row>
      <xdr:rowOff>76199</xdr:rowOff>
    </xdr:from>
    <xdr:to>
      <xdr:col>3</xdr:col>
      <xdr:colOff>1</xdr:colOff>
      <xdr:row>12</xdr:row>
      <xdr:rowOff>0</xdr:rowOff>
    </xdr:to>
    <xdr:sp macro="" textlink="">
      <xdr:nvSpPr>
        <xdr:cNvPr id="17" name="左中かっこ 16">
          <a:extLst>
            <a:ext uri="{FF2B5EF4-FFF2-40B4-BE49-F238E27FC236}">
              <a16:creationId xmlns:a16="http://schemas.microsoft.com/office/drawing/2014/main" id="{00000000-0008-0000-0100-000011000000}"/>
            </a:ext>
          </a:extLst>
        </xdr:cNvPr>
        <xdr:cNvSpPr/>
      </xdr:nvSpPr>
      <xdr:spPr>
        <a:xfrm>
          <a:off x="419101" y="1752599"/>
          <a:ext cx="152400" cy="762001"/>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21166</xdr:colOff>
      <xdr:row>10</xdr:row>
      <xdr:rowOff>29632</xdr:rowOff>
    </xdr:from>
    <xdr:to>
      <xdr:col>3</xdr:col>
      <xdr:colOff>171616</xdr:colOff>
      <xdr:row>13</xdr:row>
      <xdr:rowOff>114632</xdr:rowOff>
    </xdr:to>
    <xdr:cxnSp macro="">
      <xdr:nvCxnSpPr>
        <xdr:cNvPr id="18" name="カギ線コネクタ 3">
          <a:extLst>
            <a:ext uri="{FF2B5EF4-FFF2-40B4-BE49-F238E27FC236}">
              <a16:creationId xmlns:a16="http://schemas.microsoft.com/office/drawing/2014/main" id="{00000000-0008-0000-0100-000012000000}"/>
            </a:ext>
          </a:extLst>
        </xdr:cNvPr>
        <xdr:cNvCxnSpPr/>
      </xdr:nvCxnSpPr>
      <xdr:spPr>
        <a:xfrm>
          <a:off x="402166" y="2125132"/>
          <a:ext cx="340950" cy="71365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38</xdr:row>
      <xdr:rowOff>137582</xdr:rowOff>
    </xdr:from>
    <xdr:to>
      <xdr:col>34</xdr:col>
      <xdr:colOff>170400</xdr:colOff>
      <xdr:row>47</xdr:row>
      <xdr:rowOff>158750</xdr:rowOff>
    </xdr:to>
    <xdr:sp macro="" textlink="">
      <xdr:nvSpPr>
        <xdr:cNvPr id="19" name="角丸四角形 4">
          <a:extLst>
            <a:ext uri="{FF2B5EF4-FFF2-40B4-BE49-F238E27FC236}">
              <a16:creationId xmlns:a16="http://schemas.microsoft.com/office/drawing/2014/main" id="{00000000-0008-0000-0100-000013000000}"/>
            </a:ext>
          </a:extLst>
        </xdr:cNvPr>
        <xdr:cNvSpPr/>
      </xdr:nvSpPr>
      <xdr:spPr>
        <a:xfrm>
          <a:off x="381000" y="8100482"/>
          <a:ext cx="6266400" cy="1907118"/>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41</xdr:col>
      <xdr:colOff>152400</xdr:colOff>
      <xdr:row>11</xdr:row>
      <xdr:rowOff>95250</xdr:rowOff>
    </xdr:from>
    <xdr:to>
      <xdr:col>71</xdr:col>
      <xdr:colOff>102400</xdr:colOff>
      <xdr:row>13</xdr:row>
      <xdr:rowOff>161100</xdr:rowOff>
    </xdr:to>
    <xdr:sp macro="" textlink="">
      <xdr:nvSpPr>
        <xdr:cNvPr id="20" name="角丸四角形 5">
          <a:extLst>
            <a:ext uri="{FF2B5EF4-FFF2-40B4-BE49-F238E27FC236}">
              <a16:creationId xmlns:a16="http://schemas.microsoft.com/office/drawing/2014/main" id="{00000000-0008-0000-0100-000014000000}"/>
            </a:ext>
          </a:extLst>
        </xdr:cNvPr>
        <xdr:cNvSpPr/>
      </xdr:nvSpPr>
      <xdr:spPr>
        <a:xfrm>
          <a:off x="7962900" y="2400300"/>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頭で、うち肉豚と繁殖豚が</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頭、豚以外の家畜が</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頭の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111124</xdr:colOff>
      <xdr:row>35</xdr:row>
      <xdr:rowOff>138642</xdr:rowOff>
    </xdr:from>
    <xdr:to>
      <xdr:col>71</xdr:col>
      <xdr:colOff>169124</xdr:colOff>
      <xdr:row>37</xdr:row>
      <xdr:rowOff>205342</xdr:rowOff>
    </xdr:to>
    <xdr:sp macro="" textlink="">
      <xdr:nvSpPr>
        <xdr:cNvPr id="21" name="角丸四角形 6">
          <a:extLst>
            <a:ext uri="{FF2B5EF4-FFF2-40B4-BE49-F238E27FC236}">
              <a16:creationId xmlns:a16="http://schemas.microsoft.com/office/drawing/2014/main" id="{00000000-0008-0000-0100-000015000000}"/>
            </a:ext>
          </a:extLst>
        </xdr:cNvPr>
        <xdr:cNvSpPr/>
      </xdr:nvSpPr>
      <xdr:spPr>
        <a:xfrm>
          <a:off x="7921624" y="7472892"/>
          <a:ext cx="5773000" cy="4858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例：経営全体のトラクターの全使用日数が</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日で、うち豚の飼育に</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日、米の生産に</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日使用した</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158751</xdr:colOff>
      <xdr:row>23</xdr:row>
      <xdr:rowOff>105835</xdr:rowOff>
    </xdr:from>
    <xdr:to>
      <xdr:col>71</xdr:col>
      <xdr:colOff>108751</xdr:colOff>
      <xdr:row>25</xdr:row>
      <xdr:rowOff>171685</xdr:rowOff>
    </xdr:to>
    <xdr:sp macro="" textlink="">
      <xdr:nvSpPr>
        <xdr:cNvPr id="22" name="角丸四角形 7">
          <a:extLst>
            <a:ext uri="{FF2B5EF4-FFF2-40B4-BE49-F238E27FC236}">
              <a16:creationId xmlns:a16="http://schemas.microsoft.com/office/drawing/2014/main" id="{00000000-0008-0000-0100-000016000000}"/>
            </a:ext>
          </a:extLst>
        </xdr:cNvPr>
        <xdr:cNvSpPr/>
      </xdr:nvSpPr>
      <xdr:spPr>
        <a:xfrm>
          <a:off x="7969251" y="4925485"/>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例</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：倉庫</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全体の面積が</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㎡で、うち豚</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の飼料置き場に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米の肥料置き場に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60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㎡をそれ</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ぞれ</a:t>
          </a:r>
          <a:endParaRPr lang="ja-JP" altLang="ja-JP" sz="1000">
            <a:solidFill>
              <a:srgbClr val="0041FF"/>
            </a:solidFill>
            <a:effectLst/>
            <a:latin typeface="ＭＳ 明朝" panose="02020609040205080304" pitchFamily="17" charset="-128"/>
            <a:ea typeface="ＭＳ 明朝" panose="02020609040205080304" pitchFamily="17" charset="-128"/>
          </a:endParaRPr>
        </a:p>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　　使用し</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ている</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場合の調査対象畜負担割合は８０％（</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）になります。</a:t>
          </a:r>
          <a:endParaRPr lang="ja-JP" altLang="ja-JP" sz="1000">
            <a:solidFill>
              <a:srgbClr val="0041FF"/>
            </a:solidFill>
            <a:effectLst/>
            <a:latin typeface="ＭＳ 明朝" panose="02020609040205080304" pitchFamily="17" charset="-128"/>
            <a:ea typeface="ＭＳ 明朝" panose="02020609040205080304" pitchFamily="17" charset="-128"/>
          </a:endParaRPr>
        </a:p>
      </xdr:txBody>
    </xdr:sp>
    <xdr:clientData/>
  </xdr:twoCellAnchor>
  <xdr:twoCellAnchor>
    <xdr:from>
      <xdr:col>30</xdr:col>
      <xdr:colOff>10590</xdr:colOff>
      <xdr:row>44</xdr:row>
      <xdr:rowOff>200025</xdr:rowOff>
    </xdr:from>
    <xdr:to>
      <xdr:col>33</xdr:col>
      <xdr:colOff>23590</xdr:colOff>
      <xdr:row>47</xdr:row>
      <xdr:rowOff>3175</xdr:rowOff>
    </xdr:to>
    <xdr:sp macro="" textlink="">
      <xdr:nvSpPr>
        <xdr:cNvPr id="23" name="円/楕円 8">
          <a:extLst>
            <a:ext uri="{FF2B5EF4-FFF2-40B4-BE49-F238E27FC236}">
              <a16:creationId xmlns:a16="http://schemas.microsoft.com/office/drawing/2014/main" id="{00000000-0008-0000-0100-000017000000}"/>
            </a:ext>
          </a:extLst>
        </xdr:cNvPr>
        <xdr:cNvSpPr/>
      </xdr:nvSpPr>
      <xdr:spPr>
        <a:xfrm>
          <a:off x="5725590" y="9420225"/>
          <a:ext cx="584500" cy="43180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22232</xdr:colOff>
      <xdr:row>7</xdr:row>
      <xdr:rowOff>2116</xdr:rowOff>
    </xdr:from>
    <xdr:to>
      <xdr:col>38</xdr:col>
      <xdr:colOff>79899</xdr:colOff>
      <xdr:row>45</xdr:row>
      <xdr:rowOff>202783</xdr:rowOff>
    </xdr:to>
    <xdr:cxnSp macro="">
      <xdr:nvCxnSpPr>
        <xdr:cNvPr id="24" name="カギ線コネクタ 9">
          <a:extLst>
            <a:ext uri="{FF2B5EF4-FFF2-40B4-BE49-F238E27FC236}">
              <a16:creationId xmlns:a16="http://schemas.microsoft.com/office/drawing/2014/main" id="{00000000-0008-0000-0100-000018000000}"/>
            </a:ext>
          </a:extLst>
        </xdr:cNvPr>
        <xdr:cNvCxnSpPr/>
      </xdr:nvCxnSpPr>
      <xdr:spPr>
        <a:xfrm flipV="1">
          <a:off x="6308732" y="1468966"/>
          <a:ext cx="1010167" cy="8163567"/>
        </a:xfrm>
        <a:prstGeom prst="bentConnector3">
          <a:avLst>
            <a:gd name="adj1" fmla="val 64225"/>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87843</xdr:colOff>
      <xdr:row>6</xdr:row>
      <xdr:rowOff>21167</xdr:rowOff>
    </xdr:from>
    <xdr:to>
      <xdr:col>71</xdr:col>
      <xdr:colOff>189443</xdr:colOff>
      <xdr:row>14</xdr:row>
      <xdr:rowOff>19834</xdr:rowOff>
    </xdr:to>
    <xdr:sp macro="" textlink="">
      <xdr:nvSpPr>
        <xdr:cNvPr id="25" name="角丸四角形 10">
          <a:extLst>
            <a:ext uri="{FF2B5EF4-FFF2-40B4-BE49-F238E27FC236}">
              <a16:creationId xmlns:a16="http://schemas.microsoft.com/office/drawing/2014/main" id="{00000000-0008-0000-0100-000019000000}"/>
            </a:ext>
          </a:extLst>
        </xdr:cNvPr>
        <xdr:cNvSpPr/>
      </xdr:nvSpPr>
      <xdr:spPr>
        <a:xfrm>
          <a:off x="7326843" y="1278467"/>
          <a:ext cx="6388100" cy="1675067"/>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87842</xdr:colOff>
      <xdr:row>43</xdr:row>
      <xdr:rowOff>33885</xdr:rowOff>
    </xdr:from>
    <xdr:to>
      <xdr:col>41</xdr:col>
      <xdr:colOff>172509</xdr:colOff>
      <xdr:row>46</xdr:row>
      <xdr:rowOff>189460</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6945842" y="9044535"/>
          <a:ext cx="1037167"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82550</xdr:colOff>
      <xdr:row>28</xdr:row>
      <xdr:rowOff>114300</xdr:rowOff>
    </xdr:from>
    <xdr:to>
      <xdr:col>6</xdr:col>
      <xdr:colOff>469900</xdr:colOff>
      <xdr:row>30</xdr:row>
      <xdr:rowOff>203200</xdr:rowOff>
    </xdr:to>
    <xdr:sp macro="" textlink="">
      <xdr:nvSpPr>
        <xdr:cNvPr id="2" name="角丸四角形吹き出し 2">
          <a:extLst>
            <a:ext uri="{FF2B5EF4-FFF2-40B4-BE49-F238E27FC236}">
              <a16:creationId xmlns:a16="http://schemas.microsoft.com/office/drawing/2014/main" id="{00000000-0008-0000-0300-000002000000}"/>
            </a:ext>
          </a:extLst>
        </xdr:cNvPr>
        <xdr:cNvSpPr/>
      </xdr:nvSpPr>
      <xdr:spPr>
        <a:xfrm>
          <a:off x="5346700" y="7747000"/>
          <a:ext cx="1657350" cy="7747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後継繁殖雌豚、後継種雄豚とは、将来、繁殖用にするために育成している子豚です。</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467285</xdr:colOff>
      <xdr:row>39</xdr:row>
      <xdr:rowOff>113926</xdr:rowOff>
    </xdr:from>
    <xdr:to>
      <xdr:col>2</xdr:col>
      <xdr:colOff>827285</xdr:colOff>
      <xdr:row>41</xdr:row>
      <xdr:rowOff>236611</xdr:rowOff>
    </xdr:to>
    <xdr:sp macro="" textlink="">
      <xdr:nvSpPr>
        <xdr:cNvPr id="3" name="下矢印 45">
          <a:extLst>
            <a:ext uri="{FF2B5EF4-FFF2-40B4-BE49-F238E27FC236}">
              <a16:creationId xmlns:a16="http://schemas.microsoft.com/office/drawing/2014/main" id="{00000000-0008-0000-0300-000003000000}"/>
            </a:ext>
          </a:extLst>
        </xdr:cNvPr>
        <xdr:cNvSpPr/>
      </xdr:nvSpPr>
      <xdr:spPr>
        <a:xfrm>
          <a:off x="1921435" y="10985126"/>
          <a:ext cx="360000" cy="656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19049</xdr:colOff>
      <xdr:row>44</xdr:row>
      <xdr:rowOff>44812</xdr:rowOff>
    </xdr:from>
    <xdr:to>
      <xdr:col>2</xdr:col>
      <xdr:colOff>1522322</xdr:colOff>
      <xdr:row>44</xdr:row>
      <xdr:rowOff>250441</xdr:rowOff>
    </xdr:to>
    <xdr:sp macro="" textlink="">
      <xdr:nvSpPr>
        <xdr:cNvPr id="7" name="左中かっこ 6">
          <a:extLst>
            <a:ext uri="{FF2B5EF4-FFF2-40B4-BE49-F238E27FC236}">
              <a16:creationId xmlns:a16="http://schemas.microsoft.com/office/drawing/2014/main" id="{00000000-0008-0000-0300-000007000000}"/>
            </a:ext>
          </a:extLst>
        </xdr:cNvPr>
        <xdr:cNvSpPr/>
      </xdr:nvSpPr>
      <xdr:spPr>
        <a:xfrm rot="16200000">
          <a:off x="2731621" y="6234940"/>
          <a:ext cx="205629" cy="1376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xdr:col>
      <xdr:colOff>624001</xdr:colOff>
      <xdr:row>44</xdr:row>
      <xdr:rowOff>170431</xdr:rowOff>
    </xdr:from>
    <xdr:to>
      <xdr:col>2</xdr:col>
      <xdr:colOff>625477</xdr:colOff>
      <xdr:row>46</xdr:row>
      <xdr:rowOff>142877</xdr:rowOff>
    </xdr:to>
    <xdr:cxnSp macro="">
      <xdr:nvCxnSpPr>
        <xdr:cNvPr id="8" name="直線矢印コネクタ 7">
          <a:extLst>
            <a:ext uri="{FF2B5EF4-FFF2-40B4-BE49-F238E27FC236}">
              <a16:creationId xmlns:a16="http://schemas.microsoft.com/office/drawing/2014/main" id="{00000000-0008-0000-0300-000008000000}"/>
            </a:ext>
          </a:extLst>
        </xdr:cNvPr>
        <xdr:cNvCxnSpPr/>
      </xdr:nvCxnSpPr>
      <xdr:spPr>
        <a:xfrm flipH="1" flipV="1">
          <a:off x="2052751" y="12362431"/>
          <a:ext cx="1476" cy="35344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1263650</xdr:colOff>
      <xdr:row>38</xdr:row>
      <xdr:rowOff>228601</xdr:rowOff>
    </xdr:from>
    <xdr:to>
      <xdr:col>5</xdr:col>
      <xdr:colOff>333376</xdr:colOff>
      <xdr:row>38</xdr:row>
      <xdr:rowOff>229390</xdr:rowOff>
    </xdr:to>
    <xdr:cxnSp macro="">
      <xdr:nvCxnSpPr>
        <xdr:cNvPr id="10" name="カギ線コネクタ 16">
          <a:extLst>
            <a:ext uri="{FF2B5EF4-FFF2-40B4-BE49-F238E27FC236}">
              <a16:creationId xmlns:a16="http://schemas.microsoft.com/office/drawing/2014/main" id="{00000000-0008-0000-0300-00000A000000}"/>
            </a:ext>
          </a:extLst>
        </xdr:cNvPr>
        <xdr:cNvCxnSpPr/>
      </xdr:nvCxnSpPr>
      <xdr:spPr>
        <a:xfrm rot="10800000">
          <a:off x="5257800" y="10629901"/>
          <a:ext cx="339726" cy="789"/>
        </a:xfrm>
        <a:prstGeom prst="bentConnector3">
          <a:avLst>
            <a:gd name="adj1" fmla="val 50000"/>
          </a:avLst>
        </a:prstGeom>
        <a:ln w="19050">
          <a:solidFill>
            <a:srgbClr val="0041FF"/>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326297</xdr:colOff>
      <xdr:row>36</xdr:row>
      <xdr:rowOff>0</xdr:rowOff>
    </xdr:from>
    <xdr:to>
      <xdr:col>6</xdr:col>
      <xdr:colOff>1196340</xdr:colOff>
      <xdr:row>38</xdr:row>
      <xdr:rowOff>339576</xdr:rowOff>
    </xdr:to>
    <xdr:sp macro="" textlink="">
      <xdr:nvSpPr>
        <xdr:cNvPr id="11" name="角丸四角形 21">
          <a:extLst>
            <a:ext uri="{FF2B5EF4-FFF2-40B4-BE49-F238E27FC236}">
              <a16:creationId xmlns:a16="http://schemas.microsoft.com/office/drawing/2014/main" id="{00000000-0008-0000-0300-00000B000000}"/>
            </a:ext>
          </a:extLst>
        </xdr:cNvPr>
        <xdr:cNvSpPr/>
      </xdr:nvSpPr>
      <xdr:spPr>
        <a:xfrm>
          <a:off x="5505516" y="9810750"/>
          <a:ext cx="2120199" cy="875357"/>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twoCellAnchor>
    <xdr:from>
      <xdr:col>4</xdr:col>
      <xdr:colOff>574675</xdr:colOff>
      <xdr:row>73</xdr:row>
      <xdr:rowOff>165475</xdr:rowOff>
    </xdr:from>
    <xdr:to>
      <xdr:col>4</xdr:col>
      <xdr:colOff>574675</xdr:colOff>
      <xdr:row>76</xdr:row>
      <xdr:rowOff>4911</xdr:rowOff>
    </xdr:to>
    <xdr:cxnSp macro="">
      <xdr:nvCxnSpPr>
        <xdr:cNvPr id="25" name="直線矢印コネクタ 24">
          <a:extLst>
            <a:ext uri="{FF2B5EF4-FFF2-40B4-BE49-F238E27FC236}">
              <a16:creationId xmlns:a16="http://schemas.microsoft.com/office/drawing/2014/main" id="{00000000-0008-0000-0300-000019000000}"/>
            </a:ext>
          </a:extLst>
        </xdr:cNvPr>
        <xdr:cNvCxnSpPr/>
      </xdr:nvCxnSpPr>
      <xdr:spPr>
        <a:xfrm rot="10800000" flipV="1">
          <a:off x="4568825" y="17881975"/>
          <a:ext cx="0" cy="220436"/>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63500</xdr:colOff>
      <xdr:row>71</xdr:row>
      <xdr:rowOff>127001</xdr:rowOff>
    </xdr:from>
    <xdr:to>
      <xdr:col>6</xdr:col>
      <xdr:colOff>533400</xdr:colOff>
      <xdr:row>74</xdr:row>
      <xdr:rowOff>101601</xdr:rowOff>
    </xdr:to>
    <xdr:sp macro="" textlink="">
      <xdr:nvSpPr>
        <xdr:cNvPr id="26" name="角丸四角形吹き出し 2">
          <a:extLst>
            <a:ext uri="{FF2B5EF4-FFF2-40B4-BE49-F238E27FC236}">
              <a16:creationId xmlns:a16="http://schemas.microsoft.com/office/drawing/2014/main" id="{00000000-0008-0000-0300-00001A000000}"/>
            </a:ext>
          </a:extLst>
        </xdr:cNvPr>
        <xdr:cNvSpPr/>
      </xdr:nvSpPr>
      <xdr:spPr>
        <a:xfrm>
          <a:off x="4057650" y="17462501"/>
          <a:ext cx="3009900" cy="5461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販売した肥育豚の月齢の合計を入力してください。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例えば、</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月齢の肥育豚を</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頭販売した場合には、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頭）と入力してください。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615950</xdr:colOff>
      <xdr:row>73</xdr:row>
      <xdr:rowOff>158750</xdr:rowOff>
    </xdr:from>
    <xdr:to>
      <xdr:col>3</xdr:col>
      <xdr:colOff>615950</xdr:colOff>
      <xdr:row>75</xdr:row>
      <xdr:rowOff>183830</xdr:rowOff>
    </xdr:to>
    <xdr:cxnSp macro="">
      <xdr:nvCxnSpPr>
        <xdr:cNvPr id="28" name="直線矢印コネクタ 27">
          <a:extLst>
            <a:ext uri="{FF2B5EF4-FFF2-40B4-BE49-F238E27FC236}">
              <a16:creationId xmlns:a16="http://schemas.microsoft.com/office/drawing/2014/main" id="{00000000-0008-0000-0300-00001C000000}"/>
            </a:ext>
          </a:extLst>
        </xdr:cNvPr>
        <xdr:cNvCxnSpPr/>
      </xdr:nvCxnSpPr>
      <xdr:spPr>
        <a:xfrm>
          <a:off x="3340100" y="17875250"/>
          <a:ext cx="0" cy="40608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1117600</xdr:colOff>
      <xdr:row>72</xdr:row>
      <xdr:rowOff>12700</xdr:rowOff>
    </xdr:from>
    <xdr:to>
      <xdr:col>3</xdr:col>
      <xdr:colOff>1206500</xdr:colOff>
      <xdr:row>74</xdr:row>
      <xdr:rowOff>68875</xdr:rowOff>
    </xdr:to>
    <xdr:sp macro="" textlink="">
      <xdr:nvSpPr>
        <xdr:cNvPr id="27" name="角丸四角形吹き出し 2">
          <a:extLst>
            <a:ext uri="{FF2B5EF4-FFF2-40B4-BE49-F238E27FC236}">
              <a16:creationId xmlns:a16="http://schemas.microsoft.com/office/drawing/2014/main" id="{00000000-0008-0000-0300-00001B000000}"/>
            </a:ext>
          </a:extLst>
        </xdr:cNvPr>
        <xdr:cNvSpPr/>
      </xdr:nvSpPr>
      <xdr:spPr>
        <a:xfrm>
          <a:off x="1301750" y="17538700"/>
          <a:ext cx="2628900" cy="437175"/>
        </a:xfrm>
        <a:prstGeom prst="roundRect">
          <a:avLst>
            <a:gd name="adj" fmla="val 2369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市場手数料などを除いた価額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5</xdr:col>
      <xdr:colOff>597086</xdr:colOff>
      <xdr:row>94</xdr:row>
      <xdr:rowOff>163983</xdr:rowOff>
    </xdr:from>
    <xdr:to>
      <xdr:col>5</xdr:col>
      <xdr:colOff>597086</xdr:colOff>
      <xdr:row>96</xdr:row>
      <xdr:rowOff>14438</xdr:rowOff>
    </xdr:to>
    <xdr:cxnSp macro="">
      <xdr:nvCxnSpPr>
        <xdr:cNvPr id="32" name="直線矢印コネクタ 31">
          <a:extLst>
            <a:ext uri="{FF2B5EF4-FFF2-40B4-BE49-F238E27FC236}">
              <a16:creationId xmlns:a16="http://schemas.microsoft.com/office/drawing/2014/main" id="{00000000-0008-0000-0300-000020000000}"/>
            </a:ext>
          </a:extLst>
        </xdr:cNvPr>
        <xdr:cNvCxnSpPr/>
      </xdr:nvCxnSpPr>
      <xdr:spPr>
        <a:xfrm rot="10800000" flipV="1">
          <a:off x="5861236" y="24141583"/>
          <a:ext cx="0" cy="231455"/>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679450</xdr:colOff>
      <xdr:row>93</xdr:row>
      <xdr:rowOff>120650</xdr:rowOff>
    </xdr:from>
    <xdr:to>
      <xdr:col>6</xdr:col>
      <xdr:colOff>430850</xdr:colOff>
      <xdr:row>95</xdr:row>
      <xdr:rowOff>7106</xdr:rowOff>
    </xdr:to>
    <xdr:sp macro="" textlink="">
      <xdr:nvSpPr>
        <xdr:cNvPr id="33" name="角丸四角形吹き出し 2">
          <a:extLst>
            <a:ext uri="{FF2B5EF4-FFF2-40B4-BE49-F238E27FC236}">
              <a16:creationId xmlns:a16="http://schemas.microsoft.com/office/drawing/2014/main" id="{00000000-0008-0000-0300-000021000000}"/>
            </a:ext>
          </a:extLst>
        </xdr:cNvPr>
        <xdr:cNvSpPr/>
      </xdr:nvSpPr>
      <xdr:spPr>
        <a:xfrm>
          <a:off x="4673600" y="23907750"/>
          <a:ext cx="2291400" cy="267456"/>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小数点以下第１位まで入力してください。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12700</xdr:colOff>
      <xdr:row>137</xdr:row>
      <xdr:rowOff>139700</xdr:rowOff>
    </xdr:from>
    <xdr:to>
      <xdr:col>4</xdr:col>
      <xdr:colOff>641350</xdr:colOff>
      <xdr:row>138</xdr:row>
      <xdr:rowOff>323850</xdr:rowOff>
    </xdr:to>
    <xdr:cxnSp macro="">
      <xdr:nvCxnSpPr>
        <xdr:cNvPr id="35" name="コネクタ: カギ線 34">
          <a:extLst>
            <a:ext uri="{FF2B5EF4-FFF2-40B4-BE49-F238E27FC236}">
              <a16:creationId xmlns:a16="http://schemas.microsoft.com/office/drawing/2014/main" id="{00000000-0008-0000-0300-000023000000}"/>
            </a:ext>
          </a:extLst>
        </xdr:cNvPr>
        <xdr:cNvCxnSpPr/>
      </xdr:nvCxnSpPr>
      <xdr:spPr>
        <a:xfrm>
          <a:off x="2736850" y="36334700"/>
          <a:ext cx="1898650" cy="527050"/>
        </a:xfrm>
        <a:prstGeom prst="bentConnector3">
          <a:avLst>
            <a:gd name="adj1" fmla="val 99833"/>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1123950</xdr:colOff>
      <xdr:row>144</xdr:row>
      <xdr:rowOff>38942</xdr:rowOff>
    </xdr:from>
    <xdr:to>
      <xdr:col>5</xdr:col>
      <xdr:colOff>114300</xdr:colOff>
      <xdr:row>146</xdr:row>
      <xdr:rowOff>18025</xdr:rowOff>
    </xdr:to>
    <xdr:sp macro="" textlink="">
      <xdr:nvSpPr>
        <xdr:cNvPr id="41" name="角丸四角形吹き出し 2">
          <a:extLst>
            <a:ext uri="{FF2B5EF4-FFF2-40B4-BE49-F238E27FC236}">
              <a16:creationId xmlns:a16="http://schemas.microsoft.com/office/drawing/2014/main" id="{00000000-0008-0000-0300-000029000000}"/>
            </a:ext>
          </a:extLst>
        </xdr:cNvPr>
        <xdr:cNvSpPr/>
      </xdr:nvSpPr>
      <xdr:spPr>
        <a:xfrm>
          <a:off x="3848100" y="38634242"/>
          <a:ext cx="1530350" cy="664883"/>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平均的な月齢を、小数点以下第１位まで入力してください。</a:t>
          </a:r>
        </a:p>
      </xdr:txBody>
    </xdr:sp>
    <xdr:clientData/>
  </xdr:twoCellAnchor>
  <xdr:twoCellAnchor>
    <xdr:from>
      <xdr:col>4</xdr:col>
      <xdr:colOff>627154</xdr:colOff>
      <xdr:row>143</xdr:row>
      <xdr:rowOff>63500</xdr:rowOff>
    </xdr:from>
    <xdr:to>
      <xdr:col>4</xdr:col>
      <xdr:colOff>627154</xdr:colOff>
      <xdr:row>144</xdr:row>
      <xdr:rowOff>35262</xdr:rowOff>
    </xdr:to>
    <xdr:cxnSp macro="">
      <xdr:nvCxnSpPr>
        <xdr:cNvPr id="42" name="直線矢印コネクタ 41">
          <a:extLst>
            <a:ext uri="{FF2B5EF4-FFF2-40B4-BE49-F238E27FC236}">
              <a16:creationId xmlns:a16="http://schemas.microsoft.com/office/drawing/2014/main" id="{00000000-0008-0000-0300-00002A000000}"/>
            </a:ext>
          </a:extLst>
        </xdr:cNvPr>
        <xdr:cNvCxnSpPr/>
      </xdr:nvCxnSpPr>
      <xdr:spPr>
        <a:xfrm flipV="1">
          <a:off x="4621304" y="38315900"/>
          <a:ext cx="0" cy="314662"/>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240664</xdr:colOff>
      <xdr:row>140</xdr:row>
      <xdr:rowOff>51595</xdr:rowOff>
    </xdr:from>
    <xdr:to>
      <xdr:col>5</xdr:col>
      <xdr:colOff>508000</xdr:colOff>
      <xdr:row>140</xdr:row>
      <xdr:rowOff>304801</xdr:rowOff>
    </xdr:to>
    <xdr:sp macro="" textlink="">
      <xdr:nvSpPr>
        <xdr:cNvPr id="4" name="角丸四角形 2">
          <a:extLst>
            <a:ext uri="{FF2B5EF4-FFF2-40B4-BE49-F238E27FC236}">
              <a16:creationId xmlns:a16="http://schemas.microsoft.com/office/drawing/2014/main" id="{00000000-0008-0000-04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72</xdr:row>
      <xdr:rowOff>182382</xdr:rowOff>
    </xdr:from>
    <xdr:to>
      <xdr:col>6</xdr:col>
      <xdr:colOff>433847</xdr:colOff>
      <xdr:row>72</xdr:row>
      <xdr:rowOff>182382</xdr:rowOff>
    </xdr:to>
    <xdr:cxnSp macro="">
      <xdr:nvCxnSpPr>
        <xdr:cNvPr id="5" name="直線矢印コネクタ 4">
          <a:extLst>
            <a:ext uri="{FF2B5EF4-FFF2-40B4-BE49-F238E27FC236}">
              <a16:creationId xmlns:a16="http://schemas.microsoft.com/office/drawing/2014/main" id="{00000000-0008-0000-04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64</xdr:row>
      <xdr:rowOff>166688</xdr:rowOff>
    </xdr:from>
    <xdr:to>
      <xdr:col>7</xdr:col>
      <xdr:colOff>135180</xdr:colOff>
      <xdr:row>64</xdr:row>
      <xdr:rowOff>166688</xdr:rowOff>
    </xdr:to>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830900</xdr:colOff>
      <xdr:row>64</xdr:row>
      <xdr:rowOff>52125</xdr:rowOff>
    </xdr:from>
    <xdr:to>
      <xdr:col>9</xdr:col>
      <xdr:colOff>518160</xdr:colOff>
      <xdr:row>67</xdr:row>
      <xdr:rowOff>103717</xdr:rowOff>
    </xdr:to>
    <xdr:sp macro="" textlink="">
      <xdr:nvSpPr>
        <xdr:cNvPr id="7" name="角丸四角形 10">
          <a:extLst>
            <a:ext uri="{FF2B5EF4-FFF2-40B4-BE49-F238E27FC236}">
              <a16:creationId xmlns:a16="http://schemas.microsoft.com/office/drawing/2014/main" id="{00000000-0008-0000-0400-000007000000}"/>
            </a:ext>
          </a:extLst>
        </xdr:cNvPr>
        <xdr:cNvSpPr/>
      </xdr:nvSpPr>
      <xdr:spPr>
        <a:xfrm>
          <a:off x="5159060" y="15983005"/>
          <a:ext cx="287750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65</xdr:row>
      <xdr:rowOff>202405</xdr:rowOff>
    </xdr:from>
    <xdr:to>
      <xdr:col>6</xdr:col>
      <xdr:colOff>432000</xdr:colOff>
      <xdr:row>65</xdr:row>
      <xdr:rowOff>202405</xdr:rowOff>
    </xdr:to>
    <xdr:cxnSp macro="">
      <xdr:nvCxnSpPr>
        <xdr:cNvPr id="8" name="直線矢印コネクタ 7">
          <a:extLst>
            <a:ext uri="{FF2B5EF4-FFF2-40B4-BE49-F238E27FC236}">
              <a16:creationId xmlns:a16="http://schemas.microsoft.com/office/drawing/2014/main" id="{00000000-0008-0000-04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65</xdr:row>
      <xdr:rowOff>200718</xdr:rowOff>
    </xdr:from>
    <xdr:to>
      <xdr:col>6</xdr:col>
      <xdr:colOff>418406</xdr:colOff>
      <xdr:row>72</xdr:row>
      <xdr:rowOff>159750</xdr:rowOff>
    </xdr:to>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422274</xdr:colOff>
      <xdr:row>153</xdr:row>
      <xdr:rowOff>323850</xdr:rowOff>
    </xdr:from>
    <xdr:to>
      <xdr:col>5</xdr:col>
      <xdr:colOff>422274</xdr:colOff>
      <xdr:row>155</xdr:row>
      <xdr:rowOff>97499</xdr:rowOff>
    </xdr:to>
    <xdr:cxnSp macro="">
      <xdr:nvCxnSpPr>
        <xdr:cNvPr id="22" name="直線矢印コネクタ 21">
          <a:extLst>
            <a:ext uri="{FF2B5EF4-FFF2-40B4-BE49-F238E27FC236}">
              <a16:creationId xmlns:a16="http://schemas.microsoft.com/office/drawing/2014/main" id="{00000000-0008-0000-0400-000016000000}"/>
            </a:ext>
          </a:extLst>
        </xdr:cNvPr>
        <xdr:cNvCxnSpPr/>
      </xdr:nvCxnSpPr>
      <xdr:spPr>
        <a:xfrm flipV="1">
          <a:off x="1260474" y="16649700"/>
          <a:ext cx="0" cy="27847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1185333</xdr:colOff>
      <xdr:row>155</xdr:row>
      <xdr:rowOff>74613</xdr:rowOff>
    </xdr:from>
    <xdr:to>
      <xdr:col>9</xdr:col>
      <xdr:colOff>372534</xdr:colOff>
      <xdr:row>159</xdr:row>
      <xdr:rowOff>42863</xdr:rowOff>
    </xdr:to>
    <xdr:sp macro="" textlink="">
      <xdr:nvSpPr>
        <xdr:cNvPr id="23" name="角丸四角形 19">
          <a:extLst>
            <a:ext uri="{FF2B5EF4-FFF2-40B4-BE49-F238E27FC236}">
              <a16:creationId xmlns:a16="http://schemas.microsoft.com/office/drawing/2014/main" id="{00000000-0008-0000-0400-000017000000}"/>
            </a:ext>
          </a:extLst>
        </xdr:cNvPr>
        <xdr:cNvSpPr/>
      </xdr:nvSpPr>
      <xdr:spPr>
        <a:xfrm>
          <a:off x="1051983" y="16905288"/>
          <a:ext cx="1044576" cy="6921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・調査対象畜以外の支払い分を含めて入力する場合には、飼養する全頭数に占める調査対象畜の頭数割合を目安に入力してください。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629444</xdr:colOff>
      <xdr:row>172</xdr:row>
      <xdr:rowOff>12700</xdr:rowOff>
    </xdr:from>
    <xdr:to>
      <xdr:col>5</xdr:col>
      <xdr:colOff>629444</xdr:colOff>
      <xdr:row>173</xdr:row>
      <xdr:rowOff>161924</xdr:rowOff>
    </xdr:to>
    <xdr:cxnSp macro="">
      <xdr:nvCxnSpPr>
        <xdr:cNvPr id="24" name="カギ線コネクタ 12">
          <a:extLst>
            <a:ext uri="{FF2B5EF4-FFF2-40B4-BE49-F238E27FC236}">
              <a16:creationId xmlns:a16="http://schemas.microsoft.com/office/drawing/2014/main" id="{00000000-0008-0000-0400-000018000000}"/>
            </a:ext>
          </a:extLst>
        </xdr:cNvPr>
        <xdr:cNvCxnSpPr/>
      </xdr:nvCxnSpPr>
      <xdr:spPr>
        <a:xfrm rot="16200000" flipV="1">
          <a:off x="3583782" y="39362062"/>
          <a:ext cx="339724"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927100</xdr:colOff>
      <xdr:row>173</xdr:row>
      <xdr:rowOff>7145</xdr:rowOff>
    </xdr:from>
    <xdr:to>
      <xdr:col>9</xdr:col>
      <xdr:colOff>190500</xdr:colOff>
      <xdr:row>175</xdr:row>
      <xdr:rowOff>177801</xdr:rowOff>
    </xdr:to>
    <xdr:sp macro="" textlink="">
      <xdr:nvSpPr>
        <xdr:cNvPr id="25" name="角丸四角形 15">
          <a:extLst>
            <a:ext uri="{FF2B5EF4-FFF2-40B4-BE49-F238E27FC236}">
              <a16:creationId xmlns:a16="http://schemas.microsoft.com/office/drawing/2014/main" id="{00000000-0008-0000-0400-000019000000}"/>
            </a:ext>
          </a:extLst>
        </xdr:cNvPr>
        <xdr:cNvSpPr/>
      </xdr:nvSpPr>
      <xdr:spPr>
        <a:xfrm>
          <a:off x="1498600" y="39377145"/>
          <a:ext cx="6350000" cy="55165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・調査対象畜以外の支払い分を含めて入力する場合には、それぞれの利用割合により負担割合を入力してください。</a:t>
          </a:r>
        </a:p>
      </xdr:txBody>
    </xdr:sp>
    <xdr:clientData/>
  </xdr:twoCellAnchor>
  <xdr:twoCellAnchor>
    <xdr:from>
      <xdr:col>7</xdr:col>
      <xdr:colOff>682625</xdr:colOff>
      <xdr:row>179</xdr:row>
      <xdr:rowOff>63500</xdr:rowOff>
    </xdr:from>
    <xdr:to>
      <xdr:col>7</xdr:col>
      <xdr:colOff>682625</xdr:colOff>
      <xdr:row>185</xdr:row>
      <xdr:rowOff>13924</xdr:rowOff>
    </xdr:to>
    <xdr:cxnSp macro="">
      <xdr:nvCxnSpPr>
        <xdr:cNvPr id="26" name="直線矢印コネクタ 25">
          <a:extLst>
            <a:ext uri="{FF2B5EF4-FFF2-40B4-BE49-F238E27FC236}">
              <a16:creationId xmlns:a16="http://schemas.microsoft.com/office/drawing/2014/main" id="{00000000-0008-0000-0400-00001A000000}"/>
            </a:ext>
          </a:extLst>
        </xdr:cNvPr>
        <xdr:cNvCxnSpPr/>
      </xdr:nvCxnSpPr>
      <xdr:spPr>
        <a:xfrm flipV="1">
          <a:off x="6359525" y="407543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676276</xdr:colOff>
      <xdr:row>257</xdr:row>
      <xdr:rowOff>318374</xdr:rowOff>
    </xdr:from>
    <xdr:to>
      <xdr:col>3</xdr:col>
      <xdr:colOff>676276</xdr:colOff>
      <xdr:row>259</xdr:row>
      <xdr:rowOff>34924</xdr:rowOff>
    </xdr:to>
    <xdr:cxnSp macro="">
      <xdr:nvCxnSpPr>
        <xdr:cNvPr id="27" name="カギ線コネクタ 13">
          <a:extLst>
            <a:ext uri="{FF2B5EF4-FFF2-40B4-BE49-F238E27FC236}">
              <a16:creationId xmlns:a16="http://schemas.microsoft.com/office/drawing/2014/main" id="{00000000-0008-0000-0400-00001B000000}"/>
            </a:ext>
          </a:extLst>
        </xdr:cNvPr>
        <xdr:cNvCxnSpPr/>
      </xdr:nvCxnSpPr>
      <xdr:spPr>
        <a:xfrm rot="16200000" flipV="1">
          <a:off x="732276" y="27256224"/>
          <a:ext cx="21185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133349</xdr:colOff>
      <xdr:row>258</xdr:row>
      <xdr:rowOff>211669</xdr:rowOff>
    </xdr:from>
    <xdr:to>
      <xdr:col>5</xdr:col>
      <xdr:colOff>321734</xdr:colOff>
      <xdr:row>259</xdr:row>
      <xdr:rowOff>279400</xdr:rowOff>
    </xdr:to>
    <xdr:sp macro="" textlink="">
      <xdr:nvSpPr>
        <xdr:cNvPr id="28" name="角丸四角形 14">
          <a:extLst>
            <a:ext uri="{FF2B5EF4-FFF2-40B4-BE49-F238E27FC236}">
              <a16:creationId xmlns:a16="http://schemas.microsoft.com/office/drawing/2014/main" id="{00000000-0008-0000-0400-00001C000000}"/>
            </a:ext>
          </a:extLst>
        </xdr:cNvPr>
        <xdr:cNvSpPr/>
      </xdr:nvSpPr>
      <xdr:spPr>
        <a:xfrm>
          <a:off x="328082" y="48844202"/>
          <a:ext cx="3117852" cy="414865"/>
        </a:xfrm>
        <a:prstGeom prst="roundRect">
          <a:avLst>
            <a:gd name="adj" fmla="val 10787"/>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p>
      </xdr:txBody>
    </xdr:sp>
    <xdr:clientData/>
  </xdr:twoCellAnchor>
  <xdr:twoCellAnchor>
    <xdr:from>
      <xdr:col>6</xdr:col>
      <xdr:colOff>1155700</xdr:colOff>
      <xdr:row>178</xdr:row>
      <xdr:rowOff>107950</xdr:rowOff>
    </xdr:from>
    <xdr:to>
      <xdr:col>10</xdr:col>
      <xdr:colOff>81279</xdr:colOff>
      <xdr:row>183</xdr:row>
      <xdr:rowOff>146050</xdr:rowOff>
    </xdr:to>
    <xdr:sp macro="" textlink="">
      <xdr:nvSpPr>
        <xdr:cNvPr id="29" name="角丸四角形 30">
          <a:extLst>
            <a:ext uri="{FF2B5EF4-FFF2-40B4-BE49-F238E27FC236}">
              <a16:creationId xmlns:a16="http://schemas.microsoft.com/office/drawing/2014/main" id="{00000000-0008-0000-0400-00001D000000}"/>
            </a:ext>
          </a:extLst>
        </xdr:cNvPr>
        <xdr:cNvSpPr/>
      </xdr:nvSpPr>
      <xdr:spPr>
        <a:xfrm>
          <a:off x="5483860" y="43694350"/>
          <a:ext cx="2806699" cy="1003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・調査対象畜以外の支払い分含めて入力する場合には、それぞれの使用割合により負担割合を入力してください。</a:t>
          </a:r>
        </a:p>
      </xdr:txBody>
    </xdr:sp>
    <xdr:clientData/>
  </xdr:twoCellAnchor>
  <xdr:twoCellAnchor>
    <xdr:from>
      <xdr:col>6</xdr:col>
      <xdr:colOff>1261533</xdr:colOff>
      <xdr:row>94</xdr:row>
      <xdr:rowOff>8467</xdr:rowOff>
    </xdr:from>
    <xdr:to>
      <xdr:col>8</xdr:col>
      <xdr:colOff>117627</xdr:colOff>
      <xdr:row>94</xdr:row>
      <xdr:rowOff>8467</xdr:rowOff>
    </xdr:to>
    <xdr:cxnSp macro="">
      <xdr:nvCxnSpPr>
        <xdr:cNvPr id="39" name="直線矢印コネクタ 38">
          <a:extLst>
            <a:ext uri="{FF2B5EF4-FFF2-40B4-BE49-F238E27FC236}">
              <a16:creationId xmlns:a16="http://schemas.microsoft.com/office/drawing/2014/main" id="{00000000-0008-0000-0400-000027000000}"/>
            </a:ext>
          </a:extLst>
        </xdr:cNvPr>
        <xdr:cNvCxnSpPr/>
      </xdr:nvCxnSpPr>
      <xdr:spPr>
        <a:xfrm rot="5400000" flipV="1">
          <a:off x="1632555" y="7447945"/>
          <a:ext cx="0" cy="3229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507843</xdr:colOff>
      <xdr:row>92</xdr:row>
      <xdr:rowOff>165099</xdr:rowOff>
    </xdr:from>
    <xdr:to>
      <xdr:col>9</xdr:col>
      <xdr:colOff>644525</xdr:colOff>
      <xdr:row>97</xdr:row>
      <xdr:rowOff>209550</xdr:rowOff>
    </xdr:to>
    <xdr:sp macro="" textlink="">
      <xdr:nvSpPr>
        <xdr:cNvPr id="40" name="角丸四角形 10">
          <a:extLst>
            <a:ext uri="{FF2B5EF4-FFF2-40B4-BE49-F238E27FC236}">
              <a16:creationId xmlns:a16="http://schemas.microsoft.com/office/drawing/2014/main" id="{00000000-0008-0000-0400-000028000000}"/>
            </a:ext>
          </a:extLst>
        </xdr:cNvPr>
        <xdr:cNvSpPr/>
      </xdr:nvSpPr>
      <xdr:spPr>
        <a:xfrm>
          <a:off x="6743543" y="26936699"/>
          <a:ext cx="2308382" cy="1606551"/>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16404</xdr:colOff>
      <xdr:row>114</xdr:row>
      <xdr:rowOff>12700</xdr:rowOff>
    </xdr:from>
    <xdr:to>
      <xdr:col>7</xdr:col>
      <xdr:colOff>142499</xdr:colOff>
      <xdr:row>114</xdr:row>
      <xdr:rowOff>12700</xdr:rowOff>
    </xdr:to>
    <xdr:cxnSp macro="">
      <xdr:nvCxnSpPr>
        <xdr:cNvPr id="41" name="直線矢印コネクタ 40">
          <a:extLst>
            <a:ext uri="{FF2B5EF4-FFF2-40B4-BE49-F238E27FC236}">
              <a16:creationId xmlns:a16="http://schemas.microsoft.com/office/drawing/2014/main" id="{00000000-0008-0000-0400-000029000000}"/>
            </a:ext>
          </a:extLst>
        </xdr:cNvPr>
        <xdr:cNvCxnSpPr/>
      </xdr:nvCxnSpPr>
      <xdr:spPr>
        <a:xfrm rot="5400000" flipV="1">
          <a:off x="5123733" y="23654997"/>
          <a:ext cx="0" cy="1404032"/>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484187</xdr:colOff>
      <xdr:row>6</xdr:row>
      <xdr:rowOff>166688</xdr:rowOff>
    </xdr:from>
    <xdr:to>
      <xdr:col>8</xdr:col>
      <xdr:colOff>492125</xdr:colOff>
      <xdr:row>9</xdr:row>
      <xdr:rowOff>182563</xdr:rowOff>
    </xdr:to>
    <xdr:cxnSp macro="">
      <xdr:nvCxnSpPr>
        <xdr:cNvPr id="61" name="直線矢印コネクタ 60">
          <a:extLst>
            <a:ext uri="{FF2B5EF4-FFF2-40B4-BE49-F238E27FC236}">
              <a16:creationId xmlns:a16="http://schemas.microsoft.com/office/drawing/2014/main" id="{00000000-0008-0000-0400-00003D000000}"/>
            </a:ext>
          </a:extLst>
        </xdr:cNvPr>
        <xdr:cNvCxnSpPr/>
      </xdr:nvCxnSpPr>
      <xdr:spPr>
        <a:xfrm flipV="1">
          <a:off x="6904037" y="1500188"/>
          <a:ext cx="7938" cy="5873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690558</xdr:colOff>
      <xdr:row>2</xdr:row>
      <xdr:rowOff>79374</xdr:rowOff>
    </xdr:from>
    <xdr:to>
      <xdr:col>10</xdr:col>
      <xdr:colOff>32221</xdr:colOff>
      <xdr:row>8</xdr:row>
      <xdr:rowOff>95250</xdr:rowOff>
    </xdr:to>
    <xdr:sp macro="" textlink="">
      <xdr:nvSpPr>
        <xdr:cNvPr id="62" name="角丸四角形 36">
          <a:extLst>
            <a:ext uri="{FF2B5EF4-FFF2-40B4-BE49-F238E27FC236}">
              <a16:creationId xmlns:a16="http://schemas.microsoft.com/office/drawing/2014/main" id="{00000000-0008-0000-0400-00003E000000}"/>
            </a:ext>
          </a:extLst>
        </xdr:cNvPr>
        <xdr:cNvSpPr/>
      </xdr:nvSpPr>
      <xdr:spPr bwMode="auto">
        <a:xfrm>
          <a:off x="3817933" y="587374"/>
          <a:ext cx="4580413" cy="12858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364012</xdr:colOff>
      <xdr:row>6</xdr:row>
      <xdr:rowOff>25718</xdr:rowOff>
    </xdr:from>
    <xdr:to>
      <xdr:col>9</xdr:col>
      <xdr:colOff>633727</xdr:colOff>
      <xdr:row>8</xdr:row>
      <xdr:rowOff>110055</xdr:rowOff>
    </xdr:to>
    <xdr:grpSp>
      <xdr:nvGrpSpPr>
        <xdr:cNvPr id="63" name="グループ化 62">
          <a:extLst>
            <a:ext uri="{FF2B5EF4-FFF2-40B4-BE49-F238E27FC236}">
              <a16:creationId xmlns:a16="http://schemas.microsoft.com/office/drawing/2014/main" id="{00000000-0008-0000-0400-00003F000000}"/>
            </a:ext>
          </a:extLst>
        </xdr:cNvPr>
        <xdr:cNvGrpSpPr/>
      </xdr:nvGrpSpPr>
      <xdr:grpSpPr>
        <a:xfrm>
          <a:off x="3771845" y="1380385"/>
          <a:ext cx="5201549" cy="465337"/>
          <a:chOff x="4623453" y="1116265"/>
          <a:chExt cx="2513973" cy="432000"/>
        </a:xfrm>
      </xdr:grpSpPr>
      <xdr:grpSp>
        <xdr:nvGrpSpPr>
          <xdr:cNvPr id="64" name="グループ化 63">
            <a:extLst>
              <a:ext uri="{FF2B5EF4-FFF2-40B4-BE49-F238E27FC236}">
                <a16:creationId xmlns:a16="http://schemas.microsoft.com/office/drawing/2014/main" id="{00000000-0008-0000-0400-000040000000}"/>
              </a:ext>
            </a:extLst>
          </xdr:cNvPr>
          <xdr:cNvGrpSpPr/>
        </xdr:nvGrpSpPr>
        <xdr:grpSpPr>
          <a:xfrm>
            <a:off x="4623453" y="1116265"/>
            <a:ext cx="2276822" cy="432000"/>
            <a:chOff x="14500878" y="2659315"/>
            <a:chExt cx="2276822" cy="432000"/>
          </a:xfrm>
        </xdr:grpSpPr>
        <xdr:sp macro="" textlink="">
          <xdr:nvSpPr>
            <xdr:cNvPr id="66" name="テキスト ボックス 65">
              <a:extLst>
                <a:ext uri="{FF2B5EF4-FFF2-40B4-BE49-F238E27FC236}">
                  <a16:creationId xmlns:a16="http://schemas.microsoft.com/office/drawing/2014/main" id="{00000000-0008-0000-0400-000042000000}"/>
                </a:ext>
              </a:extLst>
            </xdr:cNvPr>
            <xdr:cNvSpPr txBox="1"/>
          </xdr:nvSpPr>
          <xdr:spPr bwMode="auto">
            <a:xfrm>
              <a:off x="14500878" y="2759055"/>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67" name="テキスト ボックス 66">
              <a:extLst>
                <a:ext uri="{FF2B5EF4-FFF2-40B4-BE49-F238E27FC236}">
                  <a16:creationId xmlns:a16="http://schemas.microsoft.com/office/drawing/2014/main" id="{00000000-0008-0000-0400-000043000000}"/>
                </a:ext>
              </a:extLst>
            </xdr:cNvPr>
            <xdr:cNvSpPr txBox="1"/>
          </xdr:nvSpPr>
          <xdr:spPr bwMode="auto">
            <a:xfrm>
              <a:off x="15599992" y="2659315"/>
              <a:ext cx="1177708"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65" name="テキスト ボックス 64">
            <a:extLst>
              <a:ext uri="{FF2B5EF4-FFF2-40B4-BE49-F238E27FC236}">
                <a16:creationId xmlns:a16="http://schemas.microsoft.com/office/drawing/2014/main" id="{00000000-0008-0000-0400-000041000000}"/>
              </a:ext>
            </a:extLst>
          </xdr:cNvPr>
          <xdr:cNvSpPr txBox="1"/>
        </xdr:nvSpPr>
        <xdr:spPr bwMode="auto">
          <a:xfrm>
            <a:off x="6705426" y="1200733"/>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6</xdr:col>
      <xdr:colOff>1031875</xdr:colOff>
      <xdr:row>115</xdr:row>
      <xdr:rowOff>71438</xdr:rowOff>
    </xdr:from>
    <xdr:to>
      <xdr:col>6</xdr:col>
      <xdr:colOff>1047750</xdr:colOff>
      <xdr:row>127</xdr:row>
      <xdr:rowOff>174625</xdr:rowOff>
    </xdr:to>
    <xdr:cxnSp macro="">
      <xdr:nvCxnSpPr>
        <xdr:cNvPr id="54" name="直線矢印コネクタ 53">
          <a:extLst>
            <a:ext uri="{FF2B5EF4-FFF2-40B4-BE49-F238E27FC236}">
              <a16:creationId xmlns:a16="http://schemas.microsoft.com/office/drawing/2014/main" id="{00000000-0008-0000-0400-000036000000}"/>
            </a:ext>
          </a:extLst>
        </xdr:cNvPr>
        <xdr:cNvCxnSpPr/>
      </xdr:nvCxnSpPr>
      <xdr:spPr>
        <a:xfrm flipH="1">
          <a:off x="5437188" y="24757063"/>
          <a:ext cx="15875" cy="364331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412750</xdr:colOff>
      <xdr:row>112</xdr:row>
      <xdr:rowOff>152399</xdr:rowOff>
    </xdr:from>
    <xdr:to>
      <xdr:col>8</xdr:col>
      <xdr:colOff>345440</xdr:colOff>
      <xdr:row>115</xdr:row>
      <xdr:rowOff>238125</xdr:rowOff>
    </xdr:to>
    <xdr:sp macro="" textlink="">
      <xdr:nvSpPr>
        <xdr:cNvPr id="43" name="角丸四角形 5">
          <a:extLst>
            <a:ext uri="{FF2B5EF4-FFF2-40B4-BE49-F238E27FC236}">
              <a16:creationId xmlns:a16="http://schemas.microsoft.com/office/drawing/2014/main" id="{00000000-0008-0000-0400-00002B000000}"/>
            </a:ext>
          </a:extLst>
        </xdr:cNvPr>
        <xdr:cNvSpPr/>
      </xdr:nvSpPr>
      <xdr:spPr>
        <a:xfrm>
          <a:off x="4740910" y="26974799"/>
          <a:ext cx="2432050" cy="969646"/>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・調査対象畜以外の使用分を含めて入力する場合には、それぞれの使用割合により負担割を入力してください。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581025</xdr:colOff>
          <xdr:row>176</xdr:row>
          <xdr:rowOff>276225</xdr:rowOff>
        </xdr:from>
        <xdr:to>
          <xdr:col>4</xdr:col>
          <xdr:colOff>1343025</xdr:colOff>
          <xdr:row>178</xdr:row>
          <xdr:rowOff>142875</xdr:rowOff>
        </xdr:to>
        <xdr:sp macro="" textlink="">
          <xdr:nvSpPr>
            <xdr:cNvPr id="4097" name="Label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628650</xdr:colOff>
          <xdr:row>177</xdr:row>
          <xdr:rowOff>85725</xdr:rowOff>
        </xdr:from>
        <xdr:to>
          <xdr:col>4</xdr:col>
          <xdr:colOff>1295400</xdr:colOff>
          <xdr:row>178</xdr:row>
          <xdr:rowOff>0</xdr:rowOff>
        </xdr:to>
        <xdr:sp macro="" textlink="">
          <xdr:nvSpPr>
            <xdr:cNvPr id="4098" name="Label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176</xdr:row>
          <xdr:rowOff>276225</xdr:rowOff>
        </xdr:from>
        <xdr:to>
          <xdr:col>5</xdr:col>
          <xdr:colOff>552450</xdr:colOff>
          <xdr:row>177</xdr:row>
          <xdr:rowOff>171450</xdr:rowOff>
        </xdr:to>
        <xdr:sp macro="" textlink="">
          <xdr:nvSpPr>
            <xdr:cNvPr id="4099" name="Label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177</xdr:row>
          <xdr:rowOff>171450</xdr:rowOff>
        </xdr:from>
        <xdr:to>
          <xdr:col>5</xdr:col>
          <xdr:colOff>552450</xdr:colOff>
          <xdr:row>178</xdr:row>
          <xdr:rowOff>142875</xdr:rowOff>
        </xdr:to>
        <xdr:sp macro="" textlink="">
          <xdr:nvSpPr>
            <xdr:cNvPr id="4100" name="txt_kounyu"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176</xdr:row>
          <xdr:rowOff>276225</xdr:rowOff>
        </xdr:from>
        <xdr:to>
          <xdr:col>5</xdr:col>
          <xdr:colOff>1085850</xdr:colOff>
          <xdr:row>177</xdr:row>
          <xdr:rowOff>171450</xdr:rowOff>
        </xdr:to>
        <xdr:sp macro="" textlink="">
          <xdr:nvSpPr>
            <xdr:cNvPr id="4101" name="Label4"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177</xdr:row>
          <xdr:rowOff>171450</xdr:rowOff>
        </xdr:from>
        <xdr:to>
          <xdr:col>5</xdr:col>
          <xdr:colOff>1085850</xdr:colOff>
          <xdr:row>178</xdr:row>
          <xdr:rowOff>142875</xdr:rowOff>
        </xdr:to>
        <xdr:sp macro="" textlink="">
          <xdr:nvSpPr>
            <xdr:cNvPr id="4102" name="txt_jikyu"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1085850</xdr:colOff>
          <xdr:row>176</xdr:row>
          <xdr:rowOff>276225</xdr:rowOff>
        </xdr:from>
        <xdr:to>
          <xdr:col>6</xdr:col>
          <xdr:colOff>952500</xdr:colOff>
          <xdr:row>178</xdr:row>
          <xdr:rowOff>142875</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13188</xdr:colOff>
      <xdr:row>9</xdr:row>
      <xdr:rowOff>339238</xdr:rowOff>
    </xdr:from>
    <xdr:to>
      <xdr:col>7</xdr:col>
      <xdr:colOff>7937</xdr:colOff>
      <xdr:row>9</xdr:row>
      <xdr:rowOff>339238</xdr:rowOff>
    </xdr:to>
    <xdr:cxnSp macro="">
      <xdr:nvCxnSpPr>
        <xdr:cNvPr id="2" name="直線矢印コネクタ 1">
          <a:extLst>
            <a:ext uri="{FF2B5EF4-FFF2-40B4-BE49-F238E27FC236}">
              <a16:creationId xmlns:a16="http://schemas.microsoft.com/office/drawing/2014/main" id="{00000000-0008-0000-0500-000002000000}"/>
            </a:ext>
          </a:extLst>
        </xdr:cNvPr>
        <xdr:cNvCxnSpPr/>
      </xdr:nvCxnSpPr>
      <xdr:spPr>
        <a:xfrm>
          <a:off x="4426438" y="2244238"/>
          <a:ext cx="1272687"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752476</xdr:colOff>
      <xdr:row>9</xdr:row>
      <xdr:rowOff>7937</xdr:rowOff>
    </xdr:from>
    <xdr:to>
      <xdr:col>8</xdr:col>
      <xdr:colOff>666750</xdr:colOff>
      <xdr:row>17</xdr:row>
      <xdr:rowOff>341311</xdr:rowOff>
    </xdr:to>
    <xdr:sp macro="" textlink="">
      <xdr:nvSpPr>
        <xdr:cNvPr id="3" name="角丸四角形 7">
          <a:extLst>
            <a:ext uri="{FF2B5EF4-FFF2-40B4-BE49-F238E27FC236}">
              <a16:creationId xmlns:a16="http://schemas.microsoft.com/office/drawing/2014/main" id="{00000000-0008-0000-0500-000003000000}"/>
            </a:ext>
          </a:extLst>
        </xdr:cNvPr>
        <xdr:cNvSpPr/>
      </xdr:nvSpPr>
      <xdr:spPr bwMode="auto">
        <a:xfrm>
          <a:off x="5076826" y="1893887"/>
          <a:ext cx="2409824" cy="3086099"/>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力する場合には、次の割合を目安に調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査対象畜の負担割合を入力してくださ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50005</xdr:colOff>
      <xdr:row>35</xdr:row>
      <xdr:rowOff>67161</xdr:rowOff>
    </xdr:from>
    <xdr:to>
      <xdr:col>8</xdr:col>
      <xdr:colOff>1085850</xdr:colOff>
      <xdr:row>38</xdr:row>
      <xdr:rowOff>276225</xdr:rowOff>
    </xdr:to>
    <xdr:sp macro="" textlink="">
      <xdr:nvSpPr>
        <xdr:cNvPr id="4" name="角丸四角形 16">
          <a:extLst>
            <a:ext uri="{FF2B5EF4-FFF2-40B4-BE49-F238E27FC236}">
              <a16:creationId xmlns:a16="http://schemas.microsoft.com/office/drawing/2014/main" id="{00000000-0008-0000-0500-000004000000}"/>
            </a:ext>
          </a:extLst>
        </xdr:cNvPr>
        <xdr:cNvSpPr/>
      </xdr:nvSpPr>
      <xdr:spPr>
        <a:xfrm>
          <a:off x="230980" y="10163661"/>
          <a:ext cx="7674770" cy="1266339"/>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・調査対象畜以外の支払分を含めて入力する場合には、次の割合を目安に調査対象畜の負担割合を入力してください。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6</xdr:col>
      <xdr:colOff>684212</xdr:colOff>
      <xdr:row>77</xdr:row>
      <xdr:rowOff>46718</xdr:rowOff>
    </xdr:from>
    <xdr:to>
      <xdr:col>6</xdr:col>
      <xdr:colOff>684212</xdr:colOff>
      <xdr:row>82</xdr:row>
      <xdr:rowOff>89468</xdr:rowOff>
    </xdr:to>
    <xdr:cxnSp macro="">
      <xdr:nvCxnSpPr>
        <xdr:cNvPr id="5" name="直線矢印コネクタ 4">
          <a:extLst>
            <a:ext uri="{FF2B5EF4-FFF2-40B4-BE49-F238E27FC236}">
              <a16:creationId xmlns:a16="http://schemas.microsoft.com/office/drawing/2014/main" id="{00000000-0008-0000-0500-000005000000}"/>
            </a:ext>
          </a:extLst>
        </xdr:cNvPr>
        <xdr:cNvCxnSpPr/>
      </xdr:nvCxnSpPr>
      <xdr:spPr>
        <a:xfrm>
          <a:off x="5097462" y="17493343"/>
          <a:ext cx="0" cy="1471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79</xdr:row>
      <xdr:rowOff>92866</xdr:rowOff>
    </xdr:from>
    <xdr:to>
      <xdr:col>7</xdr:col>
      <xdr:colOff>942975</xdr:colOff>
      <xdr:row>83</xdr:row>
      <xdr:rowOff>19049</xdr:rowOff>
    </xdr:to>
    <xdr:sp macro="" textlink="">
      <xdr:nvSpPr>
        <xdr:cNvPr id="6" name="角丸四角形 4">
          <a:extLst>
            <a:ext uri="{FF2B5EF4-FFF2-40B4-BE49-F238E27FC236}">
              <a16:creationId xmlns:a16="http://schemas.microsoft.com/office/drawing/2014/main" id="{00000000-0008-0000-0500-000006000000}"/>
            </a:ext>
          </a:extLst>
        </xdr:cNvPr>
        <xdr:cNvSpPr/>
      </xdr:nvSpPr>
      <xdr:spPr>
        <a:xfrm>
          <a:off x="200025" y="17942716"/>
          <a:ext cx="6315075" cy="133588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・調査対象畜以外の支払い分をまとめて入力する場合には、次のとおり農業収入全体に占める調査対象畜（養豚）の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423885</xdr:colOff>
      <xdr:row>80</xdr:row>
      <xdr:rowOff>338930</xdr:rowOff>
    </xdr:from>
    <xdr:to>
      <xdr:col>6</xdr:col>
      <xdr:colOff>927112</xdr:colOff>
      <xdr:row>83</xdr:row>
      <xdr:rowOff>72230</xdr:rowOff>
    </xdr:to>
    <xdr:grpSp>
      <xdr:nvGrpSpPr>
        <xdr:cNvPr id="7" name="グループ化 53">
          <a:extLst>
            <a:ext uri="{FF2B5EF4-FFF2-40B4-BE49-F238E27FC236}">
              <a16:creationId xmlns:a16="http://schemas.microsoft.com/office/drawing/2014/main" id="{00000000-0008-0000-0500-000007000000}"/>
            </a:ext>
          </a:extLst>
        </xdr:cNvPr>
        <xdr:cNvGrpSpPr>
          <a:grpSpLocks/>
        </xdr:cNvGrpSpPr>
      </xdr:nvGrpSpPr>
      <xdr:grpSpPr bwMode="auto">
        <a:xfrm>
          <a:off x="828698" y="18686461"/>
          <a:ext cx="4908539" cy="804863"/>
          <a:chOff x="4552950" y="1132819"/>
          <a:chExt cx="2688063" cy="432000"/>
        </a:xfrm>
      </xdr:grpSpPr>
      <xdr:grpSp>
        <xdr:nvGrpSpPr>
          <xdr:cNvPr id="8" name="グループ化 51">
            <a:extLst>
              <a:ext uri="{FF2B5EF4-FFF2-40B4-BE49-F238E27FC236}">
                <a16:creationId xmlns:a16="http://schemas.microsoft.com/office/drawing/2014/main" id="{00000000-0008-0000-05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調査対象畜（養豚）の収入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5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704850</xdr:colOff>
          <xdr:row>47</xdr:row>
          <xdr:rowOff>19050</xdr:rowOff>
        </xdr:from>
        <xdr:to>
          <xdr:col>7</xdr:col>
          <xdr:colOff>190500</xdr:colOff>
          <xdr:row>47</xdr:row>
          <xdr:rowOff>228600</xdr:rowOff>
        </xdr:to>
        <xdr:sp macro="" textlink="">
          <xdr:nvSpPr>
            <xdr:cNvPr id="5121" name="Label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47</xdr:row>
          <xdr:rowOff>228600</xdr:rowOff>
        </xdr:from>
        <xdr:to>
          <xdr:col>7</xdr:col>
          <xdr:colOff>190500</xdr:colOff>
          <xdr:row>49</xdr:row>
          <xdr:rowOff>0</xdr:rowOff>
        </xdr:to>
        <xdr:sp macro="" textlink="">
          <xdr:nvSpPr>
            <xdr:cNvPr id="5122" name="txt_hyouji"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47</xdr:row>
          <xdr:rowOff>19050</xdr:rowOff>
        </xdr:from>
        <xdr:to>
          <xdr:col>8</xdr:col>
          <xdr:colOff>219075</xdr:colOff>
          <xdr:row>49</xdr:row>
          <xdr:rowOff>0</xdr:rowOff>
        </xdr:to>
        <xdr:sp macro="" textlink="">
          <xdr:nvSpPr>
            <xdr:cNvPr id="5123" name="btnKoushin1"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180943</xdr:colOff>
      <xdr:row>7</xdr:row>
      <xdr:rowOff>38100</xdr:rowOff>
    </xdr:from>
    <xdr:to>
      <xdr:col>16</xdr:col>
      <xdr:colOff>180943</xdr:colOff>
      <xdr:row>8</xdr:row>
      <xdr:rowOff>145125</xdr:rowOff>
    </xdr:to>
    <xdr:cxnSp macro="">
      <xdr:nvCxnSpPr>
        <xdr:cNvPr id="13" name="直線矢印コネクタ 12">
          <a:extLst>
            <a:ext uri="{FF2B5EF4-FFF2-40B4-BE49-F238E27FC236}">
              <a16:creationId xmlns:a16="http://schemas.microsoft.com/office/drawing/2014/main" id="{00000000-0008-0000-0700-00000D000000}"/>
            </a:ext>
          </a:extLst>
        </xdr:cNvPr>
        <xdr:cNvCxnSpPr/>
      </xdr:nvCxnSpPr>
      <xdr:spPr>
        <a:xfrm flipV="1">
          <a:off x="6188043" y="128270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12</xdr:row>
      <xdr:rowOff>134470</xdr:rowOff>
    </xdr:from>
    <xdr:to>
      <xdr:col>21</xdr:col>
      <xdr:colOff>1419225</xdr:colOff>
      <xdr:row>15</xdr:row>
      <xdr:rowOff>59545</xdr:rowOff>
    </xdr:to>
    <xdr:sp macro="" textlink="">
      <xdr:nvSpPr>
        <xdr:cNvPr id="14" name="大かっこ 13">
          <a:extLst>
            <a:ext uri="{FF2B5EF4-FFF2-40B4-BE49-F238E27FC236}">
              <a16:creationId xmlns:a16="http://schemas.microsoft.com/office/drawing/2014/main" id="{00000000-0008-0000-0700-00000E000000}"/>
            </a:ext>
          </a:extLst>
        </xdr:cNvPr>
        <xdr:cNvSpPr/>
      </xdr:nvSpPr>
      <xdr:spPr>
        <a:xfrm>
          <a:off x="10445563" y="2285999"/>
          <a:ext cx="1390650" cy="46295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38100</xdr:colOff>
      <xdr:row>12</xdr:row>
      <xdr:rowOff>112395</xdr:rowOff>
    </xdr:from>
    <xdr:to>
      <xdr:col>22</xdr:col>
      <xdr:colOff>1242060</xdr:colOff>
      <xdr:row>15</xdr:row>
      <xdr:rowOff>109470</xdr:rowOff>
    </xdr:to>
    <xdr:sp macro="" textlink="">
      <xdr:nvSpPr>
        <xdr:cNvPr id="15" name="大かっこ 14">
          <a:extLst>
            <a:ext uri="{FF2B5EF4-FFF2-40B4-BE49-F238E27FC236}">
              <a16:creationId xmlns:a16="http://schemas.microsoft.com/office/drawing/2014/main" id="{00000000-0008-0000-0700-00000F000000}"/>
            </a:ext>
          </a:extLst>
        </xdr:cNvPr>
        <xdr:cNvSpPr/>
      </xdr:nvSpPr>
      <xdr:spPr>
        <a:xfrm>
          <a:off x="12128500" y="2245995"/>
          <a:ext cx="1203960" cy="530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28575</xdr:colOff>
      <xdr:row>12</xdr:row>
      <xdr:rowOff>138116</xdr:rowOff>
    </xdr:from>
    <xdr:to>
      <xdr:col>19</xdr:col>
      <xdr:colOff>1609725</xdr:colOff>
      <xdr:row>15</xdr:row>
      <xdr:rowOff>63191</xdr:rowOff>
    </xdr:to>
    <xdr:sp macro="" textlink="">
      <xdr:nvSpPr>
        <xdr:cNvPr id="16" name="大かっこ 15">
          <a:extLst>
            <a:ext uri="{FF2B5EF4-FFF2-40B4-BE49-F238E27FC236}">
              <a16:creationId xmlns:a16="http://schemas.microsoft.com/office/drawing/2014/main" id="{00000000-0008-0000-0700-000010000000}"/>
            </a:ext>
          </a:extLst>
        </xdr:cNvPr>
        <xdr:cNvSpPr/>
      </xdr:nvSpPr>
      <xdr:spPr>
        <a:xfrm>
          <a:off x="7515225" y="2271716"/>
          <a:ext cx="1581150" cy="458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28575</xdr:colOff>
      <xdr:row>13</xdr:row>
      <xdr:rowOff>93345</xdr:rowOff>
    </xdr:from>
    <xdr:to>
      <xdr:col>25</xdr:col>
      <xdr:colOff>1432560</xdr:colOff>
      <xdr:row>15</xdr:row>
      <xdr:rowOff>91395</xdr:rowOff>
    </xdr:to>
    <xdr:sp macro="" textlink="">
      <xdr:nvSpPr>
        <xdr:cNvPr id="17" name="大かっこ 16">
          <a:extLst>
            <a:ext uri="{FF2B5EF4-FFF2-40B4-BE49-F238E27FC236}">
              <a16:creationId xmlns:a16="http://schemas.microsoft.com/office/drawing/2014/main" id="{00000000-0008-0000-0700-000011000000}"/>
            </a:ext>
          </a:extLst>
        </xdr:cNvPr>
        <xdr:cNvSpPr/>
      </xdr:nvSpPr>
      <xdr:spPr>
        <a:xfrm>
          <a:off x="15243175" y="2404745"/>
          <a:ext cx="1403985" cy="3536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8" name="角丸四角形 60">
          <a:extLst>
            <a:ext uri="{FF2B5EF4-FFF2-40B4-BE49-F238E27FC236}">
              <a16:creationId xmlns:a16="http://schemas.microsoft.com/office/drawing/2014/main" id="{00000000-0008-0000-0700-000012000000}"/>
            </a:ext>
          </a:extLst>
        </xdr:cNvPr>
        <xdr:cNvSpPr/>
      </xdr:nvSpPr>
      <xdr:spPr>
        <a:xfrm>
          <a:off x="4654550" y="10940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38661</xdr:colOff>
      <xdr:row>12</xdr:row>
      <xdr:rowOff>134848</xdr:rowOff>
    </xdr:from>
    <xdr:to>
      <xdr:col>20</xdr:col>
      <xdr:colOff>1410261</xdr:colOff>
      <xdr:row>15</xdr:row>
      <xdr:rowOff>131923</xdr:rowOff>
    </xdr:to>
    <xdr:sp macro="" textlink="">
      <xdr:nvSpPr>
        <xdr:cNvPr id="19" name="大かっこ 18">
          <a:extLst>
            <a:ext uri="{FF2B5EF4-FFF2-40B4-BE49-F238E27FC236}">
              <a16:creationId xmlns:a16="http://schemas.microsoft.com/office/drawing/2014/main" id="{00000000-0008-0000-0700-000013000000}"/>
            </a:ext>
          </a:extLst>
        </xdr:cNvPr>
        <xdr:cNvSpPr/>
      </xdr:nvSpPr>
      <xdr:spPr>
        <a:xfrm>
          <a:off x="9003367" y="2286377"/>
          <a:ext cx="1371600" cy="53495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12</xdr:col>
      <xdr:colOff>238125</xdr:colOff>
      <xdr:row>316</xdr:row>
      <xdr:rowOff>0</xdr:rowOff>
    </xdr:from>
    <xdr:to>
      <xdr:col>12</xdr:col>
      <xdr:colOff>238125</xdr:colOff>
      <xdr:row>317</xdr:row>
      <xdr:rowOff>171449</xdr:rowOff>
    </xdr:to>
    <xdr:cxnSp macro="">
      <xdr:nvCxnSpPr>
        <xdr:cNvPr id="21" name="直線矢印コネクタ 20">
          <a:extLst>
            <a:ext uri="{FF2B5EF4-FFF2-40B4-BE49-F238E27FC236}">
              <a16:creationId xmlns:a16="http://schemas.microsoft.com/office/drawing/2014/main" id="{00000000-0008-0000-0700-000015000000}"/>
            </a:ext>
          </a:extLst>
        </xdr:cNvPr>
        <xdr:cNvCxnSpPr/>
      </xdr:nvCxnSpPr>
      <xdr:spPr>
        <a:xfrm flipV="1">
          <a:off x="2714625" y="10121900"/>
          <a:ext cx="0" cy="34924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318</xdr:row>
      <xdr:rowOff>4400</xdr:rowOff>
    </xdr:to>
    <xdr:cxnSp macro="">
      <xdr:nvCxnSpPr>
        <xdr:cNvPr id="22" name="カギ線コネクタ 75">
          <a:extLst>
            <a:ext uri="{FF2B5EF4-FFF2-40B4-BE49-F238E27FC236}">
              <a16:creationId xmlns:a16="http://schemas.microsoft.com/office/drawing/2014/main" id="{00000000-0008-0000-0700-000016000000}"/>
            </a:ext>
          </a:extLst>
        </xdr:cNvPr>
        <xdr:cNvCxnSpPr/>
      </xdr:nvCxnSpPr>
      <xdr:spPr>
        <a:xfrm rot="16200000" flipH="1">
          <a:off x="5517537" y="8509613"/>
          <a:ext cx="356825" cy="35814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428625</xdr:colOff>
      <xdr:row>316</xdr:row>
      <xdr:rowOff>0</xdr:rowOff>
    </xdr:from>
    <xdr:to>
      <xdr:col>24</xdr:col>
      <xdr:colOff>428625</xdr:colOff>
      <xdr:row>317</xdr:row>
      <xdr:rowOff>179025</xdr:rowOff>
    </xdr:to>
    <xdr:cxnSp macro="">
      <xdr:nvCxnSpPr>
        <xdr:cNvPr id="23" name="カギ線コネクタ 76">
          <a:extLst>
            <a:ext uri="{FF2B5EF4-FFF2-40B4-BE49-F238E27FC236}">
              <a16:creationId xmlns:a16="http://schemas.microsoft.com/office/drawing/2014/main" id="{00000000-0008-0000-0700-000017000000}"/>
            </a:ext>
          </a:extLst>
        </xdr:cNvPr>
        <xdr:cNvCxnSpPr/>
      </xdr:nvCxnSpPr>
      <xdr:spPr>
        <a:xfrm rot="16200000" flipH="1">
          <a:off x="14759962" y="10300313"/>
          <a:ext cx="35682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4" name="カギ線コネクタ 80">
          <a:extLst>
            <a:ext uri="{FF2B5EF4-FFF2-40B4-BE49-F238E27FC236}">
              <a16:creationId xmlns:a16="http://schemas.microsoft.com/office/drawing/2014/main" id="{00000000-0008-0000-0700-000018000000}"/>
            </a:ext>
          </a:extLst>
        </xdr:cNvPr>
        <xdr:cNvCxnSpPr/>
      </xdr:nvCxnSpPr>
      <xdr:spPr>
        <a:xfrm rot="16200000" flipH="1">
          <a:off x="11182825" y="10330180"/>
          <a:ext cx="35560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200025</xdr:colOff>
      <xdr:row>318</xdr:row>
      <xdr:rowOff>9525</xdr:rowOff>
    </xdr:from>
    <xdr:to>
      <xdr:col>25</xdr:col>
      <xdr:colOff>590548</xdr:colOff>
      <xdr:row>322</xdr:row>
      <xdr:rowOff>15241</xdr:rowOff>
    </xdr:to>
    <xdr:pic>
      <xdr:nvPicPr>
        <xdr:cNvPr id="26" name="図 25">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09775" y="10487025"/>
          <a:ext cx="1099184" cy="72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1238250</xdr:colOff>
      <xdr:row>318</xdr:row>
      <xdr:rowOff>4762</xdr:rowOff>
    </xdr:from>
    <xdr:to>
      <xdr:col>24</xdr:col>
      <xdr:colOff>0</xdr:colOff>
      <xdr:row>323</xdr:row>
      <xdr:rowOff>47794</xdr:rowOff>
    </xdr:to>
    <xdr:sp macro="" textlink="">
      <xdr:nvSpPr>
        <xdr:cNvPr id="27" name="角丸四角形 43">
          <a:extLst>
            <a:ext uri="{FF2B5EF4-FFF2-40B4-BE49-F238E27FC236}">
              <a16:creationId xmlns:a16="http://schemas.microsoft.com/office/drawing/2014/main" id="{00000000-0008-0000-0700-00001B000000}"/>
            </a:ext>
          </a:extLst>
        </xdr:cNvPr>
        <xdr:cNvSpPr/>
      </xdr:nvSpPr>
      <xdr:spPr>
        <a:xfrm>
          <a:off x="10374313" y="10466387"/>
          <a:ext cx="3571875" cy="91615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9</xdr:col>
      <xdr:colOff>7937</xdr:colOff>
      <xdr:row>318</xdr:row>
      <xdr:rowOff>15874</xdr:rowOff>
    </xdr:from>
    <xdr:to>
      <xdr:col>14</xdr:col>
      <xdr:colOff>440531</xdr:colOff>
      <xdr:row>329</xdr:row>
      <xdr:rowOff>21154</xdr:rowOff>
    </xdr:to>
    <xdr:pic>
      <xdr:nvPicPr>
        <xdr:cNvPr id="30" name="図 29">
          <a:extLst>
            <a:ext uri="{FF2B5EF4-FFF2-40B4-BE49-F238E27FC236}">
              <a16:creationId xmlns:a16="http://schemas.microsoft.com/office/drawing/2014/main" id="{00000000-0008-0000-07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50823"/>
        <a:stretch/>
      </xdr:blipFill>
      <xdr:spPr bwMode="auto">
        <a:xfrm>
          <a:off x="1770062" y="10648155"/>
          <a:ext cx="3730625" cy="19698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271437</xdr:colOff>
      <xdr:row>7</xdr:row>
      <xdr:rowOff>134937</xdr:rowOff>
    </xdr:from>
    <xdr:to>
      <xdr:col>23</xdr:col>
      <xdr:colOff>271437</xdr:colOff>
      <xdr:row>8</xdr:row>
      <xdr:rowOff>169962</xdr:rowOff>
    </xdr:to>
    <xdr:cxnSp macro="">
      <xdr:nvCxnSpPr>
        <xdr:cNvPr id="33" name="直線矢印コネクタ 32">
          <a:extLst>
            <a:ext uri="{FF2B5EF4-FFF2-40B4-BE49-F238E27FC236}">
              <a16:creationId xmlns:a16="http://schemas.microsoft.com/office/drawing/2014/main" id="{00000000-0008-0000-0700-000021000000}"/>
            </a:ext>
          </a:extLst>
        </xdr:cNvPr>
        <xdr:cNvCxnSpPr/>
      </xdr:nvCxnSpPr>
      <xdr:spPr>
        <a:xfrm>
          <a:off x="13662000" y="1357312"/>
          <a:ext cx="0" cy="209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190500</xdr:colOff>
      <xdr:row>1</xdr:row>
      <xdr:rowOff>39687</xdr:rowOff>
    </xdr:from>
    <xdr:to>
      <xdr:col>25</xdr:col>
      <xdr:colOff>711450</xdr:colOff>
      <xdr:row>7</xdr:row>
      <xdr:rowOff>141837</xdr:rowOff>
    </xdr:to>
    <xdr:sp macro="" textlink="">
      <xdr:nvSpPr>
        <xdr:cNvPr id="34" name="角丸四角形 62">
          <a:extLst>
            <a:ext uri="{FF2B5EF4-FFF2-40B4-BE49-F238E27FC236}">
              <a16:creationId xmlns:a16="http://schemas.microsoft.com/office/drawing/2014/main" id="{00000000-0008-0000-0700-000022000000}"/>
            </a:ext>
          </a:extLst>
        </xdr:cNvPr>
        <xdr:cNvSpPr/>
      </xdr:nvSpPr>
      <xdr:spPr bwMode="auto">
        <a:xfrm>
          <a:off x="9326563" y="214312"/>
          <a:ext cx="6037512" cy="1149900"/>
        </a:xfrm>
        <a:prstGeom prst="roundRect">
          <a:avLst>
            <a:gd name="adj" fmla="val 12658"/>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・調査対象畜以外に共通して使用している場合には、それぞれの使用面積の割合等を目安に負担割合を入力してください。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21</xdr:col>
      <xdr:colOff>62753</xdr:colOff>
      <xdr:row>5</xdr:row>
      <xdr:rowOff>29506</xdr:rowOff>
    </xdr:from>
    <xdr:to>
      <xdr:col>23</xdr:col>
      <xdr:colOff>498128</xdr:colOff>
      <xdr:row>7</xdr:row>
      <xdr:rowOff>99556</xdr:rowOff>
    </xdr:to>
    <xdr:grpSp>
      <xdr:nvGrpSpPr>
        <xdr:cNvPr id="35" name="グループ化 34">
          <a:extLst>
            <a:ext uri="{FF2B5EF4-FFF2-40B4-BE49-F238E27FC236}">
              <a16:creationId xmlns:a16="http://schemas.microsoft.com/office/drawing/2014/main" id="{00000000-0008-0000-0700-000023000000}"/>
            </a:ext>
          </a:extLst>
        </xdr:cNvPr>
        <xdr:cNvGrpSpPr/>
      </xdr:nvGrpSpPr>
      <xdr:grpSpPr>
        <a:xfrm>
          <a:off x="11683253" y="1065350"/>
          <a:ext cx="3459563" cy="427237"/>
          <a:chOff x="4144753" y="1132819"/>
          <a:chExt cx="3669122" cy="432000"/>
        </a:xfrm>
      </xdr:grpSpPr>
      <xdr:grpSp>
        <xdr:nvGrpSpPr>
          <xdr:cNvPr id="36" name="グループ化 35">
            <a:extLst>
              <a:ext uri="{FF2B5EF4-FFF2-40B4-BE49-F238E27FC236}">
                <a16:creationId xmlns:a16="http://schemas.microsoft.com/office/drawing/2014/main" id="{00000000-0008-0000-0700-000024000000}"/>
              </a:ext>
            </a:extLst>
          </xdr:cNvPr>
          <xdr:cNvGrpSpPr/>
        </xdr:nvGrpSpPr>
        <xdr:grpSpPr>
          <a:xfrm>
            <a:off x="4144753" y="1132819"/>
            <a:ext cx="3173920" cy="432000"/>
            <a:chOff x="14022178" y="2675869"/>
            <a:chExt cx="3173920" cy="432000"/>
          </a:xfrm>
        </xdr:grpSpPr>
        <xdr:sp macro="" textlink="">
          <xdr:nvSpPr>
            <xdr:cNvPr id="38" name="テキスト ボックス 37">
              <a:extLst>
                <a:ext uri="{FF2B5EF4-FFF2-40B4-BE49-F238E27FC236}">
                  <a16:creationId xmlns:a16="http://schemas.microsoft.com/office/drawing/2014/main" id="{00000000-0008-0000-0700-000026000000}"/>
                </a:ext>
              </a:extLst>
            </xdr:cNvPr>
            <xdr:cNvSpPr txBox="1"/>
          </xdr:nvSpPr>
          <xdr:spPr bwMode="auto">
            <a:xfrm>
              <a:off x="14022178" y="2763588"/>
              <a:ext cx="1652310" cy="230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9" name="テキスト ボックス 38">
              <a:extLst>
                <a:ext uri="{FF2B5EF4-FFF2-40B4-BE49-F238E27FC236}">
                  <a16:creationId xmlns:a16="http://schemas.microsoft.com/office/drawing/2014/main" id="{00000000-0008-0000-0700-000027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37" name="テキスト ボックス 36">
            <a:extLst>
              <a:ext uri="{FF2B5EF4-FFF2-40B4-BE49-F238E27FC236}">
                <a16:creationId xmlns:a16="http://schemas.microsoft.com/office/drawing/2014/main" id="{00000000-0008-0000-0700-000025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0</xdr:colOff>
          <xdr:row>1</xdr:row>
          <xdr:rowOff>38100</xdr:rowOff>
        </xdr:from>
        <xdr:to>
          <xdr:col>18</xdr:col>
          <xdr:colOff>76200</xdr:colOff>
          <xdr:row>1</xdr:row>
          <xdr:rowOff>238125</xdr:rowOff>
        </xdr:to>
        <xdr:sp macro="" textlink="">
          <xdr:nvSpPr>
            <xdr:cNvPr id="6147" name="Label1"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238125</xdr:rowOff>
        </xdr:from>
        <xdr:to>
          <xdr:col>18</xdr:col>
          <xdr:colOff>76200</xdr:colOff>
          <xdr:row>3</xdr:row>
          <xdr:rowOff>9525</xdr:rowOff>
        </xdr:to>
        <xdr:sp macro="" textlink="">
          <xdr:nvSpPr>
            <xdr:cNvPr id="6148" name="txt_hyouji"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1</xdr:row>
          <xdr:rowOff>38100</xdr:rowOff>
        </xdr:from>
        <xdr:to>
          <xdr:col>19</xdr:col>
          <xdr:colOff>1028700</xdr:colOff>
          <xdr:row>3</xdr:row>
          <xdr:rowOff>9525</xdr:rowOff>
        </xdr:to>
        <xdr:sp macro="" textlink="">
          <xdr:nvSpPr>
            <xdr:cNvPr id="6149" name="btnKoushin1"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1</xdr:colOff>
      <xdr:row>318</xdr:row>
      <xdr:rowOff>0</xdr:rowOff>
    </xdr:from>
    <xdr:to>
      <xdr:col>20</xdr:col>
      <xdr:colOff>448344</xdr:colOff>
      <xdr:row>329</xdr:row>
      <xdr:rowOff>4668</xdr:rowOff>
    </xdr:to>
    <xdr:pic>
      <xdr:nvPicPr>
        <xdr:cNvPr id="29" name="図 28">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9" y="10632281"/>
          <a:ext cx="4389311" cy="196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518162</xdr:colOff>
      <xdr:row>316</xdr:row>
      <xdr:rowOff>30482</xdr:rowOff>
    </xdr:from>
    <xdr:to>
      <xdr:col>20</xdr:col>
      <xdr:colOff>139772</xdr:colOff>
      <xdr:row>318</xdr:row>
      <xdr:rowOff>34247</xdr:rowOff>
    </xdr:to>
    <xdr:cxnSp macro="">
      <xdr:nvCxnSpPr>
        <xdr:cNvPr id="3" name="カギ線コネクタ 84">
          <a:extLst>
            <a:ext uri="{FF2B5EF4-FFF2-40B4-BE49-F238E27FC236}">
              <a16:creationId xmlns:a16="http://schemas.microsoft.com/office/drawing/2014/main" id="{00000000-0008-0000-0800-000003000000}"/>
            </a:ext>
          </a:extLst>
        </xdr:cNvPr>
        <xdr:cNvCxnSpPr/>
      </xdr:nvCxnSpPr>
      <xdr:spPr>
        <a:xfrm rot="16200000" flipH="1">
          <a:off x="9750484" y="9384610"/>
          <a:ext cx="359365" cy="185681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40005</xdr:colOff>
      <xdr:row>12</xdr:row>
      <xdr:rowOff>99060</xdr:rowOff>
    </xdr:from>
    <xdr:to>
      <xdr:col>16</xdr:col>
      <xdr:colOff>1417320</xdr:colOff>
      <xdr:row>15</xdr:row>
      <xdr:rowOff>132135</xdr:rowOff>
    </xdr:to>
    <xdr:sp macro="" textlink="">
      <xdr:nvSpPr>
        <xdr:cNvPr id="4" name="大かっこ 3">
          <a:extLst>
            <a:ext uri="{FF2B5EF4-FFF2-40B4-BE49-F238E27FC236}">
              <a16:creationId xmlns:a16="http://schemas.microsoft.com/office/drawing/2014/main" id="{00000000-0008-0000-0800-000004000000}"/>
            </a:ext>
          </a:extLst>
        </xdr:cNvPr>
        <xdr:cNvSpPr/>
      </xdr:nvSpPr>
      <xdr:spPr>
        <a:xfrm>
          <a:off x="5729605" y="2232660"/>
          <a:ext cx="137731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24</xdr:col>
      <xdr:colOff>36193</xdr:colOff>
      <xdr:row>13</xdr:row>
      <xdr:rowOff>76200</xdr:rowOff>
    </xdr:from>
    <xdr:to>
      <xdr:col>24</xdr:col>
      <xdr:colOff>1547812</xdr:colOff>
      <xdr:row>15</xdr:row>
      <xdr:rowOff>146249</xdr:rowOff>
    </xdr:to>
    <xdr:sp macro="" textlink="">
      <xdr:nvSpPr>
        <xdr:cNvPr id="5" name="大かっこ 4">
          <a:extLst>
            <a:ext uri="{FF2B5EF4-FFF2-40B4-BE49-F238E27FC236}">
              <a16:creationId xmlns:a16="http://schemas.microsoft.com/office/drawing/2014/main" id="{00000000-0008-0000-0800-000005000000}"/>
            </a:ext>
          </a:extLst>
        </xdr:cNvPr>
        <xdr:cNvSpPr/>
      </xdr:nvSpPr>
      <xdr:spPr>
        <a:xfrm>
          <a:off x="15204756" y="2481263"/>
          <a:ext cx="1511619" cy="42723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34290</xdr:colOff>
      <xdr:row>12</xdr:row>
      <xdr:rowOff>91440</xdr:rowOff>
    </xdr:from>
    <xdr:to>
      <xdr:col>17</xdr:col>
      <xdr:colOff>1257300</xdr:colOff>
      <xdr:row>15</xdr:row>
      <xdr:rowOff>124515</xdr:rowOff>
    </xdr:to>
    <xdr:sp macro="" textlink="">
      <xdr:nvSpPr>
        <xdr:cNvPr id="6" name="大かっこ 5">
          <a:extLst>
            <a:ext uri="{FF2B5EF4-FFF2-40B4-BE49-F238E27FC236}">
              <a16:creationId xmlns:a16="http://schemas.microsoft.com/office/drawing/2014/main" id="{00000000-0008-0000-0800-000006000000}"/>
            </a:ext>
          </a:extLst>
        </xdr:cNvPr>
        <xdr:cNvSpPr/>
      </xdr:nvSpPr>
      <xdr:spPr>
        <a:xfrm>
          <a:off x="7216140" y="2225040"/>
          <a:ext cx="122301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24764</xdr:colOff>
      <xdr:row>12</xdr:row>
      <xdr:rowOff>76199</xdr:rowOff>
    </xdr:from>
    <xdr:to>
      <xdr:col>18</xdr:col>
      <xdr:colOff>1074420</xdr:colOff>
      <xdr:row>15</xdr:row>
      <xdr:rowOff>109274</xdr:rowOff>
    </xdr:to>
    <xdr:sp macro="" textlink="">
      <xdr:nvSpPr>
        <xdr:cNvPr id="7" name="大かっこ 6">
          <a:extLst>
            <a:ext uri="{FF2B5EF4-FFF2-40B4-BE49-F238E27FC236}">
              <a16:creationId xmlns:a16="http://schemas.microsoft.com/office/drawing/2014/main" id="{00000000-0008-0000-0800-000007000000}"/>
            </a:ext>
          </a:extLst>
        </xdr:cNvPr>
        <xdr:cNvSpPr/>
      </xdr:nvSpPr>
      <xdr:spPr>
        <a:xfrm>
          <a:off x="8508364" y="2209799"/>
          <a:ext cx="104965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38100</xdr:colOff>
      <xdr:row>12</xdr:row>
      <xdr:rowOff>57150</xdr:rowOff>
    </xdr:from>
    <xdr:to>
      <xdr:col>19</xdr:col>
      <xdr:colOff>1068705</xdr:colOff>
      <xdr:row>15</xdr:row>
      <xdr:rowOff>224700</xdr:rowOff>
    </xdr:to>
    <xdr:sp macro="" textlink="">
      <xdr:nvSpPr>
        <xdr:cNvPr id="8" name="大かっこ 7">
          <a:extLst>
            <a:ext uri="{FF2B5EF4-FFF2-40B4-BE49-F238E27FC236}">
              <a16:creationId xmlns:a16="http://schemas.microsoft.com/office/drawing/2014/main" id="{00000000-0008-0000-0800-000008000000}"/>
            </a:ext>
          </a:extLst>
        </xdr:cNvPr>
        <xdr:cNvSpPr/>
      </xdr:nvSpPr>
      <xdr:spPr>
        <a:xfrm>
          <a:off x="9496425" y="2219325"/>
          <a:ext cx="1030605" cy="6819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13</xdr:col>
      <xdr:colOff>175260</xdr:colOff>
      <xdr:row>7</xdr:row>
      <xdr:rowOff>49530</xdr:rowOff>
    </xdr:from>
    <xdr:to>
      <xdr:col>13</xdr:col>
      <xdr:colOff>175260</xdr:colOff>
      <xdr:row>8</xdr:row>
      <xdr:rowOff>156555</xdr:rowOff>
    </xdr:to>
    <xdr:cxnSp macro="">
      <xdr:nvCxnSpPr>
        <xdr:cNvPr id="20" name="直線矢印コネクタ 19">
          <a:extLst>
            <a:ext uri="{FF2B5EF4-FFF2-40B4-BE49-F238E27FC236}">
              <a16:creationId xmlns:a16="http://schemas.microsoft.com/office/drawing/2014/main" id="{00000000-0008-0000-0800-000014000000}"/>
            </a:ext>
          </a:extLst>
        </xdr:cNvPr>
        <xdr:cNvCxnSpPr/>
      </xdr:nvCxnSpPr>
      <xdr:spPr>
        <a:xfrm flipV="1">
          <a:off x="4372610" y="129413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1" name="角丸四角形 54">
          <a:extLst>
            <a:ext uri="{FF2B5EF4-FFF2-40B4-BE49-F238E27FC236}">
              <a16:creationId xmlns:a16="http://schemas.microsoft.com/office/drawing/2014/main" id="{00000000-0008-0000-0800-000015000000}"/>
            </a:ext>
          </a:extLst>
        </xdr:cNvPr>
        <xdr:cNvSpPr/>
      </xdr:nvSpPr>
      <xdr:spPr>
        <a:xfrm>
          <a:off x="1546225" y="11373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2" name="直線矢印コネクタ 21">
          <a:extLst>
            <a:ext uri="{FF2B5EF4-FFF2-40B4-BE49-F238E27FC236}">
              <a16:creationId xmlns:a16="http://schemas.microsoft.com/office/drawing/2014/main" id="{00000000-0008-0000-0800-000016000000}"/>
            </a:ext>
          </a:extLst>
        </xdr:cNvPr>
        <xdr:cNvCxnSpPr/>
      </xdr:nvCxnSpPr>
      <xdr:spPr>
        <a:xfrm flipV="1">
          <a:off x="3184525" y="10112375"/>
          <a:ext cx="0" cy="35559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352425</xdr:colOff>
      <xdr:row>316</xdr:row>
      <xdr:rowOff>0</xdr:rowOff>
    </xdr:from>
    <xdr:to>
      <xdr:col>23</xdr:col>
      <xdr:colOff>352425</xdr:colOff>
      <xdr:row>317</xdr:row>
      <xdr:rowOff>180974</xdr:rowOff>
    </xdr:to>
    <xdr:cxnSp macro="">
      <xdr:nvCxnSpPr>
        <xdr:cNvPr id="23" name="直線矢印コネクタ 22">
          <a:extLst>
            <a:ext uri="{FF2B5EF4-FFF2-40B4-BE49-F238E27FC236}">
              <a16:creationId xmlns:a16="http://schemas.microsoft.com/office/drawing/2014/main" id="{00000000-0008-0000-0800-000017000000}"/>
            </a:ext>
          </a:extLst>
        </xdr:cNvPr>
        <xdr:cNvCxnSpPr/>
      </xdr:nvCxnSpPr>
      <xdr:spPr>
        <a:xfrm flipV="1">
          <a:off x="14055725" y="10102850"/>
          <a:ext cx="0" cy="35877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4" name="直線矢印コネクタ 23">
          <a:extLst>
            <a:ext uri="{FF2B5EF4-FFF2-40B4-BE49-F238E27FC236}">
              <a16:creationId xmlns:a16="http://schemas.microsoft.com/office/drawing/2014/main" id="{00000000-0008-0000-0800-000018000000}"/>
            </a:ext>
          </a:extLst>
        </xdr:cNvPr>
        <xdr:cNvCxnSpPr/>
      </xdr:nvCxnSpPr>
      <xdr:spPr>
        <a:xfrm>
          <a:off x="7840980" y="10106659"/>
          <a:ext cx="1" cy="3536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76200</xdr:colOff>
      <xdr:row>317</xdr:row>
      <xdr:rowOff>168813</xdr:rowOff>
    </xdr:from>
    <xdr:to>
      <xdr:col>19</xdr:col>
      <xdr:colOff>0</xdr:colOff>
      <xdr:row>324</xdr:row>
      <xdr:rowOff>95703</xdr:rowOff>
    </xdr:to>
    <xdr:sp macro="" textlink="">
      <xdr:nvSpPr>
        <xdr:cNvPr id="25" name="角丸四角形 82">
          <a:extLst>
            <a:ext uri="{FF2B5EF4-FFF2-40B4-BE49-F238E27FC236}">
              <a16:creationId xmlns:a16="http://schemas.microsoft.com/office/drawing/2014/main" id="{00000000-0008-0000-0800-000019000000}"/>
            </a:ext>
          </a:extLst>
        </xdr:cNvPr>
        <xdr:cNvSpPr/>
      </xdr:nvSpPr>
      <xdr:spPr>
        <a:xfrm>
          <a:off x="5765800" y="10449463"/>
          <a:ext cx="3835400" cy="117149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316542</xdr:colOff>
      <xdr:row>318</xdr:row>
      <xdr:rowOff>15240</xdr:rowOff>
    </xdr:from>
    <xdr:to>
      <xdr:col>22</xdr:col>
      <xdr:colOff>277807</xdr:colOff>
      <xdr:row>320</xdr:row>
      <xdr:rowOff>85290</xdr:rowOff>
    </xdr:to>
    <xdr:sp macro="" textlink="">
      <xdr:nvSpPr>
        <xdr:cNvPr id="26" name="角丸四角形 83">
          <a:extLst>
            <a:ext uri="{FF2B5EF4-FFF2-40B4-BE49-F238E27FC236}">
              <a16:creationId xmlns:a16="http://schemas.microsoft.com/office/drawing/2014/main" id="{00000000-0008-0000-0800-00001A000000}"/>
            </a:ext>
          </a:extLst>
        </xdr:cNvPr>
        <xdr:cNvSpPr/>
      </xdr:nvSpPr>
      <xdr:spPr>
        <a:xfrm>
          <a:off x="9905042" y="10453053"/>
          <a:ext cx="2953703" cy="419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800-00001B000000}"/>
            </a:ext>
          </a:extLst>
        </xdr:cNvPr>
        <xdr:cNvCxnSpPr/>
      </xdr:nvCxnSpPr>
      <xdr:spPr>
        <a:xfrm rot="5400000">
          <a:off x="1558225" y="9819075"/>
          <a:ext cx="356825" cy="92437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9525</xdr:colOff>
      <xdr:row>318</xdr:row>
      <xdr:rowOff>0</xdr:rowOff>
    </xdr:from>
    <xdr:to>
      <xdr:col>15</xdr:col>
      <xdr:colOff>92393</xdr:colOff>
      <xdr:row>323</xdr:row>
      <xdr:rowOff>22857</xdr:rowOff>
    </xdr:to>
    <xdr:pic>
      <xdr:nvPicPr>
        <xdr:cNvPr id="28" name="図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5475" y="10458450"/>
          <a:ext cx="4785678" cy="908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0</xdr:colOff>
      <xdr:row>318</xdr:row>
      <xdr:rowOff>0</xdr:rowOff>
    </xdr:from>
    <xdr:to>
      <xdr:col>24</xdr:col>
      <xdr:colOff>434339</xdr:colOff>
      <xdr:row>321</xdr:row>
      <xdr:rowOff>22859</xdr:rowOff>
    </xdr:to>
    <xdr:pic>
      <xdr:nvPicPr>
        <xdr:cNvPr id="29" name="図 28">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703300" y="10458450"/>
          <a:ext cx="11112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291543</xdr:colOff>
      <xdr:row>7</xdr:row>
      <xdr:rowOff>142315</xdr:rowOff>
    </xdr:from>
    <xdr:to>
      <xdr:col>22</xdr:col>
      <xdr:colOff>291543</xdr:colOff>
      <xdr:row>9</xdr:row>
      <xdr:rowOff>9785</xdr:rowOff>
    </xdr:to>
    <xdr:cxnSp macro="">
      <xdr:nvCxnSpPr>
        <xdr:cNvPr id="32" name="直線矢印コネクタ 31">
          <a:extLst>
            <a:ext uri="{FF2B5EF4-FFF2-40B4-BE49-F238E27FC236}">
              <a16:creationId xmlns:a16="http://schemas.microsoft.com/office/drawing/2014/main" id="{00000000-0008-0000-0800-000020000000}"/>
            </a:ext>
          </a:extLst>
        </xdr:cNvPr>
        <xdr:cNvCxnSpPr/>
      </xdr:nvCxnSpPr>
      <xdr:spPr>
        <a:xfrm>
          <a:off x="12872481" y="1364690"/>
          <a:ext cx="0" cy="21672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1293812</xdr:colOff>
      <xdr:row>1</xdr:row>
      <xdr:rowOff>47625</xdr:rowOff>
    </xdr:from>
    <xdr:to>
      <xdr:col>24</xdr:col>
      <xdr:colOff>777763</xdr:colOff>
      <xdr:row>8</xdr:row>
      <xdr:rowOff>5566</xdr:rowOff>
    </xdr:to>
    <xdr:sp macro="" textlink="">
      <xdr:nvSpPr>
        <xdr:cNvPr id="33" name="角丸四角形 57">
          <a:extLst>
            <a:ext uri="{FF2B5EF4-FFF2-40B4-BE49-F238E27FC236}">
              <a16:creationId xmlns:a16="http://schemas.microsoft.com/office/drawing/2014/main" id="{00000000-0008-0000-0800-000021000000}"/>
            </a:ext>
          </a:extLst>
        </xdr:cNvPr>
        <xdr:cNvSpPr/>
      </xdr:nvSpPr>
      <xdr:spPr bwMode="auto">
        <a:xfrm>
          <a:off x="8461375" y="222250"/>
          <a:ext cx="6127638" cy="11803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19</xdr:col>
      <xdr:colOff>9526</xdr:colOff>
      <xdr:row>5</xdr:row>
      <xdr:rowOff>56121</xdr:rowOff>
    </xdr:from>
    <xdr:to>
      <xdr:col>22</xdr:col>
      <xdr:colOff>437400</xdr:colOff>
      <xdr:row>7</xdr:row>
      <xdr:rowOff>135509</xdr:rowOff>
    </xdr:to>
    <xdr:grpSp>
      <xdr:nvGrpSpPr>
        <xdr:cNvPr id="34" name="グループ化 33">
          <a:extLst>
            <a:ext uri="{FF2B5EF4-FFF2-40B4-BE49-F238E27FC236}">
              <a16:creationId xmlns:a16="http://schemas.microsoft.com/office/drawing/2014/main" id="{00000000-0008-0000-0800-000022000000}"/>
            </a:ext>
          </a:extLst>
        </xdr:cNvPr>
        <xdr:cNvGrpSpPr/>
      </xdr:nvGrpSpPr>
      <xdr:grpSpPr>
        <a:xfrm>
          <a:off x="10570370" y="1091965"/>
          <a:ext cx="3690186" cy="436575"/>
          <a:chOff x="3976687" y="1132819"/>
          <a:chExt cx="3837188" cy="432000"/>
        </a:xfrm>
      </xdr:grpSpPr>
      <xdr:grpSp>
        <xdr:nvGrpSpPr>
          <xdr:cNvPr id="35" name="グループ化 34">
            <a:extLst>
              <a:ext uri="{FF2B5EF4-FFF2-40B4-BE49-F238E27FC236}">
                <a16:creationId xmlns:a16="http://schemas.microsoft.com/office/drawing/2014/main" id="{00000000-0008-0000-0800-000023000000}"/>
              </a:ext>
            </a:extLst>
          </xdr:cNvPr>
          <xdr:cNvGrpSpPr/>
        </xdr:nvGrpSpPr>
        <xdr:grpSpPr>
          <a:xfrm>
            <a:off x="3976687" y="1132819"/>
            <a:ext cx="3341986" cy="432000"/>
            <a:chOff x="13854112" y="2675869"/>
            <a:chExt cx="3341986" cy="432000"/>
          </a:xfrm>
        </xdr:grpSpPr>
        <xdr:sp macro="" textlink="">
          <xdr:nvSpPr>
            <xdr:cNvPr id="37" name="テキスト ボックス 36">
              <a:extLst>
                <a:ext uri="{FF2B5EF4-FFF2-40B4-BE49-F238E27FC236}">
                  <a16:creationId xmlns:a16="http://schemas.microsoft.com/office/drawing/2014/main" id="{00000000-0008-0000-0800-000025000000}"/>
                </a:ext>
              </a:extLst>
            </xdr:cNvPr>
            <xdr:cNvSpPr txBox="1"/>
          </xdr:nvSpPr>
          <xdr:spPr bwMode="auto">
            <a:xfrm>
              <a:off x="13854112" y="2764618"/>
              <a:ext cx="1785035" cy="229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8" name="テキスト ボックス 37">
              <a:extLst>
                <a:ext uri="{FF2B5EF4-FFF2-40B4-BE49-F238E27FC236}">
                  <a16:creationId xmlns:a16="http://schemas.microsoft.com/office/drawing/2014/main" id="{00000000-0008-0000-0800-000026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36" name="テキスト ボックス 35">
            <a:extLst>
              <a:ext uri="{FF2B5EF4-FFF2-40B4-BE49-F238E27FC236}">
                <a16:creationId xmlns:a16="http://schemas.microsoft.com/office/drawing/2014/main" id="{00000000-0008-0000-0800-000024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9525</xdr:colOff>
          <xdr:row>1</xdr:row>
          <xdr:rowOff>9525</xdr:rowOff>
        </xdr:from>
        <xdr:to>
          <xdr:col>16</xdr:col>
          <xdr:colOff>885825</xdr:colOff>
          <xdr:row>1</xdr:row>
          <xdr:rowOff>219075</xdr:rowOff>
        </xdr:to>
        <xdr:sp macro="" textlink="">
          <xdr:nvSpPr>
            <xdr:cNvPr id="8194" name="Label1"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1</xdr:row>
          <xdr:rowOff>219075</xdr:rowOff>
        </xdr:from>
        <xdr:to>
          <xdr:col>16</xdr:col>
          <xdr:colOff>885825</xdr:colOff>
          <xdr:row>2</xdr:row>
          <xdr:rowOff>161925</xdr:rowOff>
        </xdr:to>
        <xdr:sp macro="" textlink="">
          <xdr:nvSpPr>
            <xdr:cNvPr id="8195" name="txt_hyouji"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895350</xdr:colOff>
          <xdr:row>1</xdr:row>
          <xdr:rowOff>9525</xdr:rowOff>
        </xdr:from>
        <xdr:to>
          <xdr:col>17</xdr:col>
          <xdr:colOff>533400</xdr:colOff>
          <xdr:row>2</xdr:row>
          <xdr:rowOff>161925</xdr:rowOff>
        </xdr:to>
        <xdr:sp macro="" textlink="">
          <xdr:nvSpPr>
            <xdr:cNvPr id="8196" name="btnKoushin1"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647700</xdr:colOff>
      <xdr:row>318</xdr:row>
      <xdr:rowOff>30480</xdr:rowOff>
    </xdr:from>
    <xdr:to>
      <xdr:col>13</xdr:col>
      <xdr:colOff>270960</xdr:colOff>
      <xdr:row>320</xdr:row>
      <xdr:rowOff>56910</xdr:rowOff>
    </xdr:to>
    <xdr:cxnSp macro="">
      <xdr:nvCxnSpPr>
        <xdr:cNvPr id="2" name="カギ線コネクタ 52">
          <a:extLst>
            <a:ext uri="{FF2B5EF4-FFF2-40B4-BE49-F238E27FC236}">
              <a16:creationId xmlns:a16="http://schemas.microsoft.com/office/drawing/2014/main" id="{00000000-0008-0000-0900-000002000000}"/>
            </a:ext>
          </a:extLst>
        </xdr:cNvPr>
        <xdr:cNvCxnSpPr/>
      </xdr:nvCxnSpPr>
      <xdr:spPr>
        <a:xfrm>
          <a:off x="10210800" y="10539730"/>
          <a:ext cx="912310" cy="382030"/>
        </a:xfrm>
        <a:prstGeom prst="bentConnector3">
          <a:avLst>
            <a:gd name="adj1" fmla="val 0"/>
          </a:avLst>
        </a:prstGeom>
        <a:ln w="28575">
          <a:solidFill>
            <a:srgbClr val="0041FF"/>
          </a:solidFill>
          <a:head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 name="直線矢印コネクタ 2">
          <a:extLst>
            <a:ext uri="{FF2B5EF4-FFF2-40B4-BE49-F238E27FC236}">
              <a16:creationId xmlns:a16="http://schemas.microsoft.com/office/drawing/2014/main" id="{00000000-0008-0000-0900-000003000000}"/>
            </a:ext>
          </a:extLst>
        </xdr:cNvPr>
        <xdr:cNvCxnSpPr/>
      </xdr:nvCxnSpPr>
      <xdr:spPr>
        <a:xfrm>
          <a:off x="5299075" y="1657350"/>
          <a:ext cx="0" cy="27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358767</xdr:colOff>
      <xdr:row>318</xdr:row>
      <xdr:rowOff>3174</xdr:rowOff>
    </xdr:from>
    <xdr:to>
      <xdr:col>18</xdr:col>
      <xdr:colOff>358767</xdr:colOff>
      <xdr:row>320</xdr:row>
      <xdr:rowOff>177074</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a:xfrm flipV="1">
          <a:off x="14176367" y="10512424"/>
          <a:ext cx="0" cy="52950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6" name="大かっこ 5">
          <a:extLst>
            <a:ext uri="{FF2B5EF4-FFF2-40B4-BE49-F238E27FC236}">
              <a16:creationId xmlns:a16="http://schemas.microsoft.com/office/drawing/2014/main" id="{00000000-0008-0000-0900-000006000000}"/>
            </a:ext>
          </a:extLst>
        </xdr:cNvPr>
        <xdr:cNvSpPr/>
      </xdr:nvSpPr>
      <xdr:spPr>
        <a:xfrm>
          <a:off x="6664325" y="2584450"/>
          <a:ext cx="13716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7" name="大かっこ 6">
          <a:extLst>
            <a:ext uri="{FF2B5EF4-FFF2-40B4-BE49-F238E27FC236}">
              <a16:creationId xmlns:a16="http://schemas.microsoft.com/office/drawing/2014/main" id="{00000000-0008-0000-0900-000007000000}"/>
            </a:ext>
          </a:extLst>
        </xdr:cNvPr>
        <xdr:cNvSpPr/>
      </xdr:nvSpPr>
      <xdr:spPr>
        <a:xfrm>
          <a:off x="8137525" y="2584450"/>
          <a:ext cx="136207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868457</xdr:colOff>
      <xdr:row>2</xdr:row>
      <xdr:rowOff>75078</xdr:rowOff>
    </xdr:from>
    <xdr:to>
      <xdr:col>11</xdr:col>
      <xdr:colOff>1298668</xdr:colOff>
      <xdr:row>8</xdr:row>
      <xdr:rowOff>94129</xdr:rowOff>
    </xdr:to>
    <xdr:sp macro="" textlink="">
      <xdr:nvSpPr>
        <xdr:cNvPr id="8" name="角丸四角形 35">
          <a:extLst>
            <a:ext uri="{FF2B5EF4-FFF2-40B4-BE49-F238E27FC236}">
              <a16:creationId xmlns:a16="http://schemas.microsoft.com/office/drawing/2014/main" id="{00000000-0008-0000-0900-000008000000}"/>
            </a:ext>
          </a:extLst>
        </xdr:cNvPr>
        <xdr:cNvSpPr/>
      </xdr:nvSpPr>
      <xdr:spPr>
        <a:xfrm>
          <a:off x="7412692" y="523313"/>
          <a:ext cx="1882494" cy="10948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38100</xdr:colOff>
      <xdr:row>14</xdr:row>
      <xdr:rowOff>90207</xdr:rowOff>
    </xdr:from>
    <xdr:to>
      <xdr:col>14</xdr:col>
      <xdr:colOff>695325</xdr:colOff>
      <xdr:row>17</xdr:row>
      <xdr:rowOff>265601</xdr:rowOff>
    </xdr:to>
    <xdr:sp macro="" textlink="">
      <xdr:nvSpPr>
        <xdr:cNvPr id="9" name="大かっこ 8">
          <a:extLst>
            <a:ext uri="{FF2B5EF4-FFF2-40B4-BE49-F238E27FC236}">
              <a16:creationId xmlns:a16="http://schemas.microsoft.com/office/drawing/2014/main" id="{00000000-0008-0000-0900-000009000000}"/>
            </a:ext>
          </a:extLst>
        </xdr:cNvPr>
        <xdr:cNvSpPr/>
      </xdr:nvSpPr>
      <xdr:spPr>
        <a:xfrm>
          <a:off x="11844618" y="2689972"/>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10" name="大かっこ 9">
          <a:extLst>
            <a:ext uri="{FF2B5EF4-FFF2-40B4-BE49-F238E27FC236}">
              <a16:creationId xmlns:a16="http://schemas.microsoft.com/office/drawing/2014/main" id="{00000000-0008-0000-0900-00000A000000}"/>
            </a:ext>
          </a:extLst>
        </xdr:cNvPr>
        <xdr:cNvSpPr/>
      </xdr:nvSpPr>
      <xdr:spPr>
        <a:xfrm>
          <a:off x="9585960" y="2584450"/>
          <a:ext cx="12192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11" name="大かっこ 10">
          <a:extLst>
            <a:ext uri="{FF2B5EF4-FFF2-40B4-BE49-F238E27FC236}">
              <a16:creationId xmlns:a16="http://schemas.microsoft.com/office/drawing/2014/main" id="{00000000-0008-0000-0900-00000B000000}"/>
            </a:ext>
          </a:extLst>
        </xdr:cNvPr>
        <xdr:cNvSpPr/>
      </xdr:nvSpPr>
      <xdr:spPr>
        <a:xfrm>
          <a:off x="10880724" y="2584449"/>
          <a:ext cx="103822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19</xdr:col>
      <xdr:colOff>36193</xdr:colOff>
      <xdr:row>15</xdr:row>
      <xdr:rowOff>53340</xdr:rowOff>
    </xdr:from>
    <xdr:to>
      <xdr:col>19</xdr:col>
      <xdr:colOff>1559718</xdr:colOff>
      <xdr:row>17</xdr:row>
      <xdr:rowOff>123389</xdr:rowOff>
    </xdr:to>
    <xdr:sp macro="" textlink="">
      <xdr:nvSpPr>
        <xdr:cNvPr id="12" name="大かっこ 11">
          <a:extLst>
            <a:ext uri="{FF2B5EF4-FFF2-40B4-BE49-F238E27FC236}">
              <a16:creationId xmlns:a16="http://schemas.microsoft.com/office/drawing/2014/main" id="{00000000-0008-0000-0900-00000C000000}"/>
            </a:ext>
          </a:extLst>
        </xdr:cNvPr>
        <xdr:cNvSpPr/>
      </xdr:nvSpPr>
      <xdr:spPr>
        <a:xfrm>
          <a:off x="15300006" y="2815590"/>
          <a:ext cx="1523525" cy="4272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896471</xdr:colOff>
      <xdr:row>319</xdr:row>
      <xdr:rowOff>67795</xdr:rowOff>
    </xdr:from>
    <xdr:to>
      <xdr:col>17</xdr:col>
      <xdr:colOff>314325</xdr:colOff>
      <xdr:row>325</xdr:row>
      <xdr:rowOff>39221</xdr:rowOff>
    </xdr:to>
    <xdr:sp macro="" textlink="">
      <xdr:nvSpPr>
        <xdr:cNvPr id="24" name="角丸四角形 53">
          <a:extLst>
            <a:ext uri="{FF2B5EF4-FFF2-40B4-BE49-F238E27FC236}">
              <a16:creationId xmlns:a16="http://schemas.microsoft.com/office/drawing/2014/main" id="{00000000-0008-0000-0900-000018000000}"/>
            </a:ext>
          </a:extLst>
        </xdr:cNvPr>
        <xdr:cNvSpPr/>
      </xdr:nvSpPr>
      <xdr:spPr>
        <a:xfrm>
          <a:off x="10326221" y="10859620"/>
          <a:ext cx="2484904" cy="1000126"/>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900-000019000000}"/>
            </a:ext>
          </a:extLst>
        </xdr:cNvPr>
        <xdr:cNvSpPr/>
      </xdr:nvSpPr>
      <xdr:spPr>
        <a:xfrm>
          <a:off x="3760252" y="14728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editAs="oneCell">
    <xdr:from>
      <xdr:col>18</xdr:col>
      <xdr:colOff>0</xdr:colOff>
      <xdr:row>321</xdr:row>
      <xdr:rowOff>0</xdr:rowOff>
    </xdr:from>
    <xdr:to>
      <xdr:col>19</xdr:col>
      <xdr:colOff>436803</xdr:colOff>
      <xdr:row>324</xdr:row>
      <xdr:rowOff>15277</xdr:rowOff>
    </xdr:to>
    <xdr:pic>
      <xdr:nvPicPr>
        <xdr:cNvPr id="29" name="図 28">
          <a:extLst>
            <a:ext uri="{FF2B5EF4-FFF2-40B4-BE49-F238E27FC236}">
              <a16:creationId xmlns:a16="http://schemas.microsoft.com/office/drawing/2014/main" id="{00000000-0008-0000-0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17600" y="11042650"/>
          <a:ext cx="1113714" cy="552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690563</xdr:colOff>
      <xdr:row>318</xdr:row>
      <xdr:rowOff>7937</xdr:rowOff>
    </xdr:from>
    <xdr:to>
      <xdr:col>4</xdr:col>
      <xdr:colOff>690563</xdr:colOff>
      <xdr:row>321</xdr:row>
      <xdr:rowOff>7212</xdr:rowOff>
    </xdr:to>
    <xdr:cxnSp macro="">
      <xdr:nvCxnSpPr>
        <xdr:cNvPr id="44" name="直線矢印コネクタ 43">
          <a:extLst>
            <a:ext uri="{FF2B5EF4-FFF2-40B4-BE49-F238E27FC236}">
              <a16:creationId xmlns:a16="http://schemas.microsoft.com/office/drawing/2014/main" id="{00000000-0008-0000-0900-00002C000000}"/>
            </a:ext>
          </a:extLst>
        </xdr:cNvPr>
        <xdr:cNvCxnSpPr/>
      </xdr:nvCxnSpPr>
      <xdr:spPr>
        <a:xfrm flipV="1">
          <a:off x="2960688" y="10493375"/>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611188</xdr:colOff>
      <xdr:row>318</xdr:row>
      <xdr:rowOff>7938</xdr:rowOff>
    </xdr:from>
    <xdr:to>
      <xdr:col>5</xdr:col>
      <xdr:colOff>611188</xdr:colOff>
      <xdr:row>321</xdr:row>
      <xdr:rowOff>7213</xdr:rowOff>
    </xdr:to>
    <xdr:cxnSp macro="">
      <xdr:nvCxnSpPr>
        <xdr:cNvPr id="46" name="直線矢印コネクタ 45">
          <a:extLst>
            <a:ext uri="{FF2B5EF4-FFF2-40B4-BE49-F238E27FC236}">
              <a16:creationId xmlns:a16="http://schemas.microsoft.com/office/drawing/2014/main" id="{00000000-0008-0000-0900-00002E000000}"/>
            </a:ext>
          </a:extLst>
        </xdr:cNvPr>
        <xdr:cNvCxnSpPr/>
      </xdr:nvCxnSpPr>
      <xdr:spPr>
        <a:xfrm flipV="1">
          <a:off x="4135438" y="10493376"/>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539749</xdr:colOff>
      <xdr:row>320</xdr:row>
      <xdr:rowOff>79375</xdr:rowOff>
    </xdr:from>
    <xdr:to>
      <xdr:col>8</xdr:col>
      <xdr:colOff>86210</xdr:colOff>
      <xdr:row>329</xdr:row>
      <xdr:rowOff>93616</xdr:rowOff>
    </xdr:to>
    <xdr:pic>
      <xdr:nvPicPr>
        <xdr:cNvPr id="32" name="図 31">
          <a:extLst>
            <a:ext uri="{FF2B5EF4-FFF2-40B4-BE49-F238E27FC236}">
              <a16:creationId xmlns:a16="http://schemas.microsoft.com/office/drawing/2014/main" id="{00000000-0008-0000-0900-00002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68374" y="10914063"/>
          <a:ext cx="4620745" cy="15953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283926</xdr:colOff>
      <xdr:row>8</xdr:row>
      <xdr:rowOff>90488</xdr:rowOff>
    </xdr:from>
    <xdr:to>
      <xdr:col>17</xdr:col>
      <xdr:colOff>283926</xdr:colOff>
      <xdr:row>11</xdr:row>
      <xdr:rowOff>21913</xdr:rowOff>
    </xdr:to>
    <xdr:cxnSp macro="">
      <xdr:nvCxnSpPr>
        <xdr:cNvPr id="47" name="直線矢印コネクタ 46">
          <a:extLst>
            <a:ext uri="{FF2B5EF4-FFF2-40B4-BE49-F238E27FC236}">
              <a16:creationId xmlns:a16="http://schemas.microsoft.com/office/drawing/2014/main" id="{00000000-0008-0000-0900-00002F000000}"/>
            </a:ext>
          </a:extLst>
        </xdr:cNvPr>
        <xdr:cNvCxnSpPr/>
      </xdr:nvCxnSpPr>
      <xdr:spPr>
        <a:xfrm>
          <a:off x="12975989" y="1487488"/>
          <a:ext cx="0" cy="45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2</xdr:row>
      <xdr:rowOff>71438</xdr:rowOff>
    </xdr:from>
    <xdr:to>
      <xdr:col>19</xdr:col>
      <xdr:colOff>711424</xdr:colOff>
      <xdr:row>8</xdr:row>
      <xdr:rowOff>173588</xdr:rowOff>
    </xdr:to>
    <xdr:sp macro="" textlink="">
      <xdr:nvSpPr>
        <xdr:cNvPr id="48" name="角丸四角形 3">
          <a:extLst>
            <a:ext uri="{FF2B5EF4-FFF2-40B4-BE49-F238E27FC236}">
              <a16:creationId xmlns:a16="http://schemas.microsoft.com/office/drawing/2014/main" id="{00000000-0008-0000-0900-000030000000}"/>
            </a:ext>
          </a:extLst>
        </xdr:cNvPr>
        <xdr:cNvSpPr/>
      </xdr:nvSpPr>
      <xdr:spPr bwMode="auto">
        <a:xfrm>
          <a:off x="9659938" y="420688"/>
          <a:ext cx="4973861" cy="11499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・該当農業機械を</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調査対象畜のみに使用している場合は「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12</xdr:col>
      <xdr:colOff>1219200</xdr:colOff>
      <xdr:row>6</xdr:row>
      <xdr:rowOff>37444</xdr:rowOff>
    </xdr:from>
    <xdr:to>
      <xdr:col>19</xdr:col>
      <xdr:colOff>75831</xdr:colOff>
      <xdr:row>8</xdr:row>
      <xdr:rowOff>107494</xdr:rowOff>
    </xdr:to>
    <xdr:grpSp>
      <xdr:nvGrpSpPr>
        <xdr:cNvPr id="49" name="グループ化 48">
          <a:extLst>
            <a:ext uri="{FF2B5EF4-FFF2-40B4-BE49-F238E27FC236}">
              <a16:creationId xmlns:a16="http://schemas.microsoft.com/office/drawing/2014/main" id="{00000000-0008-0000-0900-000031000000}"/>
            </a:ext>
          </a:extLst>
        </xdr:cNvPr>
        <xdr:cNvGrpSpPr/>
      </xdr:nvGrpSpPr>
      <xdr:grpSpPr>
        <a:xfrm>
          <a:off x="11720513" y="1251882"/>
          <a:ext cx="5238381" cy="427237"/>
          <a:chOff x="4161983" y="1132819"/>
          <a:chExt cx="3651892" cy="432000"/>
        </a:xfrm>
      </xdr:grpSpPr>
      <xdr:grpSp>
        <xdr:nvGrpSpPr>
          <xdr:cNvPr id="50" name="グループ化 49">
            <a:extLst>
              <a:ext uri="{FF2B5EF4-FFF2-40B4-BE49-F238E27FC236}">
                <a16:creationId xmlns:a16="http://schemas.microsoft.com/office/drawing/2014/main" id="{00000000-0008-0000-0900-000032000000}"/>
              </a:ext>
            </a:extLst>
          </xdr:cNvPr>
          <xdr:cNvGrpSpPr/>
        </xdr:nvGrpSpPr>
        <xdr:grpSpPr>
          <a:xfrm>
            <a:off x="4161983" y="1132819"/>
            <a:ext cx="3156690" cy="432000"/>
            <a:chOff x="14039408" y="2675869"/>
            <a:chExt cx="3156690" cy="432000"/>
          </a:xfrm>
        </xdr:grpSpPr>
        <xdr:sp macro="" textlink="">
          <xdr:nvSpPr>
            <xdr:cNvPr id="52" name="テキスト ボックス 51">
              <a:extLst>
                <a:ext uri="{FF2B5EF4-FFF2-40B4-BE49-F238E27FC236}">
                  <a16:creationId xmlns:a16="http://schemas.microsoft.com/office/drawing/2014/main" id="{00000000-0008-0000-0900-000034000000}"/>
                </a:ext>
              </a:extLst>
            </xdr:cNvPr>
            <xdr:cNvSpPr txBox="1"/>
          </xdr:nvSpPr>
          <xdr:spPr bwMode="auto">
            <a:xfrm>
              <a:off x="14039408" y="2791727"/>
              <a:ext cx="1634865" cy="183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53" name="テキスト ボックス 52">
              <a:extLst>
                <a:ext uri="{FF2B5EF4-FFF2-40B4-BE49-F238E27FC236}">
                  <a16:creationId xmlns:a16="http://schemas.microsoft.com/office/drawing/2014/main" id="{00000000-0008-0000-0900-000035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51" name="テキスト ボックス 50">
            <a:extLst>
              <a:ext uri="{FF2B5EF4-FFF2-40B4-BE49-F238E27FC236}">
                <a16:creationId xmlns:a16="http://schemas.microsoft.com/office/drawing/2014/main" id="{00000000-0008-0000-0900-000033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7</xdr:col>
          <xdr:colOff>19050</xdr:colOff>
          <xdr:row>0</xdr:row>
          <xdr:rowOff>228600</xdr:rowOff>
        </xdr:from>
        <xdr:to>
          <xdr:col>8</xdr:col>
          <xdr:colOff>485775</xdr:colOff>
          <xdr:row>1</xdr:row>
          <xdr:rowOff>200025</xdr:rowOff>
        </xdr:to>
        <xdr:sp macro="" textlink="">
          <xdr:nvSpPr>
            <xdr:cNvPr id="9218" name="Label1"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xdr:row>
          <xdr:rowOff>200025</xdr:rowOff>
        </xdr:from>
        <xdr:to>
          <xdr:col>8</xdr:col>
          <xdr:colOff>485775</xdr:colOff>
          <xdr:row>2</xdr:row>
          <xdr:rowOff>142875</xdr:rowOff>
        </xdr:to>
        <xdr:sp macro="" textlink="">
          <xdr:nvSpPr>
            <xdr:cNvPr id="9219" name="txt_hyouji"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228600</xdr:rowOff>
        </xdr:from>
        <xdr:to>
          <xdr:col>10</xdr:col>
          <xdr:colOff>609600</xdr:colOff>
          <xdr:row>2</xdr:row>
          <xdr:rowOff>142875</xdr:rowOff>
        </xdr:to>
        <xdr:sp macro="" textlink="">
          <xdr:nvSpPr>
            <xdr:cNvPr id="9220" name="btnKoushin1"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0</xdr:colOff>
      <xdr:row>8</xdr:row>
      <xdr:rowOff>0</xdr:rowOff>
    </xdr:from>
    <xdr:to>
      <xdr:col>21</xdr:col>
      <xdr:colOff>60325</xdr:colOff>
      <xdr:row>10</xdr:row>
      <xdr:rowOff>135700</xdr:rowOff>
    </xdr:to>
    <xdr:sp macro="" textlink="">
      <xdr:nvSpPr>
        <xdr:cNvPr id="16" name="角丸四角形 51">
          <a:extLst>
            <a:ext uri="{FF2B5EF4-FFF2-40B4-BE49-F238E27FC236}">
              <a16:creationId xmlns:a16="http://schemas.microsoft.com/office/drawing/2014/main" id="{00000000-0008-0000-0A00-000010000000}"/>
            </a:ext>
          </a:extLst>
        </xdr:cNvPr>
        <xdr:cNvSpPr/>
      </xdr:nvSpPr>
      <xdr:spPr bwMode="auto">
        <a:xfrm>
          <a:off x="182563" y="1476375"/>
          <a:ext cx="7013575" cy="4849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47625</xdr:colOff>
      <xdr:row>51</xdr:row>
      <xdr:rowOff>38100</xdr:rowOff>
    </xdr:from>
    <xdr:to>
      <xdr:col>21</xdr:col>
      <xdr:colOff>107950</xdr:colOff>
      <xdr:row>54</xdr:row>
      <xdr:rowOff>2350</xdr:rowOff>
    </xdr:to>
    <xdr:sp macro="" textlink="">
      <xdr:nvSpPr>
        <xdr:cNvPr id="9" name="角丸四角形 51">
          <a:extLst>
            <a:ext uri="{FF2B5EF4-FFF2-40B4-BE49-F238E27FC236}">
              <a16:creationId xmlns:a16="http://schemas.microsoft.com/office/drawing/2014/main" id="{00000000-0008-0000-0A00-000009000000}"/>
            </a:ext>
          </a:extLst>
        </xdr:cNvPr>
        <xdr:cNvSpPr/>
      </xdr:nvSpPr>
      <xdr:spPr bwMode="auto">
        <a:xfrm>
          <a:off x="228600" y="6438900"/>
          <a:ext cx="6746875" cy="4786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114300</xdr:colOff>
          <xdr:row>11</xdr:row>
          <xdr:rowOff>9525</xdr:rowOff>
        </xdr:from>
        <xdr:to>
          <xdr:col>11</xdr:col>
          <xdr:colOff>85725</xdr:colOff>
          <xdr:row>11</xdr:row>
          <xdr:rowOff>219075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15</xdr:col>
          <xdr:colOff>57150</xdr:colOff>
          <xdr:row>11</xdr:row>
          <xdr:rowOff>219075</xdr:rowOff>
        </xdr:to>
        <xdr:sp macro="" textlink="">
          <xdr:nvSpPr>
            <xdr:cNvPr id="10242" name="txt_hyouji1"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10</xdr:row>
          <xdr:rowOff>161925</xdr:rowOff>
        </xdr:from>
        <xdr:to>
          <xdr:col>22</xdr:col>
          <xdr:colOff>9525</xdr:colOff>
          <xdr:row>12</xdr:row>
          <xdr:rowOff>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54</xdr:row>
          <xdr:rowOff>9525</xdr:rowOff>
        </xdr:from>
        <xdr:to>
          <xdr:col>11</xdr:col>
          <xdr:colOff>85725</xdr:colOff>
          <xdr:row>54</xdr:row>
          <xdr:rowOff>219075</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54</xdr:row>
          <xdr:rowOff>9525</xdr:rowOff>
        </xdr:from>
        <xdr:to>
          <xdr:col>15</xdr:col>
          <xdr:colOff>57150</xdr:colOff>
          <xdr:row>54</xdr:row>
          <xdr:rowOff>219075</xdr:rowOff>
        </xdr:to>
        <xdr:sp macro="" textlink="">
          <xdr:nvSpPr>
            <xdr:cNvPr id="10245" name="txt_hyouji2"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53</xdr:row>
          <xdr:rowOff>161925</xdr:rowOff>
        </xdr:from>
        <xdr:to>
          <xdr:col>22</xdr:col>
          <xdr:colOff>9525</xdr:colOff>
          <xdr:row>55</xdr:row>
          <xdr:rowOff>0</xdr:rowOff>
        </xdr:to>
        <xdr:sp macro="" textlink="">
          <xdr:nvSpPr>
            <xdr:cNvPr id="10246" name="btnKoushin2"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550333</xdr:colOff>
      <xdr:row>9</xdr:row>
      <xdr:rowOff>358775</xdr:rowOff>
    </xdr:from>
    <xdr:ext cx="338554" cy="192360"/>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5091853" y="240855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584200</xdr:colOff>
      <xdr:row>9</xdr:row>
      <xdr:rowOff>277283</xdr:rowOff>
    </xdr:from>
    <xdr:ext cx="298651" cy="192360"/>
    <xdr:sp macro="" textlink="">
      <xdr:nvSpPr>
        <xdr:cNvPr id="3" name="テキスト ボックス 2">
          <a:extLst>
            <a:ext uri="{FF2B5EF4-FFF2-40B4-BE49-F238E27FC236}">
              <a16:creationId xmlns:a16="http://schemas.microsoft.com/office/drawing/2014/main" id="{00000000-0008-0000-0B00-000003000000}"/>
            </a:ext>
          </a:extLst>
        </xdr:cNvPr>
        <xdr:cNvSpPr txBox="1"/>
      </xdr:nvSpPr>
      <xdr:spPr>
        <a:xfrm>
          <a:off x="5909733" y="2410883"/>
          <a:ext cx="298651"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593725</xdr:colOff>
      <xdr:row>10</xdr:row>
      <xdr:rowOff>353483</xdr:rowOff>
    </xdr:from>
    <xdr:ext cx="261610" cy="192360"/>
    <xdr:sp macro="" textlink="">
      <xdr:nvSpPr>
        <xdr:cNvPr id="4" name="テキスト ボックス 3">
          <a:extLst>
            <a:ext uri="{FF2B5EF4-FFF2-40B4-BE49-F238E27FC236}">
              <a16:creationId xmlns:a16="http://schemas.microsoft.com/office/drawing/2014/main" id="{00000000-0008-0000-0B00-000004000000}"/>
            </a:ext>
          </a:extLst>
        </xdr:cNvPr>
        <xdr:cNvSpPr txBox="1"/>
      </xdr:nvSpPr>
      <xdr:spPr>
        <a:xfrm>
          <a:off x="5148792" y="277495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523875</xdr:colOff>
      <xdr:row>10</xdr:row>
      <xdr:rowOff>0</xdr:rowOff>
    </xdr:from>
    <xdr:ext cx="338554" cy="192360"/>
    <xdr:sp macro="" textlink="">
      <xdr:nvSpPr>
        <xdr:cNvPr id="5" name="テキスト ボックス 4">
          <a:extLst>
            <a:ext uri="{FF2B5EF4-FFF2-40B4-BE49-F238E27FC236}">
              <a16:creationId xmlns:a16="http://schemas.microsoft.com/office/drawing/2014/main" id="{00000000-0008-0000-0B00-000005000000}"/>
            </a:ext>
          </a:extLst>
        </xdr:cNvPr>
        <xdr:cNvSpPr txBox="1"/>
      </xdr:nvSpPr>
      <xdr:spPr>
        <a:xfrm>
          <a:off x="6604635" y="240792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594783</xdr:colOff>
      <xdr:row>10</xdr:row>
      <xdr:rowOff>0</xdr:rowOff>
    </xdr:from>
    <xdr:ext cx="261610" cy="192360"/>
    <xdr:sp macro="" textlink="">
      <xdr:nvSpPr>
        <xdr:cNvPr id="6" name="テキスト ボックス 5">
          <a:extLst>
            <a:ext uri="{FF2B5EF4-FFF2-40B4-BE49-F238E27FC236}">
              <a16:creationId xmlns:a16="http://schemas.microsoft.com/office/drawing/2014/main" id="{00000000-0008-0000-0B00-000006000000}"/>
            </a:ext>
          </a:extLst>
        </xdr:cNvPr>
        <xdr:cNvSpPr txBox="1"/>
      </xdr:nvSpPr>
      <xdr:spPr>
        <a:xfrm>
          <a:off x="7445163" y="240792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584199</xdr:colOff>
      <xdr:row>10</xdr:row>
      <xdr:rowOff>354541</xdr:rowOff>
    </xdr:from>
    <xdr:ext cx="261610" cy="192360"/>
    <xdr:sp macro="" textlink="">
      <xdr:nvSpPr>
        <xdr:cNvPr id="7" name="テキスト ボックス 6">
          <a:extLst>
            <a:ext uri="{FF2B5EF4-FFF2-40B4-BE49-F238E27FC236}">
              <a16:creationId xmlns:a16="http://schemas.microsoft.com/office/drawing/2014/main" id="{00000000-0008-0000-0B00-000007000000}"/>
            </a:ext>
          </a:extLst>
        </xdr:cNvPr>
        <xdr:cNvSpPr txBox="1"/>
      </xdr:nvSpPr>
      <xdr:spPr>
        <a:xfrm>
          <a:off x="6680199" y="2776008"/>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523875</xdr:colOff>
      <xdr:row>10</xdr:row>
      <xdr:rowOff>0</xdr:rowOff>
    </xdr:from>
    <xdr:ext cx="338554" cy="192360"/>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a:xfrm>
          <a:off x="8143875" y="240792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594783</xdr:colOff>
      <xdr:row>10</xdr:row>
      <xdr:rowOff>0</xdr:rowOff>
    </xdr:from>
    <xdr:ext cx="261610" cy="192360"/>
    <xdr:sp macro="" textlink="">
      <xdr:nvSpPr>
        <xdr:cNvPr id="12" name="テキスト ボックス 11">
          <a:extLst>
            <a:ext uri="{FF2B5EF4-FFF2-40B4-BE49-F238E27FC236}">
              <a16:creationId xmlns:a16="http://schemas.microsoft.com/office/drawing/2014/main" id="{00000000-0008-0000-0B00-00000C000000}"/>
            </a:ext>
          </a:extLst>
        </xdr:cNvPr>
        <xdr:cNvSpPr txBox="1"/>
      </xdr:nvSpPr>
      <xdr:spPr>
        <a:xfrm>
          <a:off x="8984403" y="240792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592666</xdr:colOff>
      <xdr:row>10</xdr:row>
      <xdr:rowOff>354541</xdr:rowOff>
    </xdr:from>
    <xdr:ext cx="261610" cy="192360"/>
    <xdr:sp macro="" textlink="">
      <xdr:nvSpPr>
        <xdr:cNvPr id="13" name="テキスト ボックス 12">
          <a:extLst>
            <a:ext uri="{FF2B5EF4-FFF2-40B4-BE49-F238E27FC236}">
              <a16:creationId xmlns:a16="http://schemas.microsoft.com/office/drawing/2014/main" id="{00000000-0008-0000-0B00-00000D000000}"/>
            </a:ext>
          </a:extLst>
        </xdr:cNvPr>
        <xdr:cNvSpPr txBox="1"/>
      </xdr:nvSpPr>
      <xdr:spPr>
        <a:xfrm>
          <a:off x="8229599" y="2776008"/>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8</xdr:col>
      <xdr:colOff>400050</xdr:colOff>
      <xdr:row>0</xdr:row>
      <xdr:rowOff>101601</xdr:rowOff>
    </xdr:from>
    <xdr:to>
      <xdr:col>13</xdr:col>
      <xdr:colOff>762000</xdr:colOff>
      <xdr:row>4</xdr:row>
      <xdr:rowOff>158751</xdr:rowOff>
    </xdr:to>
    <xdr:sp macro="" textlink="">
      <xdr:nvSpPr>
        <xdr:cNvPr id="14" name="角丸四角形 21">
          <a:extLst>
            <a:ext uri="{FF2B5EF4-FFF2-40B4-BE49-F238E27FC236}">
              <a16:creationId xmlns:a16="http://schemas.microsoft.com/office/drawing/2014/main" id="{00000000-0008-0000-0B00-00000E000000}"/>
            </a:ext>
          </a:extLst>
        </xdr:cNvPr>
        <xdr:cNvSpPr/>
      </xdr:nvSpPr>
      <xdr:spPr>
        <a:xfrm>
          <a:off x="6480810" y="101601"/>
          <a:ext cx="4210050" cy="971550"/>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・種付け、分べん関係作業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twoCellAnchor>
  <xdr:twoCellAnchor>
    <xdr:from>
      <xdr:col>5</xdr:col>
      <xdr:colOff>31750</xdr:colOff>
      <xdr:row>110</xdr:row>
      <xdr:rowOff>44452</xdr:rowOff>
    </xdr:from>
    <xdr:to>
      <xdr:col>5</xdr:col>
      <xdr:colOff>590548</xdr:colOff>
      <xdr:row>110</xdr:row>
      <xdr:rowOff>50800</xdr:rowOff>
    </xdr:to>
    <xdr:cxnSp macro="">
      <xdr:nvCxnSpPr>
        <xdr:cNvPr id="15" name="直線矢印コネクタ 14">
          <a:extLst>
            <a:ext uri="{FF2B5EF4-FFF2-40B4-BE49-F238E27FC236}">
              <a16:creationId xmlns:a16="http://schemas.microsoft.com/office/drawing/2014/main" id="{00000000-0008-0000-0B00-00000F000000}"/>
            </a:ext>
          </a:extLst>
        </xdr:cNvPr>
        <xdr:cNvCxnSpPr/>
      </xdr:nvCxnSpPr>
      <xdr:spPr>
        <a:xfrm flipV="1">
          <a:off x="3803650" y="15627352"/>
          <a:ext cx="558798" cy="634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488948</xdr:colOff>
      <xdr:row>109</xdr:row>
      <xdr:rowOff>12701</xdr:rowOff>
    </xdr:from>
    <xdr:to>
      <xdr:col>13</xdr:col>
      <xdr:colOff>311150</xdr:colOff>
      <xdr:row>111</xdr:row>
      <xdr:rowOff>114300</xdr:rowOff>
    </xdr:to>
    <xdr:sp macro="" textlink="">
      <xdr:nvSpPr>
        <xdr:cNvPr id="16" name="角丸四角形 23">
          <a:extLst>
            <a:ext uri="{FF2B5EF4-FFF2-40B4-BE49-F238E27FC236}">
              <a16:creationId xmlns:a16="http://schemas.microsoft.com/office/drawing/2014/main" id="{00000000-0008-0000-0B00-000010000000}"/>
            </a:ext>
          </a:extLst>
        </xdr:cNvPr>
        <xdr:cNvSpPr/>
      </xdr:nvSpPr>
      <xdr:spPr>
        <a:xfrm>
          <a:off x="4260848" y="15252701"/>
          <a:ext cx="5979162" cy="78739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・調査対象畜以外の雇用者への支払い分を含めて入力する場合には、それぞれの労働時間の割合を目安に調査対象畜の負担割合を入力してください。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457200</xdr:colOff>
          <xdr:row>2</xdr:row>
          <xdr:rowOff>152400</xdr:rowOff>
        </xdr:from>
        <xdr:to>
          <xdr:col>6</xdr:col>
          <xdr:colOff>476250</xdr:colOff>
          <xdr:row>3</xdr:row>
          <xdr:rowOff>209550</xdr:rowOff>
        </xdr:to>
        <xdr:sp macro="" textlink="">
          <xdr:nvSpPr>
            <xdr:cNvPr id="11274" name="Label1" hidden="1">
              <a:extLst>
                <a:ext uri="{63B3BB69-23CF-44E3-9099-C40C66FF867C}">
                  <a14:compatExt spid="_x0000_s11274"/>
                </a:ext>
                <a:ext uri="{FF2B5EF4-FFF2-40B4-BE49-F238E27FC236}">
                  <a16:creationId xmlns:a16="http://schemas.microsoft.com/office/drawing/2014/main" id="{00000000-0008-0000-0B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209550</xdr:rowOff>
        </xdr:from>
        <xdr:to>
          <xdr:col>6</xdr:col>
          <xdr:colOff>476250</xdr:colOff>
          <xdr:row>4</xdr:row>
          <xdr:rowOff>85725</xdr:rowOff>
        </xdr:to>
        <xdr:sp macro="" textlink="">
          <xdr:nvSpPr>
            <xdr:cNvPr id="11275" name="txt_hyouji1" hidden="1">
              <a:extLst>
                <a:ext uri="{63B3BB69-23CF-44E3-9099-C40C66FF867C}">
                  <a14:compatExt spid="_x0000_s11275"/>
                </a:ext>
                <a:ext uri="{FF2B5EF4-FFF2-40B4-BE49-F238E27FC236}">
                  <a16:creationId xmlns:a16="http://schemas.microsoft.com/office/drawing/2014/main" id="{00000000-0008-0000-0B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2</xdr:row>
          <xdr:rowOff>152400</xdr:rowOff>
        </xdr:from>
        <xdr:to>
          <xdr:col>8</xdr:col>
          <xdr:colOff>133350</xdr:colOff>
          <xdr:row>4</xdr:row>
          <xdr:rowOff>85725</xdr:rowOff>
        </xdr:to>
        <xdr:sp macro="" textlink="">
          <xdr:nvSpPr>
            <xdr:cNvPr id="11276" name="btnKoushin1" hidden="1">
              <a:extLst>
                <a:ext uri="{63B3BB69-23CF-44E3-9099-C40C66FF867C}">
                  <a14:compatExt spid="_x0000_s11276"/>
                </a:ext>
                <a:ext uri="{FF2B5EF4-FFF2-40B4-BE49-F238E27FC236}">
                  <a16:creationId xmlns:a16="http://schemas.microsoft.com/office/drawing/2014/main" id="{00000000-0008-0000-0B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71</xdr:row>
          <xdr:rowOff>0</xdr:rowOff>
        </xdr:from>
        <xdr:to>
          <xdr:col>11</xdr:col>
          <xdr:colOff>476250</xdr:colOff>
          <xdr:row>71</xdr:row>
          <xdr:rowOff>209550</xdr:rowOff>
        </xdr:to>
        <xdr:sp macro="" textlink="">
          <xdr:nvSpPr>
            <xdr:cNvPr id="11280" name="Label2" hidden="1">
              <a:extLst>
                <a:ext uri="{63B3BB69-23CF-44E3-9099-C40C66FF867C}">
                  <a14:compatExt spid="_x0000_s11280"/>
                </a:ext>
                <a:ext uri="{FF2B5EF4-FFF2-40B4-BE49-F238E27FC236}">
                  <a16:creationId xmlns:a16="http://schemas.microsoft.com/office/drawing/2014/main" id="{00000000-0008-0000-0B00-00001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71</xdr:row>
          <xdr:rowOff>209550</xdr:rowOff>
        </xdr:from>
        <xdr:to>
          <xdr:col>11</xdr:col>
          <xdr:colOff>476250</xdr:colOff>
          <xdr:row>72</xdr:row>
          <xdr:rowOff>76200</xdr:rowOff>
        </xdr:to>
        <xdr:sp macro="" textlink="">
          <xdr:nvSpPr>
            <xdr:cNvPr id="11281" name="txt_hyouji2" hidden="1">
              <a:extLst>
                <a:ext uri="{63B3BB69-23CF-44E3-9099-C40C66FF867C}">
                  <a14:compatExt spid="_x0000_s11281"/>
                </a:ext>
                <a:ext uri="{FF2B5EF4-FFF2-40B4-BE49-F238E27FC236}">
                  <a16:creationId xmlns:a16="http://schemas.microsoft.com/office/drawing/2014/main" id="{00000000-0008-0000-0B00-00001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581025</xdr:colOff>
          <xdr:row>71</xdr:row>
          <xdr:rowOff>0</xdr:rowOff>
        </xdr:from>
        <xdr:to>
          <xdr:col>13</xdr:col>
          <xdr:colOff>133350</xdr:colOff>
          <xdr:row>72</xdr:row>
          <xdr:rowOff>76200</xdr:rowOff>
        </xdr:to>
        <xdr:sp macro="" textlink="">
          <xdr:nvSpPr>
            <xdr:cNvPr id="11282" name="btnKoushin2" hidden="1">
              <a:extLst>
                <a:ext uri="{63B3BB69-23CF-44E3-9099-C40C66FF867C}">
                  <a14:compatExt spid="_x0000_s11282"/>
                </a:ext>
                <a:ext uri="{FF2B5EF4-FFF2-40B4-BE49-F238E27FC236}">
                  <a16:creationId xmlns:a16="http://schemas.microsoft.com/office/drawing/2014/main" id="{00000000-0008-0000-0B00-00001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480544</xdr:colOff>
      <xdr:row>16</xdr:row>
      <xdr:rowOff>333375</xdr:rowOff>
    </xdr:from>
    <xdr:to>
      <xdr:col>5</xdr:col>
      <xdr:colOff>480544</xdr:colOff>
      <xdr:row>18</xdr:row>
      <xdr:rowOff>150628</xdr:rowOff>
    </xdr:to>
    <xdr:cxnSp macro="">
      <xdr:nvCxnSpPr>
        <xdr:cNvPr id="17" name="直線矢印コネクタ 16">
          <a:extLst>
            <a:ext uri="{FF2B5EF4-FFF2-40B4-BE49-F238E27FC236}">
              <a16:creationId xmlns:a16="http://schemas.microsoft.com/office/drawing/2014/main" id="{00000000-0008-0000-0C00-000011000000}"/>
            </a:ext>
          </a:extLst>
        </xdr:cNvPr>
        <xdr:cNvCxnSpPr/>
      </xdr:nvCxnSpPr>
      <xdr:spPr>
        <a:xfrm flipV="1">
          <a:off x="5973294" y="3611563"/>
          <a:ext cx="0" cy="33319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79375</xdr:colOff>
      <xdr:row>18</xdr:row>
      <xdr:rowOff>116449</xdr:rowOff>
    </xdr:from>
    <xdr:to>
      <xdr:col>5</xdr:col>
      <xdr:colOff>817864</xdr:colOff>
      <xdr:row>20</xdr:row>
      <xdr:rowOff>88174</xdr:rowOff>
    </xdr:to>
    <xdr:sp macro="" textlink="">
      <xdr:nvSpPr>
        <xdr:cNvPr id="18" name="角丸四角形 60">
          <a:extLst>
            <a:ext uri="{FF2B5EF4-FFF2-40B4-BE49-F238E27FC236}">
              <a16:creationId xmlns:a16="http://schemas.microsoft.com/office/drawing/2014/main" id="{00000000-0008-0000-0C00-000012000000}"/>
            </a:ext>
          </a:extLst>
        </xdr:cNvPr>
        <xdr:cNvSpPr/>
      </xdr:nvSpPr>
      <xdr:spPr>
        <a:xfrm>
          <a:off x="1984375" y="3910574"/>
          <a:ext cx="4326239" cy="622600"/>
        </a:xfrm>
        <a:prstGeom prst="roundRect">
          <a:avLst>
            <a:gd name="adj" fmla="val 1673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・該当土地を調査対象畜のみに使用している場合には「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・調査対象畜以外へ共通して使用している場合には、それぞれの使用面積の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9.xml"/><Relationship Id="rId5" Type="http://schemas.openxmlformats.org/officeDocument/2006/relationships/image" Target="../media/image10.emf"/><Relationship Id="rId4" Type="http://schemas.openxmlformats.org/officeDocument/2006/relationships/control" Target="../activeX/activeX8.xml"/><Relationship Id="rId9" Type="http://schemas.openxmlformats.org/officeDocument/2006/relationships/image" Target="../media/image12.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vmlDrawing" Target="../drawings/vmlDrawing3.vml"/><Relationship Id="rId7" Type="http://schemas.openxmlformats.org/officeDocument/2006/relationships/control" Target="../activeX/activeX12.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image" Target="../media/image13.emf"/><Relationship Id="rId5" Type="http://schemas.openxmlformats.org/officeDocument/2006/relationships/control" Target="../activeX/activeX11.xml"/><Relationship Id="rId10" Type="http://schemas.openxmlformats.org/officeDocument/2006/relationships/image" Target="../media/image15.emf"/><Relationship Id="rId4" Type="http://schemas.openxmlformats.org/officeDocument/2006/relationships/vmlDrawing" Target="../drawings/vmlDrawing4.vml"/><Relationship Id="rId9" Type="http://schemas.openxmlformats.org/officeDocument/2006/relationships/control" Target="../activeX/activeX13.xml"/></Relationships>
</file>

<file path=xl/worksheets/_rels/sheet9.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vmlDrawing" Target="../drawings/vmlDrawing5.vml"/><Relationship Id="rId7" Type="http://schemas.openxmlformats.org/officeDocument/2006/relationships/control" Target="../activeX/activeX1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image" Target="../media/image20.emf"/><Relationship Id="rId11" Type="http://schemas.openxmlformats.org/officeDocument/2006/relationships/comments" Target="../comments1.xml"/><Relationship Id="rId5" Type="http://schemas.openxmlformats.org/officeDocument/2006/relationships/control" Target="../activeX/activeX14.xml"/><Relationship Id="rId10" Type="http://schemas.openxmlformats.org/officeDocument/2006/relationships/image" Target="../media/image22.emf"/><Relationship Id="rId4" Type="http://schemas.openxmlformats.org/officeDocument/2006/relationships/vmlDrawing" Target="../drawings/vmlDrawing6.vml"/><Relationship Id="rId9" Type="http://schemas.openxmlformats.org/officeDocument/2006/relationships/control" Target="../activeX/activeX16.xml"/></Relationships>
</file>

<file path=xl/worksheets/_rels/sheet10.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vmlDrawing" Target="../drawings/vmlDrawing7.vml"/><Relationship Id="rId7" Type="http://schemas.openxmlformats.org/officeDocument/2006/relationships/control" Target="../activeX/activeX18.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image" Target="../media/image26.emf"/><Relationship Id="rId11" Type="http://schemas.openxmlformats.org/officeDocument/2006/relationships/comments" Target="../comments2.xml"/><Relationship Id="rId5" Type="http://schemas.openxmlformats.org/officeDocument/2006/relationships/control" Target="../activeX/activeX17.xml"/><Relationship Id="rId10" Type="http://schemas.openxmlformats.org/officeDocument/2006/relationships/image" Target="../media/image28.emf"/><Relationship Id="rId4" Type="http://schemas.openxmlformats.org/officeDocument/2006/relationships/vmlDrawing" Target="../drawings/vmlDrawing8.vml"/><Relationship Id="rId9" Type="http://schemas.openxmlformats.org/officeDocument/2006/relationships/control" Target="../activeX/activeX19.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36.emf"/><Relationship Id="rId3" Type="http://schemas.openxmlformats.org/officeDocument/2006/relationships/vmlDrawing" Target="../drawings/vmlDrawing9.vml"/><Relationship Id="rId7" Type="http://schemas.openxmlformats.org/officeDocument/2006/relationships/image" Target="../media/image33.emf"/><Relationship Id="rId12" Type="http://schemas.openxmlformats.org/officeDocument/2006/relationships/control" Target="../activeX/activeX24.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21.xml"/><Relationship Id="rId11" Type="http://schemas.openxmlformats.org/officeDocument/2006/relationships/image" Target="../media/image35.emf"/><Relationship Id="rId5" Type="http://schemas.openxmlformats.org/officeDocument/2006/relationships/image" Target="../media/image32.emf"/><Relationship Id="rId15" Type="http://schemas.openxmlformats.org/officeDocument/2006/relationships/image" Target="../media/image37.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34.emf"/><Relationship Id="rId14" Type="http://schemas.openxmlformats.org/officeDocument/2006/relationships/control" Target="../activeX/activeX25.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42.emf"/><Relationship Id="rId3" Type="http://schemas.openxmlformats.org/officeDocument/2006/relationships/vmlDrawing" Target="../drawings/vmlDrawing10.vml"/><Relationship Id="rId7" Type="http://schemas.openxmlformats.org/officeDocument/2006/relationships/image" Target="../media/image39.emf"/><Relationship Id="rId12" Type="http://schemas.openxmlformats.org/officeDocument/2006/relationships/control" Target="../activeX/activeX30.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27.xml"/><Relationship Id="rId11" Type="http://schemas.openxmlformats.org/officeDocument/2006/relationships/image" Target="../media/image41.emf"/><Relationship Id="rId5" Type="http://schemas.openxmlformats.org/officeDocument/2006/relationships/image" Target="../media/image38.emf"/><Relationship Id="rId15" Type="http://schemas.openxmlformats.org/officeDocument/2006/relationships/image" Target="../media/image43.emf"/><Relationship Id="rId10" Type="http://schemas.openxmlformats.org/officeDocument/2006/relationships/control" Target="../activeX/activeX29.xml"/><Relationship Id="rId4" Type="http://schemas.openxmlformats.org/officeDocument/2006/relationships/control" Target="../activeX/activeX26.xml"/><Relationship Id="rId9" Type="http://schemas.openxmlformats.org/officeDocument/2006/relationships/image" Target="../media/image40.emf"/><Relationship Id="rId14" Type="http://schemas.openxmlformats.org/officeDocument/2006/relationships/control" Target="../activeX/activeX3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79"/>
  <sheetViews>
    <sheetView showGridLines="0" tabSelected="1" zoomScale="80" zoomScaleNormal="80" zoomScaleSheetLayoutView="85" workbookViewId="0">
      <selection activeCell="BJ5" sqref="BJ5"/>
    </sheetView>
  </sheetViews>
  <sheetFormatPr defaultColWidth="9" defaultRowHeight="13.5" outlineLevelCol="1"/>
  <cols>
    <col min="1" max="3" width="3.375" style="918" customWidth="1"/>
    <col min="4" max="4" width="3.125" style="918" customWidth="1"/>
    <col min="5" max="5" width="2.875" style="918" customWidth="1"/>
    <col min="6" max="58" width="3.375" style="918" customWidth="1"/>
    <col min="59" max="60" width="3.375" style="918" customWidth="1" outlineLevel="1"/>
    <col min="61" max="62" width="12.75" style="918" customWidth="1" outlineLevel="1"/>
    <col min="63" max="63" width="6.75" style="918" customWidth="1" outlineLevel="1"/>
    <col min="64" max="69" width="12.75" style="918" customWidth="1" outlineLevel="1"/>
    <col min="70" max="70" width="6.75" style="918" customWidth="1" outlineLevel="1"/>
    <col min="71" max="71" width="20.75" style="918" customWidth="1" outlineLevel="1"/>
    <col min="72" max="72" width="12.75" style="918" customWidth="1"/>
    <col min="73" max="16384" width="9" style="918"/>
  </cols>
  <sheetData>
    <row r="1" spans="4:72" s="916" customFormat="1">
      <c r="BG1" s="931"/>
      <c r="BH1" s="931"/>
    </row>
    <row r="2" spans="4:72" s="916" customFormat="1">
      <c r="BG2" s="1000"/>
      <c r="BH2" s="931"/>
    </row>
    <row r="3" spans="4:72" s="916" customFormat="1" ht="14.25">
      <c r="BG3" s="1000"/>
      <c r="BH3" s="931"/>
      <c r="BI3" s="97" t="s">
        <v>399</v>
      </c>
      <c r="BJ3" s="918"/>
      <c r="BK3" s="337"/>
      <c r="BL3" s="918"/>
      <c r="BM3" s="918"/>
      <c r="BN3" s="918"/>
      <c r="BO3" s="918"/>
      <c r="BP3" s="918"/>
      <c r="BQ3" s="918"/>
      <c r="BR3" s="918"/>
      <c r="BS3" s="918"/>
      <c r="BT3" s="918"/>
    </row>
    <row r="4" spans="4:72" s="916" customFormat="1" ht="3.75" customHeight="1" thickBot="1">
      <c r="BG4" s="1004"/>
      <c r="BH4" s="1095"/>
      <c r="BI4" s="98"/>
      <c r="BJ4" s="918"/>
      <c r="BK4" s="337"/>
      <c r="BL4" s="918"/>
      <c r="BM4" s="918"/>
      <c r="BN4" s="918"/>
      <c r="BO4" s="918"/>
      <c r="BP4" s="918"/>
      <c r="BQ4" s="918"/>
      <c r="BR4" s="918"/>
      <c r="BS4" s="918"/>
      <c r="BT4" s="918"/>
    </row>
    <row r="5" spans="4:72" s="916" customFormat="1" ht="28.9" customHeight="1" thickTop="1" thickBot="1">
      <c r="E5" s="1364" t="s">
        <v>0</v>
      </c>
      <c r="F5" s="1365"/>
      <c r="G5" s="1365"/>
      <c r="H5" s="1366"/>
      <c r="BG5" s="1004"/>
      <c r="BH5" s="1096"/>
      <c r="BI5" s="959" t="s">
        <v>329</v>
      </c>
      <c r="BJ5" s="943"/>
      <c r="BK5" s="337"/>
      <c r="BL5" s="1352" t="s">
        <v>358</v>
      </c>
      <c r="BM5" s="1353"/>
      <c r="BN5" s="1353"/>
      <c r="BO5" s="1353"/>
      <c r="BP5" s="1353"/>
      <c r="BQ5" s="1354"/>
      <c r="BR5" s="918"/>
      <c r="BS5" s="960" t="s">
        <v>364</v>
      </c>
      <c r="BT5" s="918"/>
    </row>
    <row r="6" spans="4:72" s="916" customFormat="1" ht="28.9" customHeight="1" thickTop="1" thickBot="1">
      <c r="E6" s="1361" t="s">
        <v>1</v>
      </c>
      <c r="F6" s="1362"/>
      <c r="G6" s="1362"/>
      <c r="H6" s="1363"/>
      <c r="BG6" s="1000"/>
      <c r="BH6" s="1097"/>
      <c r="BI6" s="1102" t="s">
        <v>863</v>
      </c>
      <c r="BJ6" s="1103" t="s">
        <v>864</v>
      </c>
      <c r="BK6" s="337"/>
      <c r="BL6" s="920" t="s">
        <v>249</v>
      </c>
      <c r="BM6" s="920" t="s">
        <v>359</v>
      </c>
      <c r="BN6" s="920" t="s">
        <v>360</v>
      </c>
      <c r="BO6" s="920" t="s">
        <v>361</v>
      </c>
      <c r="BP6" s="920" t="s">
        <v>362</v>
      </c>
      <c r="BQ6" s="920" t="s">
        <v>363</v>
      </c>
      <c r="BR6" s="918"/>
      <c r="BS6" s="948"/>
      <c r="BT6" s="918"/>
    </row>
    <row r="7" spans="4:72" s="916" customFormat="1" ht="28.9" customHeight="1" thickTop="1" thickBot="1">
      <c r="BG7" s="1000"/>
      <c r="BH7" s="931"/>
      <c r="BI7" s="915" t="s">
        <v>309</v>
      </c>
      <c r="BJ7" s="958" t="s">
        <v>824</v>
      </c>
      <c r="BK7" s="337"/>
      <c r="BL7" s="944"/>
      <c r="BM7" s="945"/>
      <c r="BN7" s="946"/>
      <c r="BO7" s="945"/>
      <c r="BP7" s="945"/>
      <c r="BQ7" s="947"/>
      <c r="BR7" s="918"/>
      <c r="BT7" s="918"/>
    </row>
    <row r="8" spans="4:72" s="916" customFormat="1" ht="28.9" customHeight="1" thickBot="1">
      <c r="BG8" s="1000"/>
      <c r="BH8" s="931"/>
      <c r="BJ8" s="917">
        <v>97</v>
      </c>
      <c r="BK8" s="918"/>
      <c r="BR8" s="918"/>
      <c r="BT8" s="918"/>
    </row>
    <row r="9" spans="4:72" s="916" customFormat="1" ht="14.25" customHeight="1">
      <c r="L9" s="921"/>
      <c r="M9" s="921"/>
      <c r="N9" s="921"/>
      <c r="O9" s="921"/>
      <c r="P9" s="921"/>
      <c r="Q9" s="922"/>
      <c r="R9" s="922"/>
      <c r="S9" s="922"/>
      <c r="T9" s="921"/>
      <c r="U9" s="921"/>
      <c r="V9" s="921"/>
      <c r="W9" s="921"/>
      <c r="X9" s="921"/>
      <c r="Y9" s="921"/>
      <c r="Z9" s="921"/>
      <c r="AA9" s="921"/>
      <c r="AB9" s="921"/>
      <c r="AC9" s="921"/>
      <c r="AD9" s="921"/>
      <c r="AE9" s="921"/>
      <c r="AF9" s="921"/>
      <c r="AG9" s="921"/>
      <c r="AH9" s="921"/>
      <c r="AI9" s="921"/>
      <c r="AJ9" s="921"/>
      <c r="AK9" s="921"/>
      <c r="AL9" s="921"/>
      <c r="AM9" s="921"/>
      <c r="AN9" s="921"/>
      <c r="AO9" s="921"/>
      <c r="AP9" s="921"/>
      <c r="AQ9" s="921"/>
      <c r="AR9" s="921"/>
      <c r="AS9" s="921"/>
      <c r="AT9" s="922"/>
      <c r="AU9" s="922"/>
      <c r="AV9" s="922"/>
      <c r="AW9" s="921"/>
      <c r="AX9" s="921"/>
      <c r="AY9" s="921"/>
      <c r="AZ9" s="921"/>
      <c r="BA9" s="921"/>
      <c r="BB9" s="921"/>
      <c r="BC9" s="921"/>
      <c r="BD9" s="921"/>
      <c r="BE9" s="921"/>
      <c r="BF9" s="921"/>
      <c r="BG9" s="1000"/>
      <c r="BH9" s="931"/>
      <c r="BK9" s="918"/>
      <c r="BT9" s="918"/>
    </row>
    <row r="10" spans="4:72" s="916" customFormat="1" ht="14.25" customHeight="1">
      <c r="D10" s="1368" t="s">
        <v>170</v>
      </c>
      <c r="E10" s="1368"/>
      <c r="F10" s="1368"/>
      <c r="G10" s="1368"/>
      <c r="H10" s="1368"/>
      <c r="I10" s="1368"/>
      <c r="J10" s="1368"/>
      <c r="K10" s="1368"/>
      <c r="L10" s="1368"/>
      <c r="M10" s="1368"/>
      <c r="N10" s="1368"/>
      <c r="O10" s="1368"/>
      <c r="P10" s="1368"/>
      <c r="Q10" s="1368"/>
      <c r="R10" s="1368"/>
      <c r="S10" s="1368"/>
      <c r="T10" s="1368"/>
      <c r="U10" s="1368"/>
      <c r="V10" s="1368"/>
      <c r="W10" s="1368"/>
      <c r="X10" s="1368"/>
      <c r="Y10" s="1368"/>
      <c r="Z10" s="1368"/>
      <c r="AA10" s="1368"/>
      <c r="AB10" s="1368"/>
      <c r="AC10" s="1368"/>
      <c r="AD10" s="1368"/>
      <c r="AE10" s="1368"/>
      <c r="AF10" s="1368"/>
      <c r="AG10" s="1368"/>
      <c r="AH10" s="1368"/>
      <c r="AI10" s="1368"/>
      <c r="AJ10" s="1368"/>
      <c r="AK10" s="1368"/>
      <c r="AL10" s="1368"/>
      <c r="AM10" s="1368"/>
      <c r="AN10" s="1368"/>
      <c r="AO10" s="1368"/>
      <c r="AP10" s="1368"/>
      <c r="AQ10" s="1368"/>
      <c r="AR10" s="1368"/>
      <c r="AS10" s="1368"/>
      <c r="AT10" s="1368"/>
      <c r="AU10" s="1368"/>
      <c r="AV10" s="1368"/>
      <c r="AW10" s="1368"/>
      <c r="AX10" s="1368"/>
      <c r="AY10" s="1368"/>
      <c r="AZ10" s="1368"/>
      <c r="BA10" s="1368"/>
      <c r="BB10" s="1368"/>
      <c r="BC10" s="1368"/>
      <c r="BD10" s="1368"/>
      <c r="BE10" s="923"/>
      <c r="BF10" s="923"/>
      <c r="BG10" s="1001"/>
      <c r="BH10" s="1098"/>
      <c r="BI10" s="1380" t="s">
        <v>865</v>
      </c>
      <c r="BJ10" s="1382" t="s">
        <v>866</v>
      </c>
      <c r="BK10" s="1383"/>
      <c r="BL10" s="1384"/>
    </row>
    <row r="11" spans="4:72" s="916" customFormat="1" ht="13.7" customHeight="1">
      <c r="D11" s="1368"/>
      <c r="E11" s="1368"/>
      <c r="F11" s="1368"/>
      <c r="G11" s="1368"/>
      <c r="H11" s="1368"/>
      <c r="I11" s="1368"/>
      <c r="J11" s="1368"/>
      <c r="K11" s="1368"/>
      <c r="L11" s="1368"/>
      <c r="M11" s="1368"/>
      <c r="N11" s="1368"/>
      <c r="O11" s="1368"/>
      <c r="P11" s="1368"/>
      <c r="Q11" s="1368"/>
      <c r="R11" s="1368"/>
      <c r="S11" s="1368"/>
      <c r="T11" s="1368"/>
      <c r="U11" s="1368"/>
      <c r="V11" s="1368"/>
      <c r="W11" s="1368"/>
      <c r="X11" s="1368"/>
      <c r="Y11" s="1368"/>
      <c r="Z11" s="1368"/>
      <c r="AA11" s="1368"/>
      <c r="AB11" s="1368"/>
      <c r="AC11" s="1368"/>
      <c r="AD11" s="1368"/>
      <c r="AE11" s="1368"/>
      <c r="AF11" s="1368"/>
      <c r="AG11" s="1368"/>
      <c r="AH11" s="1368"/>
      <c r="AI11" s="1368"/>
      <c r="AJ11" s="1368"/>
      <c r="AK11" s="1368"/>
      <c r="AL11" s="1368"/>
      <c r="AM11" s="1368"/>
      <c r="AN11" s="1368"/>
      <c r="AO11" s="1368"/>
      <c r="AP11" s="1368"/>
      <c r="AQ11" s="1368"/>
      <c r="AR11" s="1368"/>
      <c r="AS11" s="1368"/>
      <c r="AT11" s="1368"/>
      <c r="AU11" s="1368"/>
      <c r="AV11" s="1368"/>
      <c r="AW11" s="1368"/>
      <c r="AX11" s="1368"/>
      <c r="AY11" s="1368"/>
      <c r="AZ11" s="1368"/>
      <c r="BA11" s="1368"/>
      <c r="BB11" s="1368"/>
      <c r="BC11" s="1368"/>
      <c r="BD11" s="1368"/>
      <c r="BE11" s="923"/>
      <c r="BF11" s="923"/>
      <c r="BG11" s="1001"/>
      <c r="BH11" s="1098"/>
      <c r="BI11" s="1381"/>
      <c r="BJ11" s="1385"/>
      <c r="BK11" s="1386"/>
      <c r="BL11" s="1387"/>
    </row>
    <row r="12" spans="4:72" s="916" customFormat="1" ht="13.7" customHeight="1">
      <c r="D12" s="1368"/>
      <c r="E12" s="1368"/>
      <c r="F12" s="1368"/>
      <c r="G12" s="1368"/>
      <c r="H12" s="1368"/>
      <c r="I12" s="1368"/>
      <c r="J12" s="1368"/>
      <c r="K12" s="1368"/>
      <c r="L12" s="1368"/>
      <c r="M12" s="1368"/>
      <c r="N12" s="1368"/>
      <c r="O12" s="1368"/>
      <c r="P12" s="1368"/>
      <c r="Q12" s="1368"/>
      <c r="R12" s="1368"/>
      <c r="S12" s="1368"/>
      <c r="T12" s="1368"/>
      <c r="U12" s="1368"/>
      <c r="V12" s="1368"/>
      <c r="W12" s="1368"/>
      <c r="X12" s="1368"/>
      <c r="Y12" s="1368"/>
      <c r="Z12" s="1368"/>
      <c r="AA12" s="1368"/>
      <c r="AB12" s="1368"/>
      <c r="AC12" s="1368"/>
      <c r="AD12" s="1368"/>
      <c r="AE12" s="1368"/>
      <c r="AF12" s="1368"/>
      <c r="AG12" s="1368"/>
      <c r="AH12" s="1368"/>
      <c r="AI12" s="1368"/>
      <c r="AJ12" s="1368"/>
      <c r="AK12" s="1368"/>
      <c r="AL12" s="1368"/>
      <c r="AM12" s="1368"/>
      <c r="AN12" s="1368"/>
      <c r="AO12" s="1368"/>
      <c r="AP12" s="1368"/>
      <c r="AQ12" s="1368"/>
      <c r="AR12" s="1368"/>
      <c r="AS12" s="1368"/>
      <c r="AT12" s="1368"/>
      <c r="AU12" s="1368"/>
      <c r="AV12" s="1368"/>
      <c r="AW12" s="1368"/>
      <c r="AX12" s="1368"/>
      <c r="AY12" s="1368"/>
      <c r="AZ12" s="1368"/>
      <c r="BA12" s="1368"/>
      <c r="BB12" s="1368"/>
      <c r="BC12" s="1368"/>
      <c r="BD12" s="1368"/>
      <c r="BE12" s="923"/>
      <c r="BF12" s="923"/>
      <c r="BG12" s="1001"/>
      <c r="BH12" s="1098"/>
      <c r="BI12" s="923"/>
    </row>
    <row r="13" spans="4:72" s="916" customFormat="1" ht="21" customHeight="1">
      <c r="D13" s="1158"/>
      <c r="E13" s="1158"/>
      <c r="F13" s="1158"/>
      <c r="G13" s="1158"/>
      <c r="H13" s="1158"/>
      <c r="I13" s="1158"/>
      <c r="J13" s="1158"/>
      <c r="K13" s="1158"/>
      <c r="L13" s="1158"/>
      <c r="M13" s="1158"/>
      <c r="N13" s="1158"/>
      <c r="O13" s="1158"/>
      <c r="P13" s="1158"/>
      <c r="Q13" s="1158"/>
      <c r="R13" s="1158"/>
      <c r="S13" s="1158"/>
      <c r="T13" s="1158"/>
      <c r="U13" s="1158"/>
      <c r="V13" s="1158"/>
      <c r="W13" s="1158"/>
      <c r="X13" s="1158"/>
      <c r="Y13" s="1158"/>
      <c r="Z13" s="1158"/>
      <c r="AA13" s="1158"/>
      <c r="AB13" s="1158"/>
      <c r="AC13" s="1158"/>
      <c r="AD13" s="1158"/>
      <c r="AE13" s="1158"/>
      <c r="AF13" s="1158"/>
      <c r="AG13" s="1158"/>
      <c r="AH13" s="1158"/>
      <c r="AI13" s="1158"/>
      <c r="AJ13" s="1158"/>
      <c r="AK13" s="1158"/>
      <c r="AL13" s="1158"/>
      <c r="AM13" s="1158"/>
      <c r="AN13" s="1158"/>
      <c r="AO13" s="1158"/>
      <c r="AP13" s="1158"/>
      <c r="AQ13" s="1158"/>
      <c r="AR13" s="1158"/>
      <c r="AS13" s="1158"/>
      <c r="AT13" s="1158"/>
      <c r="AU13" s="1158"/>
      <c r="AV13" s="1158"/>
      <c r="AW13" s="1158"/>
      <c r="AX13" s="1158"/>
      <c r="AY13" s="1158"/>
      <c r="AZ13" s="1158"/>
      <c r="BA13" s="1158"/>
      <c r="BB13" s="1158"/>
      <c r="BC13" s="1158"/>
      <c r="BD13" s="1158"/>
      <c r="BE13" s="923"/>
      <c r="BF13" s="923"/>
      <c r="BG13" s="1001"/>
      <c r="BH13" s="1098"/>
      <c r="BI13" s="923"/>
    </row>
    <row r="14" spans="4:72" s="916" customFormat="1" ht="13.7" customHeight="1">
      <c r="D14" s="1369" t="str">
        <f>BJ5&amp;"年 肥育豚生産費統計調査票"</f>
        <v>年 肥育豚生産費統計調査票</v>
      </c>
      <c r="E14" s="1369"/>
      <c r="F14" s="1369"/>
      <c r="G14" s="1369"/>
      <c r="H14" s="1369"/>
      <c r="I14" s="1369"/>
      <c r="J14" s="1369"/>
      <c r="K14" s="1369"/>
      <c r="L14" s="1369"/>
      <c r="M14" s="1369"/>
      <c r="N14" s="1369"/>
      <c r="O14" s="1369"/>
      <c r="P14" s="1369"/>
      <c r="Q14" s="1369"/>
      <c r="R14" s="1369"/>
      <c r="S14" s="1369"/>
      <c r="T14" s="1369"/>
      <c r="U14" s="1369"/>
      <c r="V14" s="1369"/>
      <c r="W14" s="1369"/>
      <c r="X14" s="1369"/>
      <c r="Y14" s="1369"/>
      <c r="Z14" s="1369"/>
      <c r="AA14" s="1369"/>
      <c r="AB14" s="1369"/>
      <c r="AC14" s="1369"/>
      <c r="AD14" s="1369"/>
      <c r="AE14" s="1369"/>
      <c r="AF14" s="1369"/>
      <c r="AG14" s="1369"/>
      <c r="AH14" s="1369"/>
      <c r="AI14" s="1369"/>
      <c r="AJ14" s="1369"/>
      <c r="AK14" s="1369"/>
      <c r="AL14" s="1369"/>
      <c r="AM14" s="1369"/>
      <c r="AN14" s="1369"/>
      <c r="AO14" s="1369"/>
      <c r="AP14" s="1369"/>
      <c r="AQ14" s="1369"/>
      <c r="AR14" s="1369"/>
      <c r="AS14" s="1369"/>
      <c r="AT14" s="1369"/>
      <c r="AU14" s="1369"/>
      <c r="AV14" s="1369"/>
      <c r="AW14" s="1369"/>
      <c r="AX14" s="1369"/>
      <c r="AY14" s="1369"/>
      <c r="AZ14" s="1369"/>
      <c r="BA14" s="1369"/>
      <c r="BB14" s="1369"/>
      <c r="BC14" s="1369"/>
      <c r="BD14" s="1369"/>
      <c r="BE14" s="924"/>
      <c r="BF14" s="924"/>
      <c r="BG14" s="1002"/>
      <c r="BH14" s="1099"/>
      <c r="BI14" s="924"/>
    </row>
    <row r="15" spans="4:72" s="916" customFormat="1" ht="13.7" customHeight="1">
      <c r="D15" s="1369"/>
      <c r="E15" s="1369"/>
      <c r="F15" s="1369"/>
      <c r="G15" s="1369"/>
      <c r="H15" s="1369"/>
      <c r="I15" s="1369"/>
      <c r="J15" s="1369"/>
      <c r="K15" s="1369"/>
      <c r="L15" s="1369"/>
      <c r="M15" s="1369"/>
      <c r="N15" s="1369"/>
      <c r="O15" s="1369"/>
      <c r="P15" s="1369"/>
      <c r="Q15" s="1369"/>
      <c r="R15" s="1369"/>
      <c r="S15" s="1369"/>
      <c r="T15" s="1369"/>
      <c r="U15" s="1369"/>
      <c r="V15" s="1369"/>
      <c r="W15" s="1369"/>
      <c r="X15" s="1369"/>
      <c r="Y15" s="1369"/>
      <c r="Z15" s="1369"/>
      <c r="AA15" s="1369"/>
      <c r="AB15" s="1369"/>
      <c r="AC15" s="1369"/>
      <c r="AD15" s="1369"/>
      <c r="AE15" s="1369"/>
      <c r="AF15" s="1369"/>
      <c r="AG15" s="1369"/>
      <c r="AH15" s="1369"/>
      <c r="AI15" s="1369"/>
      <c r="AJ15" s="1369"/>
      <c r="AK15" s="1369"/>
      <c r="AL15" s="1369"/>
      <c r="AM15" s="1369"/>
      <c r="AN15" s="1369"/>
      <c r="AO15" s="1369"/>
      <c r="AP15" s="1369"/>
      <c r="AQ15" s="1369"/>
      <c r="AR15" s="1369"/>
      <c r="AS15" s="1369"/>
      <c r="AT15" s="1369"/>
      <c r="AU15" s="1369"/>
      <c r="AV15" s="1369"/>
      <c r="AW15" s="1369"/>
      <c r="AX15" s="1369"/>
      <c r="AY15" s="1369"/>
      <c r="AZ15" s="1369"/>
      <c r="BA15" s="1369"/>
      <c r="BB15" s="1369"/>
      <c r="BC15" s="1369"/>
      <c r="BD15" s="1369"/>
      <c r="BE15" s="924"/>
      <c r="BF15" s="924"/>
      <c r="BG15" s="1002"/>
      <c r="BH15" s="1099"/>
      <c r="BI15" s="924"/>
    </row>
    <row r="16" spans="4:72" s="916" customFormat="1" ht="13.7" customHeight="1">
      <c r="D16" s="1369"/>
      <c r="E16" s="1369"/>
      <c r="F16" s="1369"/>
      <c r="G16" s="1369"/>
      <c r="H16" s="1369"/>
      <c r="I16" s="1369"/>
      <c r="J16" s="1369"/>
      <c r="K16" s="1369"/>
      <c r="L16" s="1369"/>
      <c r="M16" s="1369"/>
      <c r="N16" s="1369"/>
      <c r="O16" s="1369"/>
      <c r="P16" s="1369"/>
      <c r="Q16" s="1369"/>
      <c r="R16" s="1369"/>
      <c r="S16" s="1369"/>
      <c r="T16" s="1369"/>
      <c r="U16" s="1369"/>
      <c r="V16" s="1369"/>
      <c r="W16" s="1369"/>
      <c r="X16" s="1369"/>
      <c r="Y16" s="1369"/>
      <c r="Z16" s="1369"/>
      <c r="AA16" s="1369"/>
      <c r="AB16" s="1369"/>
      <c r="AC16" s="1369"/>
      <c r="AD16" s="1369"/>
      <c r="AE16" s="1369"/>
      <c r="AF16" s="1369"/>
      <c r="AG16" s="1369"/>
      <c r="AH16" s="1369"/>
      <c r="AI16" s="1369"/>
      <c r="AJ16" s="1369"/>
      <c r="AK16" s="1369"/>
      <c r="AL16" s="1369"/>
      <c r="AM16" s="1369"/>
      <c r="AN16" s="1369"/>
      <c r="AO16" s="1369"/>
      <c r="AP16" s="1369"/>
      <c r="AQ16" s="1369"/>
      <c r="AR16" s="1369"/>
      <c r="AS16" s="1369"/>
      <c r="AT16" s="1369"/>
      <c r="AU16" s="1369"/>
      <c r="AV16" s="1369"/>
      <c r="AW16" s="1369"/>
      <c r="AX16" s="1369"/>
      <c r="AY16" s="1369"/>
      <c r="AZ16" s="1369"/>
      <c r="BA16" s="1369"/>
      <c r="BB16" s="1369"/>
      <c r="BC16" s="1369"/>
      <c r="BD16" s="1369"/>
      <c r="BE16" s="924"/>
      <c r="BF16" s="924"/>
      <c r="BG16" s="1002"/>
      <c r="BH16" s="1099"/>
      <c r="BI16" s="924"/>
      <c r="BJ16" s="925"/>
    </row>
    <row r="17" spans="4:62" s="916" customFormat="1" ht="13.7" customHeight="1">
      <c r="D17" s="1159"/>
      <c r="E17" s="1159"/>
      <c r="F17" s="1159"/>
      <c r="G17" s="1159"/>
      <c r="H17" s="1159"/>
      <c r="I17" s="1159"/>
      <c r="J17" s="1159"/>
      <c r="K17" s="1159"/>
      <c r="L17" s="1159"/>
      <c r="M17" s="1159"/>
      <c r="N17" s="1159"/>
      <c r="O17" s="1159"/>
      <c r="P17" s="1159"/>
      <c r="Q17" s="1159"/>
      <c r="R17" s="1159"/>
      <c r="S17" s="1159"/>
      <c r="T17" s="1159"/>
      <c r="U17" s="1159"/>
      <c r="V17" s="1159"/>
      <c r="W17" s="1159"/>
      <c r="X17" s="1159"/>
      <c r="Y17" s="1159"/>
      <c r="Z17" s="1159"/>
      <c r="AA17" s="1159"/>
      <c r="AB17" s="1159"/>
      <c r="AC17" s="1159"/>
      <c r="AD17" s="1159"/>
      <c r="AE17" s="1159"/>
      <c r="AF17" s="1159"/>
      <c r="AG17" s="1159"/>
      <c r="AH17" s="1159"/>
      <c r="AI17" s="1159"/>
      <c r="AJ17" s="1159"/>
      <c r="AK17" s="1159"/>
      <c r="AL17" s="1159"/>
      <c r="AM17" s="1159"/>
      <c r="AN17" s="1159"/>
      <c r="AO17" s="1159"/>
      <c r="AP17" s="1159"/>
      <c r="AQ17" s="1159"/>
      <c r="AR17" s="1159"/>
      <c r="AS17" s="1159"/>
      <c r="AT17" s="1159"/>
      <c r="AU17" s="1159"/>
      <c r="AV17" s="1159"/>
      <c r="AW17" s="1159"/>
      <c r="AX17" s="1159"/>
      <c r="AY17" s="1159"/>
      <c r="AZ17" s="1159"/>
      <c r="BA17" s="1159"/>
      <c r="BB17" s="1159"/>
      <c r="BC17" s="1159"/>
      <c r="BD17" s="1159"/>
      <c r="BE17" s="924"/>
      <c r="BF17" s="924"/>
      <c r="BG17" s="1002"/>
      <c r="BH17" s="1099"/>
      <c r="BI17" s="924"/>
      <c r="BJ17" s="925"/>
    </row>
    <row r="18" spans="4:62" s="916" customFormat="1" ht="13.7" customHeight="1">
      <c r="D18" s="1370"/>
      <c r="E18" s="1370"/>
      <c r="F18" s="1370"/>
      <c r="G18" s="1370"/>
      <c r="H18" s="1370"/>
      <c r="I18" s="1370"/>
      <c r="J18" s="1370"/>
      <c r="K18" s="1370"/>
      <c r="L18" s="1370"/>
      <c r="M18" s="1370"/>
      <c r="N18" s="1370"/>
      <c r="O18" s="1370"/>
      <c r="P18" s="1370"/>
      <c r="Q18" s="1370"/>
      <c r="R18" s="1370"/>
      <c r="S18" s="1370"/>
      <c r="T18" s="1370"/>
      <c r="U18" s="1370"/>
      <c r="V18" s="1370"/>
      <c r="W18" s="1370"/>
      <c r="X18" s="1370"/>
      <c r="Y18" s="1370"/>
      <c r="Z18" s="1370"/>
      <c r="AA18" s="1370"/>
      <c r="AB18" s="1370"/>
      <c r="AC18" s="1370"/>
      <c r="AD18" s="1370"/>
      <c r="AE18" s="1370"/>
      <c r="AF18" s="1370"/>
      <c r="AG18" s="1370"/>
      <c r="AH18" s="1370"/>
      <c r="AI18" s="1370"/>
      <c r="AJ18" s="1370"/>
      <c r="AK18" s="1370"/>
      <c r="AL18" s="1370"/>
      <c r="AM18" s="1370"/>
      <c r="AN18" s="1370"/>
      <c r="AO18" s="1370"/>
      <c r="AP18" s="1370"/>
      <c r="AQ18" s="1370"/>
      <c r="AR18" s="1370"/>
      <c r="AS18" s="1370"/>
      <c r="AT18" s="1370"/>
      <c r="AU18" s="1370"/>
      <c r="AV18" s="1370"/>
      <c r="AW18" s="1370"/>
      <c r="AX18" s="1370"/>
      <c r="AY18" s="1370"/>
      <c r="AZ18" s="1370"/>
      <c r="BA18" s="1370"/>
      <c r="BB18" s="1370"/>
      <c r="BC18" s="1370"/>
      <c r="BD18" s="1370"/>
      <c r="BE18" s="926"/>
      <c r="BF18" s="926"/>
      <c r="BG18" s="1003"/>
      <c r="BH18" s="1100"/>
      <c r="BI18" s="926"/>
      <c r="BJ18" s="925"/>
    </row>
    <row r="19" spans="4:62" s="916" customFormat="1" ht="13.7" customHeight="1">
      <c r="D19" s="1370"/>
      <c r="E19" s="1370"/>
      <c r="F19" s="1370"/>
      <c r="G19" s="1370"/>
      <c r="H19" s="1370"/>
      <c r="I19" s="1370"/>
      <c r="J19" s="1370"/>
      <c r="K19" s="1370"/>
      <c r="L19" s="1370"/>
      <c r="M19" s="1370"/>
      <c r="N19" s="1370"/>
      <c r="O19" s="1370"/>
      <c r="P19" s="1370"/>
      <c r="Q19" s="1370"/>
      <c r="R19" s="1370"/>
      <c r="S19" s="1370"/>
      <c r="T19" s="1370"/>
      <c r="U19" s="1370"/>
      <c r="V19" s="1370"/>
      <c r="W19" s="1370"/>
      <c r="X19" s="1370"/>
      <c r="Y19" s="1370"/>
      <c r="Z19" s="1370"/>
      <c r="AA19" s="1370"/>
      <c r="AB19" s="1370"/>
      <c r="AC19" s="1370"/>
      <c r="AD19" s="1370"/>
      <c r="AE19" s="1370"/>
      <c r="AF19" s="1370"/>
      <c r="AG19" s="1370"/>
      <c r="AH19" s="1370"/>
      <c r="AI19" s="1370"/>
      <c r="AJ19" s="1370"/>
      <c r="AK19" s="1370"/>
      <c r="AL19" s="1370"/>
      <c r="AM19" s="1370"/>
      <c r="AN19" s="1370"/>
      <c r="AO19" s="1370"/>
      <c r="AP19" s="1370"/>
      <c r="AQ19" s="1370"/>
      <c r="AR19" s="1370"/>
      <c r="AS19" s="1370"/>
      <c r="AT19" s="1370"/>
      <c r="AU19" s="1370"/>
      <c r="AV19" s="1370"/>
      <c r="AW19" s="1370"/>
      <c r="AX19" s="1370"/>
      <c r="AY19" s="1370"/>
      <c r="AZ19" s="1370"/>
      <c r="BA19" s="1370"/>
      <c r="BB19" s="1370"/>
      <c r="BC19" s="1370"/>
      <c r="BD19" s="1370"/>
      <c r="BE19" s="926"/>
      <c r="BF19" s="926"/>
      <c r="BG19" s="1003"/>
      <c r="BH19" s="1100"/>
      <c r="BI19" s="926"/>
      <c r="BJ19" s="925"/>
    </row>
    <row r="20" spans="4:62" s="916" customFormat="1" ht="13.7" customHeight="1">
      <c r="D20" s="1370"/>
      <c r="E20" s="1370"/>
      <c r="F20" s="1370"/>
      <c r="G20" s="1370"/>
      <c r="H20" s="1370"/>
      <c r="I20" s="1370"/>
      <c r="J20" s="1370"/>
      <c r="K20" s="1370"/>
      <c r="L20" s="1370"/>
      <c r="M20" s="1370"/>
      <c r="N20" s="1370"/>
      <c r="O20" s="1370"/>
      <c r="P20" s="1370"/>
      <c r="Q20" s="1370"/>
      <c r="R20" s="1370"/>
      <c r="S20" s="1370"/>
      <c r="T20" s="1370"/>
      <c r="U20" s="1370"/>
      <c r="V20" s="1370"/>
      <c r="W20" s="1370"/>
      <c r="X20" s="1370"/>
      <c r="Y20" s="1370"/>
      <c r="Z20" s="1370"/>
      <c r="AA20" s="1370"/>
      <c r="AB20" s="1370"/>
      <c r="AC20" s="1370"/>
      <c r="AD20" s="1370"/>
      <c r="AE20" s="1370"/>
      <c r="AF20" s="1370"/>
      <c r="AG20" s="1370"/>
      <c r="AH20" s="1370"/>
      <c r="AI20" s="1370"/>
      <c r="AJ20" s="1370"/>
      <c r="AK20" s="1370"/>
      <c r="AL20" s="1370"/>
      <c r="AM20" s="1370"/>
      <c r="AN20" s="1370"/>
      <c r="AO20" s="1370"/>
      <c r="AP20" s="1370"/>
      <c r="AQ20" s="1370"/>
      <c r="AR20" s="1370"/>
      <c r="AS20" s="1370"/>
      <c r="AT20" s="1370"/>
      <c r="AU20" s="1370"/>
      <c r="AV20" s="1370"/>
      <c r="AW20" s="1370"/>
      <c r="AX20" s="1370"/>
      <c r="AY20" s="1370"/>
      <c r="AZ20" s="1370"/>
      <c r="BA20" s="1370"/>
      <c r="BB20" s="1370"/>
      <c r="BC20" s="1370"/>
      <c r="BD20" s="1370"/>
      <c r="BE20" s="926"/>
      <c r="BF20" s="926"/>
      <c r="BG20" s="1003"/>
      <c r="BH20" s="1100"/>
      <c r="BI20" s="926"/>
      <c r="BJ20" s="925"/>
    </row>
    <row r="21" spans="4:62" s="916" customFormat="1" ht="13.7" customHeight="1">
      <c r="BG21" s="1004"/>
      <c r="BH21" s="1095"/>
      <c r="BI21" s="919"/>
      <c r="BJ21" s="919"/>
    </row>
    <row r="22" spans="4:62" s="916" customFormat="1" ht="13.7" customHeight="1">
      <c r="G22" s="927"/>
      <c r="H22" s="86"/>
      <c r="I22" s="86"/>
      <c r="J22" s="86"/>
      <c r="K22" s="86"/>
      <c r="L22" s="86"/>
      <c r="M22" s="86"/>
      <c r="N22" s="86"/>
      <c r="O22" s="86"/>
      <c r="P22" s="86"/>
      <c r="Q22" s="86"/>
      <c r="R22" s="86"/>
      <c r="S22" s="928"/>
      <c r="T22" s="928"/>
      <c r="U22" s="927"/>
      <c r="V22" s="927"/>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928"/>
      <c r="AW22" s="928"/>
      <c r="AX22" s="928"/>
      <c r="AY22" s="928"/>
      <c r="AZ22" s="928"/>
      <c r="BA22" s="928"/>
      <c r="BB22" s="928"/>
      <c r="BC22" s="927"/>
      <c r="BD22" s="927"/>
      <c r="BE22" s="927"/>
      <c r="BF22" s="927"/>
      <c r="BG22" s="1004"/>
      <c r="BH22" s="927"/>
      <c r="BI22" s="927"/>
    </row>
    <row r="23" spans="4:62" s="916" customFormat="1" ht="14.25" customHeight="1">
      <c r="G23" s="927"/>
      <c r="H23" s="86"/>
      <c r="I23" s="86"/>
      <c r="J23" s="86"/>
      <c r="K23" s="86"/>
      <c r="L23" s="86"/>
      <c r="M23" s="86"/>
      <c r="N23" s="86"/>
      <c r="O23" s="86"/>
      <c r="P23" s="86"/>
      <c r="Q23" s="86"/>
      <c r="R23" s="86"/>
      <c r="S23" s="928"/>
      <c r="T23" s="928"/>
      <c r="U23" s="927"/>
      <c r="V23" s="927"/>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928"/>
      <c r="AW23" s="928"/>
      <c r="AX23" s="928"/>
      <c r="AY23" s="928"/>
      <c r="AZ23" s="928"/>
      <c r="BA23" s="928"/>
      <c r="BB23" s="928"/>
      <c r="BC23" s="927"/>
      <c r="BD23" s="927"/>
      <c r="BE23" s="927"/>
      <c r="BF23" s="927"/>
      <c r="BG23" s="1004"/>
      <c r="BH23" s="927"/>
      <c r="BI23" s="927"/>
    </row>
    <row r="24" spans="4:62" s="916" customFormat="1" ht="13.7" customHeight="1">
      <c r="G24" s="927"/>
      <c r="H24" s="86"/>
      <c r="I24" s="86"/>
      <c r="J24" s="86"/>
      <c r="K24" s="86"/>
      <c r="L24" s="86"/>
      <c r="M24" s="86"/>
      <c r="N24" s="86"/>
      <c r="O24" s="86"/>
      <c r="P24" s="86"/>
      <c r="Q24" s="86"/>
      <c r="R24" s="86"/>
      <c r="S24" s="929"/>
      <c r="T24" s="929"/>
      <c r="U24" s="930"/>
      <c r="V24" s="930"/>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929"/>
      <c r="AW24" s="929"/>
      <c r="AX24" s="929"/>
      <c r="AY24" s="929"/>
      <c r="AZ24" s="929"/>
      <c r="BA24" s="929"/>
      <c r="BB24" s="929"/>
      <c r="BC24" s="930"/>
      <c r="BD24" s="930"/>
      <c r="BE24" s="930"/>
      <c r="BF24" s="930"/>
      <c r="BG24" s="1005"/>
      <c r="BH24" s="930"/>
      <c r="BI24" s="930"/>
    </row>
    <row r="25" spans="4:62" s="916" customFormat="1">
      <c r="G25" s="927"/>
      <c r="H25" s="86"/>
      <c r="I25" s="86"/>
      <c r="J25" s="86"/>
      <c r="K25" s="86"/>
      <c r="L25" s="86"/>
      <c r="M25" s="86"/>
      <c r="N25" s="86"/>
      <c r="O25" s="86"/>
      <c r="P25" s="86"/>
      <c r="Q25" s="86"/>
      <c r="R25" s="86"/>
      <c r="S25" s="929"/>
      <c r="T25" s="929"/>
      <c r="U25" s="931"/>
      <c r="V25" s="931"/>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929"/>
      <c r="AW25" s="929"/>
      <c r="AX25" s="929"/>
      <c r="AY25" s="929"/>
      <c r="AZ25" s="929"/>
      <c r="BA25" s="929"/>
      <c r="BB25" s="929"/>
      <c r="BC25" s="931"/>
      <c r="BD25" s="931"/>
      <c r="BE25" s="931"/>
      <c r="BF25" s="931"/>
      <c r="BG25" s="1000"/>
      <c r="BH25" s="931"/>
      <c r="BI25" s="931"/>
    </row>
    <row r="26" spans="4:62" s="916" customFormat="1" ht="13.7" customHeight="1">
      <c r="G26" s="927"/>
      <c r="H26" s="930"/>
      <c r="I26" s="930"/>
      <c r="J26" s="930"/>
      <c r="K26" s="930"/>
      <c r="L26" s="930"/>
      <c r="M26" s="930"/>
      <c r="N26" s="930"/>
      <c r="O26" s="930"/>
      <c r="P26" s="930"/>
      <c r="Q26" s="930"/>
      <c r="R26" s="930"/>
      <c r="S26" s="929"/>
      <c r="T26" s="929"/>
      <c r="U26" s="931"/>
      <c r="V26" s="931"/>
      <c r="W26" s="930"/>
      <c r="X26" s="930"/>
      <c r="Y26" s="930"/>
      <c r="Z26" s="930"/>
      <c r="AA26" s="930"/>
      <c r="AB26" s="930"/>
      <c r="AC26" s="930"/>
      <c r="AD26" s="930"/>
      <c r="AE26" s="930"/>
      <c r="AF26" s="930"/>
      <c r="AG26" s="930"/>
      <c r="AH26" s="930"/>
      <c r="AI26" s="930"/>
      <c r="AJ26" s="930"/>
      <c r="AK26" s="930"/>
      <c r="AL26" s="930"/>
      <c r="AM26" s="930"/>
      <c r="AN26" s="930"/>
      <c r="AO26" s="930"/>
      <c r="AP26" s="930"/>
      <c r="AQ26" s="930"/>
      <c r="AR26" s="930"/>
      <c r="AS26" s="930"/>
      <c r="AT26" s="930"/>
      <c r="AU26" s="930"/>
      <c r="AV26" s="929"/>
      <c r="AW26" s="929"/>
      <c r="AX26" s="929"/>
      <c r="AY26" s="929"/>
      <c r="AZ26" s="929"/>
      <c r="BA26" s="929"/>
      <c r="BB26" s="929"/>
      <c r="BC26" s="931"/>
      <c r="BD26" s="931"/>
      <c r="BE26" s="931"/>
      <c r="BF26" s="931"/>
      <c r="BG26" s="1000"/>
      <c r="BH26" s="931"/>
      <c r="BI26" s="931"/>
    </row>
    <row r="27" spans="4:62" s="916" customFormat="1">
      <c r="G27" s="927"/>
      <c r="H27" s="930"/>
      <c r="I27" s="930"/>
      <c r="J27" s="930"/>
      <c r="K27" s="930"/>
      <c r="L27" s="930"/>
      <c r="M27" s="930"/>
      <c r="N27" s="930"/>
      <c r="O27" s="930"/>
      <c r="P27" s="930"/>
      <c r="Q27" s="930"/>
      <c r="R27" s="930"/>
      <c r="S27" s="929"/>
      <c r="T27" s="929"/>
      <c r="U27" s="931"/>
      <c r="V27" s="931"/>
      <c r="W27" s="930"/>
      <c r="X27" s="930"/>
      <c r="Y27" s="930"/>
      <c r="Z27" s="930"/>
      <c r="AA27" s="930"/>
      <c r="AB27" s="930"/>
      <c r="AC27" s="930"/>
      <c r="AD27" s="930"/>
      <c r="AE27" s="930"/>
      <c r="AF27" s="930"/>
      <c r="AG27" s="930"/>
      <c r="AH27" s="930"/>
      <c r="AI27" s="930"/>
      <c r="AJ27" s="930"/>
      <c r="AK27" s="930"/>
      <c r="AL27" s="930"/>
      <c r="AM27" s="930"/>
      <c r="AN27" s="930"/>
      <c r="AO27" s="930"/>
      <c r="AP27" s="930"/>
      <c r="AQ27" s="930"/>
      <c r="AR27" s="930"/>
      <c r="AS27" s="930"/>
      <c r="AT27" s="930"/>
      <c r="AU27" s="930"/>
      <c r="AV27" s="929"/>
      <c r="AW27" s="929"/>
      <c r="AX27" s="929"/>
      <c r="AY27" s="929"/>
      <c r="AZ27" s="929"/>
      <c r="BA27" s="929"/>
      <c r="BB27" s="929"/>
      <c r="BC27" s="931"/>
      <c r="BD27" s="931"/>
      <c r="BE27" s="931"/>
      <c r="BF27" s="931"/>
      <c r="BG27" s="1000"/>
      <c r="BH27" s="931"/>
      <c r="BI27" s="931"/>
    </row>
    <row r="28" spans="4:62" s="916" customFormat="1" ht="13.7" customHeight="1">
      <c r="G28" s="927"/>
      <c r="H28" s="930"/>
      <c r="I28" s="930"/>
      <c r="J28" s="930"/>
      <c r="K28" s="930"/>
      <c r="L28" s="930"/>
      <c r="M28" s="930"/>
      <c r="N28" s="930"/>
      <c r="O28" s="930"/>
      <c r="P28" s="930"/>
      <c r="Q28" s="930"/>
      <c r="R28" s="930"/>
      <c r="S28" s="929"/>
      <c r="T28" s="929"/>
      <c r="U28" s="931"/>
      <c r="V28" s="931"/>
      <c r="W28" s="930"/>
      <c r="X28" s="930"/>
      <c r="Y28" s="930"/>
      <c r="Z28" s="930"/>
      <c r="AA28" s="930"/>
      <c r="AB28" s="930"/>
      <c r="AC28" s="930"/>
      <c r="AD28" s="930"/>
      <c r="AE28" s="930"/>
      <c r="AF28" s="930"/>
      <c r="AG28" s="930"/>
      <c r="AH28" s="930"/>
      <c r="AI28" s="930"/>
      <c r="AJ28" s="930"/>
      <c r="AK28" s="930"/>
      <c r="AL28" s="930"/>
      <c r="AM28" s="930"/>
      <c r="AN28" s="930"/>
      <c r="AO28" s="930"/>
      <c r="AP28" s="930"/>
      <c r="AQ28" s="930"/>
      <c r="AR28" s="930"/>
      <c r="AS28" s="930"/>
      <c r="AT28" s="930"/>
      <c r="AU28" s="930"/>
      <c r="AV28" s="929"/>
      <c r="AW28" s="929"/>
      <c r="AX28" s="929"/>
      <c r="AY28" s="929"/>
      <c r="AZ28" s="929"/>
      <c r="BA28" s="929"/>
      <c r="BB28" s="929"/>
      <c r="BC28" s="931"/>
      <c r="BD28" s="931"/>
      <c r="BE28" s="931"/>
      <c r="BF28" s="931"/>
      <c r="BG28" s="1000"/>
      <c r="BH28" s="931"/>
      <c r="BI28" s="931"/>
    </row>
    <row r="29" spans="4:62" s="916" customFormat="1" ht="13.7" customHeight="1">
      <c r="G29" s="927"/>
      <c r="H29" s="927"/>
      <c r="I29" s="927"/>
      <c r="J29" s="927"/>
      <c r="K29" s="927"/>
      <c r="L29" s="927"/>
      <c r="M29" s="927"/>
      <c r="N29" s="927"/>
      <c r="O29" s="927"/>
      <c r="P29" s="927"/>
      <c r="Q29" s="927"/>
      <c r="R29" s="927"/>
      <c r="S29" s="929"/>
      <c r="T29" s="929"/>
      <c r="U29" s="931"/>
      <c r="V29" s="931"/>
      <c r="W29" s="927"/>
      <c r="X29" s="927"/>
      <c r="Y29" s="927"/>
      <c r="Z29" s="927"/>
      <c r="AA29" s="927"/>
      <c r="AB29" s="927"/>
      <c r="AC29" s="927"/>
      <c r="AD29" s="927"/>
      <c r="AE29" s="927"/>
      <c r="AF29" s="927"/>
      <c r="AG29" s="927"/>
      <c r="AH29" s="927"/>
      <c r="AI29" s="927"/>
      <c r="AJ29" s="927"/>
      <c r="AK29" s="927"/>
      <c r="AL29" s="927"/>
      <c r="AM29" s="927"/>
      <c r="AN29" s="927"/>
      <c r="AO29" s="927"/>
      <c r="AP29" s="927"/>
      <c r="AQ29" s="927"/>
      <c r="AR29" s="927"/>
      <c r="AS29" s="927"/>
      <c r="AT29" s="927"/>
      <c r="AU29" s="927"/>
      <c r="AV29" s="929"/>
      <c r="AW29" s="929"/>
      <c r="AX29" s="929"/>
      <c r="AY29" s="929"/>
      <c r="AZ29" s="929"/>
      <c r="BA29" s="929"/>
      <c r="BB29" s="929"/>
      <c r="BC29" s="931"/>
      <c r="BD29" s="931"/>
      <c r="BE29" s="931"/>
      <c r="BF29" s="931"/>
      <c r="BG29" s="1000"/>
      <c r="BH29" s="931"/>
      <c r="BI29" s="931"/>
    </row>
    <row r="30" spans="4:62" s="916" customFormat="1" ht="13.7" customHeight="1">
      <c r="G30" s="86"/>
      <c r="H30" s="931"/>
      <c r="I30" s="931"/>
      <c r="J30" s="931"/>
      <c r="K30" s="931"/>
      <c r="L30" s="931"/>
      <c r="M30" s="931"/>
      <c r="N30" s="931"/>
      <c r="O30" s="931"/>
      <c r="P30" s="932"/>
      <c r="Q30" s="50"/>
      <c r="R30" s="931"/>
      <c r="S30" s="933"/>
      <c r="T30" s="933"/>
      <c r="U30" s="86"/>
      <c r="V30" s="86"/>
      <c r="W30" s="931"/>
      <c r="X30" s="931"/>
      <c r="Y30" s="931"/>
      <c r="Z30" s="932"/>
      <c r="AA30" s="932"/>
      <c r="AB30" s="932"/>
      <c r="AC30" s="932"/>
      <c r="AD30" s="932"/>
      <c r="AE30" s="932"/>
      <c r="AF30" s="932"/>
      <c r="AG30" s="932"/>
      <c r="AH30" s="932"/>
      <c r="AI30" s="932"/>
      <c r="AJ30" s="932"/>
      <c r="AK30" s="932"/>
      <c r="AL30" s="932"/>
      <c r="AM30" s="932"/>
      <c r="AN30" s="932"/>
      <c r="AO30" s="932"/>
      <c r="AP30" s="932"/>
      <c r="AQ30" s="932"/>
      <c r="AR30" s="932"/>
      <c r="AS30" s="932"/>
      <c r="AT30" s="50"/>
      <c r="AU30" s="931"/>
      <c r="AV30" s="933"/>
      <c r="AW30" s="933"/>
      <c r="AX30" s="933"/>
      <c r="AY30" s="933"/>
      <c r="AZ30" s="933"/>
      <c r="BA30" s="933"/>
      <c r="BB30" s="933"/>
      <c r="BC30" s="86"/>
      <c r="BD30" s="86"/>
      <c r="BE30" s="86"/>
      <c r="BF30" s="86"/>
      <c r="BG30" s="1006"/>
      <c r="BH30" s="86"/>
      <c r="BI30" s="86"/>
    </row>
    <row r="31" spans="4:62" s="916" customFormat="1" ht="13.7" customHeight="1">
      <c r="E31" s="934"/>
      <c r="F31" s="935"/>
      <c r="G31" s="935"/>
      <c r="H31" s="935"/>
      <c r="I31" s="935"/>
      <c r="J31" s="935"/>
      <c r="K31" s="935"/>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c r="AP31" s="935"/>
      <c r="AQ31" s="935"/>
      <c r="AR31" s="935"/>
      <c r="AS31" s="935"/>
      <c r="AT31" s="935"/>
      <c r="AU31" s="935"/>
      <c r="AV31" s="935"/>
      <c r="AW31" s="935"/>
      <c r="AX31" s="935"/>
      <c r="AY31" s="935"/>
      <c r="AZ31" s="935"/>
      <c r="BA31" s="935"/>
      <c r="BB31" s="935"/>
      <c r="BC31" s="935"/>
      <c r="BG31" s="1000"/>
      <c r="BH31" s="931"/>
    </row>
    <row r="32" spans="4:62" s="916" customFormat="1">
      <c r="E32" s="935"/>
      <c r="F32" s="935"/>
      <c r="G32" s="935"/>
      <c r="H32" s="935"/>
      <c r="I32" s="935"/>
      <c r="J32" s="935"/>
      <c r="K32" s="935"/>
      <c r="L32" s="935"/>
      <c r="M32" s="935"/>
      <c r="N32" s="935"/>
      <c r="O32" s="935"/>
      <c r="P32" s="935"/>
      <c r="Q32" s="935"/>
      <c r="R32" s="935"/>
      <c r="S32" s="935"/>
      <c r="T32" s="935"/>
      <c r="U32" s="935"/>
      <c r="V32" s="935"/>
      <c r="W32" s="935"/>
      <c r="X32" s="935"/>
      <c r="Y32" s="935"/>
      <c r="Z32" s="935"/>
      <c r="AA32" s="935"/>
      <c r="AB32" s="935"/>
      <c r="AC32" s="935"/>
      <c r="AD32" s="935"/>
      <c r="AE32" s="935"/>
      <c r="AF32" s="935"/>
      <c r="AG32" s="935"/>
      <c r="AH32" s="935"/>
      <c r="AI32" s="935"/>
      <c r="AJ32" s="935"/>
      <c r="AK32" s="935"/>
      <c r="AL32" s="935"/>
      <c r="AM32" s="935"/>
      <c r="AN32" s="935"/>
      <c r="AO32" s="935"/>
      <c r="AP32" s="935"/>
      <c r="AQ32" s="935"/>
      <c r="AR32" s="935"/>
      <c r="AS32" s="935"/>
      <c r="AT32" s="935"/>
      <c r="AU32" s="935"/>
      <c r="AV32" s="935"/>
      <c r="AW32" s="935"/>
      <c r="AX32" s="935"/>
      <c r="AY32" s="935"/>
      <c r="AZ32" s="935"/>
      <c r="BA32" s="935"/>
      <c r="BB32" s="935"/>
      <c r="BC32" s="935"/>
      <c r="BG32" s="1000"/>
      <c r="BH32" s="931"/>
    </row>
    <row r="33" spans="5:60" s="916" customFormat="1" ht="17.25">
      <c r="E33" s="936" t="s">
        <v>401</v>
      </c>
      <c r="F33" s="935"/>
      <c r="G33" s="935"/>
      <c r="H33" s="935"/>
      <c r="I33" s="935"/>
      <c r="J33" s="935"/>
      <c r="K33" s="935"/>
      <c r="L33" s="935"/>
      <c r="M33" s="935"/>
      <c r="N33" s="935"/>
      <c r="O33" s="935"/>
      <c r="P33" s="935"/>
      <c r="Q33" s="935"/>
      <c r="R33" s="935"/>
      <c r="S33" s="935"/>
      <c r="T33" s="935"/>
      <c r="U33" s="935"/>
      <c r="V33" s="935"/>
      <c r="W33" s="935"/>
      <c r="X33" s="935"/>
      <c r="Y33" s="935"/>
      <c r="Z33" s="935"/>
      <c r="AA33" s="935"/>
      <c r="AB33" s="935"/>
      <c r="AC33" s="935"/>
      <c r="AD33" s="935"/>
      <c r="AE33" s="935"/>
      <c r="AF33" s="935"/>
      <c r="AG33" s="935"/>
      <c r="AH33" s="935"/>
      <c r="AI33" s="935"/>
      <c r="AJ33" s="935"/>
      <c r="AK33" s="935"/>
      <c r="AL33" s="935"/>
      <c r="AM33" s="935"/>
      <c r="AN33" s="935"/>
      <c r="AO33" s="935"/>
      <c r="AP33" s="935"/>
      <c r="AQ33" s="935"/>
      <c r="AR33" s="935"/>
      <c r="AS33" s="935"/>
      <c r="AT33" s="935"/>
      <c r="AU33" s="935"/>
      <c r="AV33" s="935"/>
      <c r="AW33" s="935"/>
      <c r="AX33" s="935"/>
      <c r="AY33" s="935"/>
      <c r="AZ33" s="935"/>
      <c r="BA33" s="935"/>
      <c r="BB33" s="935"/>
      <c r="BC33" s="935"/>
      <c r="BG33" s="1000"/>
      <c r="BH33" s="931"/>
    </row>
    <row r="34" spans="5:60" s="916" customFormat="1">
      <c r="E34" s="935"/>
      <c r="F34" s="935"/>
      <c r="G34" s="935"/>
      <c r="H34" s="935"/>
      <c r="I34" s="935"/>
      <c r="J34" s="935"/>
      <c r="K34" s="935"/>
      <c r="L34" s="935"/>
      <c r="M34" s="935"/>
      <c r="N34" s="935"/>
      <c r="O34" s="935"/>
      <c r="P34" s="935"/>
      <c r="Q34" s="935"/>
      <c r="R34" s="935"/>
      <c r="S34" s="935"/>
      <c r="T34" s="935"/>
      <c r="U34" s="935"/>
      <c r="V34" s="935"/>
      <c r="W34" s="935"/>
      <c r="X34" s="935"/>
      <c r="Y34" s="935"/>
      <c r="Z34" s="935"/>
      <c r="AA34" s="935"/>
      <c r="AB34" s="935"/>
      <c r="AC34" s="935"/>
      <c r="AD34" s="935"/>
      <c r="AE34" s="935"/>
      <c r="AF34" s="935"/>
      <c r="AG34" s="935"/>
      <c r="AH34" s="935"/>
      <c r="AI34" s="935"/>
      <c r="AJ34" s="935"/>
      <c r="AK34" s="935"/>
      <c r="AL34" s="935"/>
      <c r="AM34" s="935"/>
      <c r="AN34" s="935"/>
      <c r="AO34" s="935"/>
      <c r="AP34" s="935"/>
      <c r="AQ34" s="935"/>
      <c r="AR34" s="935"/>
      <c r="AS34" s="935"/>
      <c r="AT34" s="935"/>
      <c r="AU34" s="935"/>
      <c r="AV34" s="935"/>
      <c r="AW34" s="935"/>
      <c r="AX34" s="935"/>
      <c r="AY34" s="935"/>
      <c r="AZ34" s="935"/>
      <c r="BA34" s="935"/>
      <c r="BB34" s="935"/>
      <c r="BC34" s="935"/>
      <c r="BG34" s="1000"/>
      <c r="BH34" s="931"/>
    </row>
    <row r="35" spans="5:60" s="916" customFormat="1">
      <c r="E35" s="1367" t="str">
        <f>"　１．"&amp;BJ5&amp;"年１月１日～12月31日までの１年間について入力してください。"</f>
        <v>　１．年１月１日～12月31日までの１年間について入力してください。</v>
      </c>
      <c r="F35" s="1367"/>
      <c r="G35" s="1367"/>
      <c r="H35" s="1367"/>
      <c r="I35" s="1367"/>
      <c r="J35" s="1367"/>
      <c r="K35" s="1367"/>
      <c r="L35" s="1367"/>
      <c r="M35" s="1367"/>
      <c r="N35" s="1367"/>
      <c r="O35" s="1367"/>
      <c r="P35" s="1367"/>
      <c r="Q35" s="1367"/>
      <c r="R35" s="1367"/>
      <c r="S35" s="1367"/>
      <c r="T35" s="1367"/>
      <c r="U35" s="1367"/>
      <c r="V35" s="1367"/>
      <c r="W35" s="1367"/>
      <c r="X35" s="1367"/>
      <c r="Y35" s="1367"/>
      <c r="Z35" s="1367"/>
      <c r="AA35" s="1367"/>
      <c r="AB35" s="1367"/>
      <c r="AC35" s="1367"/>
      <c r="AD35" s="1367"/>
      <c r="AE35" s="1367"/>
      <c r="AF35" s="1367"/>
      <c r="AG35" s="1367"/>
      <c r="AH35" s="1367"/>
      <c r="AI35" s="1367"/>
      <c r="AJ35" s="1367"/>
      <c r="AK35" s="1367"/>
      <c r="AL35" s="1367"/>
      <c r="AM35" s="1367"/>
      <c r="AN35" s="1367"/>
      <c r="AO35" s="1367"/>
      <c r="AP35" s="1367"/>
      <c r="AQ35" s="1367"/>
      <c r="AR35" s="1367"/>
      <c r="AS35" s="1367"/>
      <c r="AT35" s="1367"/>
      <c r="AU35" s="1367"/>
      <c r="AV35" s="1367"/>
      <c r="AW35" s="935"/>
      <c r="AX35" s="935"/>
      <c r="AY35" s="935"/>
      <c r="AZ35" s="935"/>
      <c r="BA35" s="935"/>
      <c r="BB35" s="935"/>
      <c r="BC35" s="935"/>
      <c r="BG35" s="1000"/>
      <c r="BH35" s="931"/>
    </row>
    <row r="36" spans="5:60" s="916" customFormat="1">
      <c r="E36" s="1367"/>
      <c r="F36" s="1367"/>
      <c r="G36" s="1367"/>
      <c r="H36" s="1367"/>
      <c r="I36" s="1367"/>
      <c r="J36" s="1367"/>
      <c r="K36" s="1367"/>
      <c r="L36" s="1367"/>
      <c r="M36" s="1367"/>
      <c r="N36" s="1367"/>
      <c r="O36" s="1367"/>
      <c r="P36" s="1367"/>
      <c r="Q36" s="1367"/>
      <c r="R36" s="1367"/>
      <c r="S36" s="1367"/>
      <c r="T36" s="1367"/>
      <c r="U36" s="1367"/>
      <c r="V36" s="1367"/>
      <c r="W36" s="1367"/>
      <c r="X36" s="1367"/>
      <c r="Y36" s="1367"/>
      <c r="Z36" s="1367"/>
      <c r="AA36" s="1367"/>
      <c r="AB36" s="1367"/>
      <c r="AC36" s="1367"/>
      <c r="AD36" s="1367"/>
      <c r="AE36" s="1367"/>
      <c r="AF36" s="1367"/>
      <c r="AG36" s="1367"/>
      <c r="AH36" s="1367"/>
      <c r="AI36" s="1367"/>
      <c r="AJ36" s="1367"/>
      <c r="AK36" s="1367"/>
      <c r="AL36" s="1367"/>
      <c r="AM36" s="1367"/>
      <c r="AN36" s="1367"/>
      <c r="AO36" s="1367"/>
      <c r="AP36" s="1367"/>
      <c r="AQ36" s="1367"/>
      <c r="AR36" s="1367"/>
      <c r="AS36" s="1367"/>
      <c r="AT36" s="1367"/>
      <c r="AU36" s="1367"/>
      <c r="AV36" s="1367"/>
      <c r="AW36" s="935"/>
      <c r="AX36" s="935"/>
      <c r="AY36" s="935"/>
      <c r="AZ36" s="935"/>
      <c r="BA36" s="935"/>
      <c r="BB36" s="935"/>
      <c r="BC36" s="935"/>
      <c r="BG36" s="1000"/>
      <c r="BH36" s="931"/>
    </row>
    <row r="37" spans="5:60" s="916" customFormat="1" ht="18" customHeight="1">
      <c r="E37" s="936" t="s">
        <v>820</v>
      </c>
      <c r="F37" s="935"/>
      <c r="G37" s="935"/>
      <c r="H37" s="935"/>
      <c r="I37" s="935"/>
      <c r="J37" s="935"/>
      <c r="K37" s="935"/>
      <c r="L37" s="935"/>
      <c r="M37" s="935"/>
      <c r="N37" s="936" t="s">
        <v>827</v>
      </c>
      <c r="P37" s="935"/>
      <c r="Q37" s="935"/>
      <c r="R37" s="935"/>
      <c r="S37" s="935"/>
      <c r="T37" s="935"/>
      <c r="U37" s="935"/>
      <c r="V37" s="935"/>
      <c r="W37" s="935"/>
      <c r="X37" s="935"/>
      <c r="Y37" s="935"/>
      <c r="Z37" s="936" t="s">
        <v>828</v>
      </c>
      <c r="AA37" s="935"/>
      <c r="AB37" s="935"/>
      <c r="AC37" s="935"/>
      <c r="AD37" s="935"/>
      <c r="AE37" s="935"/>
      <c r="AF37" s="935"/>
      <c r="AG37" s="935"/>
      <c r="AH37" s="935"/>
      <c r="AI37" s="935"/>
      <c r="AJ37" s="935"/>
      <c r="AK37" s="935"/>
      <c r="AL37" s="935"/>
      <c r="AM37" s="935"/>
      <c r="AO37" s="935"/>
      <c r="AP37" s="935"/>
      <c r="AQ37" s="935"/>
      <c r="AR37" s="935"/>
      <c r="AS37" s="935"/>
      <c r="AT37" s="935"/>
      <c r="AU37" s="935"/>
      <c r="AV37" s="935"/>
      <c r="AW37" s="935"/>
      <c r="AX37" s="935"/>
      <c r="AY37" s="935"/>
      <c r="AZ37" s="935"/>
      <c r="BA37" s="935"/>
      <c r="BB37" s="935"/>
      <c r="BC37" s="935"/>
      <c r="BG37" s="1000"/>
      <c r="BH37" s="931"/>
    </row>
    <row r="38" spans="5:60" s="916" customFormat="1" ht="13.7" customHeight="1">
      <c r="H38" s="935"/>
      <c r="I38" s="935"/>
      <c r="J38" s="935"/>
      <c r="K38" s="935"/>
      <c r="L38" s="935"/>
      <c r="M38" s="935"/>
      <c r="N38" s="935"/>
      <c r="O38" s="935"/>
      <c r="P38" s="935"/>
      <c r="Q38" s="935"/>
      <c r="R38" s="935"/>
      <c r="S38" s="935"/>
      <c r="T38" s="935"/>
      <c r="U38" s="935"/>
      <c r="V38" s="935"/>
      <c r="W38" s="935"/>
      <c r="X38" s="935"/>
      <c r="Y38" s="935"/>
      <c r="Z38" s="935"/>
      <c r="AA38" s="935"/>
      <c r="AB38" s="935"/>
      <c r="AC38" s="935"/>
      <c r="AD38" s="935"/>
      <c r="AE38" s="935"/>
      <c r="AF38" s="935"/>
      <c r="AG38" s="935"/>
      <c r="AH38" s="935"/>
      <c r="AI38" s="935"/>
      <c r="AJ38" s="935"/>
      <c r="AK38" s="935"/>
      <c r="AL38" s="935"/>
      <c r="AM38" s="935"/>
      <c r="AN38" s="935"/>
      <c r="AO38" s="935"/>
      <c r="AP38" s="935"/>
      <c r="AQ38" s="935"/>
      <c r="AR38" s="935"/>
      <c r="AS38" s="935"/>
      <c r="AT38" s="935"/>
      <c r="AU38" s="935"/>
      <c r="AV38" s="935"/>
      <c r="AW38" s="935"/>
      <c r="AX38" s="935"/>
      <c r="AY38" s="935"/>
      <c r="AZ38" s="935"/>
      <c r="BA38" s="935"/>
      <c r="BB38" s="935"/>
      <c r="BC38" s="935"/>
      <c r="BG38" s="1000"/>
      <c r="BH38" s="931"/>
    </row>
    <row r="39" spans="5:60" s="916" customFormat="1" ht="17.25">
      <c r="E39" s="936" t="s">
        <v>829</v>
      </c>
      <c r="F39" s="935"/>
      <c r="G39" s="935"/>
      <c r="H39" s="935"/>
      <c r="I39" s="935"/>
      <c r="J39" s="935"/>
      <c r="K39" s="935"/>
      <c r="L39" s="935"/>
      <c r="M39" s="935"/>
      <c r="N39" s="935"/>
      <c r="O39" s="935"/>
      <c r="P39" s="935"/>
      <c r="Q39" s="935"/>
      <c r="R39" s="935"/>
      <c r="S39" s="935"/>
      <c r="T39" s="935"/>
      <c r="U39" s="935"/>
      <c r="V39" s="936" t="s">
        <v>830</v>
      </c>
      <c r="W39" s="935"/>
      <c r="X39" s="935"/>
      <c r="Y39" s="935"/>
      <c r="AB39" s="936"/>
      <c r="AC39" s="935"/>
      <c r="AD39" s="935"/>
      <c r="AE39" s="935"/>
      <c r="AF39" s="935"/>
      <c r="AG39" s="935"/>
      <c r="AH39" s="935"/>
      <c r="AI39" s="935"/>
      <c r="AJ39" s="935"/>
      <c r="AK39" s="935"/>
      <c r="AL39" s="935"/>
      <c r="AM39" s="935"/>
      <c r="AN39" s="935"/>
      <c r="AO39" s="935"/>
      <c r="AP39" s="935"/>
      <c r="AQ39" s="935"/>
      <c r="AR39" s="935"/>
      <c r="AS39" s="935"/>
      <c r="AT39" s="935"/>
      <c r="AU39" s="935"/>
      <c r="AV39" s="935"/>
      <c r="AW39" s="935"/>
      <c r="AX39" s="935"/>
      <c r="AY39" s="935"/>
      <c r="AZ39" s="935"/>
      <c r="BA39" s="935"/>
      <c r="BB39" s="935"/>
      <c r="BC39" s="935"/>
      <c r="BG39" s="1000"/>
      <c r="BH39" s="931"/>
    </row>
    <row r="40" spans="5:60" s="916" customFormat="1">
      <c r="H40" s="935"/>
      <c r="I40" s="935"/>
      <c r="J40" s="935"/>
      <c r="K40" s="935"/>
      <c r="L40" s="935"/>
      <c r="M40" s="935"/>
      <c r="N40" s="935"/>
      <c r="O40" s="935"/>
      <c r="P40" s="935"/>
      <c r="Q40" s="935"/>
      <c r="R40" s="935"/>
      <c r="S40" s="935"/>
      <c r="T40" s="935"/>
      <c r="U40" s="935"/>
      <c r="V40" s="935"/>
      <c r="W40" s="935"/>
      <c r="X40" s="935"/>
      <c r="Y40" s="935"/>
      <c r="Z40" s="935"/>
      <c r="AA40" s="935"/>
      <c r="AB40" s="935"/>
      <c r="AC40" s="935"/>
      <c r="AD40" s="935"/>
      <c r="AE40" s="935"/>
      <c r="AF40" s="935"/>
      <c r="AG40" s="935"/>
      <c r="AH40" s="935"/>
      <c r="AI40" s="935"/>
      <c r="AJ40" s="935"/>
      <c r="AK40" s="935"/>
      <c r="AL40" s="935"/>
      <c r="AM40" s="935"/>
      <c r="AN40" s="935"/>
      <c r="AO40" s="935"/>
      <c r="AP40" s="935"/>
      <c r="AQ40" s="935"/>
      <c r="AR40" s="935"/>
      <c r="AS40" s="935"/>
      <c r="AT40" s="935"/>
      <c r="AU40" s="935"/>
      <c r="AV40" s="935"/>
      <c r="AW40" s="935"/>
      <c r="AX40" s="935"/>
      <c r="AY40" s="935"/>
      <c r="AZ40" s="935"/>
      <c r="BA40" s="935"/>
      <c r="BB40" s="935"/>
      <c r="BC40" s="935"/>
      <c r="BG40" s="1000"/>
      <c r="BH40" s="931"/>
    </row>
    <row r="41" spans="5:60" s="916" customFormat="1" ht="17.25">
      <c r="E41" s="937" t="s">
        <v>821</v>
      </c>
      <c r="F41" s="938"/>
      <c r="G41" s="938"/>
      <c r="H41" s="938"/>
      <c r="I41" s="938"/>
      <c r="J41" s="939"/>
      <c r="K41" s="939"/>
      <c r="L41" s="939"/>
      <c r="M41" s="939"/>
      <c r="N41" s="939"/>
      <c r="O41" s="939"/>
      <c r="P41" s="939"/>
      <c r="Q41" s="939"/>
      <c r="R41" s="939"/>
      <c r="S41" s="939"/>
      <c r="T41" s="939"/>
      <c r="U41" s="939"/>
      <c r="V41" s="939"/>
      <c r="W41" s="939"/>
      <c r="X41" s="939"/>
      <c r="Y41" s="939"/>
      <c r="Z41" s="939"/>
      <c r="AA41" s="939"/>
      <c r="AB41" s="939"/>
      <c r="AC41" s="939"/>
      <c r="AD41" s="939"/>
      <c r="AE41" s="939"/>
      <c r="AF41" s="939"/>
      <c r="AG41" s="939"/>
      <c r="AH41" s="939"/>
      <c r="AI41" s="939"/>
      <c r="AJ41" s="939"/>
      <c r="AK41" s="939"/>
      <c r="AL41" s="939"/>
      <c r="AM41" s="939"/>
      <c r="AN41" s="939"/>
      <c r="AO41" s="939"/>
      <c r="AP41" s="939"/>
      <c r="AQ41" s="939"/>
      <c r="AR41" s="939"/>
      <c r="AS41" s="939"/>
      <c r="AT41" s="939"/>
      <c r="AU41" s="939"/>
      <c r="AV41" s="939"/>
      <c r="AW41" s="939"/>
      <c r="AX41" s="939"/>
      <c r="AY41" s="935"/>
      <c r="AZ41" s="935"/>
      <c r="BA41" s="935"/>
      <c r="BB41" s="935"/>
      <c r="BC41" s="935"/>
      <c r="BG41" s="1000"/>
      <c r="BH41" s="931"/>
    </row>
    <row r="42" spans="5:60" s="916" customFormat="1">
      <c r="E42" s="940"/>
      <c r="F42" s="940"/>
      <c r="G42" s="940"/>
      <c r="H42" s="941"/>
      <c r="I42" s="941"/>
      <c r="J42" s="935"/>
      <c r="K42" s="935"/>
      <c r="L42" s="935"/>
      <c r="M42" s="935"/>
      <c r="N42" s="935"/>
      <c r="O42" s="935"/>
      <c r="P42" s="935"/>
      <c r="Q42" s="935"/>
      <c r="R42" s="935"/>
      <c r="S42" s="935"/>
      <c r="T42" s="935"/>
      <c r="U42" s="935"/>
      <c r="V42" s="935"/>
      <c r="W42" s="935"/>
      <c r="X42" s="935"/>
      <c r="Y42" s="935"/>
      <c r="Z42" s="935"/>
      <c r="AA42" s="935"/>
      <c r="AB42" s="935"/>
      <c r="AC42" s="935"/>
      <c r="AD42" s="935"/>
      <c r="AE42" s="935"/>
      <c r="AF42" s="935"/>
      <c r="AG42" s="935"/>
      <c r="AH42" s="935"/>
      <c r="AI42" s="935"/>
      <c r="AJ42" s="935"/>
      <c r="AK42" s="935"/>
      <c r="AL42" s="935"/>
      <c r="AM42" s="935"/>
      <c r="AN42" s="935"/>
      <c r="AO42" s="935"/>
      <c r="AP42" s="935"/>
      <c r="AQ42" s="935"/>
      <c r="AR42" s="935"/>
      <c r="AS42" s="935"/>
      <c r="AT42" s="935"/>
      <c r="AU42" s="935"/>
      <c r="AV42" s="935"/>
      <c r="AW42" s="935"/>
      <c r="AX42" s="935"/>
      <c r="AY42" s="935"/>
      <c r="AZ42" s="935"/>
      <c r="BA42" s="935"/>
      <c r="BB42" s="935"/>
      <c r="BC42" s="935"/>
      <c r="BG42" s="1000"/>
      <c r="BH42" s="931"/>
    </row>
    <row r="43" spans="5:60" s="916" customFormat="1" ht="17.25">
      <c r="E43" s="942" t="s">
        <v>823</v>
      </c>
      <c r="F43" s="941"/>
      <c r="G43" s="941"/>
      <c r="H43" s="941"/>
      <c r="I43" s="941"/>
      <c r="J43" s="935"/>
      <c r="K43" s="935"/>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G43" s="1000"/>
      <c r="BH43" s="931"/>
    </row>
    <row r="44" spans="5:60" s="916" customFormat="1" ht="17.25">
      <c r="E44" s="942" t="s">
        <v>822</v>
      </c>
      <c r="F44" s="941"/>
      <c r="G44" s="941"/>
      <c r="H44" s="941"/>
      <c r="I44" s="941"/>
      <c r="J44" s="935"/>
      <c r="K44" s="935"/>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c r="AP44" s="935"/>
      <c r="AQ44" s="935"/>
      <c r="AR44" s="935"/>
      <c r="AS44" s="935"/>
      <c r="AT44" s="935"/>
      <c r="AU44" s="935"/>
      <c r="AV44" s="935"/>
      <c r="AW44" s="935"/>
      <c r="AX44" s="935"/>
      <c r="AY44" s="935"/>
      <c r="AZ44" s="935"/>
      <c r="BA44" s="935"/>
      <c r="BB44" s="935"/>
      <c r="BC44" s="935"/>
      <c r="BG44" s="1000"/>
      <c r="BH44" s="931"/>
    </row>
    <row r="45" spans="5:60" s="916" customFormat="1">
      <c r="E45" s="940"/>
      <c r="F45" s="940"/>
      <c r="G45" s="940"/>
      <c r="H45" s="941"/>
      <c r="I45" s="941"/>
      <c r="J45" s="935"/>
      <c r="K45" s="935"/>
      <c r="L45" s="935"/>
      <c r="M45" s="935"/>
      <c r="N45" s="935"/>
      <c r="O45" s="935"/>
      <c r="P45" s="935"/>
      <c r="Q45" s="935"/>
      <c r="R45" s="935"/>
      <c r="S45" s="935"/>
      <c r="T45" s="935"/>
      <c r="U45" s="935"/>
      <c r="V45" s="935"/>
      <c r="W45" s="935"/>
      <c r="X45" s="935"/>
      <c r="Y45" s="935"/>
      <c r="Z45" s="935"/>
      <c r="AA45" s="935"/>
      <c r="AB45" s="935"/>
      <c r="AC45" s="935"/>
      <c r="AD45" s="935"/>
      <c r="AE45" s="935"/>
      <c r="AF45" s="935"/>
      <c r="AG45" s="935"/>
      <c r="AH45" s="935"/>
      <c r="AI45" s="935"/>
      <c r="AJ45" s="935"/>
      <c r="AK45" s="935"/>
      <c r="AL45" s="935"/>
      <c r="AM45" s="935"/>
      <c r="AN45" s="935"/>
      <c r="AO45" s="935"/>
      <c r="AP45" s="935"/>
      <c r="AQ45" s="935"/>
      <c r="AR45" s="935"/>
      <c r="AS45" s="935"/>
      <c r="AT45" s="935"/>
      <c r="AU45" s="935"/>
      <c r="AV45" s="935"/>
      <c r="AW45" s="935"/>
      <c r="AX45" s="935"/>
      <c r="AY45" s="935"/>
      <c r="AZ45" s="935"/>
      <c r="BA45" s="935"/>
      <c r="BB45" s="935"/>
      <c r="BC45" s="935"/>
      <c r="BG45" s="1000"/>
      <c r="BH45" s="931"/>
    </row>
    <row r="46" spans="5:60" s="916" customFormat="1" ht="17.25">
      <c r="E46" s="936" t="s">
        <v>402</v>
      </c>
      <c r="F46" s="935"/>
      <c r="G46" s="935"/>
      <c r="H46" s="935"/>
      <c r="I46" s="935"/>
      <c r="J46" s="935"/>
      <c r="K46" s="935"/>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c r="AP46" s="935"/>
      <c r="AQ46" s="935"/>
      <c r="AR46" s="935"/>
      <c r="AS46" s="935"/>
      <c r="AT46" s="935"/>
      <c r="AU46" s="935"/>
      <c r="AV46" s="935"/>
      <c r="AW46" s="935"/>
      <c r="AX46" s="935"/>
      <c r="AY46" s="935"/>
      <c r="AZ46" s="935"/>
      <c r="BA46" s="935"/>
      <c r="BB46" s="935"/>
      <c r="BC46" s="935"/>
      <c r="BG46" s="1000"/>
      <c r="BH46" s="931"/>
    </row>
    <row r="47" spans="5:60" s="916" customFormat="1">
      <c r="H47" s="935"/>
      <c r="I47" s="935"/>
      <c r="J47" s="935"/>
      <c r="K47" s="935"/>
      <c r="L47" s="935"/>
      <c r="M47" s="935"/>
      <c r="N47" s="935"/>
      <c r="O47" s="935"/>
      <c r="P47" s="935"/>
      <c r="Q47" s="935"/>
      <c r="R47" s="935"/>
      <c r="S47" s="935"/>
      <c r="T47" s="935"/>
      <c r="U47" s="935"/>
      <c r="V47" s="935"/>
      <c r="W47" s="935"/>
      <c r="X47" s="935"/>
      <c r="Y47" s="935"/>
      <c r="Z47" s="935"/>
      <c r="AA47" s="935"/>
      <c r="AB47" s="935"/>
      <c r="AC47" s="935"/>
      <c r="AD47" s="935"/>
      <c r="AE47" s="935"/>
      <c r="AF47" s="935"/>
      <c r="AG47" s="935"/>
      <c r="AH47" s="935"/>
      <c r="AI47" s="935"/>
      <c r="AJ47" s="935"/>
      <c r="AK47" s="935"/>
      <c r="AL47" s="935"/>
      <c r="AM47" s="935"/>
      <c r="AN47" s="935"/>
      <c r="AO47" s="935"/>
      <c r="AP47" s="935"/>
      <c r="AQ47" s="935"/>
      <c r="AR47" s="935"/>
      <c r="AS47" s="935"/>
      <c r="AT47" s="935"/>
      <c r="AU47" s="935"/>
      <c r="AV47" s="935"/>
      <c r="AW47" s="935"/>
      <c r="AX47" s="935"/>
      <c r="BG47" s="1000"/>
      <c r="BH47" s="931"/>
    </row>
    <row r="48" spans="5:60" s="916" customFormat="1" ht="17.25">
      <c r="E48" s="936" t="s">
        <v>403</v>
      </c>
      <c r="F48" s="935"/>
      <c r="G48" s="935"/>
      <c r="H48" s="935"/>
      <c r="I48" s="935"/>
      <c r="J48" s="935"/>
      <c r="K48" s="935"/>
      <c r="L48" s="935"/>
      <c r="M48" s="935"/>
      <c r="N48" s="935"/>
      <c r="O48" s="935"/>
      <c r="P48" s="935"/>
      <c r="Q48" s="935"/>
      <c r="R48" s="935"/>
      <c r="S48" s="935"/>
      <c r="T48" s="935"/>
      <c r="U48" s="935"/>
      <c r="V48" s="935"/>
      <c r="W48" s="935"/>
      <c r="X48" s="935"/>
      <c r="Y48" s="935"/>
      <c r="Z48" s="935"/>
      <c r="AA48" s="935"/>
      <c r="AB48" s="935"/>
      <c r="AC48" s="935"/>
      <c r="AD48" s="935"/>
      <c r="AE48" s="935"/>
      <c r="AF48" s="935"/>
      <c r="AG48" s="935"/>
      <c r="AH48" s="935"/>
      <c r="AI48" s="935"/>
      <c r="AJ48" s="935"/>
      <c r="AK48" s="935"/>
      <c r="AL48" s="935"/>
      <c r="AM48" s="935"/>
      <c r="AN48" s="935"/>
      <c r="AO48" s="935"/>
      <c r="AP48" s="935"/>
      <c r="AQ48" s="935"/>
      <c r="AR48" s="935"/>
      <c r="AS48" s="935"/>
      <c r="AT48" s="935"/>
      <c r="AU48" s="935"/>
      <c r="AV48" s="935"/>
      <c r="AW48" s="935"/>
      <c r="AX48" s="935"/>
      <c r="BG48" s="1000"/>
      <c r="BH48" s="931"/>
    </row>
    <row r="49" spans="4:71" s="916" customFormat="1" ht="17.25">
      <c r="E49" s="936"/>
      <c r="F49" s="935"/>
      <c r="G49" s="935"/>
      <c r="H49" s="935"/>
      <c r="I49" s="935"/>
      <c r="J49" s="935"/>
      <c r="K49" s="935"/>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BG49" s="1000"/>
      <c r="BH49" s="931"/>
    </row>
    <row r="50" spans="4:71" s="916" customFormat="1">
      <c r="H50" s="935"/>
      <c r="I50" s="935"/>
      <c r="J50" s="935"/>
      <c r="K50" s="935"/>
      <c r="L50" s="935"/>
      <c r="M50" s="935"/>
      <c r="N50" s="935"/>
      <c r="O50" s="935"/>
      <c r="P50" s="935"/>
      <c r="Q50" s="935"/>
      <c r="R50" s="935"/>
      <c r="S50" s="935"/>
      <c r="T50" s="935"/>
      <c r="U50" s="935"/>
      <c r="V50" s="935"/>
      <c r="W50" s="935"/>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935"/>
      <c r="AT50" s="935"/>
      <c r="AU50" s="935"/>
      <c r="AV50" s="935"/>
      <c r="AW50" s="935"/>
      <c r="AX50" s="935"/>
      <c r="BG50" s="1000"/>
      <c r="BH50" s="931"/>
    </row>
    <row r="51" spans="4:71" s="916" customFormat="1">
      <c r="H51" s="935"/>
      <c r="I51" s="935"/>
      <c r="J51" s="935"/>
      <c r="K51" s="935"/>
      <c r="L51" s="935"/>
      <c r="M51" s="935"/>
      <c r="N51" s="935"/>
      <c r="O51" s="935"/>
      <c r="P51" s="935"/>
      <c r="Q51" s="935"/>
      <c r="R51" s="935"/>
      <c r="S51" s="935"/>
      <c r="T51" s="935"/>
      <c r="U51" s="935"/>
      <c r="V51" s="935"/>
      <c r="W51" s="935"/>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935"/>
      <c r="AT51" s="935"/>
      <c r="AU51" s="935"/>
      <c r="AV51" s="935"/>
      <c r="AW51" s="935"/>
      <c r="AX51" s="935"/>
      <c r="BG51" s="1000"/>
      <c r="BH51" s="931"/>
    </row>
    <row r="52" spans="4:71" s="916" customFormat="1" ht="17.25">
      <c r="E52" s="936"/>
      <c r="F52" s="935"/>
      <c r="G52" s="935"/>
      <c r="BG52" s="1000"/>
      <c r="BH52" s="931"/>
    </row>
    <row r="53" spans="4:71" s="916" customFormat="1" ht="17.25">
      <c r="E53" s="936"/>
      <c r="F53" s="1371" t="s">
        <v>784</v>
      </c>
      <c r="G53" s="1372"/>
      <c r="H53" s="1372"/>
      <c r="I53" s="1372"/>
      <c r="J53" s="1372"/>
      <c r="K53" s="1372"/>
      <c r="L53" s="1372"/>
      <c r="M53" s="1372"/>
      <c r="N53" s="1372"/>
      <c r="O53" s="1372"/>
      <c r="P53" s="1372"/>
      <c r="Q53" s="1372"/>
      <c r="R53" s="1372"/>
      <c r="S53" s="1372"/>
      <c r="T53" s="1372"/>
      <c r="U53" s="1372"/>
      <c r="V53" s="1372"/>
      <c r="W53" s="1372"/>
      <c r="X53" s="1372"/>
      <c r="Y53" s="1372"/>
      <c r="Z53" s="1372"/>
      <c r="AA53" s="1372"/>
      <c r="AB53" s="1372"/>
      <c r="AC53" s="1372"/>
      <c r="AD53" s="1372"/>
      <c r="AE53" s="1372"/>
      <c r="AF53" s="1372"/>
      <c r="AG53" s="1372"/>
      <c r="AH53" s="1372"/>
      <c r="AI53" s="1372"/>
      <c r="AJ53" s="1372"/>
      <c r="AK53" s="1372"/>
      <c r="AL53" s="1372"/>
      <c r="AM53" s="1372"/>
      <c r="AN53" s="1372"/>
      <c r="AO53" s="1372"/>
      <c r="AP53" s="1372"/>
      <c r="AQ53" s="1372"/>
      <c r="AR53" s="1372"/>
      <c r="AS53" s="1372"/>
      <c r="AT53" s="1372"/>
      <c r="AU53" s="1372"/>
      <c r="AV53" s="1372"/>
      <c r="AW53" s="1372"/>
      <c r="AX53" s="1372"/>
      <c r="AY53" s="1372"/>
      <c r="AZ53" s="1372"/>
      <c r="BA53" s="1372"/>
      <c r="BB53" s="1372"/>
      <c r="BC53" s="1373"/>
      <c r="BG53" s="1000"/>
      <c r="BH53" s="931"/>
    </row>
    <row r="54" spans="4:71" s="916" customFormat="1">
      <c r="F54" s="1374"/>
      <c r="G54" s="1375"/>
      <c r="H54" s="1375"/>
      <c r="I54" s="1375"/>
      <c r="J54" s="1375"/>
      <c r="K54" s="1375"/>
      <c r="L54" s="1375"/>
      <c r="M54" s="1375"/>
      <c r="N54" s="1375"/>
      <c r="O54" s="1375"/>
      <c r="P54" s="1375"/>
      <c r="Q54" s="1375"/>
      <c r="R54" s="1375"/>
      <c r="S54" s="1375"/>
      <c r="T54" s="1375"/>
      <c r="U54" s="1375"/>
      <c r="V54" s="1375"/>
      <c r="W54" s="1375"/>
      <c r="X54" s="1375"/>
      <c r="Y54" s="1375"/>
      <c r="Z54" s="1375"/>
      <c r="AA54" s="1375"/>
      <c r="AB54" s="1375"/>
      <c r="AC54" s="1375"/>
      <c r="AD54" s="1375"/>
      <c r="AE54" s="1375"/>
      <c r="AF54" s="1375"/>
      <c r="AG54" s="1375"/>
      <c r="AH54" s="1375"/>
      <c r="AI54" s="1375"/>
      <c r="AJ54" s="1375"/>
      <c r="AK54" s="1375"/>
      <c r="AL54" s="1375"/>
      <c r="AM54" s="1375"/>
      <c r="AN54" s="1375"/>
      <c r="AO54" s="1375"/>
      <c r="AP54" s="1375"/>
      <c r="AQ54" s="1375"/>
      <c r="AR54" s="1375"/>
      <c r="AS54" s="1375"/>
      <c r="AT54" s="1375"/>
      <c r="AU54" s="1375"/>
      <c r="AV54" s="1375"/>
      <c r="AW54" s="1375"/>
      <c r="AX54" s="1375"/>
      <c r="AY54" s="1375"/>
      <c r="AZ54" s="1375"/>
      <c r="BA54" s="1375"/>
      <c r="BB54" s="1375"/>
      <c r="BC54" s="1376"/>
      <c r="BG54" s="1000"/>
      <c r="BH54" s="931"/>
    </row>
    <row r="55" spans="4:71" s="916" customFormat="1">
      <c r="F55" s="1374"/>
      <c r="G55" s="1375"/>
      <c r="H55" s="1375"/>
      <c r="I55" s="1375"/>
      <c r="J55" s="1375"/>
      <c r="K55" s="1375"/>
      <c r="L55" s="1375"/>
      <c r="M55" s="1375"/>
      <c r="N55" s="1375"/>
      <c r="O55" s="1375"/>
      <c r="P55" s="1375"/>
      <c r="Q55" s="1375"/>
      <c r="R55" s="1375"/>
      <c r="S55" s="1375"/>
      <c r="T55" s="1375"/>
      <c r="U55" s="1375"/>
      <c r="V55" s="1375"/>
      <c r="W55" s="1375"/>
      <c r="X55" s="1375"/>
      <c r="Y55" s="1375"/>
      <c r="Z55" s="1375"/>
      <c r="AA55" s="1375"/>
      <c r="AB55" s="1375"/>
      <c r="AC55" s="1375"/>
      <c r="AD55" s="1375"/>
      <c r="AE55" s="1375"/>
      <c r="AF55" s="1375"/>
      <c r="AG55" s="1375"/>
      <c r="AH55" s="1375"/>
      <c r="AI55" s="1375"/>
      <c r="AJ55" s="1375"/>
      <c r="AK55" s="1375"/>
      <c r="AL55" s="1375"/>
      <c r="AM55" s="1375"/>
      <c r="AN55" s="1375"/>
      <c r="AO55" s="1375"/>
      <c r="AP55" s="1375"/>
      <c r="AQ55" s="1375"/>
      <c r="AR55" s="1375"/>
      <c r="AS55" s="1375"/>
      <c r="AT55" s="1375"/>
      <c r="AU55" s="1375"/>
      <c r="AV55" s="1375"/>
      <c r="AW55" s="1375"/>
      <c r="AX55" s="1375"/>
      <c r="AY55" s="1375"/>
      <c r="AZ55" s="1375"/>
      <c r="BA55" s="1375"/>
      <c r="BB55" s="1375"/>
      <c r="BC55" s="1376"/>
      <c r="BG55" s="1000"/>
      <c r="BH55" s="931"/>
    </row>
    <row r="56" spans="4:71" s="916" customFormat="1">
      <c r="F56" s="1374"/>
      <c r="G56" s="1375"/>
      <c r="H56" s="1375"/>
      <c r="I56" s="1375"/>
      <c r="J56" s="1375"/>
      <c r="K56" s="1375"/>
      <c r="L56" s="1375"/>
      <c r="M56" s="1375"/>
      <c r="N56" s="1375"/>
      <c r="O56" s="1375"/>
      <c r="P56" s="1375"/>
      <c r="Q56" s="1375"/>
      <c r="R56" s="1375"/>
      <c r="S56" s="1375"/>
      <c r="T56" s="1375"/>
      <c r="U56" s="1375"/>
      <c r="V56" s="1375"/>
      <c r="W56" s="1375"/>
      <c r="X56" s="1375"/>
      <c r="Y56" s="1375"/>
      <c r="Z56" s="1375"/>
      <c r="AA56" s="1375"/>
      <c r="AB56" s="1375"/>
      <c r="AC56" s="1375"/>
      <c r="AD56" s="1375"/>
      <c r="AE56" s="1375"/>
      <c r="AF56" s="1375"/>
      <c r="AG56" s="1375"/>
      <c r="AH56" s="1375"/>
      <c r="AI56" s="1375"/>
      <c r="AJ56" s="1375"/>
      <c r="AK56" s="1375"/>
      <c r="AL56" s="1375"/>
      <c r="AM56" s="1375"/>
      <c r="AN56" s="1375"/>
      <c r="AO56" s="1375"/>
      <c r="AP56" s="1375"/>
      <c r="AQ56" s="1375"/>
      <c r="AR56" s="1375"/>
      <c r="AS56" s="1375"/>
      <c r="AT56" s="1375"/>
      <c r="AU56" s="1375"/>
      <c r="AV56" s="1375"/>
      <c r="AW56" s="1375"/>
      <c r="AX56" s="1375"/>
      <c r="AY56" s="1375"/>
      <c r="AZ56" s="1375"/>
      <c r="BA56" s="1375"/>
      <c r="BB56" s="1375"/>
      <c r="BC56" s="1376"/>
      <c r="BG56" s="1000"/>
      <c r="BH56" s="931"/>
    </row>
    <row r="57" spans="4:71" s="916" customFormat="1">
      <c r="F57" s="1374"/>
      <c r="G57" s="1375"/>
      <c r="H57" s="1375"/>
      <c r="I57" s="1375"/>
      <c r="J57" s="1375"/>
      <c r="K57" s="1375"/>
      <c r="L57" s="1375"/>
      <c r="M57" s="1375"/>
      <c r="N57" s="1375"/>
      <c r="O57" s="1375"/>
      <c r="P57" s="1375"/>
      <c r="Q57" s="1375"/>
      <c r="R57" s="1375"/>
      <c r="S57" s="1375"/>
      <c r="T57" s="1375"/>
      <c r="U57" s="1375"/>
      <c r="V57" s="1375"/>
      <c r="W57" s="1375"/>
      <c r="X57" s="1375"/>
      <c r="Y57" s="1375"/>
      <c r="Z57" s="1375"/>
      <c r="AA57" s="1375"/>
      <c r="AB57" s="1375"/>
      <c r="AC57" s="1375"/>
      <c r="AD57" s="1375"/>
      <c r="AE57" s="1375"/>
      <c r="AF57" s="1375"/>
      <c r="AG57" s="1375"/>
      <c r="AH57" s="1375"/>
      <c r="AI57" s="1375"/>
      <c r="AJ57" s="1375"/>
      <c r="AK57" s="1375"/>
      <c r="AL57" s="1375"/>
      <c r="AM57" s="1375"/>
      <c r="AN57" s="1375"/>
      <c r="AO57" s="1375"/>
      <c r="AP57" s="1375"/>
      <c r="AQ57" s="1375"/>
      <c r="AR57" s="1375"/>
      <c r="AS57" s="1375"/>
      <c r="AT57" s="1375"/>
      <c r="AU57" s="1375"/>
      <c r="AV57" s="1375"/>
      <c r="AW57" s="1375"/>
      <c r="AX57" s="1375"/>
      <c r="AY57" s="1375"/>
      <c r="AZ57" s="1375"/>
      <c r="BA57" s="1375"/>
      <c r="BB57" s="1375"/>
      <c r="BC57" s="1376"/>
      <c r="BG57" s="1000"/>
      <c r="BH57" s="931"/>
    </row>
    <row r="58" spans="4:71" s="916" customFormat="1">
      <c r="F58" s="1374"/>
      <c r="G58" s="1375"/>
      <c r="H58" s="1375"/>
      <c r="I58" s="1375"/>
      <c r="J58" s="1375"/>
      <c r="K58" s="1375"/>
      <c r="L58" s="1375"/>
      <c r="M58" s="1375"/>
      <c r="N58" s="1375"/>
      <c r="O58" s="1375"/>
      <c r="P58" s="1375"/>
      <c r="Q58" s="1375"/>
      <c r="R58" s="1375"/>
      <c r="S58" s="1375"/>
      <c r="T58" s="1375"/>
      <c r="U58" s="1375"/>
      <c r="V58" s="1375"/>
      <c r="W58" s="1375"/>
      <c r="X58" s="1375"/>
      <c r="Y58" s="1375"/>
      <c r="Z58" s="1375"/>
      <c r="AA58" s="1375"/>
      <c r="AB58" s="1375"/>
      <c r="AC58" s="1375"/>
      <c r="AD58" s="1375"/>
      <c r="AE58" s="1375"/>
      <c r="AF58" s="1375"/>
      <c r="AG58" s="1375"/>
      <c r="AH58" s="1375"/>
      <c r="AI58" s="1375"/>
      <c r="AJ58" s="1375"/>
      <c r="AK58" s="1375"/>
      <c r="AL58" s="1375"/>
      <c r="AM58" s="1375"/>
      <c r="AN58" s="1375"/>
      <c r="AO58" s="1375"/>
      <c r="AP58" s="1375"/>
      <c r="AQ58" s="1375"/>
      <c r="AR58" s="1375"/>
      <c r="AS58" s="1375"/>
      <c r="AT58" s="1375"/>
      <c r="AU58" s="1375"/>
      <c r="AV58" s="1375"/>
      <c r="AW58" s="1375"/>
      <c r="AX58" s="1375"/>
      <c r="AY58" s="1375"/>
      <c r="AZ58" s="1375"/>
      <c r="BA58" s="1375"/>
      <c r="BB58" s="1375"/>
      <c r="BC58" s="1376"/>
      <c r="BG58" s="1000"/>
      <c r="BH58" s="931"/>
    </row>
    <row r="59" spans="4:71" s="916" customFormat="1">
      <c r="F59" s="1377"/>
      <c r="G59" s="1378"/>
      <c r="H59" s="1378"/>
      <c r="I59" s="1378"/>
      <c r="J59" s="1378"/>
      <c r="K59" s="1378"/>
      <c r="L59" s="1378"/>
      <c r="M59" s="1378"/>
      <c r="N59" s="1378"/>
      <c r="O59" s="1378"/>
      <c r="P59" s="1378"/>
      <c r="Q59" s="1378"/>
      <c r="R59" s="1378"/>
      <c r="S59" s="1378"/>
      <c r="T59" s="1378"/>
      <c r="U59" s="1378"/>
      <c r="V59" s="1378"/>
      <c r="W59" s="1378"/>
      <c r="X59" s="1378"/>
      <c r="Y59" s="1378"/>
      <c r="Z59" s="1378"/>
      <c r="AA59" s="1378"/>
      <c r="AB59" s="1378"/>
      <c r="AC59" s="1378"/>
      <c r="AD59" s="1378"/>
      <c r="AE59" s="1378"/>
      <c r="AF59" s="1378"/>
      <c r="AG59" s="1378"/>
      <c r="AH59" s="1378"/>
      <c r="AI59" s="1378"/>
      <c r="AJ59" s="1378"/>
      <c r="AK59" s="1378"/>
      <c r="AL59" s="1378"/>
      <c r="AM59" s="1378"/>
      <c r="AN59" s="1378"/>
      <c r="AO59" s="1378"/>
      <c r="AP59" s="1378"/>
      <c r="AQ59" s="1378"/>
      <c r="AR59" s="1378"/>
      <c r="AS59" s="1378"/>
      <c r="AT59" s="1378"/>
      <c r="AU59" s="1378"/>
      <c r="AV59" s="1378"/>
      <c r="AW59" s="1378"/>
      <c r="AX59" s="1378"/>
      <c r="AY59" s="1378"/>
      <c r="AZ59" s="1378"/>
      <c r="BA59" s="1378"/>
      <c r="BB59" s="1378"/>
      <c r="BC59" s="1379"/>
      <c r="BG59" s="1000"/>
      <c r="BH59" s="931"/>
    </row>
    <row r="60" spans="4:71" s="916" customFormat="1">
      <c r="BG60" s="1000"/>
      <c r="BH60" s="931"/>
    </row>
    <row r="61" spans="4:71" s="916" customFormat="1">
      <c r="BG61" s="1000"/>
      <c r="BH61" s="931"/>
    </row>
    <row r="62" spans="4:71" s="916" customFormat="1">
      <c r="BG62" s="1000"/>
      <c r="BH62" s="931"/>
    </row>
    <row r="63" spans="4:71" s="916" customFormat="1">
      <c r="D63" s="1355" t="s">
        <v>43</v>
      </c>
      <c r="E63" s="1356"/>
      <c r="F63" s="1356"/>
      <c r="G63" s="1357"/>
      <c r="H63" s="2" t="str">
        <f>TEXT(BL7,"00 ")&amp;TEXT(BM7,"000 ")&amp;TEXT(BN7,"00 ")&amp;TEXT(BO7,"000 ")&amp;TEXT(BP7,"000 ")&amp;TEXT(BQ7,"000")</f>
        <v>00 000 00 000 000 000</v>
      </c>
      <c r="I63" s="1"/>
      <c r="J63" s="1"/>
      <c r="K63" s="1"/>
      <c r="L63" s="1"/>
      <c r="M63" s="1"/>
      <c r="N63" s="1"/>
      <c r="O63" s="1"/>
      <c r="P63" s="1"/>
      <c r="Q63" s="1"/>
      <c r="R63" s="1"/>
      <c r="S63" s="1"/>
      <c r="T63" s="1"/>
      <c r="U63" s="1"/>
      <c r="V63" s="1"/>
      <c r="W63" s="1348"/>
      <c r="X63" s="931"/>
      <c r="Y63" s="749"/>
      <c r="Z63" s="749"/>
      <c r="AA63" s="50"/>
      <c r="AB63" s="50"/>
      <c r="AC63" s="50"/>
      <c r="AD63" s="50"/>
      <c r="AE63" s="86"/>
      <c r="AF63" s="86"/>
      <c r="BG63" s="1000"/>
      <c r="BH63" s="931"/>
      <c r="BS63" s="918"/>
    </row>
    <row r="64" spans="4:71" s="916" customFormat="1">
      <c r="D64" s="1358"/>
      <c r="E64" s="1359"/>
      <c r="F64" s="1359"/>
      <c r="G64" s="1360"/>
      <c r="H64" s="1349"/>
      <c r="I64" s="1350"/>
      <c r="J64" s="1350"/>
      <c r="K64" s="1350"/>
      <c r="L64" s="1350"/>
      <c r="M64" s="1350"/>
      <c r="N64" s="1350"/>
      <c r="O64" s="1350"/>
      <c r="P64" s="1350"/>
      <c r="Q64" s="1350"/>
      <c r="R64" s="1350"/>
      <c r="S64" s="1350"/>
      <c r="T64" s="1350"/>
      <c r="U64" s="1350"/>
      <c r="V64" s="1350"/>
      <c r="W64" s="1351"/>
      <c r="X64" s="1160"/>
      <c r="Y64" s="749"/>
      <c r="Z64" s="749"/>
      <c r="AA64" s="50"/>
      <c r="AB64" s="50"/>
      <c r="AC64" s="50"/>
      <c r="AD64" s="50"/>
      <c r="AE64" s="86"/>
      <c r="AF64" s="86"/>
      <c r="BG64" s="1000"/>
      <c r="BH64" s="931"/>
      <c r="BL64" s="918"/>
      <c r="BM64" s="918"/>
      <c r="BN64" s="918"/>
      <c r="BO64" s="918"/>
      <c r="BP64" s="918"/>
      <c r="BQ64" s="918"/>
      <c r="BS64" s="918"/>
    </row>
    <row r="65" spans="1:71" s="916" customFormat="1" ht="13.7" customHeight="1">
      <c r="A65" s="918"/>
      <c r="B65" s="918"/>
      <c r="C65" s="918"/>
      <c r="D65" s="918"/>
      <c r="E65" s="918"/>
      <c r="F65" s="918"/>
      <c r="G65" s="918"/>
      <c r="H65" s="918"/>
      <c r="I65" s="918"/>
      <c r="J65" s="918"/>
      <c r="K65" s="918"/>
      <c r="L65" s="918"/>
      <c r="M65" s="918"/>
      <c r="N65" s="918"/>
      <c r="O65" s="918"/>
      <c r="P65" s="918"/>
      <c r="Q65" s="918"/>
      <c r="R65" s="918"/>
      <c r="S65" s="918"/>
      <c r="T65" s="918"/>
      <c r="U65" s="918"/>
      <c r="V65" s="918"/>
      <c r="W65" s="918"/>
      <c r="X65" s="918"/>
      <c r="Y65" s="918"/>
      <c r="Z65" s="918"/>
      <c r="AA65" s="918"/>
      <c r="AB65" s="918"/>
      <c r="AC65" s="918"/>
      <c r="AD65" s="918"/>
      <c r="AE65" s="918"/>
      <c r="AF65" s="918"/>
      <c r="AG65" s="918"/>
      <c r="AH65" s="918"/>
      <c r="AI65" s="918"/>
      <c r="AJ65" s="918"/>
      <c r="AK65" s="918"/>
      <c r="AL65" s="918"/>
      <c r="AM65" s="918"/>
      <c r="AN65" s="918"/>
      <c r="AO65" s="918"/>
      <c r="AP65" s="918"/>
      <c r="AQ65" s="918"/>
      <c r="AR65" s="918"/>
      <c r="AS65" s="918"/>
      <c r="AT65" s="918"/>
      <c r="AU65" s="918"/>
      <c r="AV65" s="918"/>
      <c r="AW65" s="918"/>
      <c r="AX65" s="918"/>
      <c r="AY65" s="918"/>
      <c r="AZ65" s="918"/>
      <c r="BA65" s="918"/>
      <c r="BB65" s="918"/>
      <c r="BC65" s="918"/>
      <c r="BD65" s="918"/>
      <c r="BE65" s="918"/>
      <c r="BF65" s="918"/>
      <c r="BG65" s="1007"/>
      <c r="BH65" s="1101"/>
      <c r="BI65" s="918"/>
      <c r="BJ65" s="918"/>
      <c r="BL65" s="918"/>
      <c r="BM65" s="918"/>
      <c r="BN65" s="918"/>
      <c r="BO65" s="918"/>
      <c r="BP65" s="918"/>
      <c r="BQ65" s="918"/>
      <c r="BR65" s="918"/>
      <c r="BS65" s="918"/>
    </row>
    <row r="66" spans="1:71" s="916" customFormat="1">
      <c r="A66" s="918"/>
      <c r="B66" s="918"/>
      <c r="C66" s="918"/>
      <c r="D66" s="918"/>
      <c r="E66" s="918"/>
      <c r="F66" s="918"/>
      <c r="G66" s="918"/>
      <c r="H66" s="918"/>
      <c r="I66" s="918"/>
      <c r="J66" s="918"/>
      <c r="K66" s="918"/>
      <c r="L66" s="918"/>
      <c r="M66" s="918"/>
      <c r="N66" s="918"/>
      <c r="O66" s="918"/>
      <c r="P66" s="918"/>
      <c r="Q66" s="918"/>
      <c r="R66" s="918"/>
      <c r="S66" s="918"/>
      <c r="T66" s="918"/>
      <c r="U66" s="918"/>
      <c r="V66" s="918"/>
      <c r="W66" s="918"/>
      <c r="X66" s="918"/>
      <c r="Y66" s="918"/>
      <c r="Z66" s="918"/>
      <c r="AA66" s="918"/>
      <c r="AB66" s="918"/>
      <c r="AC66" s="918"/>
      <c r="AD66" s="918"/>
      <c r="AE66" s="918"/>
      <c r="AF66" s="918"/>
      <c r="AG66" s="918"/>
      <c r="AH66" s="918"/>
      <c r="AI66" s="918"/>
      <c r="AJ66" s="918"/>
      <c r="AK66" s="918"/>
      <c r="AL66" s="918"/>
      <c r="AM66" s="918"/>
      <c r="AN66" s="918"/>
      <c r="AO66" s="918"/>
      <c r="AP66" s="918"/>
      <c r="AQ66" s="918"/>
      <c r="AR66" s="918"/>
      <c r="AS66" s="918"/>
      <c r="AT66" s="918"/>
      <c r="AU66" s="918"/>
      <c r="AV66" s="918"/>
      <c r="AW66" s="918"/>
      <c r="AX66" s="918"/>
      <c r="AY66" s="918"/>
      <c r="AZ66" s="918"/>
      <c r="BA66" s="918"/>
      <c r="BB66" s="918"/>
      <c r="BC66" s="918"/>
      <c r="BD66" s="918"/>
      <c r="BE66" s="918"/>
      <c r="BF66" s="918"/>
      <c r="BG66" s="1007"/>
      <c r="BH66" s="1101"/>
      <c r="BI66" s="918"/>
      <c r="BJ66" s="918"/>
      <c r="BL66" s="918"/>
      <c r="BM66" s="918"/>
      <c r="BN66" s="918"/>
      <c r="BO66" s="918"/>
      <c r="BP66" s="918"/>
      <c r="BQ66" s="918"/>
      <c r="BR66" s="918"/>
      <c r="BS66" s="918"/>
    </row>
    <row r="67" spans="1:71">
      <c r="BG67" s="1007"/>
      <c r="BH67" s="1101"/>
    </row>
    <row r="76" spans="1:71">
      <c r="M76" s="337"/>
      <c r="N76" s="337"/>
      <c r="O76" s="337"/>
      <c r="P76" s="337"/>
      <c r="Q76" s="337"/>
      <c r="R76" s="337"/>
      <c r="S76" s="337"/>
      <c r="T76" s="337"/>
      <c r="U76" s="337"/>
      <c r="V76" s="337"/>
    </row>
    <row r="77" spans="1:71">
      <c r="M77" s="337"/>
      <c r="N77" s="337"/>
      <c r="O77" s="337"/>
      <c r="P77" s="337"/>
      <c r="Q77" s="337"/>
      <c r="R77" s="337"/>
      <c r="S77" s="337"/>
      <c r="T77" s="337"/>
      <c r="U77" s="337"/>
      <c r="V77" s="337"/>
    </row>
    <row r="78" spans="1:71">
      <c r="M78" s="337"/>
      <c r="N78" s="337"/>
      <c r="O78" s="337"/>
      <c r="P78" s="337"/>
      <c r="Q78" s="337"/>
      <c r="R78" s="337"/>
      <c r="S78" s="337"/>
      <c r="T78" s="337"/>
      <c r="U78" s="337"/>
      <c r="V78" s="337"/>
    </row>
    <row r="79" spans="1:71">
      <c r="M79" s="337"/>
      <c r="N79" s="337"/>
      <c r="O79" s="337"/>
      <c r="P79" s="337"/>
      <c r="Q79" s="337"/>
      <c r="R79" s="337"/>
      <c r="S79" s="337"/>
      <c r="T79" s="337"/>
      <c r="U79" s="337"/>
      <c r="V79" s="337"/>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3"/>
  <dataValidations count="8">
    <dataValidation type="whole" allowBlank="1" showInputMessage="1" showErrorMessage="1" error="1～47の数字を入力してください。" sqref="BL7" xr:uid="{00000000-0002-0000-0000-000000000000}">
      <formula1>1</formula1>
      <formula2>47</formula2>
    </dataValidation>
    <dataValidation type="whole" allowBlank="1" showInputMessage="1" showErrorMessage="1" error="３桁の数字を入力してください。" sqref="BO7 BQ7" xr:uid="{00000000-0002-0000-0000-000001000000}">
      <formula1>1</formula1>
      <formula2>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13桁の整数を入力してください。" sqref="BS6" xr:uid="{00000000-0002-0000-0000-000003000000}">
      <formula1>1000000000000</formula1>
      <formula2>9999999999999</formula2>
    </dataValidation>
    <dataValidation type="whole" imeMode="disabled" allowBlank="1" showErrorMessage="1" errorTitle="調査簿入力" error="年を入力して下さい。" sqref="AT9:AV9 Q9:S9" xr:uid="{00000000-0002-0000-0000-000004000000}">
      <formula1>1</formula1>
      <formula2>99</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5577F17B-C098-4F74-BF97-81BF06436C86}">
      <formula1>0</formula1>
      <formula2>999</formula2>
    </dataValidation>
  </dataValidations>
  <printOptions horizontalCentered="1" verticalCentered="1"/>
  <pageMargins left="0" right="0" top="0" bottom="0" header="0" footer="0.19685039370078741"/>
  <pageSetup paperSize="9" scale="62" firstPageNumber="2" fitToWidth="0" orientation="landscape" cellComments="asDisplayed" r:id="rId1"/>
  <headerFooter scaleWithDoc="0">
    <oddFooter>&amp;R&amp;G</oddFooter>
  </headerFooter>
  <colBreaks count="1" manualBreakCount="1">
    <brk id="58" max="66"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B1:BW131"/>
  <sheetViews>
    <sheetView showGridLines="0" zoomScaleNormal="100" zoomScaleSheetLayoutView="100" workbookViewId="0"/>
  </sheetViews>
  <sheetFormatPr defaultColWidth="2.75" defaultRowHeight="17.45" customHeight="1"/>
  <cols>
    <col min="1" max="2" width="2.75" style="28"/>
    <col min="3" max="17" width="2.75" style="10"/>
    <col min="18" max="38" width="2.75" style="27"/>
    <col min="39" max="16384" width="2.75" style="28"/>
  </cols>
  <sheetData>
    <row r="1" spans="2:72" s="40" customFormat="1" ht="16.899999999999999" customHeight="1">
      <c r="B1" s="38"/>
      <c r="C1" s="38"/>
      <c r="D1" s="38"/>
      <c r="E1" s="38"/>
      <c r="F1" s="38"/>
      <c r="G1" s="38"/>
      <c r="H1" s="38"/>
      <c r="I1" s="38"/>
      <c r="J1" s="38"/>
      <c r="K1" s="38"/>
      <c r="L1" s="38"/>
      <c r="M1" s="38"/>
      <c r="N1" s="38"/>
      <c r="O1" s="38"/>
      <c r="P1" s="38"/>
      <c r="Q1" s="39"/>
      <c r="R1" s="39"/>
      <c r="S1" s="39"/>
      <c r="T1" s="39"/>
      <c r="U1" s="39"/>
      <c r="V1" s="39"/>
      <c r="W1" s="39"/>
      <c r="X1" s="39"/>
      <c r="Y1" s="39"/>
      <c r="Z1" s="39"/>
      <c r="AA1" s="39"/>
      <c r="AB1" s="39"/>
      <c r="AC1" s="39"/>
      <c r="AD1" s="39"/>
      <c r="AE1" s="39"/>
      <c r="AF1" s="39"/>
      <c r="AG1" s="39"/>
      <c r="AH1" s="39"/>
      <c r="AI1" s="39"/>
      <c r="AJ1" s="39"/>
      <c r="AL1" s="39"/>
      <c r="AM1" s="25"/>
      <c r="AN1" s="213" t="s">
        <v>84</v>
      </c>
      <c r="AO1" s="29"/>
      <c r="AP1" s="29"/>
      <c r="AQ1" s="29"/>
      <c r="AR1" s="29"/>
      <c r="AS1" s="29"/>
      <c r="AT1" s="29"/>
      <c r="AU1" s="29"/>
      <c r="AV1" s="19"/>
      <c r="AW1" s="19"/>
      <c r="AX1" s="19"/>
      <c r="AY1" s="19"/>
      <c r="AZ1" s="19"/>
      <c r="BA1" s="19"/>
      <c r="BB1" s="26"/>
      <c r="BC1" s="26"/>
      <c r="BD1" s="26"/>
      <c r="BE1" s="26"/>
      <c r="BF1" s="19"/>
      <c r="BG1" s="25"/>
      <c r="BH1" s="26"/>
      <c r="BI1" s="26"/>
      <c r="BJ1" s="26"/>
      <c r="BK1" s="26"/>
      <c r="BL1" s="26"/>
      <c r="BM1" s="26"/>
      <c r="BN1" s="26"/>
      <c r="BO1" s="26"/>
      <c r="BP1" s="26"/>
      <c r="BQ1" s="26"/>
      <c r="BR1" s="26"/>
      <c r="BS1" s="26"/>
      <c r="BT1" s="26"/>
    </row>
    <row r="2" spans="2:72" s="29" customFormat="1" ht="16.899999999999999" customHeight="1">
      <c r="B2" s="25"/>
      <c r="D2" s="19" t="s">
        <v>157</v>
      </c>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L2" s="19"/>
      <c r="AM2" s="10"/>
      <c r="AN2" s="4"/>
      <c r="AO2" s="28"/>
      <c r="AP2" s="28"/>
      <c r="AQ2" s="28"/>
      <c r="AR2" s="28"/>
      <c r="AS2" s="28"/>
      <c r="AT2" s="28"/>
      <c r="AU2" s="28"/>
      <c r="AV2" s="4"/>
      <c r="AW2" s="4"/>
      <c r="AX2" s="4"/>
      <c r="AY2" s="4"/>
      <c r="AZ2" s="4"/>
      <c r="BA2" s="4"/>
      <c r="BB2" s="27"/>
      <c r="BC2" s="27"/>
      <c r="BD2" s="27"/>
      <c r="BE2" s="27"/>
      <c r="BF2" s="4"/>
      <c r="BG2" s="10"/>
      <c r="BH2" s="27"/>
      <c r="BI2" s="27"/>
      <c r="BJ2" s="27"/>
      <c r="BK2" s="27"/>
      <c r="BL2" s="27"/>
      <c r="BM2" s="27"/>
      <c r="BN2" s="27"/>
      <c r="BO2" s="27"/>
      <c r="BP2" s="27"/>
      <c r="BQ2" s="27"/>
      <c r="BR2" s="27"/>
      <c r="BS2" s="27"/>
      <c r="BT2" s="27"/>
    </row>
    <row r="3" spans="2:72" s="29" customFormat="1" ht="16.899999999999999" customHeight="1">
      <c r="B3" s="25"/>
      <c r="C3" s="19"/>
      <c r="D3" s="19" t="s">
        <v>800</v>
      </c>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L3" s="19"/>
      <c r="AM3" s="10"/>
      <c r="AN3" s="4"/>
      <c r="AO3" s="28" t="s">
        <v>598</v>
      </c>
      <c r="AP3" s="28"/>
      <c r="AQ3" s="28"/>
      <c r="AR3" s="28"/>
      <c r="AS3" s="28"/>
      <c r="AT3" s="28"/>
      <c r="AU3" s="28"/>
      <c r="AV3" s="4"/>
      <c r="AW3" s="4"/>
      <c r="AX3" s="4"/>
      <c r="AY3" s="4"/>
      <c r="AZ3" s="4"/>
      <c r="BA3" s="4"/>
      <c r="BB3" s="27"/>
      <c r="BC3" s="27"/>
      <c r="BD3" s="27"/>
      <c r="BE3" s="27"/>
      <c r="BF3" s="4"/>
      <c r="BG3" s="10"/>
      <c r="BH3" s="27"/>
      <c r="BI3" s="27"/>
      <c r="BJ3" s="27"/>
      <c r="BK3" s="27"/>
      <c r="BL3" s="27"/>
      <c r="BM3" s="27"/>
      <c r="BN3" s="27"/>
      <c r="BO3" s="27"/>
      <c r="BP3" s="27"/>
      <c r="BQ3" s="27"/>
      <c r="BR3" s="27"/>
      <c r="BS3" s="27"/>
      <c r="BT3" s="27"/>
    </row>
    <row r="4" spans="2:72" s="29" customFormat="1" ht="16.899999999999999" customHeight="1">
      <c r="B4" s="25"/>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L4" s="19"/>
      <c r="AM4" s="10"/>
      <c r="AN4" s="4" t="s">
        <v>599</v>
      </c>
      <c r="AO4" s="28"/>
      <c r="AP4" s="28"/>
      <c r="AQ4" s="28"/>
      <c r="AR4" s="28"/>
      <c r="AS4" s="28"/>
      <c r="AT4" s="28"/>
      <c r="AU4" s="28"/>
      <c r="AV4" s="4"/>
      <c r="AW4" s="4"/>
      <c r="AX4" s="4"/>
      <c r="AY4" s="4"/>
      <c r="AZ4" s="4"/>
      <c r="BA4" s="4"/>
      <c r="BB4" s="27"/>
      <c r="BC4" s="27"/>
      <c r="BD4" s="27"/>
      <c r="BE4" s="27"/>
      <c r="BF4" s="4"/>
      <c r="BG4" s="10"/>
      <c r="BH4" s="27"/>
      <c r="BI4" s="27"/>
      <c r="BJ4" s="27"/>
      <c r="BK4" s="27"/>
      <c r="BL4" s="27"/>
      <c r="BM4" s="27"/>
      <c r="BN4" s="27"/>
      <c r="BO4" s="27"/>
      <c r="BP4" s="27"/>
      <c r="BQ4" s="27"/>
      <c r="BR4" s="27"/>
      <c r="BS4" s="27"/>
      <c r="BT4" s="27"/>
    </row>
    <row r="5" spans="2:72" s="29" customFormat="1" ht="16.899999999999999" customHeight="1">
      <c r="B5" s="25"/>
      <c r="C5" s="19"/>
      <c r="D5" s="19" t="s">
        <v>600</v>
      </c>
      <c r="E5" s="19"/>
      <c r="F5" s="19"/>
      <c r="G5" s="19"/>
      <c r="H5" s="19"/>
      <c r="I5" s="19"/>
      <c r="J5" s="19"/>
      <c r="K5" s="19"/>
      <c r="L5" s="19"/>
      <c r="M5" s="19"/>
      <c r="N5" s="19"/>
      <c r="O5" s="19"/>
      <c r="P5" s="19"/>
      <c r="Q5" s="26"/>
      <c r="R5" s="26"/>
      <c r="S5" s="26"/>
      <c r="T5" s="26"/>
      <c r="U5" s="26"/>
      <c r="V5" s="26"/>
      <c r="W5" s="26"/>
      <c r="X5" s="26"/>
      <c r="Y5" s="26"/>
      <c r="Z5" s="26"/>
      <c r="AA5" s="26"/>
      <c r="AB5" s="26"/>
      <c r="AC5" s="26"/>
      <c r="AD5" s="26"/>
      <c r="AE5" s="26"/>
      <c r="AF5" s="26"/>
      <c r="AG5" s="26"/>
      <c r="AH5" s="26"/>
      <c r="AI5" s="26"/>
      <c r="AJ5" s="26"/>
      <c r="AL5" s="26"/>
      <c r="AM5" s="10"/>
      <c r="AN5" s="4" t="s">
        <v>601</v>
      </c>
      <c r="AO5" s="28"/>
      <c r="AP5" s="28"/>
      <c r="AQ5" s="28"/>
      <c r="AR5" s="28"/>
      <c r="AS5" s="28"/>
      <c r="AT5" s="28"/>
      <c r="AU5" s="28"/>
      <c r="AV5" s="4"/>
      <c r="AW5" s="4"/>
      <c r="AX5" s="4"/>
      <c r="AY5" s="4"/>
      <c r="AZ5" s="4"/>
      <c r="BA5" s="4"/>
      <c r="BB5" s="27"/>
      <c r="BC5" s="27"/>
      <c r="BD5" s="27"/>
      <c r="BE5" s="27"/>
      <c r="BF5" s="4"/>
      <c r="BG5" s="10"/>
      <c r="BH5" s="27"/>
      <c r="BI5" s="27"/>
      <c r="BJ5" s="27"/>
      <c r="BK5" s="27"/>
      <c r="BL5" s="27"/>
      <c r="BM5" s="27"/>
      <c r="BN5" s="27"/>
      <c r="BO5" s="27"/>
      <c r="BP5" s="27"/>
      <c r="BQ5" s="27"/>
      <c r="BR5" s="27"/>
      <c r="BS5" s="27"/>
      <c r="BT5" s="27"/>
    </row>
    <row r="6" spans="2:72" s="29" customFormat="1" ht="16.899999999999999" customHeight="1">
      <c r="B6" s="25"/>
      <c r="C6" s="25"/>
      <c r="D6" s="30" t="str">
        <f>"調査票には、" &amp; [0]!調査年 &amp; "年１月１日～"  &amp; [0]!調査年 &amp; "年12月31日の間に、次の豚の飼育に"</f>
        <v>調査票には、年１月１日～年12月31日の間に、次の豚の飼育に</v>
      </c>
      <c r="E6" s="19"/>
      <c r="F6" s="19"/>
      <c r="G6" s="19"/>
      <c r="H6" s="19"/>
      <c r="I6" s="19"/>
      <c r="J6" s="19"/>
      <c r="K6" s="19"/>
      <c r="L6" s="19"/>
      <c r="M6" s="19"/>
      <c r="N6" s="19"/>
      <c r="O6" s="19"/>
      <c r="P6" s="19"/>
      <c r="Q6" s="26"/>
      <c r="R6" s="26"/>
      <c r="S6" s="26"/>
      <c r="T6" s="26"/>
      <c r="U6" s="26"/>
      <c r="V6" s="26"/>
      <c r="W6" s="26"/>
      <c r="X6" s="26"/>
      <c r="Y6" s="26"/>
      <c r="Z6" s="26"/>
      <c r="AA6" s="26"/>
      <c r="AB6" s="26"/>
      <c r="AC6" s="26"/>
      <c r="AD6" s="26"/>
      <c r="AE6" s="26"/>
      <c r="AF6" s="26"/>
      <c r="AG6" s="26"/>
      <c r="AH6" s="26"/>
      <c r="AI6" s="26"/>
      <c r="AJ6" s="26"/>
      <c r="AL6" s="26"/>
      <c r="AM6" s="8"/>
      <c r="AN6" s="4"/>
      <c r="AO6" s="28"/>
      <c r="AP6" s="28"/>
      <c r="AQ6" s="28"/>
      <c r="AR6" s="28"/>
      <c r="AS6" s="28"/>
      <c r="AT6" s="28"/>
      <c r="AU6" s="28"/>
      <c r="AV6" s="4"/>
      <c r="AW6" s="4"/>
      <c r="AX6" s="4"/>
      <c r="AY6" s="4"/>
      <c r="AZ6" s="4"/>
      <c r="BA6" s="4"/>
      <c r="BB6" s="27"/>
      <c r="BC6" s="27"/>
      <c r="BD6" s="27"/>
      <c r="BE6" s="27"/>
      <c r="BF6" s="4"/>
      <c r="BG6" s="10"/>
      <c r="BH6" s="27"/>
      <c r="BI6" s="27"/>
      <c r="BJ6" s="27"/>
      <c r="BK6" s="27"/>
      <c r="BL6" s="27"/>
      <c r="BM6" s="27"/>
      <c r="BN6" s="27"/>
      <c r="BO6" s="27"/>
      <c r="BP6" s="27"/>
      <c r="BQ6" s="27"/>
      <c r="BR6" s="27"/>
      <c r="BS6" s="27"/>
      <c r="BT6" s="27"/>
    </row>
    <row r="7" spans="2:72" s="29" customFormat="1" ht="16.899999999999999" customHeight="1">
      <c r="B7" s="25"/>
      <c r="C7" s="19" t="s">
        <v>801</v>
      </c>
      <c r="E7" s="25"/>
      <c r="F7" s="19"/>
      <c r="G7" s="19"/>
      <c r="H7" s="19"/>
      <c r="I7" s="19"/>
      <c r="J7" s="19"/>
      <c r="K7" s="19"/>
      <c r="L7" s="19"/>
      <c r="M7" s="19"/>
      <c r="N7" s="19"/>
      <c r="O7" s="19"/>
      <c r="P7" s="19"/>
      <c r="Q7" s="26"/>
      <c r="R7" s="26"/>
      <c r="S7" s="26"/>
      <c r="T7" s="26"/>
      <c r="U7" s="26"/>
      <c r="V7" s="26"/>
      <c r="W7" s="26"/>
      <c r="X7" s="26"/>
      <c r="Y7" s="26"/>
      <c r="Z7" s="26"/>
      <c r="AA7" s="26"/>
      <c r="AB7" s="26"/>
      <c r="AC7" s="26"/>
      <c r="AD7" s="26"/>
      <c r="AE7" s="26"/>
      <c r="AF7" s="26"/>
      <c r="AG7" s="26"/>
      <c r="AH7" s="26"/>
      <c r="AI7" s="26"/>
      <c r="AJ7" s="26"/>
      <c r="AL7" s="26"/>
      <c r="AM7" s="10"/>
      <c r="AN7" s="36" t="s">
        <v>89</v>
      </c>
      <c r="AO7" s="14"/>
      <c r="AP7" s="14"/>
      <c r="AQ7" s="14"/>
      <c r="AR7" s="14"/>
      <c r="AS7" s="14"/>
      <c r="AT7" s="14"/>
      <c r="AU7" s="14"/>
      <c r="AV7" s="14"/>
      <c r="AW7" s="14"/>
      <c r="AX7" s="14"/>
      <c r="AY7" s="35"/>
      <c r="AZ7" s="35"/>
      <c r="BA7" s="35"/>
      <c r="BB7" s="35"/>
      <c r="BC7" s="11"/>
      <c r="BD7" s="11"/>
      <c r="BE7" s="11"/>
      <c r="BF7" s="11"/>
      <c r="BG7" s="11"/>
      <c r="BH7" s="11"/>
      <c r="BI7" s="11"/>
      <c r="BJ7" s="11"/>
      <c r="BK7" s="11"/>
      <c r="BL7" s="11"/>
      <c r="BM7" s="11"/>
      <c r="BN7" s="11"/>
      <c r="BO7" s="11"/>
      <c r="BP7" s="11"/>
      <c r="BQ7" s="11"/>
      <c r="BR7" s="11"/>
      <c r="BS7" s="11"/>
      <c r="BT7" s="11"/>
    </row>
    <row r="8" spans="2:72" s="29" customFormat="1" ht="16.899999999999999" customHeight="1">
      <c r="B8" s="25"/>
      <c r="C8" s="19"/>
      <c r="D8" s="25"/>
      <c r="E8" s="25"/>
      <c r="F8" s="25"/>
      <c r="G8" s="19"/>
      <c r="H8" s="19"/>
      <c r="I8" s="19"/>
      <c r="J8" s="19"/>
      <c r="K8" s="19"/>
      <c r="L8" s="19"/>
      <c r="M8" s="19"/>
      <c r="N8" s="19"/>
      <c r="O8" s="19"/>
      <c r="P8" s="19"/>
      <c r="Q8" s="26"/>
      <c r="R8" s="26"/>
      <c r="S8" s="26"/>
      <c r="T8" s="26"/>
      <c r="U8" s="26"/>
      <c r="V8" s="26"/>
      <c r="W8" s="26"/>
      <c r="X8" s="26"/>
      <c r="Y8" s="26"/>
      <c r="Z8" s="26"/>
      <c r="AA8" s="26"/>
      <c r="AB8" s="26"/>
      <c r="AC8" s="26"/>
      <c r="AD8" s="26"/>
      <c r="AE8" s="26"/>
      <c r="AF8" s="26"/>
      <c r="AG8" s="26"/>
      <c r="AH8" s="26"/>
      <c r="AI8" s="26"/>
      <c r="AJ8" s="26"/>
      <c r="AL8" s="26"/>
      <c r="AM8" s="10"/>
      <c r="AN8" s="4"/>
      <c r="AO8" s="28"/>
      <c r="AP8" s="28" t="s">
        <v>602</v>
      </c>
      <c r="AQ8" s="28"/>
      <c r="AR8" s="28"/>
      <c r="AS8" s="28"/>
      <c r="AT8" s="28"/>
      <c r="AU8" s="28"/>
      <c r="AV8" s="4"/>
      <c r="AW8" s="4"/>
      <c r="AX8" s="4"/>
      <c r="AY8" s="4"/>
      <c r="AZ8" s="4"/>
      <c r="BA8" s="4"/>
      <c r="BB8" s="27"/>
      <c r="BC8" s="27"/>
      <c r="BD8" s="27"/>
      <c r="BE8" s="27"/>
      <c r="BF8" s="4"/>
      <c r="BG8" s="10"/>
      <c r="BH8" s="27"/>
      <c r="BI8" s="27"/>
      <c r="BJ8" s="27"/>
      <c r="BK8" s="27"/>
      <c r="BL8" s="27"/>
      <c r="BM8" s="27"/>
      <c r="BN8" s="27"/>
      <c r="BO8" s="27"/>
      <c r="BP8" s="27"/>
      <c r="BQ8" s="27"/>
      <c r="BR8" s="27"/>
      <c r="BS8" s="27"/>
      <c r="BT8" s="27"/>
    </row>
    <row r="9" spans="2:72" s="29" customFormat="1" ht="16.899999999999999" customHeight="1">
      <c r="B9" s="25"/>
      <c r="C9" s="19"/>
      <c r="D9" s="19" t="s">
        <v>603</v>
      </c>
      <c r="E9" s="25"/>
      <c r="F9" s="19"/>
      <c r="G9" s="19"/>
      <c r="H9" s="19"/>
      <c r="I9" s="19"/>
      <c r="J9" s="19"/>
      <c r="K9" s="19"/>
      <c r="L9" s="19"/>
      <c r="M9" s="19"/>
      <c r="N9" s="19"/>
      <c r="O9" s="19"/>
      <c r="P9" s="19"/>
      <c r="Q9" s="26"/>
      <c r="R9" s="26"/>
      <c r="S9" s="26"/>
      <c r="T9" s="26"/>
      <c r="U9" s="26"/>
      <c r="V9" s="26"/>
      <c r="W9" s="26"/>
      <c r="X9" s="26"/>
      <c r="Y9" s="26"/>
      <c r="Z9" s="26"/>
      <c r="AA9" s="26"/>
      <c r="AB9" s="26"/>
      <c r="AC9" s="26"/>
      <c r="AD9" s="26"/>
      <c r="AE9" s="26"/>
      <c r="AF9" s="26"/>
      <c r="AG9" s="26"/>
      <c r="AH9" s="26"/>
      <c r="AI9" s="26"/>
      <c r="AJ9" s="26"/>
      <c r="AL9" s="26"/>
      <c r="AM9" s="8"/>
      <c r="AN9" s="4"/>
      <c r="AO9" s="28" t="s">
        <v>604</v>
      </c>
      <c r="AP9" s="28"/>
      <c r="AQ9" s="28"/>
      <c r="AR9" s="28"/>
      <c r="AS9" s="28"/>
      <c r="AT9" s="28"/>
      <c r="AU9" s="28"/>
      <c r="AV9" s="4"/>
      <c r="AW9" s="4"/>
      <c r="AX9" s="4"/>
      <c r="AY9" s="4"/>
      <c r="AZ9" s="4"/>
      <c r="BA9" s="4"/>
      <c r="BB9" s="27"/>
      <c r="BC9" s="27"/>
      <c r="BD9" s="27"/>
      <c r="BE9" s="27"/>
      <c r="BF9" s="4"/>
      <c r="BG9" s="10"/>
      <c r="BH9" s="27"/>
      <c r="BI9" s="27"/>
      <c r="BJ9" s="27"/>
      <c r="BK9" s="27"/>
      <c r="BL9" s="27"/>
      <c r="BM9" s="27"/>
      <c r="BN9" s="27"/>
      <c r="BO9" s="27"/>
      <c r="BP9" s="27"/>
      <c r="BQ9" s="27"/>
      <c r="BR9" s="27"/>
      <c r="BS9" s="27"/>
      <c r="BT9" s="27"/>
    </row>
    <row r="10" spans="2:72" s="29" customFormat="1" ht="16.899999999999999" customHeight="1">
      <c r="B10" s="25"/>
      <c r="C10" s="31"/>
      <c r="D10" s="19" t="s">
        <v>605</v>
      </c>
      <c r="E10" s="25"/>
      <c r="F10" s="25"/>
      <c r="G10" s="19"/>
      <c r="H10" s="19"/>
      <c r="I10" s="19"/>
      <c r="J10" s="19"/>
      <c r="K10" s="19"/>
      <c r="L10" s="19"/>
      <c r="M10" s="19"/>
      <c r="N10" s="19"/>
      <c r="O10" s="19"/>
      <c r="P10" s="19"/>
      <c r="Q10" s="26"/>
      <c r="R10" s="26"/>
      <c r="S10" s="26"/>
      <c r="T10" s="26"/>
      <c r="U10" s="19"/>
      <c r="V10" s="25"/>
      <c r="W10" s="26"/>
      <c r="X10" s="26"/>
      <c r="Y10" s="26"/>
      <c r="Z10" s="26"/>
      <c r="AA10" s="26"/>
      <c r="AB10" s="26"/>
      <c r="AC10" s="26"/>
      <c r="AD10" s="26"/>
      <c r="AE10" s="26"/>
      <c r="AF10" s="26"/>
      <c r="AG10" s="26"/>
      <c r="AH10" s="26"/>
      <c r="AI10" s="26"/>
      <c r="AJ10" s="26"/>
      <c r="AL10" s="26"/>
      <c r="AM10" s="8"/>
      <c r="AN10" s="8"/>
      <c r="AO10" s="11"/>
      <c r="AP10" s="28"/>
      <c r="AQ10" s="1397" t="s">
        <v>85</v>
      </c>
      <c r="AR10" s="1397"/>
      <c r="AS10" s="1397"/>
      <c r="AT10" s="1397"/>
      <c r="AU10" s="1397"/>
      <c r="AV10" s="1397"/>
      <c r="AW10" s="1397"/>
      <c r="AX10" s="1397"/>
      <c r="AY10" s="1397"/>
      <c r="AZ10" s="1441" t="s">
        <v>606</v>
      </c>
      <c r="BA10" s="1441"/>
      <c r="BB10" s="1441"/>
      <c r="BC10" s="1441"/>
      <c r="BD10" s="1441"/>
      <c r="BE10" s="1441"/>
      <c r="BF10" s="1441"/>
      <c r="BG10" s="1441"/>
      <c r="BH10" s="1441"/>
      <c r="BI10" s="1441"/>
      <c r="BJ10" s="1441"/>
      <c r="BK10" s="1441"/>
      <c r="BL10" s="1397" t="s">
        <v>90</v>
      </c>
      <c r="BM10" s="1397"/>
      <c r="BN10" s="1397"/>
      <c r="BO10" s="28"/>
      <c r="BP10" s="28"/>
      <c r="BQ10" s="28"/>
      <c r="BR10" s="28"/>
      <c r="BS10" s="28"/>
      <c r="BT10" s="11"/>
    </row>
    <row r="11" spans="2:72" s="29" customFormat="1" ht="16.899999999999999" customHeight="1">
      <c r="B11" s="25"/>
      <c r="C11" s="31"/>
      <c r="D11" s="19"/>
      <c r="E11" s="25"/>
      <c r="F11" s="25"/>
      <c r="G11" s="19"/>
      <c r="H11" s="19"/>
      <c r="I11" s="19"/>
      <c r="J11" s="19" t="s">
        <v>607</v>
      </c>
      <c r="K11" s="19"/>
      <c r="L11" s="19"/>
      <c r="M11" s="19"/>
      <c r="N11" s="19"/>
      <c r="O11" s="19"/>
      <c r="P11" s="19"/>
      <c r="Q11" s="26"/>
      <c r="R11" s="26"/>
      <c r="S11" s="26"/>
      <c r="T11" s="26"/>
      <c r="U11" s="19"/>
      <c r="V11" s="25"/>
      <c r="W11" s="26"/>
      <c r="X11" s="26"/>
      <c r="Y11" s="26"/>
      <c r="Z11" s="26"/>
      <c r="AA11" s="26"/>
      <c r="AB11" s="26"/>
      <c r="AC11" s="26"/>
      <c r="AD11" s="26"/>
      <c r="AE11" s="26"/>
      <c r="AF11" s="26"/>
      <c r="AG11" s="26"/>
      <c r="AH11" s="26"/>
      <c r="AI11" s="26"/>
      <c r="AJ11" s="26"/>
      <c r="AL11" s="26"/>
      <c r="AM11" s="10"/>
      <c r="AN11" s="8"/>
      <c r="AO11" s="11"/>
      <c r="AP11" s="28"/>
      <c r="AQ11" s="1397"/>
      <c r="AR11" s="1397"/>
      <c r="AS11" s="1397"/>
      <c r="AT11" s="1397"/>
      <c r="AU11" s="1397"/>
      <c r="AV11" s="1397"/>
      <c r="AW11" s="1397"/>
      <c r="AX11" s="1397"/>
      <c r="AY11" s="1397"/>
      <c r="AZ11" s="1396" t="s">
        <v>91</v>
      </c>
      <c r="BA11" s="1396"/>
      <c r="BB11" s="1396"/>
      <c r="BC11" s="1396"/>
      <c r="BD11" s="1396"/>
      <c r="BE11" s="1396"/>
      <c r="BF11" s="1396"/>
      <c r="BG11" s="1396"/>
      <c r="BH11" s="1396"/>
      <c r="BI11" s="1396"/>
      <c r="BJ11" s="1396"/>
      <c r="BK11" s="1396"/>
      <c r="BL11" s="1397"/>
      <c r="BM11" s="1397"/>
      <c r="BN11" s="1397"/>
      <c r="BO11" s="28"/>
      <c r="BP11" s="28"/>
      <c r="BQ11" s="28"/>
      <c r="BR11" s="28"/>
      <c r="BS11" s="28"/>
      <c r="BT11" s="11"/>
    </row>
    <row r="12" spans="2:72" s="29" customFormat="1" ht="16.899999999999999" customHeight="1">
      <c r="B12" s="25"/>
      <c r="C12" s="19"/>
      <c r="D12" s="19" t="s">
        <v>608</v>
      </c>
      <c r="E12" s="25"/>
      <c r="F12" s="25"/>
      <c r="G12" s="19"/>
      <c r="H12" s="19"/>
      <c r="I12" s="19"/>
      <c r="J12" s="19"/>
      <c r="K12" s="19"/>
      <c r="L12" s="19"/>
      <c r="M12" s="19"/>
      <c r="N12" s="19"/>
      <c r="O12" s="19"/>
      <c r="P12" s="19"/>
      <c r="Q12" s="26"/>
      <c r="R12" s="26"/>
      <c r="S12" s="26"/>
      <c r="T12" s="26"/>
      <c r="U12" s="19"/>
      <c r="V12" s="25"/>
      <c r="W12" s="26"/>
      <c r="X12" s="26"/>
      <c r="Y12" s="26"/>
      <c r="Z12" s="26"/>
      <c r="AA12" s="26"/>
      <c r="AB12" s="26"/>
      <c r="AC12" s="26"/>
      <c r="AD12" s="26"/>
      <c r="AE12" s="26"/>
      <c r="AF12" s="26"/>
      <c r="AG12" s="26"/>
      <c r="AH12" s="26"/>
      <c r="AI12" s="26"/>
      <c r="AJ12" s="26"/>
      <c r="AL12" s="26"/>
      <c r="AM12" s="10"/>
      <c r="AN12" s="4"/>
      <c r="AO12" s="28"/>
      <c r="AP12" s="28"/>
      <c r="AQ12" s="28"/>
      <c r="AR12" s="28"/>
      <c r="AS12" s="28"/>
      <c r="AT12" s="28"/>
      <c r="AU12" s="28"/>
      <c r="AV12" s="4"/>
      <c r="AW12" s="4"/>
      <c r="AX12" s="4"/>
      <c r="AY12" s="4"/>
      <c r="AZ12" s="4"/>
      <c r="BA12" s="4"/>
      <c r="BB12" s="27"/>
      <c r="BC12" s="27"/>
      <c r="BD12" s="27"/>
      <c r="BE12" s="27"/>
      <c r="BF12" s="4"/>
      <c r="BG12" s="10"/>
      <c r="BH12" s="27"/>
      <c r="BI12" s="27"/>
      <c r="BJ12" s="27"/>
      <c r="BK12" s="27"/>
      <c r="BL12" s="27"/>
      <c r="BM12" s="27"/>
      <c r="BN12" s="27"/>
      <c r="BO12" s="27"/>
      <c r="BP12" s="27"/>
      <c r="BQ12" s="27"/>
      <c r="BR12" s="27"/>
      <c r="BS12" s="27"/>
      <c r="BT12" s="27"/>
    </row>
    <row r="13" spans="2:72" s="29" customFormat="1" ht="16.899999999999999" customHeight="1">
      <c r="B13" s="25"/>
      <c r="C13" s="19"/>
      <c r="D13" s="19"/>
      <c r="E13" s="25"/>
      <c r="F13" s="19"/>
      <c r="G13" s="19"/>
      <c r="H13" s="19"/>
      <c r="I13" s="19"/>
      <c r="J13" s="19"/>
      <c r="K13" s="19"/>
      <c r="L13" s="19"/>
      <c r="M13" s="19"/>
      <c r="N13" s="19"/>
      <c r="O13" s="19"/>
      <c r="P13" s="19"/>
      <c r="Q13" s="26"/>
      <c r="R13" s="26"/>
      <c r="S13" s="26"/>
      <c r="T13" s="26"/>
      <c r="U13" s="19"/>
      <c r="V13" s="25"/>
      <c r="W13" s="26"/>
      <c r="X13" s="26"/>
      <c r="Y13" s="26"/>
      <c r="Z13" s="26"/>
      <c r="AA13" s="26"/>
      <c r="AB13" s="26"/>
      <c r="AC13" s="26"/>
      <c r="AD13" s="26"/>
      <c r="AE13" s="26"/>
      <c r="AF13" s="26"/>
      <c r="AG13" s="26"/>
      <c r="AH13" s="26"/>
      <c r="AI13" s="26"/>
      <c r="AJ13" s="26"/>
      <c r="AL13" s="26"/>
      <c r="AM13" s="10"/>
      <c r="AN13" s="4"/>
      <c r="AO13" s="28"/>
      <c r="AP13" s="28"/>
      <c r="AQ13" s="28"/>
      <c r="AR13" s="28"/>
      <c r="AS13" s="28"/>
      <c r="AT13" s="28"/>
      <c r="AU13" s="28"/>
      <c r="AV13" s="4"/>
      <c r="AW13" s="4"/>
      <c r="AX13" s="4"/>
      <c r="AY13" s="4"/>
      <c r="AZ13" s="4"/>
      <c r="BA13" s="4"/>
      <c r="BB13" s="27"/>
      <c r="BC13" s="27"/>
      <c r="BD13" s="27"/>
      <c r="BE13" s="27"/>
      <c r="BF13" s="4"/>
      <c r="BG13" s="10"/>
      <c r="BH13" s="27"/>
      <c r="BI13" s="27"/>
      <c r="BJ13" s="27"/>
      <c r="BK13" s="27"/>
      <c r="BL13" s="27"/>
      <c r="BM13" s="27"/>
      <c r="BN13" s="27"/>
      <c r="BO13" s="27"/>
      <c r="BP13" s="27"/>
      <c r="BQ13" s="27"/>
      <c r="BR13" s="27"/>
      <c r="BS13" s="27"/>
      <c r="BT13" s="27"/>
    </row>
    <row r="14" spans="2:72" s="29" customFormat="1" ht="16.899999999999999" customHeight="1">
      <c r="B14" s="25"/>
      <c r="C14" s="19"/>
      <c r="D14" s="19"/>
      <c r="E14" s="25" t="s">
        <v>609</v>
      </c>
      <c r="F14" s="25"/>
      <c r="G14" s="19"/>
      <c r="H14" s="19"/>
      <c r="I14" s="19"/>
      <c r="J14" s="19"/>
      <c r="K14" s="19"/>
      <c r="L14" s="19"/>
      <c r="M14" s="19"/>
      <c r="N14" s="19"/>
      <c r="O14" s="19"/>
      <c r="P14" s="19"/>
      <c r="Q14" s="26"/>
      <c r="R14" s="26"/>
      <c r="S14" s="26"/>
      <c r="T14" s="26"/>
      <c r="U14" s="19"/>
      <c r="V14" s="25"/>
      <c r="W14" s="26"/>
      <c r="X14" s="26"/>
      <c r="Y14" s="26"/>
      <c r="Z14" s="26"/>
      <c r="AA14" s="26"/>
      <c r="AB14" s="26"/>
      <c r="AC14" s="26"/>
      <c r="AD14" s="26"/>
      <c r="AE14" s="26"/>
      <c r="AF14" s="26"/>
      <c r="AG14" s="26"/>
      <c r="AH14" s="26"/>
      <c r="AI14" s="26"/>
      <c r="AJ14" s="26"/>
      <c r="AL14" s="26"/>
      <c r="AM14" s="8"/>
      <c r="AN14" s="4"/>
      <c r="AO14" s="28"/>
      <c r="AP14" s="28"/>
      <c r="AQ14" s="28"/>
      <c r="AR14" s="28"/>
      <c r="AS14" s="28"/>
      <c r="AT14" s="28"/>
      <c r="AU14" s="28"/>
      <c r="AV14" s="4"/>
      <c r="AW14" s="4"/>
      <c r="AX14" s="4"/>
      <c r="AY14" s="4"/>
      <c r="AZ14" s="4"/>
      <c r="BA14" s="4"/>
      <c r="BB14" s="27"/>
      <c r="BC14" s="27"/>
      <c r="BD14" s="27"/>
      <c r="BE14" s="27"/>
      <c r="BF14" s="4"/>
      <c r="BG14" s="10"/>
      <c r="BH14" s="27"/>
      <c r="BI14" s="27"/>
      <c r="BJ14" s="27"/>
      <c r="BK14" s="27"/>
      <c r="BL14" s="27"/>
      <c r="BM14" s="27"/>
      <c r="BN14" s="27"/>
      <c r="BO14" s="27"/>
      <c r="BP14" s="27"/>
      <c r="BQ14" s="27"/>
      <c r="BR14" s="27"/>
      <c r="BS14" s="27"/>
      <c r="BT14" s="27"/>
    </row>
    <row r="15" spans="2:72" s="29" customFormat="1" ht="16.899999999999999" customHeight="1">
      <c r="B15" s="25"/>
      <c r="C15" s="19"/>
      <c r="D15" s="19"/>
      <c r="E15" s="25"/>
      <c r="F15" s="19"/>
      <c r="G15" s="19"/>
      <c r="H15" s="19"/>
      <c r="I15" s="19"/>
      <c r="J15" s="19"/>
      <c r="K15" s="19"/>
      <c r="L15" s="19"/>
      <c r="M15" s="19"/>
      <c r="N15" s="19"/>
      <c r="O15" s="19"/>
      <c r="P15" s="19"/>
      <c r="Q15" s="26"/>
      <c r="R15" s="26"/>
      <c r="S15" s="26"/>
      <c r="T15" s="26"/>
      <c r="U15" s="19"/>
      <c r="V15" s="25"/>
      <c r="W15" s="26"/>
      <c r="X15" s="26"/>
      <c r="Y15" s="26"/>
      <c r="Z15" s="26"/>
      <c r="AA15" s="26"/>
      <c r="AB15" s="26"/>
      <c r="AC15" s="26"/>
      <c r="AD15" s="26"/>
      <c r="AE15" s="26"/>
      <c r="AF15" s="26"/>
      <c r="AG15" s="26"/>
      <c r="AH15" s="26"/>
      <c r="AI15" s="26"/>
      <c r="AJ15" s="26"/>
      <c r="AL15" s="26"/>
      <c r="AM15" s="8"/>
      <c r="AN15" s="8"/>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28"/>
      <c r="BS15" s="28"/>
      <c r="BT15" s="28"/>
    </row>
    <row r="16" spans="2:72" s="29" customFormat="1" ht="16.899999999999999" customHeight="1">
      <c r="B16" s="25"/>
      <c r="C16" s="213" t="s">
        <v>802</v>
      </c>
      <c r="K16" s="19"/>
      <c r="L16" s="19"/>
      <c r="M16" s="19"/>
      <c r="N16" s="19"/>
      <c r="O16" s="19"/>
      <c r="P16" s="19"/>
      <c r="Q16" s="26"/>
      <c r="R16" s="26"/>
      <c r="S16" s="26"/>
      <c r="T16" s="26"/>
      <c r="U16" s="19"/>
      <c r="V16" s="25"/>
      <c r="W16" s="26"/>
      <c r="X16" s="26"/>
      <c r="Y16" s="26"/>
      <c r="Z16" s="26"/>
      <c r="AA16" s="26"/>
      <c r="AB16" s="26"/>
      <c r="AC16" s="26"/>
      <c r="AD16" s="26"/>
      <c r="AE16" s="26"/>
      <c r="AF16" s="26"/>
      <c r="AG16" s="26"/>
      <c r="AH16" s="26"/>
      <c r="AI16" s="26"/>
      <c r="AJ16" s="26"/>
      <c r="AL16" s="26"/>
      <c r="AM16" s="8"/>
      <c r="AN16" s="8"/>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28"/>
      <c r="BQ16" s="28"/>
      <c r="BR16" s="28"/>
      <c r="BS16" s="28"/>
      <c r="BT16" s="28"/>
    </row>
    <row r="17" spans="2:75" s="29" customFormat="1" ht="16.899999999999999" customHeight="1">
      <c r="B17" s="25"/>
      <c r="C17" s="19"/>
      <c r="K17" s="19"/>
      <c r="L17" s="19"/>
      <c r="M17" s="19"/>
      <c r="N17" s="19"/>
      <c r="O17" s="19"/>
      <c r="P17" s="19"/>
      <c r="Q17" s="26"/>
      <c r="R17" s="26"/>
      <c r="S17" s="26"/>
      <c r="T17" s="26"/>
      <c r="U17" s="19"/>
      <c r="V17" s="25"/>
      <c r="W17" s="26"/>
      <c r="X17" s="26"/>
      <c r="Y17" s="26"/>
      <c r="Z17" s="26"/>
      <c r="AA17" s="26"/>
      <c r="AB17" s="26"/>
      <c r="AC17" s="26"/>
      <c r="AD17" s="26"/>
      <c r="AE17" s="26"/>
      <c r="AF17" s="26"/>
      <c r="AG17" s="26"/>
      <c r="AH17" s="26"/>
      <c r="AI17" s="26"/>
      <c r="AJ17" s="26"/>
      <c r="AL17" s="26"/>
      <c r="AM17" s="8"/>
      <c r="AN17" s="8"/>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28"/>
      <c r="BS17" s="28"/>
      <c r="BT17" s="28"/>
    </row>
    <row r="18" spans="2:75" s="29" customFormat="1" ht="16.899999999999999" customHeight="1">
      <c r="B18" s="25"/>
      <c r="C18" s="19"/>
      <c r="D18" s="29" t="s">
        <v>803</v>
      </c>
      <c r="K18" s="19"/>
      <c r="L18" s="19"/>
      <c r="M18" s="19"/>
      <c r="N18" s="19"/>
      <c r="O18" s="19"/>
      <c r="P18" s="19"/>
      <c r="Q18" s="26"/>
      <c r="R18" s="26"/>
      <c r="S18" s="26"/>
      <c r="T18" s="26"/>
      <c r="U18" s="19"/>
      <c r="V18" s="25"/>
      <c r="W18" s="26"/>
      <c r="X18" s="26"/>
      <c r="Y18" s="26"/>
      <c r="Z18" s="26"/>
      <c r="AA18" s="26"/>
      <c r="AB18" s="26"/>
      <c r="AC18" s="26"/>
      <c r="AD18" s="26"/>
      <c r="AE18" s="26"/>
      <c r="AF18" s="26"/>
      <c r="AG18" s="26"/>
      <c r="AH18" s="26"/>
      <c r="AI18" s="26"/>
      <c r="AJ18" s="26"/>
      <c r="AL18" s="26"/>
      <c r="AM18" s="8"/>
      <c r="AN18" s="36" t="s">
        <v>610</v>
      </c>
      <c r="AO18" s="14"/>
      <c r="AP18" s="14"/>
      <c r="AQ18" s="14"/>
      <c r="AR18" s="14"/>
      <c r="AS18" s="14"/>
      <c r="AT18" s="14"/>
      <c r="AU18" s="14"/>
      <c r="AV18" s="14"/>
      <c r="AW18" s="14"/>
      <c r="AX18" s="14"/>
      <c r="AY18" s="35"/>
      <c r="AZ18" s="35"/>
      <c r="BA18" s="35"/>
      <c r="BB18" s="35"/>
      <c r="BC18" s="11"/>
      <c r="BD18" s="11"/>
      <c r="BE18" s="11"/>
      <c r="BF18" s="11"/>
      <c r="BG18" s="11"/>
      <c r="BH18" s="11"/>
      <c r="BI18" s="11"/>
      <c r="BJ18" s="11"/>
      <c r="BK18" s="11"/>
      <c r="BL18" s="11"/>
      <c r="BM18" s="11"/>
      <c r="BN18" s="11"/>
      <c r="BO18" s="11"/>
      <c r="BP18" s="11"/>
      <c r="BQ18" s="11"/>
      <c r="BR18" s="11"/>
      <c r="BS18" s="11"/>
      <c r="BT18" s="11"/>
    </row>
    <row r="19" spans="2:75" s="29" customFormat="1" ht="16.899999999999999" customHeight="1">
      <c r="B19" s="25"/>
      <c r="C19" s="19" t="s">
        <v>611</v>
      </c>
      <c r="K19" s="19"/>
      <c r="L19" s="19"/>
      <c r="M19" s="19"/>
      <c r="N19" s="19"/>
      <c r="O19" s="19"/>
      <c r="P19" s="19"/>
      <c r="Q19" s="26"/>
      <c r="R19" s="26"/>
      <c r="S19" s="26"/>
      <c r="T19" s="26"/>
      <c r="U19" s="19"/>
      <c r="V19" s="25"/>
      <c r="W19" s="26"/>
      <c r="X19" s="26"/>
      <c r="Y19" s="26"/>
      <c r="Z19" s="26"/>
      <c r="AA19" s="26"/>
      <c r="AB19" s="26"/>
      <c r="AC19" s="26"/>
      <c r="AD19" s="26"/>
      <c r="AE19" s="26"/>
      <c r="AF19" s="26"/>
      <c r="AG19" s="26"/>
      <c r="AH19" s="26"/>
      <c r="AI19" s="26"/>
      <c r="AJ19" s="26"/>
      <c r="AL19" s="26"/>
      <c r="AM19" s="8"/>
      <c r="AN19" s="8"/>
      <c r="AO19" s="11"/>
      <c r="AP19" s="11" t="s">
        <v>612</v>
      </c>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28"/>
      <c r="BS19" s="28"/>
      <c r="BT19" s="28"/>
    </row>
    <row r="20" spans="2:75" s="29" customFormat="1" ht="16.899999999999999" customHeight="1">
      <c r="B20" s="25"/>
      <c r="C20" s="25"/>
      <c r="D20" s="25" t="s">
        <v>613</v>
      </c>
      <c r="E20" s="25"/>
      <c r="F20" s="25"/>
      <c r="G20" s="25"/>
      <c r="H20" s="25"/>
      <c r="I20" s="25"/>
      <c r="K20" s="19"/>
      <c r="L20" s="19"/>
      <c r="M20" s="19"/>
      <c r="N20" s="19"/>
      <c r="O20" s="19"/>
      <c r="P20" s="19"/>
      <c r="Q20" s="26"/>
      <c r="R20" s="26"/>
      <c r="S20" s="26"/>
      <c r="T20" s="26"/>
      <c r="U20" s="19"/>
      <c r="V20" s="25"/>
      <c r="W20" s="26"/>
      <c r="X20" s="26"/>
      <c r="Y20" s="26"/>
      <c r="Z20" s="26"/>
      <c r="AA20" s="26"/>
      <c r="AB20" s="26"/>
      <c r="AC20" s="26"/>
      <c r="AD20" s="26"/>
      <c r="AE20" s="26"/>
      <c r="AF20" s="26"/>
      <c r="AG20" s="26"/>
      <c r="AH20" s="26"/>
      <c r="AI20" s="26"/>
      <c r="AJ20" s="26"/>
      <c r="AL20" s="26"/>
      <c r="AM20" s="8"/>
      <c r="AN20" s="8"/>
      <c r="AO20" s="11" t="s">
        <v>614</v>
      </c>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28"/>
      <c r="BS20" s="28"/>
      <c r="BT20" s="28"/>
    </row>
    <row r="21" spans="2:75" s="29" customFormat="1" ht="16.899999999999999" customHeight="1">
      <c r="B21" s="25"/>
      <c r="C21" s="29" t="s">
        <v>804</v>
      </c>
      <c r="D21" s="25"/>
      <c r="K21" s="19"/>
      <c r="L21" s="19"/>
      <c r="M21" s="19"/>
      <c r="N21" s="19"/>
      <c r="O21" s="19"/>
      <c r="P21" s="19"/>
      <c r="Q21" s="26"/>
      <c r="R21" s="26"/>
      <c r="S21" s="26"/>
      <c r="T21" s="26"/>
      <c r="U21" s="19"/>
      <c r="V21" s="25"/>
      <c r="W21" s="26"/>
      <c r="X21" s="26"/>
      <c r="Y21" s="26"/>
      <c r="Z21" s="26"/>
      <c r="AA21" s="26"/>
      <c r="AB21" s="26"/>
      <c r="AC21" s="26"/>
      <c r="AD21" s="26"/>
      <c r="AE21" s="26"/>
      <c r="AF21" s="26"/>
      <c r="AG21" s="26"/>
      <c r="AH21" s="26"/>
      <c r="AI21" s="26"/>
      <c r="AJ21" s="26"/>
      <c r="AL21" s="26"/>
      <c r="AM21" s="8"/>
      <c r="AN21" s="8"/>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28"/>
      <c r="BS21" s="28"/>
      <c r="BT21" s="28"/>
    </row>
    <row r="22" spans="2:75" s="29" customFormat="1" ht="16.899999999999999" customHeight="1">
      <c r="B22" s="25"/>
      <c r="C22" s="29" t="s">
        <v>805</v>
      </c>
      <c r="D22" s="25"/>
      <c r="K22" s="19"/>
      <c r="L22" s="19"/>
      <c r="M22" s="19"/>
      <c r="N22" s="19"/>
      <c r="O22" s="19"/>
      <c r="P22" s="19"/>
      <c r="Q22" s="26"/>
      <c r="R22" s="26"/>
      <c r="S22" s="26"/>
      <c r="T22" s="26"/>
      <c r="U22" s="19"/>
      <c r="V22" s="25"/>
      <c r="W22" s="26"/>
      <c r="X22" s="26"/>
      <c r="Y22" s="26"/>
      <c r="Z22" s="26"/>
      <c r="AA22" s="26"/>
      <c r="AB22" s="26"/>
      <c r="AC22" s="26"/>
      <c r="AD22" s="26"/>
      <c r="AE22" s="26"/>
      <c r="AF22" s="26"/>
      <c r="AG22" s="26"/>
      <c r="AH22" s="26"/>
      <c r="AI22" s="26"/>
      <c r="AJ22" s="26"/>
      <c r="AL22" s="26"/>
      <c r="AM22" s="8"/>
      <c r="AN22" s="8"/>
      <c r="AO22" s="11"/>
      <c r="AP22" s="11"/>
      <c r="AQ22" s="1397" t="s">
        <v>94</v>
      </c>
      <c r="AR22" s="1397"/>
      <c r="AS22" s="1397"/>
      <c r="AT22" s="1397"/>
      <c r="AU22" s="1397"/>
      <c r="AV22" s="1397"/>
      <c r="AW22" s="1397"/>
      <c r="AX22" s="1397"/>
      <c r="AY22" s="1397"/>
      <c r="AZ22" s="1398" t="s">
        <v>95</v>
      </c>
      <c r="BA22" s="1398"/>
      <c r="BB22" s="1398"/>
      <c r="BC22" s="1398"/>
      <c r="BD22" s="1398"/>
      <c r="BE22" s="1398"/>
      <c r="BF22" s="1398"/>
      <c r="BG22" s="1398"/>
      <c r="BH22" s="1398"/>
      <c r="BI22" s="1398"/>
      <c r="BJ22" s="1398"/>
      <c r="BK22" s="1398"/>
      <c r="BL22" s="1397" t="s">
        <v>90</v>
      </c>
      <c r="BM22" s="1397"/>
      <c r="BN22" s="1397"/>
      <c r="BO22" s="11"/>
      <c r="BP22" s="11"/>
      <c r="BQ22" s="11"/>
      <c r="BR22" s="28"/>
      <c r="BS22" s="28"/>
      <c r="BT22" s="28"/>
    </row>
    <row r="23" spans="2:75" s="29" customFormat="1" ht="16.899999999999999" customHeight="1">
      <c r="B23" s="25"/>
      <c r="C23" s="38"/>
      <c r="D23" s="38"/>
      <c r="E23" s="40"/>
      <c r="F23" s="40"/>
      <c r="G23" s="40"/>
      <c r="H23" s="40"/>
      <c r="I23" s="40"/>
      <c r="J23" s="40"/>
      <c r="K23" s="41"/>
      <c r="L23" s="41"/>
      <c r="M23" s="41"/>
      <c r="N23" s="41"/>
      <c r="O23" s="41"/>
      <c r="P23" s="41"/>
      <c r="Q23" s="39"/>
      <c r="R23" s="39"/>
      <c r="S23" s="39"/>
      <c r="T23" s="39"/>
      <c r="U23" s="41"/>
      <c r="V23" s="38"/>
      <c r="W23" s="39"/>
      <c r="X23" s="39"/>
      <c r="Y23" s="39"/>
      <c r="Z23" s="39"/>
      <c r="AA23" s="39"/>
      <c r="AB23" s="39"/>
      <c r="AC23" s="39"/>
      <c r="AD23" s="39"/>
      <c r="AE23" s="39"/>
      <c r="AF23" s="39"/>
      <c r="AG23" s="39"/>
      <c r="AH23" s="39"/>
      <c r="AI23" s="39"/>
      <c r="AJ23" s="26"/>
      <c r="AL23" s="26"/>
      <c r="AM23" s="8"/>
      <c r="AN23" s="8"/>
      <c r="AO23" s="11"/>
      <c r="AP23" s="11"/>
      <c r="AQ23" s="1397"/>
      <c r="AR23" s="1397"/>
      <c r="AS23" s="1397"/>
      <c r="AT23" s="1397"/>
      <c r="AU23" s="1397"/>
      <c r="AV23" s="1397"/>
      <c r="AW23" s="1397"/>
      <c r="AX23" s="1397"/>
      <c r="AY23" s="1397"/>
      <c r="AZ23" s="1396" t="s">
        <v>86</v>
      </c>
      <c r="BA23" s="1396"/>
      <c r="BB23" s="1396"/>
      <c r="BC23" s="1396"/>
      <c r="BD23" s="1396"/>
      <c r="BE23" s="1396"/>
      <c r="BF23" s="1396"/>
      <c r="BG23" s="1396"/>
      <c r="BH23" s="1396"/>
      <c r="BI23" s="1396"/>
      <c r="BJ23" s="1396"/>
      <c r="BK23" s="1396"/>
      <c r="BL23" s="1397"/>
      <c r="BM23" s="1397"/>
      <c r="BN23" s="1397"/>
      <c r="BO23" s="11"/>
      <c r="BP23" s="11"/>
      <c r="BQ23" s="11"/>
      <c r="BR23" s="28"/>
      <c r="BS23" s="28"/>
      <c r="BT23" s="28"/>
    </row>
    <row r="24" spans="2:75" s="40" customFormat="1" ht="16.899999999999999" customHeight="1">
      <c r="B24" s="38"/>
      <c r="C24" s="19"/>
      <c r="D24" s="29" t="s">
        <v>806</v>
      </c>
      <c r="E24" s="29"/>
      <c r="F24" s="29"/>
      <c r="G24" s="29"/>
      <c r="H24" s="29"/>
      <c r="I24" s="29"/>
      <c r="J24" s="19"/>
      <c r="K24" s="19"/>
      <c r="L24" s="19"/>
      <c r="M24" s="19"/>
      <c r="N24" s="19"/>
      <c r="O24" s="19"/>
      <c r="P24" s="19"/>
      <c r="Q24" s="26"/>
      <c r="R24" s="26"/>
      <c r="S24" s="26"/>
      <c r="T24" s="26"/>
      <c r="U24" s="19"/>
      <c r="V24" s="25"/>
      <c r="W24" s="26"/>
      <c r="X24" s="26"/>
      <c r="Y24" s="26"/>
      <c r="Z24" s="26"/>
      <c r="AA24" s="26"/>
      <c r="AB24" s="26"/>
      <c r="AC24" s="26"/>
      <c r="AD24" s="26"/>
      <c r="AE24" s="26"/>
      <c r="AF24" s="26"/>
      <c r="AG24" s="26"/>
      <c r="AH24" s="26"/>
      <c r="AI24" s="26"/>
      <c r="AJ24" s="39"/>
      <c r="AL24" s="39"/>
      <c r="AM24" s="8"/>
      <c r="AN24" s="8"/>
      <c r="AO24" s="11"/>
      <c r="AP24" s="28"/>
      <c r="AQ24" s="28"/>
      <c r="AR24" s="28"/>
      <c r="AS24" s="211"/>
      <c r="AT24" s="211"/>
      <c r="AU24" s="211"/>
      <c r="AV24" s="211"/>
      <c r="AW24" s="211"/>
      <c r="AX24" s="211"/>
      <c r="AY24" s="211"/>
      <c r="AZ24" s="211"/>
      <c r="BA24" s="212"/>
      <c r="BB24" s="212"/>
      <c r="BC24" s="212"/>
      <c r="BD24" s="212"/>
      <c r="BE24" s="212"/>
      <c r="BF24" s="212"/>
      <c r="BG24" s="212"/>
      <c r="BH24" s="212"/>
      <c r="BI24" s="212"/>
      <c r="BJ24" s="212"/>
      <c r="BK24" s="212"/>
      <c r="BL24" s="211"/>
      <c r="BM24" s="211"/>
      <c r="BN24" s="211"/>
      <c r="BO24" s="15"/>
      <c r="BP24" s="28"/>
      <c r="BQ24" s="28"/>
      <c r="BR24" s="28"/>
      <c r="BS24" s="11"/>
      <c r="BT24" s="11"/>
      <c r="BU24" s="29"/>
      <c r="BV24" s="29"/>
      <c r="BW24" s="29"/>
    </row>
    <row r="25" spans="2:75" s="29" customFormat="1" ht="16.899999999999999" customHeight="1">
      <c r="B25" s="25"/>
      <c r="C25" s="19"/>
      <c r="J25" s="19"/>
      <c r="K25" s="19"/>
      <c r="L25" s="19"/>
      <c r="M25" s="19"/>
      <c r="N25" s="19"/>
      <c r="O25" s="19"/>
      <c r="P25" s="19"/>
      <c r="Q25" s="26"/>
      <c r="R25" s="26"/>
      <c r="S25" s="26"/>
      <c r="T25" s="26"/>
      <c r="U25" s="19"/>
      <c r="V25" s="25"/>
      <c r="W25" s="26"/>
      <c r="X25" s="26"/>
      <c r="Y25" s="26"/>
      <c r="Z25" s="27"/>
      <c r="AA25" s="27"/>
      <c r="AB25" s="27"/>
      <c r="AC25" s="27"/>
      <c r="AD25" s="27"/>
      <c r="AE25" s="27"/>
      <c r="AF25" s="27"/>
      <c r="AG25" s="27"/>
      <c r="AH25" s="27"/>
      <c r="AI25" s="27"/>
      <c r="AJ25" s="26"/>
      <c r="AL25" s="26"/>
      <c r="AM25" s="8"/>
      <c r="AN25" s="8"/>
      <c r="AO25" s="11"/>
      <c r="AP25" s="28"/>
      <c r="AQ25" s="28"/>
      <c r="AR25" s="28"/>
      <c r="AS25" s="211"/>
      <c r="AT25" s="211"/>
      <c r="AU25" s="211"/>
      <c r="AV25" s="211"/>
      <c r="AW25" s="211"/>
      <c r="AX25" s="211"/>
      <c r="AY25" s="211"/>
      <c r="AZ25" s="211"/>
      <c r="BA25" s="212"/>
      <c r="BB25" s="212"/>
      <c r="BC25" s="212"/>
      <c r="BD25" s="212"/>
      <c r="BE25" s="212"/>
      <c r="BF25" s="212"/>
      <c r="BG25" s="212"/>
      <c r="BH25" s="212"/>
      <c r="BI25" s="212"/>
      <c r="BJ25" s="212"/>
      <c r="BK25" s="212"/>
      <c r="BL25" s="211"/>
      <c r="BM25" s="211"/>
      <c r="BN25" s="211"/>
      <c r="BO25" s="15"/>
      <c r="BP25" s="28"/>
      <c r="BQ25" s="28"/>
      <c r="BR25" s="28"/>
      <c r="BS25" s="11"/>
      <c r="BT25" s="11"/>
      <c r="BU25" s="40"/>
      <c r="BV25" s="40"/>
      <c r="BW25" s="40"/>
    </row>
    <row r="26" spans="2:75" ht="16.899999999999999" customHeight="1">
      <c r="B26" s="25"/>
      <c r="C26" s="53" t="s">
        <v>807</v>
      </c>
      <c r="E26" s="216"/>
      <c r="F26" s="28"/>
      <c r="G26" s="28"/>
      <c r="H26" s="28"/>
      <c r="I26" s="29"/>
      <c r="J26" s="19"/>
      <c r="K26" s="19"/>
      <c r="L26" s="19"/>
      <c r="M26" s="19"/>
      <c r="N26" s="19"/>
      <c r="O26" s="19"/>
      <c r="P26" s="19"/>
      <c r="Q26" s="26"/>
      <c r="R26" s="26"/>
      <c r="S26" s="26"/>
      <c r="T26" s="26"/>
      <c r="U26" s="19"/>
      <c r="V26" s="25"/>
      <c r="W26" s="26"/>
      <c r="X26" s="26"/>
      <c r="Y26" s="26"/>
      <c r="AM26" s="8"/>
      <c r="AN26" s="8"/>
      <c r="AO26" s="11"/>
      <c r="AS26" s="211"/>
      <c r="AT26" s="211"/>
      <c r="AU26" s="211"/>
      <c r="AV26" s="211"/>
      <c r="AW26" s="211"/>
      <c r="AX26" s="211"/>
      <c r="AY26" s="211"/>
      <c r="AZ26" s="211"/>
      <c r="BA26" s="212"/>
      <c r="BB26" s="212"/>
      <c r="BC26" s="212"/>
      <c r="BD26" s="212"/>
      <c r="BE26" s="212"/>
      <c r="BF26" s="212"/>
      <c r="BG26" s="212"/>
      <c r="BH26" s="212"/>
      <c r="BI26" s="212"/>
      <c r="BJ26" s="212"/>
      <c r="BK26" s="212"/>
      <c r="BL26" s="211"/>
      <c r="BM26" s="211"/>
      <c r="BN26" s="211"/>
      <c r="BO26" s="15"/>
      <c r="BS26" s="11"/>
      <c r="BT26" s="11"/>
      <c r="BU26" s="29"/>
      <c r="BV26" s="29"/>
      <c r="BW26" s="29"/>
    </row>
    <row r="27" spans="2:75" ht="16.899999999999999" customHeight="1">
      <c r="B27" s="25"/>
      <c r="D27" s="217"/>
      <c r="E27" s="216"/>
      <c r="F27" s="28"/>
      <c r="G27" s="28"/>
      <c r="H27" s="28"/>
      <c r="I27" s="29"/>
      <c r="J27" s="19"/>
      <c r="K27" s="19"/>
      <c r="L27" s="19"/>
      <c r="M27" s="19"/>
      <c r="N27" s="19"/>
      <c r="O27" s="19"/>
      <c r="P27" s="19"/>
      <c r="Q27" s="26"/>
      <c r="R27" s="26"/>
      <c r="S27" s="26"/>
      <c r="T27" s="26"/>
      <c r="U27" s="19"/>
      <c r="V27" s="25"/>
      <c r="W27" s="26"/>
      <c r="X27" s="26"/>
      <c r="Y27" s="26"/>
      <c r="AM27" s="8"/>
      <c r="AN27" s="8"/>
      <c r="AO27" s="11"/>
      <c r="AS27" s="211"/>
      <c r="AT27" s="211"/>
      <c r="AU27" s="211"/>
      <c r="AV27" s="211"/>
      <c r="AW27" s="211"/>
      <c r="AX27" s="211"/>
      <c r="AY27" s="211"/>
      <c r="AZ27" s="211"/>
      <c r="BA27" s="212"/>
      <c r="BB27" s="212"/>
      <c r="BC27" s="212"/>
      <c r="BD27" s="212"/>
      <c r="BE27" s="212"/>
      <c r="BF27" s="212"/>
      <c r="BG27" s="212"/>
      <c r="BH27" s="212"/>
      <c r="BI27" s="212"/>
      <c r="BJ27" s="212"/>
      <c r="BK27" s="212"/>
      <c r="BL27" s="211"/>
      <c r="BM27" s="211"/>
      <c r="BN27" s="211"/>
      <c r="BO27" s="15"/>
      <c r="BS27" s="11"/>
      <c r="BT27" s="11"/>
      <c r="BU27" s="29"/>
      <c r="BV27" s="29"/>
    </row>
    <row r="28" spans="2:75" ht="16.899999999999999" customHeight="1">
      <c r="B28" s="25"/>
      <c r="D28" s="28" t="s">
        <v>197</v>
      </c>
      <c r="E28" s="28"/>
      <c r="F28" s="28"/>
      <c r="G28" s="28"/>
      <c r="H28" s="28"/>
      <c r="I28" s="29"/>
      <c r="J28" s="19"/>
      <c r="K28" s="19"/>
      <c r="L28" s="19"/>
      <c r="M28" s="19"/>
      <c r="N28" s="19"/>
      <c r="O28" s="19"/>
      <c r="P28" s="19"/>
      <c r="Q28" s="26"/>
      <c r="R28" s="26"/>
      <c r="S28" s="26"/>
      <c r="T28" s="26"/>
      <c r="U28" s="19"/>
      <c r="V28" s="25"/>
      <c r="W28" s="26"/>
      <c r="X28" s="26"/>
      <c r="Y28" s="26"/>
      <c r="AM28" s="8"/>
      <c r="AN28" s="8"/>
      <c r="AO28" s="11"/>
      <c r="AP28" s="11"/>
      <c r="AQ28" s="212"/>
      <c r="AR28" s="212"/>
      <c r="AS28" s="212"/>
      <c r="AT28" s="212"/>
      <c r="AU28" s="212"/>
      <c r="AV28" s="212"/>
      <c r="AW28" s="212"/>
      <c r="AX28" s="212"/>
      <c r="AY28" s="212"/>
      <c r="AZ28" s="212"/>
      <c r="BA28" s="212"/>
      <c r="BB28" s="212"/>
      <c r="BC28" s="212"/>
      <c r="BD28" s="212"/>
      <c r="BE28" s="212"/>
      <c r="BF28" s="212"/>
      <c r="BG28" s="212"/>
      <c r="BH28" s="212"/>
      <c r="BI28" s="212"/>
      <c r="BJ28" s="212"/>
      <c r="BK28" s="212"/>
      <c r="BL28" s="212"/>
      <c r="BM28" s="212"/>
      <c r="BN28" s="11"/>
      <c r="BO28" s="11"/>
      <c r="BP28" s="11"/>
      <c r="BQ28" s="11"/>
      <c r="BR28" s="11"/>
      <c r="BS28" s="11"/>
    </row>
    <row r="29" spans="2:75" ht="16.899999999999999" customHeight="1">
      <c r="B29" s="25"/>
      <c r="C29" s="19"/>
      <c r="D29" s="28" t="s">
        <v>808</v>
      </c>
      <c r="E29" s="29"/>
      <c r="F29" s="29"/>
      <c r="G29" s="29"/>
      <c r="H29" s="29"/>
      <c r="I29" s="29"/>
      <c r="J29" s="19"/>
      <c r="K29" s="19"/>
      <c r="L29" s="19"/>
      <c r="M29" s="19"/>
      <c r="N29" s="19"/>
      <c r="O29" s="19"/>
      <c r="P29" s="19"/>
      <c r="Q29" s="26"/>
      <c r="R29" s="26"/>
      <c r="S29" s="26"/>
      <c r="T29" s="26"/>
      <c r="U29" s="19"/>
      <c r="V29" s="25"/>
      <c r="W29" s="26"/>
      <c r="X29" s="26"/>
      <c r="Y29" s="26"/>
      <c r="AM29" s="8"/>
      <c r="AN29" s="8"/>
      <c r="AO29" s="11"/>
      <c r="AP29" s="11"/>
      <c r="AQ29" s="212"/>
      <c r="AR29" s="212"/>
      <c r="AS29" s="212"/>
      <c r="AT29" s="212"/>
      <c r="AU29" s="212"/>
      <c r="AV29" s="212"/>
      <c r="AW29" s="212"/>
      <c r="AX29" s="212"/>
      <c r="AY29" s="212"/>
      <c r="AZ29" s="212"/>
      <c r="BA29" s="212"/>
      <c r="BB29" s="212"/>
      <c r="BC29" s="212"/>
      <c r="BD29" s="212"/>
      <c r="BE29" s="212"/>
      <c r="BF29" s="212"/>
      <c r="BG29" s="212"/>
      <c r="BH29" s="212"/>
      <c r="BI29" s="212"/>
      <c r="BJ29" s="212"/>
      <c r="BK29" s="212"/>
      <c r="BL29" s="212"/>
      <c r="BM29" s="212"/>
      <c r="BN29" s="11"/>
      <c r="BO29" s="11"/>
      <c r="BP29" s="11"/>
      <c r="BQ29" s="11"/>
      <c r="BR29" s="11"/>
      <c r="BS29" s="11"/>
      <c r="BU29" s="27"/>
      <c r="BV29" s="27"/>
    </row>
    <row r="30" spans="2:75" ht="16.899999999999999" customHeight="1" thickBot="1">
      <c r="B30" s="25"/>
      <c r="AM30" s="8"/>
      <c r="AN30" s="42" t="s">
        <v>92</v>
      </c>
      <c r="AO30" s="11"/>
      <c r="AP30" s="11"/>
      <c r="AQ30" s="212"/>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U30" s="27"/>
      <c r="BV30" s="27"/>
    </row>
    <row r="31" spans="2:75" ht="16.899999999999999" customHeight="1">
      <c r="B31" s="25"/>
      <c r="C31" s="19"/>
      <c r="D31" s="1417" t="s">
        <v>150</v>
      </c>
      <c r="E31" s="1418"/>
      <c r="F31" s="1418"/>
      <c r="G31" s="1418"/>
      <c r="H31" s="1418"/>
      <c r="I31" s="1418"/>
      <c r="J31" s="1419"/>
      <c r="K31" s="1423" t="s">
        <v>53</v>
      </c>
      <c r="L31" s="1424"/>
      <c r="M31" s="1424"/>
      <c r="N31" s="1424"/>
      <c r="O31" s="1424"/>
      <c r="P31" s="1424"/>
      <c r="Q31" s="1424"/>
      <c r="R31" s="1424"/>
      <c r="S31" s="1424"/>
      <c r="T31" s="214"/>
      <c r="U31" s="44"/>
      <c r="V31" s="1427" t="s">
        <v>87</v>
      </c>
      <c r="W31" s="1428"/>
      <c r="X31" s="1428"/>
      <c r="Y31" s="1428"/>
      <c r="Z31" s="1428"/>
      <c r="AA31" s="1428"/>
      <c r="AB31" s="1428"/>
      <c r="AC31" s="1428"/>
      <c r="AD31" s="1429"/>
      <c r="AE31" s="1433" t="s">
        <v>39</v>
      </c>
      <c r="AF31" s="1434"/>
      <c r="AG31" s="1435"/>
      <c r="AM31" s="8"/>
      <c r="AN31" s="8"/>
      <c r="AO31" s="11"/>
      <c r="AP31" s="34" t="s">
        <v>176</v>
      </c>
      <c r="AQ31" s="10"/>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U31" s="27"/>
      <c r="BV31" s="27"/>
    </row>
    <row r="32" spans="2:75" ht="16.899999999999999" customHeight="1" thickBot="1">
      <c r="B32" s="25"/>
      <c r="C32" s="19"/>
      <c r="D32" s="1420"/>
      <c r="E32" s="1421"/>
      <c r="F32" s="1421"/>
      <c r="G32" s="1421"/>
      <c r="H32" s="1421"/>
      <c r="I32" s="1421"/>
      <c r="J32" s="1422"/>
      <c r="K32" s="1425"/>
      <c r="L32" s="1426"/>
      <c r="M32" s="1426"/>
      <c r="N32" s="1426"/>
      <c r="O32" s="1426"/>
      <c r="P32" s="1426"/>
      <c r="Q32" s="1426"/>
      <c r="R32" s="1426"/>
      <c r="S32" s="1426"/>
      <c r="T32" s="1439" t="s">
        <v>3</v>
      </c>
      <c r="U32" s="1440"/>
      <c r="V32" s="1430"/>
      <c r="W32" s="1431"/>
      <c r="X32" s="1431"/>
      <c r="Y32" s="1431"/>
      <c r="Z32" s="1431"/>
      <c r="AA32" s="1431"/>
      <c r="AB32" s="1431"/>
      <c r="AC32" s="1431"/>
      <c r="AD32" s="1432"/>
      <c r="AE32" s="1436"/>
      <c r="AF32" s="1437"/>
      <c r="AG32" s="1438"/>
      <c r="AM32" s="8"/>
      <c r="AN32" s="8"/>
      <c r="AO32" s="11" t="s">
        <v>615</v>
      </c>
      <c r="AP32" s="11"/>
      <c r="AQ32" s="212"/>
      <c r="AR32" s="11"/>
      <c r="AS32" s="11"/>
      <c r="AT32" s="11"/>
      <c r="AU32" s="11"/>
      <c r="AV32" s="11"/>
      <c r="AW32" s="11"/>
      <c r="AX32" s="11"/>
      <c r="AY32" s="11"/>
      <c r="AZ32" s="11"/>
      <c r="BA32" s="11"/>
      <c r="BB32" s="11"/>
      <c r="BC32" s="11"/>
      <c r="BD32" s="11"/>
      <c r="BE32" s="11"/>
      <c r="BF32" s="11"/>
      <c r="BG32" s="11"/>
      <c r="BH32" s="11"/>
      <c r="BI32" s="11"/>
      <c r="BJ32" s="11"/>
      <c r="BP32" s="11"/>
      <c r="BQ32" s="11"/>
      <c r="BR32" s="11"/>
      <c r="BS32" s="11"/>
      <c r="BU32" s="27"/>
      <c r="BV32" s="27"/>
    </row>
    <row r="33" spans="2:75" s="27" customFormat="1" ht="16.899999999999999" customHeight="1" thickTop="1">
      <c r="B33" s="25"/>
      <c r="C33" s="19"/>
      <c r="D33" s="1407" t="s">
        <v>12</v>
      </c>
      <c r="E33" s="1408"/>
      <c r="F33" s="1408"/>
      <c r="G33" s="1408"/>
      <c r="H33" s="1408"/>
      <c r="I33" s="1408"/>
      <c r="J33" s="1408"/>
      <c r="K33" s="218"/>
      <c r="L33" s="219"/>
      <c r="M33" s="220"/>
      <c r="N33" s="221"/>
      <c r="O33" s="222"/>
      <c r="P33" s="223"/>
      <c r="Q33" s="1394">
        <v>1</v>
      </c>
      <c r="R33" s="1399">
        <v>4</v>
      </c>
      <c r="S33" s="1411">
        <v>0</v>
      </c>
      <c r="T33" s="1413" t="s">
        <v>195</v>
      </c>
      <c r="U33" s="1414"/>
      <c r="V33" s="1405"/>
      <c r="W33" s="1390"/>
      <c r="X33" s="1392">
        <v>7</v>
      </c>
      <c r="Y33" s="1394">
        <v>0</v>
      </c>
      <c r="Z33" s="1390">
        <v>0</v>
      </c>
      <c r="AA33" s="1392">
        <v>0</v>
      </c>
      <c r="AB33" s="1394">
        <v>0</v>
      </c>
      <c r="AC33" s="1399">
        <v>0</v>
      </c>
      <c r="AD33" s="1401">
        <v>0</v>
      </c>
      <c r="AE33" s="1403">
        <v>1</v>
      </c>
      <c r="AF33" s="1442">
        <v>0</v>
      </c>
      <c r="AG33" s="1388">
        <v>0</v>
      </c>
      <c r="AM33" s="8"/>
      <c r="AN33" s="8"/>
      <c r="AO33" s="11"/>
      <c r="AP33" s="11"/>
      <c r="AQ33" s="212"/>
      <c r="AR33" s="11"/>
      <c r="AS33" s="11"/>
      <c r="AT33" s="11"/>
      <c r="AU33" s="11"/>
      <c r="AV33" s="11"/>
      <c r="AW33" s="11"/>
      <c r="AX33" s="11"/>
      <c r="AY33" s="11"/>
      <c r="AZ33" s="11"/>
      <c r="BA33" s="11"/>
      <c r="BB33" s="11"/>
      <c r="BC33" s="11"/>
      <c r="BD33" s="11"/>
      <c r="BE33" s="11"/>
      <c r="BF33" s="11"/>
      <c r="BG33" s="11"/>
      <c r="BH33" s="11"/>
      <c r="BI33" s="11"/>
      <c r="BJ33" s="11"/>
      <c r="BK33" s="28"/>
      <c r="BL33" s="28"/>
      <c r="BM33" s="28"/>
      <c r="BN33" s="28"/>
      <c r="BO33" s="28"/>
      <c r="BP33" s="11"/>
      <c r="BQ33" s="11"/>
      <c r="BR33" s="11"/>
      <c r="BS33" s="11"/>
      <c r="BT33" s="28"/>
      <c r="BW33" s="28"/>
    </row>
    <row r="34" spans="2:75" s="27" customFormat="1" ht="16.899999999999999" customHeight="1" thickBot="1">
      <c r="B34" s="25"/>
      <c r="C34" s="19"/>
      <c r="D34" s="1409"/>
      <c r="E34" s="1410"/>
      <c r="F34" s="1410"/>
      <c r="G34" s="1410"/>
      <c r="H34" s="1410"/>
      <c r="I34" s="1410"/>
      <c r="J34" s="1410"/>
      <c r="K34" s="224"/>
      <c r="L34" s="225"/>
      <c r="M34" s="226"/>
      <c r="N34" s="227"/>
      <c r="O34" s="225"/>
      <c r="P34" s="226"/>
      <c r="Q34" s="1395"/>
      <c r="R34" s="1400"/>
      <c r="S34" s="1412"/>
      <c r="T34" s="1415"/>
      <c r="U34" s="1416"/>
      <c r="V34" s="1406"/>
      <c r="W34" s="1391"/>
      <c r="X34" s="1393"/>
      <c r="Y34" s="1395"/>
      <c r="Z34" s="1391"/>
      <c r="AA34" s="1393"/>
      <c r="AB34" s="1395"/>
      <c r="AC34" s="1400"/>
      <c r="AD34" s="1402"/>
      <c r="AE34" s="1404"/>
      <c r="AF34" s="1443"/>
      <c r="AG34" s="1389"/>
      <c r="AM34" s="8"/>
      <c r="AN34" s="8"/>
      <c r="AO34" s="11"/>
      <c r="AP34" s="28"/>
      <c r="AQ34" s="1397" t="s">
        <v>85</v>
      </c>
      <c r="AR34" s="1397"/>
      <c r="AS34" s="1397"/>
      <c r="AT34" s="1397"/>
      <c r="AU34" s="1397"/>
      <c r="AV34" s="1397"/>
      <c r="AW34" s="1397"/>
      <c r="AX34" s="1397"/>
      <c r="AY34" s="1397"/>
      <c r="AZ34" s="1441" t="s">
        <v>96</v>
      </c>
      <c r="BA34" s="1441"/>
      <c r="BB34" s="1441"/>
      <c r="BC34" s="1441"/>
      <c r="BD34" s="1441"/>
      <c r="BE34" s="1441"/>
      <c r="BF34" s="1441"/>
      <c r="BG34" s="1441"/>
      <c r="BH34" s="1441"/>
      <c r="BI34" s="1441"/>
      <c r="BJ34" s="1441"/>
      <c r="BK34" s="1397" t="s">
        <v>90</v>
      </c>
      <c r="BL34" s="1397"/>
      <c r="BM34" s="1397"/>
      <c r="BN34" s="28"/>
      <c r="BO34" s="28"/>
    </row>
    <row r="35" spans="2:75" s="27" customFormat="1" ht="16.899999999999999" customHeight="1">
      <c r="B35" s="25"/>
      <c r="C35" s="19"/>
      <c r="D35" s="29"/>
      <c r="E35" s="29"/>
      <c r="F35" s="29"/>
      <c r="G35" s="29"/>
      <c r="H35" s="29"/>
      <c r="I35" s="29"/>
      <c r="J35" s="19"/>
      <c r="K35" s="19"/>
      <c r="L35" s="19"/>
      <c r="M35" s="19"/>
      <c r="N35" s="19"/>
      <c r="O35" s="19"/>
      <c r="P35" s="19"/>
      <c r="Q35" s="26"/>
      <c r="R35" s="26"/>
      <c r="S35" s="26"/>
      <c r="T35" s="26"/>
      <c r="U35" s="19"/>
      <c r="V35" s="25"/>
      <c r="W35" s="26"/>
      <c r="X35" s="26"/>
      <c r="Y35" s="26"/>
      <c r="AM35" s="8"/>
      <c r="AN35" s="8"/>
      <c r="AO35" s="11"/>
      <c r="AP35" s="28"/>
      <c r="AQ35" s="1397"/>
      <c r="AR35" s="1397"/>
      <c r="AS35" s="1397"/>
      <c r="AT35" s="1397"/>
      <c r="AU35" s="1397"/>
      <c r="AV35" s="1397"/>
      <c r="AW35" s="1397"/>
      <c r="AX35" s="1397"/>
      <c r="AY35" s="1397"/>
      <c r="AZ35" s="1396" t="s">
        <v>93</v>
      </c>
      <c r="BA35" s="1396"/>
      <c r="BB35" s="1396"/>
      <c r="BC35" s="1396"/>
      <c r="BD35" s="1396"/>
      <c r="BE35" s="1396"/>
      <c r="BF35" s="1396"/>
      <c r="BG35" s="1396"/>
      <c r="BH35" s="1396"/>
      <c r="BI35" s="1396"/>
      <c r="BJ35" s="1396"/>
      <c r="BK35" s="1397"/>
      <c r="BL35" s="1397"/>
      <c r="BM35" s="1397"/>
    </row>
    <row r="36" spans="2:75" s="27" customFormat="1" ht="16.899999999999999" customHeight="1">
      <c r="B36" s="25"/>
      <c r="C36" s="19"/>
      <c r="D36" s="29"/>
      <c r="E36" s="29"/>
      <c r="F36" s="29"/>
      <c r="G36" s="29"/>
      <c r="H36" s="29"/>
      <c r="I36" s="29"/>
      <c r="J36" s="19"/>
      <c r="K36" s="19"/>
      <c r="L36" s="19"/>
      <c r="M36" s="19"/>
      <c r="N36" s="19"/>
      <c r="O36" s="19"/>
      <c r="P36" s="19"/>
      <c r="Q36" s="26"/>
      <c r="R36" s="26"/>
      <c r="S36" s="26"/>
      <c r="T36" s="26"/>
      <c r="U36" s="19"/>
      <c r="V36" s="25"/>
      <c r="W36" s="26"/>
      <c r="X36" s="26"/>
      <c r="Y36" s="26"/>
      <c r="AM36" s="8"/>
      <c r="AN36" s="8"/>
      <c r="AO36" s="11"/>
      <c r="AP36" s="28"/>
      <c r="AQ36" s="1397"/>
      <c r="AR36" s="1397"/>
      <c r="AS36" s="1397"/>
      <c r="AT36" s="1397"/>
      <c r="AU36" s="1397"/>
      <c r="AV36" s="1397"/>
      <c r="AW36" s="1397"/>
      <c r="AX36" s="1397"/>
      <c r="AY36" s="1397"/>
      <c r="AZ36" s="1398"/>
      <c r="BA36" s="1398"/>
      <c r="BB36" s="1398"/>
      <c r="BC36" s="1398"/>
      <c r="BD36" s="1398"/>
      <c r="BE36" s="1398"/>
      <c r="BF36" s="1398"/>
      <c r="BG36" s="1398"/>
      <c r="BH36" s="1398"/>
      <c r="BI36" s="1398"/>
      <c r="BJ36" s="1398"/>
      <c r="BK36" s="1398"/>
      <c r="BL36" s="1398"/>
      <c r="BM36" s="1397"/>
      <c r="BN36" s="1397"/>
      <c r="BO36" s="1397"/>
    </row>
    <row r="37" spans="2:75" s="27" customFormat="1" ht="16.899999999999999" customHeight="1">
      <c r="B37" s="25"/>
      <c r="C37" s="53" t="s">
        <v>809</v>
      </c>
      <c r="D37" s="10"/>
      <c r="E37" s="216"/>
      <c r="F37" s="28"/>
      <c r="G37" s="29"/>
      <c r="H37" s="29"/>
      <c r="I37" s="29"/>
      <c r="J37" s="19"/>
      <c r="K37" s="19"/>
      <c r="L37" s="19"/>
      <c r="M37" s="19"/>
      <c r="N37" s="19"/>
      <c r="O37" s="19"/>
      <c r="P37" s="19"/>
      <c r="Q37" s="26"/>
      <c r="R37" s="26"/>
      <c r="S37" s="26"/>
      <c r="T37" s="26"/>
      <c r="U37" s="19"/>
      <c r="V37" s="25"/>
      <c r="W37" s="26"/>
      <c r="X37" s="26"/>
      <c r="Y37" s="26"/>
      <c r="AM37" s="8"/>
      <c r="AN37" s="8"/>
      <c r="AO37" s="11"/>
      <c r="AP37" s="28"/>
      <c r="AQ37" s="1397"/>
      <c r="AR37" s="1397"/>
      <c r="AS37" s="1397"/>
      <c r="AT37" s="1397"/>
      <c r="AU37" s="1397"/>
      <c r="AV37" s="1397"/>
      <c r="AW37" s="1397"/>
      <c r="AX37" s="1397"/>
      <c r="AY37" s="1397"/>
      <c r="AZ37" s="1398"/>
      <c r="BA37" s="1398"/>
      <c r="BB37" s="1398"/>
      <c r="BC37" s="1398"/>
      <c r="BD37" s="1398"/>
      <c r="BE37" s="1398"/>
      <c r="BF37" s="1398"/>
      <c r="BG37" s="1398"/>
      <c r="BH37" s="1398"/>
      <c r="BI37" s="1398"/>
      <c r="BJ37" s="1398"/>
      <c r="BK37" s="1398"/>
      <c r="BL37" s="1398"/>
      <c r="BM37" s="1397"/>
      <c r="BN37" s="1397"/>
      <c r="BO37" s="1397"/>
    </row>
    <row r="38" spans="2:75" s="27" customFormat="1" ht="16.899999999999999" customHeight="1">
      <c r="B38" s="25"/>
      <c r="C38" s="53" t="s">
        <v>98</v>
      </c>
      <c r="D38" s="217"/>
      <c r="E38" s="216"/>
      <c r="F38" s="28"/>
      <c r="G38" s="29"/>
      <c r="H38" s="29"/>
      <c r="I38" s="29"/>
      <c r="J38" s="19"/>
      <c r="K38" s="19"/>
      <c r="L38" s="19"/>
      <c r="M38" s="19"/>
      <c r="N38" s="19"/>
      <c r="O38" s="19"/>
      <c r="P38" s="19"/>
      <c r="Q38" s="26"/>
      <c r="R38" s="26"/>
      <c r="S38" s="26"/>
      <c r="T38" s="26"/>
      <c r="U38" s="19"/>
      <c r="V38" s="25"/>
      <c r="W38" s="26"/>
      <c r="X38" s="26"/>
      <c r="Y38" s="26"/>
      <c r="AM38" s="8"/>
      <c r="AN38" s="8"/>
      <c r="AO38" s="11"/>
      <c r="AP38" s="11"/>
      <c r="AQ38" s="212"/>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28"/>
    </row>
    <row r="39" spans="2:75" s="27" customFormat="1" ht="16.899999999999999" customHeight="1">
      <c r="B39" s="25"/>
      <c r="C39" s="10"/>
      <c r="D39" s="217"/>
      <c r="E39" s="216"/>
      <c r="F39" s="28"/>
      <c r="G39" s="29"/>
      <c r="H39" s="29"/>
      <c r="I39" s="29"/>
      <c r="J39" s="19"/>
      <c r="K39" s="19"/>
      <c r="L39" s="19"/>
      <c r="M39" s="19"/>
      <c r="N39" s="19"/>
      <c r="O39" s="19"/>
      <c r="P39" s="19"/>
      <c r="Q39" s="26"/>
      <c r="R39" s="26"/>
      <c r="S39" s="26"/>
      <c r="T39" s="26"/>
      <c r="U39" s="19"/>
      <c r="V39" s="25"/>
      <c r="W39" s="26"/>
      <c r="X39" s="26"/>
      <c r="Y39" s="26"/>
      <c r="AM39" s="8"/>
      <c r="AN39" s="8"/>
      <c r="AO39" s="11"/>
      <c r="AP39" s="11"/>
      <c r="AQ39" s="212"/>
      <c r="AR39" s="11"/>
      <c r="AS39" s="11"/>
      <c r="AT39" s="11"/>
      <c r="AU39" s="11"/>
      <c r="AV39" s="11"/>
      <c r="AW39" s="11"/>
      <c r="AX39" s="11"/>
      <c r="AY39" s="11"/>
      <c r="AZ39" s="11"/>
      <c r="BA39" s="11"/>
      <c r="BB39" s="11"/>
      <c r="BC39" s="11"/>
      <c r="BD39" s="11"/>
      <c r="BE39" s="11"/>
      <c r="BF39" s="11"/>
      <c r="BG39" s="11"/>
      <c r="BH39" s="11"/>
      <c r="BI39" s="11"/>
      <c r="BJ39" s="11"/>
      <c r="BK39" s="11"/>
      <c r="BL39" s="11"/>
      <c r="BM39" s="11"/>
      <c r="BN39" s="28"/>
      <c r="BO39" s="28"/>
      <c r="BP39" s="28"/>
      <c r="BQ39" s="11"/>
      <c r="BR39" s="11"/>
      <c r="BS39" s="11"/>
      <c r="BT39" s="28"/>
    </row>
    <row r="40" spans="2:75" s="27" customFormat="1" ht="16.899999999999999" customHeight="1">
      <c r="B40" s="25"/>
      <c r="C40" s="10"/>
      <c r="D40" s="28" t="s">
        <v>198</v>
      </c>
      <c r="E40" s="28"/>
      <c r="F40" s="28"/>
      <c r="G40" s="29"/>
      <c r="H40" s="29"/>
      <c r="I40" s="29"/>
      <c r="J40" s="19"/>
      <c r="K40" s="19"/>
      <c r="L40" s="19"/>
      <c r="M40" s="19"/>
      <c r="N40" s="19"/>
      <c r="O40" s="19"/>
      <c r="P40" s="19"/>
      <c r="Q40" s="26"/>
      <c r="R40" s="26"/>
      <c r="S40" s="26"/>
      <c r="T40" s="26"/>
      <c r="U40" s="19"/>
      <c r="V40" s="25"/>
      <c r="W40" s="26"/>
      <c r="X40" s="26"/>
      <c r="Y40" s="26"/>
      <c r="AM40" s="8"/>
      <c r="AN40" s="8"/>
      <c r="AO40" s="11"/>
      <c r="AP40" s="11"/>
      <c r="AQ40" s="212"/>
      <c r="AR40" s="11"/>
      <c r="AS40" s="11"/>
      <c r="AT40" s="11"/>
      <c r="AU40" s="11"/>
      <c r="AV40" s="11"/>
      <c r="AW40" s="11"/>
      <c r="AX40" s="11"/>
      <c r="AY40" s="11"/>
      <c r="AZ40" s="11"/>
      <c r="BA40" s="11"/>
      <c r="BB40" s="11"/>
      <c r="BC40" s="11"/>
      <c r="BD40" s="11"/>
      <c r="BE40" s="11"/>
      <c r="BF40" s="11"/>
      <c r="BG40" s="11"/>
      <c r="BH40" s="11"/>
      <c r="BI40" s="11"/>
      <c r="BJ40" s="11"/>
      <c r="BK40" s="11"/>
      <c r="BL40" s="11"/>
      <c r="BM40" s="11"/>
      <c r="BN40" s="28"/>
      <c r="BO40" s="28"/>
      <c r="BP40" s="28"/>
      <c r="BQ40" s="11"/>
      <c r="BR40" s="11"/>
      <c r="BS40" s="11"/>
      <c r="BT40" s="28"/>
    </row>
    <row r="41" spans="2:75" s="27" customFormat="1" ht="16.899999999999999" customHeight="1">
      <c r="B41" s="25"/>
      <c r="C41" s="10"/>
      <c r="D41" s="28" t="s">
        <v>810</v>
      </c>
      <c r="E41" s="28"/>
      <c r="F41" s="28"/>
      <c r="G41" s="29"/>
      <c r="H41" s="29"/>
      <c r="I41" s="29"/>
      <c r="J41" s="19"/>
      <c r="K41" s="19"/>
      <c r="L41" s="19"/>
      <c r="M41" s="19"/>
      <c r="N41" s="19"/>
      <c r="O41" s="19"/>
      <c r="P41" s="19"/>
      <c r="Q41" s="26"/>
      <c r="R41" s="26"/>
      <c r="S41" s="26"/>
      <c r="T41" s="26"/>
      <c r="U41" s="19"/>
      <c r="V41" s="25"/>
      <c r="W41" s="26"/>
      <c r="X41" s="26"/>
      <c r="Y41" s="26"/>
      <c r="AM41" s="8"/>
      <c r="AN41" s="8"/>
      <c r="AO41" s="11"/>
      <c r="AP41" s="11"/>
      <c r="AQ41" s="212"/>
      <c r="AR41" s="11"/>
      <c r="AS41" s="11"/>
      <c r="AT41" s="11"/>
      <c r="AU41" s="11"/>
      <c r="AV41" s="13"/>
      <c r="AW41" s="13"/>
      <c r="AX41" s="13"/>
      <c r="AY41" s="13"/>
      <c r="AZ41" s="13"/>
      <c r="BA41" s="13"/>
      <c r="BB41" s="13"/>
      <c r="BC41" s="13"/>
      <c r="BD41" s="13"/>
      <c r="BE41" s="13"/>
      <c r="BF41" s="13"/>
      <c r="BG41" s="13"/>
      <c r="BH41" s="13"/>
      <c r="BI41" s="13"/>
      <c r="BJ41" s="13"/>
      <c r="BK41" s="13"/>
      <c r="BL41" s="13"/>
      <c r="BM41" s="13"/>
      <c r="BN41" s="13"/>
      <c r="BO41" s="11"/>
      <c r="BP41" s="11"/>
      <c r="BQ41" s="11"/>
      <c r="BR41" s="11"/>
      <c r="BS41" s="11"/>
      <c r="BT41" s="28"/>
    </row>
    <row r="42" spans="2:75" s="27" customFormat="1" ht="16.899999999999999" customHeight="1">
      <c r="B42" s="25"/>
      <c r="C42" s="10"/>
      <c r="D42" s="10" t="s">
        <v>196</v>
      </c>
      <c r="E42" s="28"/>
      <c r="F42" s="28"/>
      <c r="G42" s="29"/>
      <c r="H42" s="29"/>
      <c r="I42" s="29"/>
      <c r="J42" s="19"/>
      <c r="K42" s="19"/>
      <c r="L42" s="19"/>
      <c r="M42" s="19"/>
      <c r="N42" s="19"/>
      <c r="O42" s="19"/>
      <c r="P42" s="19"/>
      <c r="Q42" s="26"/>
      <c r="R42" s="26"/>
      <c r="S42" s="26"/>
      <c r="T42" s="26"/>
      <c r="U42" s="19"/>
      <c r="V42" s="25"/>
      <c r="W42" s="26"/>
      <c r="X42" s="26"/>
      <c r="Y42" s="26"/>
      <c r="AM42" s="28"/>
      <c r="AN42" s="8"/>
      <c r="AO42" s="11"/>
      <c r="AP42" s="11"/>
      <c r="AQ42" s="212"/>
      <c r="AR42" s="212"/>
      <c r="AS42" s="212"/>
      <c r="AT42" s="212"/>
      <c r="AU42" s="212"/>
      <c r="AV42" s="212"/>
      <c r="AW42" s="212"/>
      <c r="AX42" s="212"/>
      <c r="AY42" s="212"/>
      <c r="AZ42" s="212"/>
      <c r="BA42" s="212"/>
      <c r="BB42" s="212"/>
      <c r="BC42" s="212"/>
      <c r="BD42" s="212"/>
      <c r="BE42" s="212"/>
      <c r="BF42" s="212"/>
      <c r="BG42" s="212"/>
      <c r="BH42" s="212"/>
      <c r="BI42" s="212"/>
      <c r="BJ42" s="212"/>
      <c r="BK42" s="212"/>
      <c r="BL42" s="212"/>
      <c r="BM42" s="212"/>
      <c r="BN42" s="11"/>
      <c r="BO42" s="11"/>
      <c r="BP42" s="11"/>
      <c r="BQ42" s="11"/>
      <c r="BR42" s="11"/>
      <c r="BS42" s="11"/>
      <c r="BT42" s="28"/>
    </row>
    <row r="43" spans="2:75" s="27" customFormat="1" ht="16.899999999999999" customHeight="1" thickBot="1">
      <c r="B43" s="25"/>
      <c r="C43" s="19"/>
      <c r="D43" s="28"/>
      <c r="E43" s="29"/>
      <c r="F43" s="29"/>
      <c r="G43" s="29"/>
      <c r="H43" s="29"/>
      <c r="I43" s="29"/>
      <c r="J43" s="19"/>
      <c r="K43" s="19"/>
      <c r="L43" s="19"/>
      <c r="M43" s="19"/>
      <c r="N43" s="19"/>
      <c r="O43" s="19"/>
      <c r="P43" s="19"/>
      <c r="Q43" s="26"/>
      <c r="R43" s="26"/>
      <c r="S43" s="26"/>
      <c r="T43" s="26"/>
      <c r="U43" s="19"/>
      <c r="V43" s="25"/>
      <c r="W43" s="26"/>
      <c r="X43" s="26"/>
      <c r="Y43" s="26"/>
      <c r="AM43" s="28"/>
      <c r="AN43" s="28"/>
      <c r="AO43" s="28"/>
      <c r="AP43" s="28"/>
      <c r="AQ43" s="28"/>
      <c r="AR43" s="28"/>
    </row>
    <row r="44" spans="2:75" s="27" customFormat="1" ht="16.899999999999999" customHeight="1">
      <c r="B44" s="25"/>
      <c r="C44" s="19"/>
      <c r="D44" s="1417" t="s">
        <v>150</v>
      </c>
      <c r="E44" s="1418"/>
      <c r="F44" s="1418"/>
      <c r="G44" s="1418"/>
      <c r="H44" s="1418"/>
      <c r="I44" s="1418"/>
      <c r="J44" s="1419"/>
      <c r="K44" s="1423" t="s">
        <v>53</v>
      </c>
      <c r="L44" s="1424"/>
      <c r="M44" s="1424"/>
      <c r="N44" s="1424"/>
      <c r="O44" s="1424"/>
      <c r="P44" s="1424"/>
      <c r="Q44" s="1424"/>
      <c r="R44" s="1424"/>
      <c r="S44" s="1424"/>
      <c r="T44" s="228"/>
      <c r="U44" s="229"/>
      <c r="V44" s="1427" t="s">
        <v>87</v>
      </c>
      <c r="W44" s="1428"/>
      <c r="X44" s="1428"/>
      <c r="Y44" s="1428"/>
      <c r="Z44" s="1428"/>
      <c r="AA44" s="1428"/>
      <c r="AB44" s="1428"/>
      <c r="AC44" s="1428"/>
      <c r="AD44" s="1429"/>
      <c r="AE44" s="1433" t="s">
        <v>39</v>
      </c>
      <c r="AF44" s="1434"/>
      <c r="AG44" s="1435"/>
      <c r="AM44" s="28"/>
      <c r="AN44" s="28"/>
      <c r="AO44" s="28"/>
      <c r="AP44" s="28"/>
      <c r="AQ44" s="28"/>
      <c r="AR44" s="28"/>
    </row>
    <row r="45" spans="2:75" s="27" customFormat="1" ht="16.899999999999999" customHeight="1" thickBot="1">
      <c r="B45" s="25"/>
      <c r="C45" s="19"/>
      <c r="D45" s="1420"/>
      <c r="E45" s="1421"/>
      <c r="F45" s="1421"/>
      <c r="G45" s="1421"/>
      <c r="H45" s="1421"/>
      <c r="I45" s="1421"/>
      <c r="J45" s="1422"/>
      <c r="K45" s="1425"/>
      <c r="L45" s="1426"/>
      <c r="M45" s="1426"/>
      <c r="N45" s="1426"/>
      <c r="O45" s="1426"/>
      <c r="P45" s="1426"/>
      <c r="Q45" s="1426"/>
      <c r="R45" s="1426"/>
      <c r="S45" s="1426"/>
      <c r="T45" s="1439" t="s">
        <v>3</v>
      </c>
      <c r="U45" s="1440"/>
      <c r="V45" s="1430"/>
      <c r="W45" s="1431"/>
      <c r="X45" s="1431"/>
      <c r="Y45" s="1431"/>
      <c r="Z45" s="1431"/>
      <c r="AA45" s="1431"/>
      <c r="AB45" s="1431"/>
      <c r="AC45" s="1431"/>
      <c r="AD45" s="1432"/>
      <c r="AE45" s="1436"/>
      <c r="AF45" s="1437"/>
      <c r="AG45" s="1438"/>
      <c r="AM45" s="29"/>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row>
    <row r="46" spans="2:75" s="27" customFormat="1" ht="16.899999999999999" customHeight="1" thickTop="1">
      <c r="B46" s="25"/>
      <c r="C46" s="19"/>
      <c r="D46" s="1444" t="s">
        <v>12</v>
      </c>
      <c r="E46" s="1445"/>
      <c r="F46" s="1445"/>
      <c r="G46" s="1445"/>
      <c r="H46" s="1445"/>
      <c r="I46" s="1445"/>
      <c r="J46" s="1445"/>
      <c r="K46" s="218"/>
      <c r="L46" s="219"/>
      <c r="M46" s="220"/>
      <c r="N46" s="221"/>
      <c r="O46" s="222"/>
      <c r="P46" s="223"/>
      <c r="Q46" s="1394">
        <v>2</v>
      </c>
      <c r="R46" s="1399">
        <v>0</v>
      </c>
      <c r="S46" s="1411">
        <v>0</v>
      </c>
      <c r="T46" s="1413" t="s">
        <v>195</v>
      </c>
      <c r="U46" s="1414"/>
      <c r="V46" s="1405"/>
      <c r="W46" s="1390">
        <v>1</v>
      </c>
      <c r="X46" s="1392">
        <v>0</v>
      </c>
      <c r="Y46" s="1394">
        <v>0</v>
      </c>
      <c r="Z46" s="1390">
        <v>0</v>
      </c>
      <c r="AA46" s="1392">
        <v>0</v>
      </c>
      <c r="AB46" s="1394">
        <v>0</v>
      </c>
      <c r="AC46" s="1399">
        <v>0</v>
      </c>
      <c r="AD46" s="1401">
        <v>0</v>
      </c>
      <c r="AE46" s="1403"/>
      <c r="AF46" s="1442"/>
      <c r="AG46" s="1388"/>
      <c r="AM46" s="28"/>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row>
    <row r="47" spans="2:75" s="27" customFormat="1" ht="16.899999999999999" customHeight="1" thickBot="1">
      <c r="B47" s="25"/>
      <c r="C47" s="19"/>
      <c r="D47" s="1409"/>
      <c r="E47" s="1410"/>
      <c r="F47" s="1410"/>
      <c r="G47" s="1410"/>
      <c r="H47" s="1410"/>
      <c r="I47" s="1410"/>
      <c r="J47" s="1410"/>
      <c r="K47" s="224"/>
      <c r="L47" s="225"/>
      <c r="M47" s="226"/>
      <c r="N47" s="227"/>
      <c r="O47" s="225"/>
      <c r="P47" s="226"/>
      <c r="Q47" s="1395"/>
      <c r="R47" s="1400"/>
      <c r="S47" s="1412"/>
      <c r="T47" s="1415"/>
      <c r="U47" s="1416"/>
      <c r="V47" s="1406"/>
      <c r="W47" s="1391"/>
      <c r="X47" s="1393"/>
      <c r="Y47" s="1395"/>
      <c r="Z47" s="1391"/>
      <c r="AA47" s="1393"/>
      <c r="AB47" s="1395"/>
      <c r="AC47" s="1400"/>
      <c r="AD47" s="1402"/>
      <c r="AE47" s="1404"/>
      <c r="AF47" s="1443"/>
      <c r="AG47" s="1389"/>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row>
    <row r="48" spans="2:75" s="27" customFormat="1" ht="16.899999999999999" customHeight="1">
      <c r="B48" s="25"/>
      <c r="C48" s="19"/>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row>
    <row r="49" spans="3:75" ht="16.899999999999999" customHeight="1">
      <c r="C49" s="27"/>
      <c r="AI49" s="29"/>
      <c r="AJ49" s="29"/>
      <c r="AK49" s="29"/>
      <c r="AL49" s="29"/>
      <c r="BW49" s="27"/>
    </row>
    <row r="50" spans="3:75" s="29" customFormat="1" ht="17.45" customHeight="1">
      <c r="AJ50" s="27"/>
      <c r="AK50" s="27"/>
      <c r="AL50" s="27"/>
      <c r="AM50" s="33"/>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row>
    <row r="51" spans="3:75" ht="17.45" customHeight="1">
      <c r="AN51" s="33"/>
      <c r="AO51" s="33"/>
      <c r="AP51" s="33"/>
      <c r="AQ51" s="33"/>
      <c r="AR51" s="33"/>
      <c r="BW51" s="29"/>
    </row>
    <row r="53" spans="3:75" ht="17.45" customHeight="1">
      <c r="AM53" s="33"/>
    </row>
    <row r="54" spans="3:75" ht="17.45" customHeight="1">
      <c r="AM54" s="33"/>
      <c r="AN54" s="33"/>
    </row>
    <row r="55" spans="3:75" ht="17.45" customHeight="1">
      <c r="AN55" s="33"/>
    </row>
    <row r="58" spans="3:75" ht="17.45" customHeight="1">
      <c r="AM58" s="33"/>
    </row>
    <row r="59" spans="3:75" ht="17.45" customHeight="1">
      <c r="AM59" s="33"/>
      <c r="AN59" s="33"/>
      <c r="AO59" s="33"/>
      <c r="AP59" s="33"/>
      <c r="AQ59" s="33"/>
      <c r="AR59" s="33"/>
    </row>
    <row r="60" spans="3:75" ht="17.45" customHeight="1">
      <c r="AM60" s="33"/>
      <c r="AN60" s="33"/>
      <c r="AO60" s="33"/>
      <c r="AP60" s="33"/>
      <c r="AQ60" s="33"/>
      <c r="AR60" s="33"/>
    </row>
    <row r="61" spans="3:75" ht="17.45" customHeight="1">
      <c r="AM61" s="33"/>
      <c r="AN61" s="33"/>
      <c r="AO61" s="33"/>
      <c r="AP61" s="33"/>
      <c r="AQ61" s="33"/>
      <c r="AR61" s="33"/>
    </row>
    <row r="62" spans="3:75" ht="17.45" customHeight="1">
      <c r="AM62" s="33"/>
      <c r="AN62" s="33"/>
      <c r="AO62" s="33"/>
      <c r="AP62" s="33"/>
      <c r="AQ62" s="33"/>
      <c r="AR62" s="33"/>
    </row>
    <row r="63" spans="3:75" ht="17.45" customHeight="1">
      <c r="AM63" s="33"/>
      <c r="AN63" s="33"/>
      <c r="AO63" s="33"/>
      <c r="AP63" s="33"/>
      <c r="AQ63" s="33"/>
      <c r="AR63" s="33"/>
    </row>
    <row r="64" spans="3:75" ht="17.45" customHeight="1">
      <c r="AM64" s="33"/>
      <c r="AN64" s="33"/>
      <c r="AO64" s="33"/>
      <c r="AP64" s="33"/>
      <c r="AQ64" s="33"/>
      <c r="AR64" s="33"/>
    </row>
    <row r="65" spans="39:44" ht="17.45" customHeight="1">
      <c r="AM65" s="33"/>
      <c r="AN65" s="33"/>
      <c r="AO65" s="33"/>
      <c r="AP65" s="33"/>
      <c r="AQ65" s="33"/>
      <c r="AR65" s="33"/>
    </row>
    <row r="66" spans="39:44" ht="17.45" customHeight="1">
      <c r="AM66" s="33"/>
      <c r="AN66" s="33"/>
      <c r="AO66" s="33"/>
    </row>
    <row r="67" spans="39:44" ht="17.45" customHeight="1">
      <c r="AM67" s="33"/>
      <c r="AN67" s="33"/>
      <c r="AO67" s="33"/>
    </row>
    <row r="68" spans="39:44" ht="17.45" customHeight="1">
      <c r="AM68" s="33"/>
      <c r="AN68" s="33"/>
      <c r="AO68" s="33"/>
      <c r="AP68" s="33"/>
      <c r="AQ68" s="33"/>
      <c r="AR68" s="33"/>
    </row>
    <row r="69" spans="39:44" ht="17.45" customHeight="1">
      <c r="AM69" s="33"/>
      <c r="AN69" s="33"/>
      <c r="AO69" s="33"/>
      <c r="AP69" s="33"/>
      <c r="AQ69" s="33"/>
      <c r="AR69" s="33"/>
    </row>
    <row r="70" spans="39:44" ht="17.45" customHeight="1">
      <c r="AM70" s="33"/>
      <c r="AN70" s="33"/>
      <c r="AO70" s="33"/>
      <c r="AP70" s="33"/>
      <c r="AQ70" s="33"/>
      <c r="AR70" s="33"/>
    </row>
    <row r="71" spans="39:44" ht="17.45" customHeight="1">
      <c r="AM71" s="33"/>
      <c r="AN71" s="33"/>
      <c r="AO71" s="33"/>
      <c r="AP71" s="33"/>
      <c r="AQ71" s="33"/>
      <c r="AR71" s="33"/>
    </row>
    <row r="72" spans="39:44" ht="17.45" customHeight="1">
      <c r="AM72" s="33"/>
      <c r="AN72" s="33"/>
      <c r="AO72" s="33"/>
      <c r="AP72" s="33"/>
      <c r="AQ72" s="33"/>
      <c r="AR72" s="33"/>
    </row>
    <row r="73" spans="39:44" ht="17.45" customHeight="1">
      <c r="AN73" s="33"/>
      <c r="AO73" s="33"/>
      <c r="AP73" s="33"/>
      <c r="AQ73" s="33"/>
      <c r="AR73" s="33"/>
    </row>
    <row r="74" spans="39:44" ht="5.25" customHeight="1"/>
    <row r="96" spans="3:38" ht="17.45" customHeight="1">
      <c r="C96" s="8"/>
      <c r="D96" s="8"/>
      <c r="E96" s="11"/>
      <c r="F96" s="11"/>
      <c r="G96" s="212"/>
      <c r="H96" s="212"/>
      <c r="I96" s="212"/>
      <c r="J96" s="212"/>
      <c r="K96" s="212"/>
      <c r="L96" s="212"/>
      <c r="M96" s="212"/>
      <c r="N96" s="212"/>
      <c r="O96" s="212"/>
      <c r="P96" s="212"/>
      <c r="Q96" s="212"/>
      <c r="R96" s="212"/>
      <c r="S96" s="212"/>
      <c r="T96" s="212"/>
      <c r="U96" s="212"/>
      <c r="V96" s="212"/>
      <c r="W96" s="212"/>
      <c r="X96" s="212"/>
      <c r="Y96" s="212"/>
      <c r="Z96" s="212"/>
      <c r="AA96" s="212"/>
      <c r="AB96" s="212"/>
      <c r="AC96" s="212"/>
      <c r="AD96" s="11"/>
      <c r="AE96" s="11"/>
      <c r="AF96" s="11"/>
      <c r="AG96" s="11"/>
      <c r="AH96" s="11"/>
      <c r="AI96" s="11"/>
      <c r="AJ96" s="11"/>
      <c r="AK96" s="28"/>
      <c r="AL96" s="11"/>
    </row>
    <row r="106" spans="3:74" ht="17.45" customHeight="1">
      <c r="C106" s="8"/>
      <c r="D106" s="8"/>
      <c r="E106" s="11"/>
      <c r="F106" s="11"/>
      <c r="G106" s="212"/>
      <c r="H106" s="11"/>
      <c r="I106" s="11"/>
      <c r="J106" s="11"/>
      <c r="K106" s="11"/>
      <c r="L106" s="13"/>
      <c r="M106" s="13"/>
      <c r="N106" s="13"/>
      <c r="O106" s="13"/>
      <c r="P106" s="13"/>
      <c r="Q106" s="13"/>
      <c r="R106" s="13"/>
      <c r="S106" s="13"/>
      <c r="T106" s="13"/>
      <c r="U106" s="13"/>
      <c r="V106" s="13"/>
      <c r="W106" s="13"/>
      <c r="X106" s="13"/>
      <c r="Y106" s="13"/>
      <c r="Z106" s="13"/>
      <c r="AA106" s="13"/>
      <c r="AB106" s="13"/>
      <c r="AC106" s="13"/>
      <c r="AD106" s="13"/>
      <c r="AE106" s="11"/>
      <c r="AF106" s="11"/>
      <c r="AG106" s="11"/>
      <c r="AH106" s="11"/>
      <c r="AI106" s="11"/>
      <c r="AJ106" s="11"/>
      <c r="AK106" s="28"/>
      <c r="AL106" s="11"/>
    </row>
    <row r="107" spans="3:74" ht="17.45" customHeight="1">
      <c r="C107" s="8"/>
      <c r="D107" s="8"/>
      <c r="E107" s="11"/>
      <c r="F107" s="11"/>
      <c r="G107" s="212"/>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28"/>
      <c r="AL107" s="11"/>
    </row>
    <row r="108" spans="3:74" ht="17.45" customHeight="1">
      <c r="C108" s="8"/>
      <c r="D108" s="8"/>
      <c r="E108" s="11"/>
      <c r="F108" s="11"/>
      <c r="G108" s="212"/>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28"/>
      <c r="AL108" s="11"/>
    </row>
    <row r="109" spans="3:74" ht="17.45" customHeight="1">
      <c r="C109" s="8"/>
      <c r="D109" s="8"/>
      <c r="E109" s="11"/>
      <c r="F109" s="11"/>
      <c r="G109" s="212"/>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28"/>
      <c r="AL109" s="11"/>
      <c r="AM109" s="33"/>
    </row>
    <row r="110" spans="3:74" ht="17.45" customHeight="1">
      <c r="C110" s="8"/>
      <c r="D110" s="8"/>
      <c r="E110" s="11"/>
      <c r="F110" s="11"/>
      <c r="G110" s="212"/>
      <c r="H110" s="212"/>
      <c r="I110" s="212"/>
      <c r="J110" s="212"/>
      <c r="K110" s="212"/>
      <c r="L110" s="212"/>
      <c r="M110" s="212"/>
      <c r="N110" s="212"/>
      <c r="O110" s="212"/>
      <c r="P110" s="212"/>
      <c r="Q110" s="212"/>
      <c r="R110" s="212"/>
      <c r="S110" s="212"/>
      <c r="T110" s="212"/>
      <c r="U110" s="212"/>
      <c r="V110" s="212"/>
      <c r="W110" s="212"/>
      <c r="X110" s="212"/>
      <c r="Y110" s="212"/>
      <c r="Z110" s="212"/>
      <c r="AA110" s="212"/>
      <c r="AB110" s="212"/>
      <c r="AC110" s="212"/>
      <c r="AD110" s="11"/>
      <c r="AE110" s="11"/>
      <c r="AF110" s="11"/>
      <c r="AG110" s="11"/>
      <c r="AH110" s="11"/>
      <c r="AI110" s="11"/>
      <c r="AJ110" s="11"/>
      <c r="AK110" s="28"/>
      <c r="AL110" s="11"/>
      <c r="AM110" s="29"/>
      <c r="AN110" s="33"/>
      <c r="AO110" s="33"/>
      <c r="AP110" s="33"/>
      <c r="AQ110" s="33"/>
      <c r="AR110" s="33"/>
    </row>
    <row r="111" spans="3:74" ht="17.45" customHeight="1">
      <c r="C111" s="8"/>
      <c r="D111" s="8"/>
      <c r="E111" s="11"/>
      <c r="F111" s="11"/>
      <c r="G111" s="212"/>
      <c r="H111" s="212"/>
      <c r="I111" s="212"/>
      <c r="J111" s="212"/>
      <c r="K111" s="212"/>
      <c r="L111" s="212"/>
      <c r="M111" s="212"/>
      <c r="N111" s="212"/>
      <c r="O111" s="212"/>
      <c r="P111" s="212"/>
      <c r="Q111" s="212"/>
      <c r="R111" s="212"/>
      <c r="S111" s="212"/>
      <c r="T111" s="212"/>
      <c r="U111" s="212"/>
      <c r="V111" s="212"/>
      <c r="W111" s="212"/>
      <c r="X111" s="212"/>
      <c r="Y111" s="212"/>
      <c r="Z111" s="212"/>
      <c r="AA111" s="212"/>
      <c r="AB111" s="212"/>
      <c r="AC111" s="212"/>
      <c r="AD111" s="11"/>
      <c r="AE111" s="11"/>
      <c r="AF111" s="11"/>
      <c r="AG111" s="11"/>
      <c r="AH111" s="11"/>
      <c r="AI111" s="11"/>
      <c r="AJ111" s="11"/>
      <c r="AK111" s="28"/>
      <c r="AL111" s="11"/>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row>
    <row r="112" spans="3:74" ht="17.45" customHeight="1">
      <c r="C112" s="3"/>
      <c r="D112" s="3"/>
      <c r="E112" s="14"/>
      <c r="F112" s="32"/>
      <c r="G112" s="14"/>
      <c r="H112" s="14"/>
      <c r="I112" s="14"/>
      <c r="J112" s="14"/>
      <c r="K112" s="14"/>
      <c r="L112" s="14"/>
      <c r="M112" s="14"/>
      <c r="N112" s="14"/>
      <c r="O112" s="14"/>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row>
    <row r="113" spans="3:75" ht="17.45" customHeight="1">
      <c r="C113" s="8"/>
      <c r="D113" s="8"/>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row>
    <row r="114" spans="3:75" ht="17.45" customHeight="1">
      <c r="C114" s="23"/>
      <c r="D114" s="23"/>
      <c r="E114" s="24"/>
      <c r="F114" s="24"/>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4"/>
    </row>
    <row r="115" spans="3:75" s="29" customFormat="1" ht="17.45" customHeight="1">
      <c r="C115" s="4"/>
      <c r="D115" s="4"/>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row>
    <row r="116" spans="3:75" ht="17.45" customHeight="1">
      <c r="C116" s="4"/>
      <c r="D116" s="4"/>
      <c r="E116" s="11"/>
      <c r="F116" s="11"/>
      <c r="G116" s="11"/>
      <c r="H116" s="11"/>
      <c r="I116" s="11"/>
      <c r="J116" s="28"/>
      <c r="K116" s="28"/>
      <c r="L116" s="28"/>
      <c r="M116" s="28"/>
      <c r="N116" s="28"/>
      <c r="O116" s="28"/>
      <c r="P116" s="28"/>
      <c r="Q116" s="28"/>
      <c r="R116" s="28"/>
      <c r="S116" s="28"/>
      <c r="T116" s="28"/>
      <c r="U116" s="28"/>
      <c r="V116" s="28"/>
      <c r="W116" s="28"/>
      <c r="X116" s="28"/>
      <c r="Y116" s="28"/>
      <c r="Z116" s="28"/>
      <c r="AA116" s="28"/>
      <c r="AB116" s="28"/>
      <c r="AC116" s="28"/>
      <c r="AD116" s="11"/>
      <c r="AE116" s="11"/>
      <c r="AF116" s="11"/>
      <c r="AG116" s="11"/>
      <c r="AH116" s="11"/>
      <c r="AI116" s="11"/>
      <c r="AJ116" s="11"/>
      <c r="AK116" s="11"/>
      <c r="AL116" s="11"/>
      <c r="BW116" s="29"/>
    </row>
    <row r="117" spans="3:75" ht="17.45" customHeight="1">
      <c r="C117" s="4"/>
      <c r="D117" s="4"/>
      <c r="E117" s="11"/>
      <c r="F117" s="11"/>
      <c r="G117" s="11"/>
      <c r="H117" s="11"/>
      <c r="I117" s="11"/>
      <c r="J117" s="28"/>
      <c r="K117" s="28"/>
      <c r="L117" s="28"/>
      <c r="M117" s="28"/>
      <c r="N117" s="28"/>
      <c r="O117" s="28"/>
      <c r="P117" s="28"/>
      <c r="Q117" s="28"/>
      <c r="R117" s="28"/>
      <c r="S117" s="28"/>
      <c r="T117" s="28"/>
      <c r="U117" s="28"/>
      <c r="V117" s="28"/>
      <c r="W117" s="28"/>
      <c r="X117" s="28"/>
      <c r="Y117" s="28"/>
      <c r="Z117" s="28"/>
      <c r="AA117" s="28"/>
      <c r="AB117" s="28"/>
      <c r="AC117" s="28"/>
      <c r="AD117" s="11"/>
      <c r="AE117" s="11"/>
      <c r="AF117" s="11"/>
      <c r="AG117" s="11"/>
      <c r="AH117" s="11"/>
      <c r="AI117" s="11"/>
      <c r="AJ117" s="11"/>
      <c r="AK117" s="11"/>
      <c r="AL117" s="11"/>
    </row>
    <row r="118" spans="3:75" ht="17.45" customHeight="1">
      <c r="C118" s="8"/>
      <c r="D118" s="8"/>
      <c r="E118" s="11"/>
      <c r="F118" s="11"/>
      <c r="G118" s="11"/>
      <c r="H118" s="11"/>
      <c r="I118" s="11"/>
      <c r="J118" s="28"/>
      <c r="K118" s="28"/>
      <c r="L118" s="28"/>
      <c r="M118" s="28"/>
      <c r="N118" s="28"/>
      <c r="O118" s="28"/>
      <c r="P118" s="28"/>
      <c r="Q118" s="28"/>
      <c r="R118" s="28"/>
      <c r="S118" s="28"/>
      <c r="T118" s="28"/>
      <c r="U118" s="28"/>
      <c r="V118" s="28"/>
      <c r="W118" s="28"/>
      <c r="X118" s="28"/>
      <c r="Y118" s="28"/>
      <c r="Z118" s="28"/>
      <c r="AA118" s="28"/>
      <c r="AB118" s="28"/>
      <c r="AC118" s="28"/>
      <c r="AD118" s="11"/>
      <c r="AE118" s="11"/>
      <c r="AF118" s="11"/>
      <c r="AG118" s="11"/>
      <c r="AH118" s="11"/>
      <c r="AI118" s="11"/>
      <c r="AJ118" s="11"/>
      <c r="AK118" s="11"/>
      <c r="AL118" s="11"/>
    </row>
    <row r="119" spans="3:75" ht="17.45" customHeight="1">
      <c r="C119" s="8"/>
      <c r="D119" s="8"/>
      <c r="E119" s="11"/>
      <c r="F119" s="11"/>
      <c r="G119" s="11"/>
      <c r="H119" s="11"/>
      <c r="I119" s="11"/>
      <c r="J119" s="28"/>
      <c r="K119" s="28"/>
      <c r="L119" s="28"/>
      <c r="M119" s="28"/>
      <c r="N119" s="28"/>
      <c r="O119" s="28"/>
      <c r="P119" s="28"/>
      <c r="Q119" s="28"/>
      <c r="R119" s="28"/>
      <c r="S119" s="28"/>
      <c r="T119" s="28"/>
      <c r="U119" s="28"/>
      <c r="V119" s="28"/>
      <c r="W119" s="28"/>
      <c r="X119" s="28"/>
      <c r="Y119" s="28"/>
      <c r="Z119" s="28"/>
      <c r="AA119" s="28"/>
      <c r="AB119" s="28"/>
      <c r="AC119" s="28"/>
      <c r="AD119" s="11"/>
      <c r="AE119" s="11"/>
      <c r="AF119" s="11"/>
      <c r="AG119" s="11"/>
      <c r="AH119" s="11"/>
      <c r="AI119" s="11"/>
      <c r="AJ119" s="11"/>
      <c r="AK119" s="11"/>
      <c r="AL119" s="11"/>
    </row>
    <row r="120" spans="3:75" ht="17.45" customHeight="1">
      <c r="C120" s="8"/>
      <c r="D120" s="8"/>
      <c r="E120" s="11"/>
      <c r="F120" s="11"/>
      <c r="G120" s="11"/>
      <c r="H120" s="11"/>
      <c r="I120" s="11"/>
      <c r="J120" s="28"/>
      <c r="K120" s="28"/>
      <c r="L120" s="28"/>
      <c r="M120" s="28"/>
      <c r="N120" s="28"/>
      <c r="O120" s="28"/>
      <c r="P120" s="28"/>
      <c r="Q120" s="28"/>
      <c r="R120" s="28"/>
      <c r="S120" s="28"/>
      <c r="T120" s="28"/>
      <c r="U120" s="28"/>
      <c r="V120" s="28"/>
      <c r="W120" s="28"/>
      <c r="X120" s="28"/>
      <c r="Y120" s="28"/>
      <c r="Z120" s="28"/>
      <c r="AA120" s="28"/>
      <c r="AB120" s="28"/>
      <c r="AC120" s="28"/>
      <c r="AD120" s="11"/>
      <c r="AE120" s="11"/>
      <c r="AF120" s="11"/>
      <c r="AG120" s="11"/>
      <c r="AH120" s="11"/>
      <c r="AI120" s="11"/>
      <c r="AJ120" s="11"/>
      <c r="AK120" s="11"/>
      <c r="AL120" s="11"/>
    </row>
    <row r="121" spans="3:75" ht="17.45" customHeight="1">
      <c r="C121" s="8"/>
      <c r="D121" s="8"/>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row>
    <row r="122" spans="3:75" ht="17.45" customHeight="1">
      <c r="C122" s="8"/>
      <c r="D122" s="8"/>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row>
    <row r="123" spans="3:75" ht="17.45" customHeight="1">
      <c r="C123" s="8"/>
      <c r="D123" s="8"/>
      <c r="E123" s="11"/>
      <c r="F123" s="11"/>
      <c r="G123" s="11"/>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11"/>
      <c r="AF123" s="11"/>
      <c r="AG123" s="11"/>
      <c r="AH123" s="11"/>
      <c r="AI123" s="11"/>
      <c r="AJ123" s="11"/>
      <c r="AK123" s="11"/>
      <c r="AL123" s="11"/>
    </row>
    <row r="124" spans="3:75" ht="17.45" customHeight="1">
      <c r="C124" s="8"/>
      <c r="D124" s="8"/>
      <c r="E124" s="11"/>
      <c r="F124" s="11"/>
      <c r="G124" s="11"/>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11"/>
      <c r="AF124" s="11"/>
      <c r="AG124" s="11"/>
      <c r="AH124" s="11"/>
      <c r="AI124" s="11"/>
      <c r="AJ124" s="11"/>
      <c r="AK124" s="11"/>
      <c r="AL124" s="11"/>
    </row>
    <row r="125" spans="3:75" ht="17.45" customHeight="1">
      <c r="C125" s="8"/>
      <c r="D125" s="8"/>
      <c r="E125" s="11"/>
      <c r="F125" s="11"/>
      <c r="G125" s="11"/>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11"/>
      <c r="AF125" s="11"/>
      <c r="AG125" s="11"/>
      <c r="AH125" s="11"/>
      <c r="AI125" s="11"/>
      <c r="AJ125" s="11"/>
      <c r="AK125" s="11"/>
      <c r="AL125" s="11"/>
    </row>
    <row r="126" spans="3:75" ht="17.45" customHeight="1">
      <c r="C126" s="8"/>
      <c r="D126" s="8"/>
      <c r="E126" s="11"/>
      <c r="F126" s="11"/>
      <c r="G126" s="11"/>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11"/>
      <c r="AF126" s="11"/>
      <c r="AG126" s="11"/>
      <c r="AH126" s="11"/>
      <c r="AI126" s="11"/>
      <c r="AJ126" s="11"/>
      <c r="AK126" s="11"/>
      <c r="AL126" s="11"/>
    </row>
    <row r="127" spans="3:75" ht="17.45" customHeight="1">
      <c r="C127" s="8"/>
      <c r="D127" s="8"/>
      <c r="E127" s="13"/>
      <c r="F127" s="13"/>
      <c r="G127" s="13"/>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13"/>
      <c r="AF127" s="13"/>
      <c r="AG127" s="13"/>
      <c r="AH127" s="13"/>
      <c r="AI127" s="13"/>
      <c r="AJ127" s="13"/>
      <c r="AK127" s="13"/>
      <c r="AL127" s="13"/>
    </row>
    <row r="128" spans="3:75" ht="17.45" customHeight="1">
      <c r="C128" s="8"/>
      <c r="D128" s="8"/>
      <c r="E128" s="13"/>
      <c r="F128" s="13"/>
      <c r="G128" s="13"/>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13"/>
      <c r="AF128" s="13"/>
      <c r="AG128" s="13"/>
      <c r="AH128" s="13"/>
      <c r="AI128" s="13"/>
      <c r="AJ128" s="13"/>
      <c r="AK128" s="13"/>
      <c r="AL128" s="13"/>
    </row>
    <row r="129" spans="3:38" ht="17.45" customHeight="1">
      <c r="C129" s="8"/>
      <c r="D129" s="8"/>
      <c r="E129" s="11"/>
      <c r="F129" s="11"/>
      <c r="G129" s="11"/>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11"/>
      <c r="AF129" s="11"/>
      <c r="AG129" s="11"/>
      <c r="AH129" s="11"/>
      <c r="AI129" s="11"/>
      <c r="AJ129" s="11"/>
      <c r="AK129" s="11"/>
      <c r="AL129" s="11"/>
    </row>
    <row r="130" spans="3:38" ht="17.45" customHeight="1">
      <c r="C130" s="9"/>
      <c r="D130" s="9"/>
      <c r="E130" s="11"/>
      <c r="F130" s="11"/>
      <c r="G130" s="11"/>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11"/>
      <c r="AF130" s="11"/>
      <c r="AG130" s="11"/>
      <c r="AH130" s="11"/>
      <c r="AI130" s="11"/>
      <c r="AJ130" s="11"/>
      <c r="AK130" s="11"/>
      <c r="AL130" s="11"/>
    </row>
    <row r="131" spans="3:38" ht="17.45" customHeight="1">
      <c r="C131" s="12"/>
      <c r="D131" s="12"/>
      <c r="E131" s="11"/>
      <c r="F131" s="11"/>
      <c r="G131" s="11"/>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11"/>
      <c r="AF131" s="11"/>
      <c r="AG131" s="11"/>
      <c r="AH131" s="11"/>
      <c r="AI131" s="11"/>
      <c r="AJ131" s="11"/>
      <c r="AK131" s="11"/>
      <c r="AL131" s="11"/>
    </row>
  </sheetData>
  <sheetProtection sheet="1" objects="1" scenarios="1" selectLockedCells="1"/>
  <mergeCells count="60">
    <mergeCell ref="V46:V47"/>
    <mergeCell ref="D46:J47"/>
    <mergeCell ref="Q46:Q47"/>
    <mergeCell ref="R46:R47"/>
    <mergeCell ref="S46:S47"/>
    <mergeCell ref="T46:U47"/>
    <mergeCell ref="D44:J45"/>
    <mergeCell ref="K44:S45"/>
    <mergeCell ref="V44:AD45"/>
    <mergeCell ref="AE44:AG45"/>
    <mergeCell ref="T45:U45"/>
    <mergeCell ref="AQ10:AY11"/>
    <mergeCell ref="AZ10:BK10"/>
    <mergeCell ref="BL10:BN11"/>
    <mergeCell ref="AZ11:BK11"/>
    <mergeCell ref="AB46:AB47"/>
    <mergeCell ref="AC46:AC47"/>
    <mergeCell ref="AD46:AD47"/>
    <mergeCell ref="AE46:AE47"/>
    <mergeCell ref="AF46:AF47"/>
    <mergeCell ref="AF33:AF34"/>
    <mergeCell ref="AG33:AG34"/>
    <mergeCell ref="AQ34:AY35"/>
    <mergeCell ref="AZ34:BJ34"/>
    <mergeCell ref="BK34:BM35"/>
    <mergeCell ref="AQ22:AY23"/>
    <mergeCell ref="AZ22:BK22"/>
    <mergeCell ref="BL22:BN23"/>
    <mergeCell ref="AZ23:BK23"/>
    <mergeCell ref="D31:J32"/>
    <mergeCell ref="K31:S32"/>
    <mergeCell ref="V31:AD32"/>
    <mergeCell ref="AE31:AG32"/>
    <mergeCell ref="T32:U32"/>
    <mergeCell ref="D33:J34"/>
    <mergeCell ref="Q33:Q34"/>
    <mergeCell ref="R33:R34"/>
    <mergeCell ref="S33:S34"/>
    <mergeCell ref="T33:U34"/>
    <mergeCell ref="V33:V34"/>
    <mergeCell ref="W33:W34"/>
    <mergeCell ref="X33:X34"/>
    <mergeCell ref="Y33:Y34"/>
    <mergeCell ref="Z33:Z34"/>
    <mergeCell ref="AA33:AA34"/>
    <mergeCell ref="AB33:AB34"/>
    <mergeCell ref="AC33:AC34"/>
    <mergeCell ref="AD33:AD34"/>
    <mergeCell ref="AE33:AE34"/>
    <mergeCell ref="AZ35:BJ35"/>
    <mergeCell ref="AQ36:AY37"/>
    <mergeCell ref="AZ36:BL36"/>
    <mergeCell ref="BM36:BO37"/>
    <mergeCell ref="AZ37:BL37"/>
    <mergeCell ref="AG46:AG47"/>
    <mergeCell ref="W46:W47"/>
    <mergeCell ref="X46:X47"/>
    <mergeCell ref="Y46:Y47"/>
    <mergeCell ref="Z46:Z47"/>
    <mergeCell ref="AA46:AA47"/>
  </mergeCells>
  <phoneticPr fontId="3"/>
  <printOptions horizontalCentered="1"/>
  <pageMargins left="0.39370078740157483" right="0.39370078740157483" top="0.59055118110236227" bottom="0.59055118110236227" header="0" footer="0.19685039370078741"/>
  <pageSetup paperSize="8" orientation="landscape" cellComments="asDisplayed" r:id="rId1"/>
  <headerFooter>
    <evenFooter>&amp;R&amp;G</even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AI32"/>
  <sheetViews>
    <sheetView showGridLines="0" zoomScale="85" zoomScaleNormal="85" zoomScaleSheetLayoutView="80" workbookViewId="0">
      <selection activeCell="F7" sqref="F7"/>
    </sheetView>
  </sheetViews>
  <sheetFormatPr defaultColWidth="2.75" defaultRowHeight="14.25" customHeight="1" outlineLevelCol="1"/>
  <cols>
    <col min="1" max="3" width="2.75" style="5" customWidth="1"/>
    <col min="4" max="4" width="4.75" style="5" customWidth="1"/>
    <col min="5" max="5" width="10.75" style="5" customWidth="1"/>
    <col min="6" max="7" width="14.5" style="5" customWidth="1"/>
    <col min="8" max="8" width="20.75" style="5" customWidth="1"/>
    <col min="9" max="10" width="12.75" style="5" customWidth="1"/>
    <col min="11" max="14" width="2.75" style="5" customWidth="1"/>
    <col min="15" max="19" width="2.75" style="5" customWidth="1" outlineLevel="1"/>
    <col min="20" max="20" width="17.625" style="5" customWidth="1" outlineLevel="1"/>
    <col min="21" max="22" width="17.5" style="5" customWidth="1" outlineLevel="1"/>
    <col min="23" max="33" width="2.75" style="5" customWidth="1"/>
    <col min="34" max="16384" width="2.75" style="5"/>
  </cols>
  <sheetData>
    <row r="1" spans="2:35" ht="28.15" customHeight="1">
      <c r="B1" s="308"/>
      <c r="C1" s="308"/>
      <c r="D1" s="308"/>
      <c r="E1" s="308"/>
      <c r="F1" s="308"/>
      <c r="G1" s="308"/>
      <c r="H1" s="308"/>
      <c r="I1" s="308"/>
      <c r="J1" s="308"/>
      <c r="K1" s="308"/>
      <c r="L1" s="308"/>
      <c r="M1" s="308"/>
      <c r="N1" s="308"/>
      <c r="O1" s="308"/>
      <c r="R1" s="330" t="s">
        <v>517</v>
      </c>
    </row>
    <row r="2" spans="2:35" ht="28.15" customHeight="1">
      <c r="B2" s="310" t="s">
        <v>204</v>
      </c>
      <c r="C2" s="308"/>
      <c r="D2" s="308"/>
      <c r="E2" s="308"/>
      <c r="F2" s="308"/>
      <c r="G2" s="308"/>
      <c r="H2" s="308"/>
      <c r="I2" s="308"/>
      <c r="J2" s="308"/>
      <c r="K2" s="308"/>
      <c r="L2" s="308"/>
      <c r="M2" s="308"/>
      <c r="O2" s="961"/>
    </row>
    <row r="3" spans="2:35" ht="28.15" customHeight="1">
      <c r="B3" s="310" t="s">
        <v>194</v>
      </c>
      <c r="C3" s="312"/>
      <c r="E3" s="312"/>
      <c r="F3" s="313"/>
      <c r="O3" s="961"/>
    </row>
    <row r="4" spans="2:35" ht="28.15" customHeight="1">
      <c r="B4" s="312"/>
      <c r="C4" s="312"/>
      <c r="D4" s="5" t="s">
        <v>384</v>
      </c>
      <c r="E4" s="312"/>
      <c r="F4" s="313"/>
      <c r="O4" s="961"/>
      <c r="S4" s="314"/>
      <c r="T4" s="314"/>
      <c r="U4" s="314"/>
      <c r="V4" s="314"/>
    </row>
    <row r="5" spans="2:35" ht="28.15" customHeight="1" thickBot="1">
      <c r="B5" s="312"/>
      <c r="C5" s="313"/>
      <c r="E5" s="312"/>
      <c r="F5" s="313"/>
      <c r="O5" s="961"/>
      <c r="S5" s="314"/>
      <c r="T5" s="314"/>
      <c r="U5" s="314"/>
      <c r="V5" s="314"/>
    </row>
    <row r="6" spans="2:35" ht="28.15" customHeight="1" thickBot="1">
      <c r="B6" s="312"/>
      <c r="C6" s="313"/>
      <c r="D6" s="1463" t="s">
        <v>149</v>
      </c>
      <c r="E6" s="1464"/>
      <c r="F6" s="315" t="s">
        <v>505</v>
      </c>
      <c r="G6" s="316" t="s">
        <v>506</v>
      </c>
      <c r="O6" s="961"/>
      <c r="S6" s="314"/>
      <c r="T6" s="314"/>
      <c r="U6" s="314"/>
      <c r="V6" s="314"/>
    </row>
    <row r="7" spans="2:35" ht="28.15" customHeight="1" thickTop="1">
      <c r="C7" s="317"/>
      <c r="D7" s="1471" t="s">
        <v>4</v>
      </c>
      <c r="E7" s="1472"/>
      <c r="F7" s="154"/>
      <c r="G7" s="161"/>
      <c r="O7" s="961"/>
      <c r="S7" s="314"/>
      <c r="T7" s="314"/>
      <c r="U7" s="314"/>
      <c r="V7" s="314"/>
    </row>
    <row r="8" spans="2:35" ht="28.15" customHeight="1">
      <c r="C8" s="318"/>
      <c r="D8" s="1473" t="s">
        <v>199</v>
      </c>
      <c r="E8" s="1474"/>
      <c r="F8" s="162"/>
      <c r="G8" s="163"/>
      <c r="J8" s="20"/>
      <c r="O8" s="961"/>
      <c r="S8" s="314"/>
      <c r="T8" s="314"/>
      <c r="U8" s="314"/>
      <c r="V8" s="314"/>
    </row>
    <row r="9" spans="2:35" ht="28.15" customHeight="1">
      <c r="C9" s="318"/>
      <c r="D9" s="1473" t="s">
        <v>200</v>
      </c>
      <c r="E9" s="1474"/>
      <c r="F9" s="162"/>
      <c r="G9" s="163"/>
      <c r="J9" s="20"/>
      <c r="O9" s="961"/>
      <c r="S9" s="314"/>
      <c r="T9" s="314"/>
      <c r="U9" s="314"/>
      <c r="V9" s="314"/>
    </row>
    <row r="10" spans="2:35" ht="28.15" customHeight="1" thickBot="1">
      <c r="C10" s="318"/>
      <c r="D10" s="1475" t="s">
        <v>201</v>
      </c>
      <c r="E10" s="1476"/>
      <c r="F10" s="110"/>
      <c r="G10" s="111"/>
      <c r="J10" s="20"/>
      <c r="O10" s="961"/>
      <c r="S10" s="314"/>
      <c r="T10" s="314"/>
      <c r="U10" s="314"/>
      <c r="V10" s="314"/>
    </row>
    <row r="11" spans="2:35" ht="28.15" customHeight="1">
      <c r="O11" s="961"/>
      <c r="S11" s="314"/>
      <c r="T11" s="314"/>
      <c r="U11" s="314"/>
      <c r="V11" s="314"/>
    </row>
    <row r="12" spans="2:35" ht="28.15" customHeight="1">
      <c r="B12" s="310" t="s">
        <v>103</v>
      </c>
      <c r="O12" s="961"/>
      <c r="S12" s="314"/>
      <c r="T12" s="314"/>
      <c r="U12" s="314"/>
      <c r="V12" s="314"/>
    </row>
    <row r="13" spans="2:35" ht="28.15" customHeight="1">
      <c r="B13" s="312"/>
      <c r="D13" s="5" t="s">
        <v>385</v>
      </c>
      <c r="O13" s="961"/>
      <c r="S13" s="314"/>
      <c r="T13" s="314"/>
      <c r="U13" s="314"/>
      <c r="V13" s="314"/>
      <c r="W13" s="319"/>
      <c r="X13" s="319"/>
      <c r="Y13" s="319"/>
      <c r="Z13" s="319"/>
      <c r="AA13" s="319"/>
      <c r="AB13" s="319"/>
      <c r="AC13" s="319"/>
      <c r="AD13" s="319"/>
      <c r="AE13" s="319"/>
      <c r="AF13" s="319"/>
      <c r="AG13" s="319"/>
      <c r="AH13" s="319"/>
      <c r="AI13" s="319"/>
    </row>
    <row r="14" spans="2:35" ht="28.15" customHeight="1" thickBot="1">
      <c r="B14" s="312"/>
      <c r="O14" s="961"/>
      <c r="S14" s="314"/>
      <c r="T14" s="314"/>
      <c r="U14" s="314"/>
      <c r="V14" s="314"/>
    </row>
    <row r="15" spans="2:35" ht="28.15" customHeight="1" thickBot="1">
      <c r="B15" s="319"/>
      <c r="C15" s="319"/>
      <c r="D15" s="1465" t="s">
        <v>150</v>
      </c>
      <c r="E15" s="1466"/>
      <c r="F15" s="1463" t="s">
        <v>76</v>
      </c>
      <c r="G15" s="1467"/>
      <c r="H15" s="1464"/>
      <c r="I15" s="1110" t="s">
        <v>186</v>
      </c>
      <c r="J15" s="320" t="s">
        <v>187</v>
      </c>
      <c r="O15" s="961"/>
      <c r="S15" s="314"/>
      <c r="T15" s="314"/>
      <c r="U15" s="314"/>
      <c r="V15" s="314"/>
    </row>
    <row r="16" spans="2:35" ht="28.15" customHeight="1" thickTop="1">
      <c r="B16" s="319"/>
      <c r="C16" s="319"/>
      <c r="D16" s="106" t="s">
        <v>82</v>
      </c>
      <c r="E16" s="107"/>
      <c r="F16" s="1468" t="s">
        <v>185</v>
      </c>
      <c r="G16" s="1469"/>
      <c r="H16" s="1470"/>
      <c r="I16" s="1008"/>
      <c r="J16" s="1009"/>
      <c r="O16" s="961"/>
      <c r="S16" s="314"/>
      <c r="T16" s="314"/>
      <c r="U16" s="314"/>
      <c r="V16" s="314"/>
    </row>
    <row r="17" spans="2:22" ht="28.15" customHeight="1">
      <c r="B17" s="319"/>
      <c r="C17" s="319"/>
      <c r="D17" s="43"/>
      <c r="E17" s="164" t="s">
        <v>5</v>
      </c>
      <c r="F17" s="1446" t="s">
        <v>184</v>
      </c>
      <c r="G17" s="1447"/>
      <c r="H17" s="1448"/>
      <c r="I17" s="1010"/>
      <c r="J17" s="240"/>
      <c r="O17" s="961"/>
      <c r="S17" s="314"/>
      <c r="T17" s="314"/>
      <c r="U17" s="314"/>
      <c r="V17" s="314"/>
    </row>
    <row r="18" spans="2:22" ht="28.15" customHeight="1">
      <c r="B18" s="319"/>
      <c r="C18" s="319"/>
      <c r="D18" s="165" t="s">
        <v>6</v>
      </c>
      <c r="E18" s="166"/>
      <c r="F18" s="1446" t="s">
        <v>202</v>
      </c>
      <c r="G18" s="1447"/>
      <c r="H18" s="1448"/>
      <c r="I18" s="1010"/>
      <c r="J18" s="240"/>
      <c r="O18" s="961"/>
      <c r="S18" s="314"/>
      <c r="T18" s="314"/>
      <c r="U18" s="314"/>
      <c r="V18" s="314"/>
    </row>
    <row r="19" spans="2:22" ht="28.15" customHeight="1">
      <c r="B19" s="319"/>
      <c r="C19" s="319"/>
      <c r="D19" s="43"/>
      <c r="E19" s="164" t="s">
        <v>7</v>
      </c>
      <c r="F19" s="1446" t="s">
        <v>203</v>
      </c>
      <c r="G19" s="1447"/>
      <c r="H19" s="1448"/>
      <c r="I19" s="1010"/>
      <c r="J19" s="240"/>
      <c r="O19" s="961"/>
      <c r="S19" s="314"/>
      <c r="T19" s="314"/>
      <c r="U19" s="314"/>
      <c r="V19" s="314"/>
    </row>
    <row r="20" spans="2:22" ht="28.15" customHeight="1" thickBot="1">
      <c r="B20" s="319"/>
      <c r="C20" s="319"/>
      <c r="D20" s="108" t="s">
        <v>8</v>
      </c>
      <c r="E20" s="109"/>
      <c r="F20" s="1449" t="s">
        <v>180</v>
      </c>
      <c r="G20" s="1450"/>
      <c r="H20" s="1451"/>
      <c r="I20" s="110"/>
      <c r="J20" s="1011"/>
      <c r="O20" s="961"/>
      <c r="S20" s="314"/>
      <c r="T20" s="314"/>
      <c r="U20" s="314"/>
      <c r="V20" s="314"/>
    </row>
    <row r="21" spans="2:22" ht="28.15" customHeight="1">
      <c r="B21" s="319"/>
      <c r="C21" s="319"/>
      <c r="D21" s="18" t="s">
        <v>145</v>
      </c>
      <c r="E21" s="319"/>
      <c r="F21" s="319"/>
      <c r="G21" s="319"/>
      <c r="K21" s="319"/>
      <c r="O21" s="961"/>
      <c r="S21" s="314"/>
      <c r="T21" s="314"/>
      <c r="U21" s="314"/>
      <c r="V21" s="314"/>
    </row>
    <row r="22" spans="2:22" ht="28.15" customHeight="1">
      <c r="B22" s="319"/>
      <c r="C22" s="319"/>
      <c r="D22" s="18"/>
      <c r="E22" s="319"/>
      <c r="F22" s="319"/>
      <c r="G22" s="319"/>
      <c r="K22" s="319"/>
      <c r="O22" s="961"/>
    </row>
    <row r="23" spans="2:22" ht="28.15" customHeight="1" thickBot="1">
      <c r="B23" s="321" t="s">
        <v>182</v>
      </c>
      <c r="O23" s="961"/>
      <c r="R23" s="321" t="s">
        <v>216</v>
      </c>
      <c r="S23" s="322"/>
    </row>
    <row r="24" spans="2:22" ht="28.15" customHeight="1" thickTop="1" thickBot="1">
      <c r="B24" s="319"/>
      <c r="C24" s="319"/>
      <c r="D24" s="1452" t="s">
        <v>504</v>
      </c>
      <c r="E24" s="1452"/>
      <c r="F24" s="1453"/>
      <c r="G24" s="215"/>
      <c r="O24" s="961"/>
      <c r="T24" s="1125" t="s">
        <v>597</v>
      </c>
      <c r="U24" s="323">
        <f>G24</f>
        <v>0</v>
      </c>
      <c r="V24" s="243" t="str">
        <f>IF(U24="いる",1,IF(U24="いない",0,""))</f>
        <v/>
      </c>
    </row>
    <row r="25" spans="2:22" ht="28.15" customHeight="1" thickTop="1" thickBot="1">
      <c r="K25" s="319"/>
      <c r="O25" s="961"/>
    </row>
    <row r="26" spans="2:22" ht="28.15" customHeight="1">
      <c r="C26" s="324" t="s">
        <v>75</v>
      </c>
      <c r="D26" s="325"/>
      <c r="E26" s="325"/>
      <c r="F26" s="325"/>
      <c r="G26" s="325"/>
      <c r="H26" s="325"/>
      <c r="I26" s="326"/>
      <c r="J26" s="327"/>
      <c r="K26" s="319"/>
      <c r="O26" s="961"/>
    </row>
    <row r="27" spans="2:22" ht="28.15" customHeight="1">
      <c r="C27" s="1454"/>
      <c r="D27" s="1455"/>
      <c r="E27" s="1455"/>
      <c r="F27" s="1455"/>
      <c r="G27" s="1455"/>
      <c r="H27" s="1455"/>
      <c r="I27" s="1455"/>
      <c r="J27" s="1456"/>
      <c r="K27" s="319"/>
      <c r="O27" s="961"/>
    </row>
    <row r="28" spans="2:22" ht="28.15" customHeight="1">
      <c r="C28" s="1457"/>
      <c r="D28" s="1458"/>
      <c r="E28" s="1458"/>
      <c r="F28" s="1458"/>
      <c r="G28" s="1458"/>
      <c r="H28" s="1458"/>
      <c r="I28" s="1458"/>
      <c r="J28" s="1459"/>
      <c r="K28" s="319"/>
      <c r="O28" s="961"/>
    </row>
    <row r="29" spans="2:22" ht="28.15" customHeight="1">
      <c r="C29" s="1457"/>
      <c r="D29" s="1458"/>
      <c r="E29" s="1458"/>
      <c r="F29" s="1458"/>
      <c r="G29" s="1458"/>
      <c r="H29" s="1458"/>
      <c r="I29" s="1458"/>
      <c r="J29" s="1459"/>
      <c r="K29" s="319"/>
      <c r="O29" s="961"/>
    </row>
    <row r="30" spans="2:22" ht="28.15" customHeight="1">
      <c r="C30" s="1457"/>
      <c r="D30" s="1458"/>
      <c r="E30" s="1458"/>
      <c r="F30" s="1458"/>
      <c r="G30" s="1458"/>
      <c r="H30" s="1458"/>
      <c r="I30" s="1458"/>
      <c r="J30" s="1459"/>
      <c r="K30" s="319"/>
      <c r="O30" s="961"/>
    </row>
    <row r="31" spans="2:22" ht="28.15" customHeight="1" thickBot="1">
      <c r="C31" s="1460"/>
      <c r="D31" s="1461"/>
      <c r="E31" s="1461"/>
      <c r="F31" s="1461"/>
      <c r="G31" s="1461"/>
      <c r="H31" s="1461"/>
      <c r="I31" s="1461"/>
      <c r="J31" s="1462"/>
      <c r="K31" s="328"/>
      <c r="L31" s="328"/>
      <c r="M31" s="328"/>
      <c r="O31" s="961"/>
      <c r="Q31" s="328"/>
    </row>
    <row r="32" spans="2:22" ht="28.15" customHeight="1">
      <c r="B32" s="328"/>
      <c r="C32" s="328"/>
      <c r="D32" s="328"/>
      <c r="E32" s="328"/>
      <c r="F32" s="328"/>
      <c r="G32" s="328"/>
      <c r="H32" s="328"/>
      <c r="I32" s="328"/>
      <c r="J32" s="328"/>
      <c r="K32" s="328"/>
      <c r="L32" s="328"/>
      <c r="M32" s="328"/>
      <c r="N32" s="328"/>
      <c r="O32" s="328"/>
      <c r="Q32" s="328"/>
    </row>
  </sheetData>
  <sheetProtection sheet="1" objects="1" scenarios="1" selectLockedCells="1"/>
  <mergeCells count="14">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s>
  <phoneticPr fontId="3"/>
  <dataValidations count="1">
    <dataValidation type="whole" operator="greaterThan" allowBlank="1" showInputMessage="1" showErrorMessage="1" error="整数を入力してください。" sqref="F7:G10 I16:J20" xr:uid="{00000000-0002-0000-0200-000000000000}">
      <formula1>0</formula1>
    </dataValidation>
  </dataValidations>
  <printOptions horizontalCentered="1" verticalCentered="1"/>
  <pageMargins left="0" right="0" top="0" bottom="0" header="0" footer="0.19685039370078741"/>
  <pageSetup paperSize="9" scale="72" fitToWidth="0" orientation="landscape" cellComments="asDisplayed" r:id="rId1"/>
  <headerFooter scaleWithDoc="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リスト!$B$5:$B$6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pageSetUpPr fitToPage="1"/>
  </sheetPr>
  <dimension ref="A1:P154"/>
  <sheetViews>
    <sheetView showGridLines="0" zoomScale="85" zoomScaleNormal="85" zoomScaleSheetLayoutView="80" workbookViewId="0">
      <selection activeCell="C12" sqref="C12"/>
    </sheetView>
  </sheetViews>
  <sheetFormatPr defaultColWidth="9" defaultRowHeight="13.5" outlineLevelRow="1" outlineLevelCol="1"/>
  <cols>
    <col min="1" max="1" width="2.625" style="314" customWidth="1"/>
    <col min="2" max="7" width="18.25" style="314" customWidth="1"/>
    <col min="8" max="8" width="2.625" style="314" customWidth="1"/>
    <col min="9" max="9" width="2.625" style="314" customWidth="1" outlineLevel="1"/>
    <col min="10" max="14" width="18.25" style="314" customWidth="1" outlineLevel="1"/>
    <col min="15" max="15" width="9" style="314" outlineLevel="1"/>
    <col min="16" max="16" width="17.375" style="314" customWidth="1" outlineLevel="1"/>
    <col min="17" max="16384" width="9" style="314"/>
  </cols>
  <sheetData>
    <row r="1" spans="1:10" ht="19.899999999999999" customHeight="1">
      <c r="I1" s="962"/>
      <c r="J1" s="330" t="s">
        <v>400</v>
      </c>
    </row>
    <row r="2" spans="1:10" ht="19.899999999999999" customHeight="1">
      <c r="A2" s="331" t="s">
        <v>620</v>
      </c>
      <c r="I2" s="329"/>
    </row>
    <row r="3" spans="1:10" ht="15" customHeight="1">
      <c r="I3" s="329"/>
    </row>
    <row r="4" spans="1:10" ht="19.899999999999999" customHeight="1">
      <c r="B4" s="331" t="s">
        <v>621</v>
      </c>
      <c r="I4" s="329"/>
    </row>
    <row r="5" spans="1:10" ht="15" customHeight="1">
      <c r="I5" s="329"/>
    </row>
    <row r="6" spans="1:10" ht="19.899999999999999" customHeight="1">
      <c r="B6" s="332" t="s">
        <v>622</v>
      </c>
      <c r="I6" s="329"/>
    </row>
    <row r="7" spans="1:10" ht="15" customHeight="1">
      <c r="I7" s="329"/>
    </row>
    <row r="8" spans="1:10" ht="15" customHeight="1">
      <c r="B8" s="333" t="s">
        <v>791</v>
      </c>
      <c r="I8" s="329"/>
    </row>
    <row r="9" spans="1:10" ht="15" customHeight="1">
      <c r="B9" s="333" t="s">
        <v>792</v>
      </c>
      <c r="I9" s="329"/>
    </row>
    <row r="10" spans="1:10" ht="15" customHeight="1" thickBot="1">
      <c r="I10" s="329"/>
    </row>
    <row r="11" spans="1:10" ht="27" customHeight="1" thickBot="1">
      <c r="B11" s="1477" t="s">
        <v>623</v>
      </c>
      <c r="C11" s="1478"/>
      <c r="I11" s="329"/>
    </row>
    <row r="12" spans="1:10" ht="27" customHeight="1" thickTop="1" thickBot="1">
      <c r="B12" s="334" t="s">
        <v>616</v>
      </c>
      <c r="C12" s="230"/>
      <c r="I12" s="329"/>
    </row>
    <row r="13" spans="1:10" ht="27" customHeight="1" thickTop="1" thickBot="1">
      <c r="B13" s="335" t="s">
        <v>625</v>
      </c>
      <c r="C13" s="230"/>
      <c r="I13" s="329"/>
    </row>
    <row r="14" spans="1:10" ht="27" customHeight="1" thickTop="1" thickBot="1">
      <c r="B14" s="335" t="s">
        <v>624</v>
      </c>
      <c r="C14" s="230"/>
      <c r="I14" s="329"/>
    </row>
    <row r="15" spans="1:10" ht="27" customHeight="1" thickTop="1" thickBot="1">
      <c r="B15" s="335" t="s">
        <v>626</v>
      </c>
      <c r="C15" s="230"/>
      <c r="I15" s="329"/>
    </row>
    <row r="16" spans="1:10" ht="27" customHeight="1" thickTop="1" thickBot="1">
      <c r="B16" s="335" t="s">
        <v>627</v>
      </c>
      <c r="C16" s="230"/>
      <c r="I16" s="329"/>
    </row>
    <row r="17" spans="2:9" ht="27" customHeight="1" thickTop="1" thickBot="1">
      <c r="B17" s="335" t="s">
        <v>628</v>
      </c>
      <c r="C17" s="230"/>
      <c r="I17" s="329"/>
    </row>
    <row r="18" spans="2:9" ht="27" customHeight="1" thickTop="1" thickBot="1">
      <c r="B18" s="335" t="s">
        <v>629</v>
      </c>
      <c r="C18" s="230"/>
      <c r="I18" s="329"/>
    </row>
    <row r="19" spans="2:9" ht="27" customHeight="1" thickTop="1" thickBot="1">
      <c r="B19" s="335" t="s">
        <v>630</v>
      </c>
      <c r="C19" s="230"/>
      <c r="I19" s="329"/>
    </row>
    <row r="20" spans="2:9" ht="27" customHeight="1" thickTop="1" thickBot="1">
      <c r="B20" s="335" t="s">
        <v>631</v>
      </c>
      <c r="C20" s="230"/>
      <c r="I20" s="329"/>
    </row>
    <row r="21" spans="2:9" ht="27" customHeight="1" thickTop="1" thickBot="1">
      <c r="B21" s="335" t="s">
        <v>617</v>
      </c>
      <c r="C21" s="230"/>
      <c r="I21" s="329"/>
    </row>
    <row r="22" spans="2:9" ht="27" customHeight="1" thickTop="1" thickBot="1">
      <c r="B22" s="335" t="s">
        <v>618</v>
      </c>
      <c r="C22" s="230"/>
      <c r="I22" s="329"/>
    </row>
    <row r="23" spans="2:9" ht="27" customHeight="1" thickTop="1" thickBot="1">
      <c r="B23" s="336" t="s">
        <v>619</v>
      </c>
      <c r="C23" s="230"/>
      <c r="I23" s="329"/>
    </row>
    <row r="24" spans="2:9" ht="19.899999999999999" customHeight="1">
      <c r="I24" s="329"/>
    </row>
    <row r="25" spans="2:9" ht="19.899999999999999" customHeight="1">
      <c r="B25" s="332" t="s">
        <v>632</v>
      </c>
      <c r="I25" s="329"/>
    </row>
    <row r="26" spans="2:9" ht="15" customHeight="1">
      <c r="I26" s="329"/>
    </row>
    <row r="27" spans="2:9" ht="15" customHeight="1">
      <c r="B27" s="333" t="s">
        <v>793</v>
      </c>
      <c r="I27" s="329"/>
    </row>
    <row r="28" spans="2:9" ht="15" customHeight="1" thickBot="1">
      <c r="B28" s="337"/>
      <c r="I28" s="329"/>
    </row>
    <row r="29" spans="2:9" ht="27" customHeight="1">
      <c r="B29" s="1479" t="s">
        <v>633</v>
      </c>
      <c r="C29" s="1480"/>
      <c r="D29" s="1480"/>
      <c r="E29" s="1481"/>
      <c r="I29" s="329"/>
    </row>
    <row r="30" spans="2:9" ht="27" customHeight="1" thickBot="1">
      <c r="B30" s="338" t="s">
        <v>634</v>
      </c>
      <c r="C30" s="339" t="s">
        <v>635</v>
      </c>
      <c r="D30" s="339" t="s">
        <v>636</v>
      </c>
      <c r="E30" s="340" t="s">
        <v>637</v>
      </c>
      <c r="I30" s="329"/>
    </row>
    <row r="31" spans="2:9" ht="27" customHeight="1" thickTop="1" thickBot="1">
      <c r="B31" s="230"/>
      <c r="C31" s="230"/>
      <c r="D31" s="230"/>
      <c r="E31" s="230"/>
      <c r="I31" s="329"/>
    </row>
    <row r="32" spans="2:9" ht="19.899999999999999" customHeight="1" thickTop="1">
      <c r="I32" s="329"/>
    </row>
    <row r="33" spans="2:16" ht="19.899999999999999" customHeight="1">
      <c r="B33" s="331" t="s">
        <v>638</v>
      </c>
      <c r="I33" s="329"/>
      <c r="J33" s="389" t="s">
        <v>831</v>
      </c>
    </row>
    <row r="34" spans="2:16" ht="15" customHeight="1">
      <c r="I34" s="329"/>
      <c r="J34" s="1492" t="s">
        <v>639</v>
      </c>
      <c r="K34" s="1491" t="s">
        <v>643</v>
      </c>
      <c r="L34" s="1491"/>
      <c r="M34" s="1491" t="s">
        <v>644</v>
      </c>
      <c r="N34" s="1491"/>
      <c r="P34" s="1498" t="s">
        <v>895</v>
      </c>
    </row>
    <row r="35" spans="2:16" ht="15" customHeight="1">
      <c r="B35" s="341" t="s">
        <v>794</v>
      </c>
      <c r="I35" s="329"/>
      <c r="J35" s="1492"/>
      <c r="K35" s="1491"/>
      <c r="L35" s="1491"/>
      <c r="M35" s="1491"/>
      <c r="N35" s="1491"/>
      <c r="P35" s="1498"/>
    </row>
    <row r="36" spans="2:16" ht="15" customHeight="1" thickBot="1">
      <c r="I36" s="329"/>
      <c r="J36" s="1492"/>
      <c r="K36" s="1491"/>
      <c r="L36" s="1491"/>
      <c r="M36" s="1492" t="s">
        <v>645</v>
      </c>
      <c r="N36" s="1492" t="s">
        <v>646</v>
      </c>
      <c r="P36" s="1498"/>
    </row>
    <row r="37" spans="2:16" ht="15" customHeight="1" thickBot="1">
      <c r="B37" s="1482" t="s">
        <v>190</v>
      </c>
      <c r="C37" s="342"/>
      <c r="D37" s="342"/>
      <c r="E37" s="343"/>
      <c r="I37" s="329"/>
      <c r="J37" s="1492"/>
      <c r="K37" s="1491"/>
      <c r="L37" s="1491"/>
      <c r="M37" s="1493"/>
      <c r="N37" s="1493"/>
      <c r="P37" s="1499"/>
    </row>
    <row r="38" spans="2:16" ht="27" customHeight="1" thickTop="1" thickBot="1">
      <c r="B38" s="1483"/>
      <c r="C38" s="344" t="s">
        <v>188</v>
      </c>
      <c r="D38" s="345" t="s">
        <v>48</v>
      </c>
      <c r="E38" s="346" t="s">
        <v>42</v>
      </c>
      <c r="I38" s="329"/>
      <c r="J38" s="1118" t="s">
        <v>640</v>
      </c>
      <c r="K38" s="1327"/>
      <c r="L38" s="347" t="s">
        <v>642</v>
      </c>
      <c r="M38" s="348">
        <v>0.77</v>
      </c>
      <c r="N38" s="348">
        <v>1.39</v>
      </c>
      <c r="P38" s="1326" t="s">
        <v>903</v>
      </c>
    </row>
    <row r="39" spans="2:16" ht="27" customHeight="1" thickTop="1" thickBot="1">
      <c r="B39" s="349">
        <v>100</v>
      </c>
      <c r="C39" s="146"/>
      <c r="D39" s="147"/>
      <c r="E39" s="148"/>
      <c r="I39" s="329"/>
      <c r="J39" s="1118" t="s">
        <v>641</v>
      </c>
      <c r="K39" s="1328"/>
      <c r="L39" s="347" t="s">
        <v>642</v>
      </c>
      <c r="M39" s="348">
        <v>1.2</v>
      </c>
      <c r="N39" s="348">
        <v>2.56</v>
      </c>
    </row>
    <row r="40" spans="2:16" ht="15" customHeight="1">
      <c r="C40" s="350"/>
      <c r="I40" s="329"/>
    </row>
    <row r="41" spans="2:16" ht="27" customHeight="1" thickBot="1">
      <c r="C41" s="351" t="s">
        <v>387</v>
      </c>
      <c r="I41" s="329"/>
      <c r="J41" s="307" t="s">
        <v>649</v>
      </c>
      <c r="K41" s="1112" t="s">
        <v>514</v>
      </c>
      <c r="L41" s="352" t="s">
        <v>515</v>
      </c>
      <c r="M41" s="352" t="s">
        <v>516</v>
      </c>
      <c r="N41" s="353" t="s">
        <v>42</v>
      </c>
    </row>
    <row r="42" spans="2:16" ht="27" customHeight="1" thickTop="1" thickBot="1">
      <c r="C42" s="311"/>
      <c r="I42" s="329"/>
      <c r="J42" s="354" t="s">
        <v>648</v>
      </c>
      <c r="K42" s="1146" t="str">
        <f>IF(SUM(K38:K39)=0,"0",SUM(ROUND($K38*M38*1000,0),ROUND($K39*M39*1000,0),IF(P38 &lt;&gt; "",ROUND($K38*N38*1000,0)+ROUND($K39*N39*1000,0),0)))</f>
        <v>0</v>
      </c>
      <c r="L42" s="432" t="str">
        <f>IF(C39="","",ROUND(K42*C39%,0))</f>
        <v/>
      </c>
      <c r="M42" s="432" t="str">
        <f>IF(D39="","",ROUND(K42*D39%,0))</f>
        <v/>
      </c>
      <c r="N42" s="432" t="str">
        <f>IF(E39="","",ROUND(K42*E39%,0))</f>
        <v/>
      </c>
    </row>
    <row r="43" spans="2:16" ht="27" customHeight="1" thickTop="1" thickBot="1">
      <c r="C43" s="355" t="s">
        <v>41</v>
      </c>
      <c r="I43" s="329"/>
      <c r="J43" s="356" t="s">
        <v>766</v>
      </c>
      <c r="K43" s="1079"/>
      <c r="L43" s="1147" t="str">
        <f>IF(C44=0,"",C44)</f>
        <v/>
      </c>
      <c r="M43" s="1080"/>
      <c r="N43" s="1080"/>
    </row>
    <row r="44" spans="2:16" ht="27" customHeight="1" thickTop="1" thickBot="1">
      <c r="C44" s="145"/>
      <c r="I44" s="329"/>
    </row>
    <row r="45" spans="2:16" ht="15" customHeight="1" thickTop="1">
      <c r="C45" s="350"/>
      <c r="I45" s="329"/>
    </row>
    <row r="46" spans="2:16" ht="15" customHeight="1">
      <c r="C46" s="357" t="s">
        <v>513</v>
      </c>
      <c r="I46" s="329"/>
    </row>
    <row r="47" spans="2:16" ht="15" customHeight="1" thickBot="1">
      <c r="B47" s="87"/>
      <c r="C47" s="358" t="s">
        <v>518</v>
      </c>
      <c r="D47" s="87"/>
      <c r="I47" s="329"/>
    </row>
    <row r="48" spans="2:16" ht="27" customHeight="1">
      <c r="B48" s="1484" t="s">
        <v>102</v>
      </c>
      <c r="C48" s="1485"/>
      <c r="D48" s="1486"/>
      <c r="I48" s="329"/>
    </row>
    <row r="49" spans="2:14" ht="27" customHeight="1">
      <c r="B49" s="1487" t="s">
        <v>388</v>
      </c>
      <c r="C49" s="1489" t="s">
        <v>365</v>
      </c>
      <c r="D49" s="359"/>
      <c r="I49" s="329"/>
      <c r="J49" s="389" t="s">
        <v>832</v>
      </c>
    </row>
    <row r="50" spans="2:14" ht="27" customHeight="1" thickBot="1">
      <c r="B50" s="1488"/>
      <c r="C50" s="1490"/>
      <c r="D50" s="360" t="s">
        <v>3</v>
      </c>
      <c r="I50" s="329"/>
      <c r="J50" s="1496" t="s">
        <v>251</v>
      </c>
      <c r="K50" s="1497"/>
      <c r="L50" s="361" t="s">
        <v>647</v>
      </c>
      <c r="M50" s="1114" t="s">
        <v>252</v>
      </c>
    </row>
    <row r="51" spans="2:14" ht="27" customHeight="1" thickTop="1">
      <c r="B51" s="1012"/>
      <c r="C51" s="155"/>
      <c r="D51" s="151"/>
      <c r="I51" s="329"/>
      <c r="J51" s="1494" t="str">
        <f t="shared" ref="J51:J60" si="0">IF(B51="","",B51)</f>
        <v/>
      </c>
      <c r="K51" s="1495"/>
      <c r="L51" s="1077" t="str">
        <f t="shared" ref="L51:L60" si="1">IF(AND(C51="",M51=""),"",ROUND(C51*M51,0))</f>
        <v/>
      </c>
      <c r="M51" s="951"/>
      <c r="N51" s="362" t="str">
        <f t="shared" ref="N51:N60" si="2">IF(D51="","円","円/"&amp;D51)</f>
        <v>円</v>
      </c>
    </row>
    <row r="52" spans="2:14" ht="27" customHeight="1">
      <c r="B52" s="1013"/>
      <c r="C52" s="149"/>
      <c r="D52" s="152"/>
      <c r="I52" s="329"/>
      <c r="J52" s="1494" t="str">
        <f t="shared" si="0"/>
        <v/>
      </c>
      <c r="K52" s="1495"/>
      <c r="L52" s="1077" t="str">
        <f t="shared" si="1"/>
        <v/>
      </c>
      <c r="M52" s="952"/>
      <c r="N52" s="362" t="str">
        <f t="shared" si="2"/>
        <v>円</v>
      </c>
    </row>
    <row r="53" spans="2:14" ht="27" customHeight="1">
      <c r="B53" s="1013"/>
      <c r="C53" s="149"/>
      <c r="D53" s="152"/>
      <c r="I53" s="329"/>
      <c r="J53" s="1494" t="str">
        <f t="shared" si="0"/>
        <v/>
      </c>
      <c r="K53" s="1495"/>
      <c r="L53" s="1077" t="str">
        <f t="shared" si="1"/>
        <v/>
      </c>
      <c r="M53" s="952"/>
      <c r="N53" s="362" t="str">
        <f t="shared" si="2"/>
        <v>円</v>
      </c>
    </row>
    <row r="54" spans="2:14" ht="27" customHeight="1" collapsed="1">
      <c r="B54" s="1013"/>
      <c r="C54" s="149"/>
      <c r="D54" s="152"/>
      <c r="I54" s="329"/>
      <c r="J54" s="1494" t="str">
        <f t="shared" si="0"/>
        <v/>
      </c>
      <c r="K54" s="1495"/>
      <c r="L54" s="1077" t="str">
        <f t="shared" si="1"/>
        <v/>
      </c>
      <c r="M54" s="952"/>
      <c r="N54" s="362" t="str">
        <f t="shared" si="2"/>
        <v>円</v>
      </c>
    </row>
    <row r="55" spans="2:14" ht="27" hidden="1" customHeight="1" outlineLevel="1">
      <c r="B55" s="1013"/>
      <c r="C55" s="149"/>
      <c r="D55" s="152"/>
      <c r="I55" s="329"/>
      <c r="J55" s="1494" t="str">
        <f t="shared" si="0"/>
        <v/>
      </c>
      <c r="K55" s="1495"/>
      <c r="L55" s="1077" t="str">
        <f t="shared" si="1"/>
        <v/>
      </c>
      <c r="M55" s="952"/>
      <c r="N55" s="362" t="str">
        <f t="shared" si="2"/>
        <v>円</v>
      </c>
    </row>
    <row r="56" spans="2:14" ht="27" hidden="1" customHeight="1" outlineLevel="1">
      <c r="B56" s="1013"/>
      <c r="C56" s="149"/>
      <c r="D56" s="152"/>
      <c r="I56" s="329"/>
      <c r="J56" s="1494" t="str">
        <f t="shared" si="0"/>
        <v/>
      </c>
      <c r="K56" s="1495"/>
      <c r="L56" s="1077" t="str">
        <f t="shared" si="1"/>
        <v/>
      </c>
      <c r="M56" s="952"/>
      <c r="N56" s="362" t="str">
        <f t="shared" si="2"/>
        <v>円</v>
      </c>
    </row>
    <row r="57" spans="2:14" ht="27" hidden="1" customHeight="1" outlineLevel="1">
      <c r="B57" s="1013"/>
      <c r="C57" s="149"/>
      <c r="D57" s="152"/>
      <c r="I57" s="329"/>
      <c r="J57" s="1494" t="str">
        <f t="shared" si="0"/>
        <v/>
      </c>
      <c r="K57" s="1495"/>
      <c r="L57" s="1077" t="str">
        <f t="shared" si="1"/>
        <v/>
      </c>
      <c r="M57" s="952"/>
      <c r="N57" s="362" t="str">
        <f t="shared" si="2"/>
        <v>円</v>
      </c>
    </row>
    <row r="58" spans="2:14" ht="27" hidden="1" customHeight="1" outlineLevel="1">
      <c r="B58" s="1013"/>
      <c r="C58" s="149"/>
      <c r="D58" s="152"/>
      <c r="I58" s="329"/>
      <c r="J58" s="1494" t="str">
        <f t="shared" si="0"/>
        <v/>
      </c>
      <c r="K58" s="1495"/>
      <c r="L58" s="1077" t="str">
        <f t="shared" si="1"/>
        <v/>
      </c>
      <c r="M58" s="952"/>
      <c r="N58" s="362" t="str">
        <f t="shared" si="2"/>
        <v>円</v>
      </c>
    </row>
    <row r="59" spans="2:14" ht="27" hidden="1" customHeight="1" outlineLevel="1">
      <c r="B59" s="1013"/>
      <c r="C59" s="149"/>
      <c r="D59" s="152"/>
      <c r="I59" s="329"/>
      <c r="J59" s="1494" t="str">
        <f t="shared" si="0"/>
        <v/>
      </c>
      <c r="K59" s="1495"/>
      <c r="L59" s="1077" t="str">
        <f t="shared" si="1"/>
        <v/>
      </c>
      <c r="M59" s="952"/>
      <c r="N59" s="362" t="str">
        <f t="shared" si="2"/>
        <v>円</v>
      </c>
    </row>
    <row r="60" spans="2:14" ht="27" hidden="1" customHeight="1" outlineLevel="1" thickBot="1">
      <c r="B60" s="1014"/>
      <c r="C60" s="150"/>
      <c r="D60" s="153"/>
      <c r="I60" s="329"/>
      <c r="J60" s="1494" t="str">
        <f t="shared" si="0"/>
        <v/>
      </c>
      <c r="K60" s="1495"/>
      <c r="L60" s="1077" t="str">
        <f t="shared" si="1"/>
        <v/>
      </c>
      <c r="M60" s="953"/>
      <c r="N60" s="362" t="str">
        <f t="shared" si="2"/>
        <v>円</v>
      </c>
    </row>
    <row r="61" spans="2:14" ht="27" customHeight="1">
      <c r="B61" s="363"/>
      <c r="C61" s="364"/>
      <c r="D61" s="365"/>
      <c r="I61" s="329"/>
      <c r="J61" s="1500" t="s">
        <v>833</v>
      </c>
      <c r="K61" s="1501"/>
      <c r="L61" s="1077">
        <f>SUM(L51:L60)</f>
        <v>0</v>
      </c>
      <c r="M61" s="362"/>
    </row>
    <row r="62" spans="2:14" ht="15" customHeight="1" thickBot="1">
      <c r="I62" s="329"/>
    </row>
    <row r="63" spans="2:14" ht="27" customHeight="1" thickTop="1" thickBot="1">
      <c r="I63" s="329"/>
      <c r="J63" s="1524" t="s">
        <v>767</v>
      </c>
      <c r="K63" s="1525"/>
      <c r="L63" s="1078">
        <f>IF(COUNT(L43,L61)=0,"",SUM(L43,L61))</f>
        <v>0</v>
      </c>
    </row>
    <row r="64" spans="2:14" ht="15" customHeight="1" thickTop="1">
      <c r="I64" s="329"/>
    </row>
    <row r="65" spans="2:9" ht="19.899999999999999" customHeight="1">
      <c r="B65" s="331" t="s">
        <v>650</v>
      </c>
      <c r="I65" s="329"/>
    </row>
    <row r="66" spans="2:9" ht="15" customHeight="1">
      <c r="I66" s="329"/>
    </row>
    <row r="67" spans="2:9" ht="15" customHeight="1">
      <c r="B67" s="341" t="s">
        <v>651</v>
      </c>
      <c r="I67" s="329"/>
    </row>
    <row r="68" spans="2:9" ht="15" customHeight="1">
      <c r="B68" s="341" t="s">
        <v>795</v>
      </c>
      <c r="I68" s="329"/>
    </row>
    <row r="69" spans="2:9" ht="15" customHeight="1">
      <c r="B69" s="341" t="s">
        <v>796</v>
      </c>
      <c r="I69" s="329"/>
    </row>
    <row r="70" spans="2:9" ht="15" customHeight="1">
      <c r="B70" s="341" t="s">
        <v>652</v>
      </c>
      <c r="I70" s="329"/>
    </row>
    <row r="71" spans="2:9" ht="15" customHeight="1">
      <c r="B71" s="341" t="s">
        <v>797</v>
      </c>
      <c r="I71" s="329"/>
    </row>
    <row r="72" spans="2:9" ht="15" customHeight="1">
      <c r="I72" s="329"/>
    </row>
    <row r="73" spans="2:9" ht="15" customHeight="1">
      <c r="I73" s="329"/>
    </row>
    <row r="74" spans="2:9" ht="15" customHeight="1">
      <c r="I74" s="329"/>
    </row>
    <row r="75" spans="2:9" ht="15" customHeight="1">
      <c r="I75" s="329"/>
    </row>
    <row r="76" spans="2:9" ht="15" customHeight="1" thickBot="1">
      <c r="I76" s="329"/>
    </row>
    <row r="77" spans="2:9" ht="27" customHeight="1" thickBot="1">
      <c r="B77" s="367" t="s">
        <v>653</v>
      </c>
      <c r="C77" s="368" t="s">
        <v>654</v>
      </c>
      <c r="D77" s="369" t="s">
        <v>647</v>
      </c>
      <c r="E77" s="369" t="s">
        <v>655</v>
      </c>
      <c r="F77" s="370" t="s">
        <v>656</v>
      </c>
      <c r="I77" s="329"/>
    </row>
    <row r="78" spans="2:9" ht="27" customHeight="1" thickTop="1" thickBot="1">
      <c r="B78" s="371" t="s">
        <v>657</v>
      </c>
      <c r="C78" s="391"/>
      <c r="D78" s="392"/>
      <c r="E78" s="392"/>
      <c r="F78" s="393"/>
      <c r="I78" s="329"/>
    </row>
    <row r="79" spans="2:9" ht="27" customHeight="1" thickTop="1">
      <c r="B79" s="372" t="s">
        <v>616</v>
      </c>
      <c r="C79" s="394"/>
      <c r="D79" s="395"/>
      <c r="E79" s="395"/>
      <c r="F79" s="396"/>
      <c r="I79" s="329"/>
    </row>
    <row r="80" spans="2:9" ht="27" customHeight="1">
      <c r="B80" s="373" t="s">
        <v>625</v>
      </c>
      <c r="C80" s="394"/>
      <c r="D80" s="395"/>
      <c r="E80" s="395"/>
      <c r="F80" s="396"/>
      <c r="I80" s="329"/>
    </row>
    <row r="81" spans="2:9" ht="27" customHeight="1">
      <c r="B81" s="373" t="s">
        <v>624</v>
      </c>
      <c r="C81" s="397"/>
      <c r="D81" s="398"/>
      <c r="E81" s="398"/>
      <c r="F81" s="399"/>
      <c r="I81" s="329"/>
    </row>
    <row r="82" spans="2:9" ht="27" customHeight="1">
      <c r="B82" s="373" t="s">
        <v>626</v>
      </c>
      <c r="C82" s="397"/>
      <c r="D82" s="398"/>
      <c r="E82" s="398"/>
      <c r="F82" s="399"/>
      <c r="I82" s="329"/>
    </row>
    <row r="83" spans="2:9" ht="27" customHeight="1">
      <c r="B83" s="373" t="s">
        <v>627</v>
      </c>
      <c r="C83" s="397"/>
      <c r="D83" s="398"/>
      <c r="E83" s="398"/>
      <c r="F83" s="399"/>
      <c r="I83" s="329"/>
    </row>
    <row r="84" spans="2:9" ht="27" customHeight="1">
      <c r="B84" s="373" t="s">
        <v>628</v>
      </c>
      <c r="C84" s="397"/>
      <c r="D84" s="398"/>
      <c r="E84" s="398"/>
      <c r="F84" s="399"/>
      <c r="I84" s="329"/>
    </row>
    <row r="85" spans="2:9" ht="27" customHeight="1">
      <c r="B85" s="373" t="s">
        <v>629</v>
      </c>
      <c r="C85" s="397"/>
      <c r="D85" s="398"/>
      <c r="E85" s="398"/>
      <c r="F85" s="399"/>
      <c r="I85" s="329"/>
    </row>
    <row r="86" spans="2:9" ht="27" customHeight="1">
      <c r="B86" s="373" t="s">
        <v>630</v>
      </c>
      <c r="C86" s="397"/>
      <c r="D86" s="398"/>
      <c r="E86" s="398"/>
      <c r="F86" s="399"/>
      <c r="I86" s="329"/>
    </row>
    <row r="87" spans="2:9" ht="27" customHeight="1">
      <c r="B87" s="373" t="s">
        <v>631</v>
      </c>
      <c r="C87" s="397"/>
      <c r="D87" s="398"/>
      <c r="E87" s="398"/>
      <c r="F87" s="399"/>
      <c r="I87" s="329"/>
    </row>
    <row r="88" spans="2:9" ht="27" customHeight="1">
      <c r="B88" s="373" t="s">
        <v>617</v>
      </c>
      <c r="C88" s="397"/>
      <c r="D88" s="398"/>
      <c r="E88" s="398"/>
      <c r="F88" s="399"/>
      <c r="I88" s="329"/>
    </row>
    <row r="89" spans="2:9" ht="27" customHeight="1">
      <c r="B89" s="373" t="s">
        <v>618</v>
      </c>
      <c r="C89" s="397"/>
      <c r="D89" s="398"/>
      <c r="E89" s="398"/>
      <c r="F89" s="399"/>
      <c r="I89" s="329"/>
    </row>
    <row r="90" spans="2:9" ht="27" customHeight="1" thickBot="1">
      <c r="B90" s="374" t="s">
        <v>619</v>
      </c>
      <c r="C90" s="400"/>
      <c r="D90" s="401"/>
      <c r="E90" s="401"/>
      <c r="F90" s="402"/>
      <c r="I90" s="329"/>
    </row>
    <row r="91" spans="2:9" ht="19.899999999999999" customHeight="1">
      <c r="I91" s="329"/>
    </row>
    <row r="92" spans="2:9" ht="19.899999999999999" customHeight="1">
      <c r="B92" s="375" t="s">
        <v>658</v>
      </c>
      <c r="I92" s="329"/>
    </row>
    <row r="93" spans="2:9" ht="15" customHeight="1">
      <c r="I93" s="329"/>
    </row>
    <row r="94" spans="2:9" ht="15" customHeight="1">
      <c r="B94" s="341" t="s">
        <v>659</v>
      </c>
      <c r="I94" s="329"/>
    </row>
    <row r="95" spans="2:9" ht="15" customHeight="1">
      <c r="B95" s="333" t="s">
        <v>798</v>
      </c>
      <c r="I95" s="329"/>
    </row>
    <row r="96" spans="2:9" ht="15" customHeight="1" thickBot="1">
      <c r="I96" s="329"/>
    </row>
    <row r="97" spans="2:9" ht="27" customHeight="1" thickBot="1">
      <c r="B97" s="376" t="s">
        <v>649</v>
      </c>
      <c r="C97" s="1465" t="s">
        <v>668</v>
      </c>
      <c r="D97" s="1466"/>
      <c r="E97" s="1136" t="s">
        <v>669</v>
      </c>
      <c r="F97" s="1124" t="s">
        <v>671</v>
      </c>
      <c r="G97" s="320" t="s">
        <v>647</v>
      </c>
      <c r="I97" s="329"/>
    </row>
    <row r="98" spans="2:9" ht="27" customHeight="1" thickTop="1" thickBot="1">
      <c r="B98" s="377" t="s">
        <v>660</v>
      </c>
      <c r="C98" s="1506" t="s">
        <v>664</v>
      </c>
      <c r="D98" s="1516"/>
      <c r="E98" s="403"/>
      <c r="F98" s="406"/>
      <c r="G98" s="407"/>
      <c r="I98" s="329"/>
    </row>
    <row r="99" spans="2:9" ht="27" customHeight="1" thickTop="1">
      <c r="B99" s="378" t="s">
        <v>661</v>
      </c>
      <c r="C99" s="1517" t="s">
        <v>665</v>
      </c>
      <c r="D99" s="1518"/>
      <c r="E99" s="404"/>
      <c r="F99" s="1521"/>
      <c r="G99" s="404"/>
      <c r="I99" s="329"/>
    </row>
    <row r="100" spans="2:9" ht="27" customHeight="1">
      <c r="B100" s="378" t="s">
        <v>662</v>
      </c>
      <c r="C100" s="1517" t="s">
        <v>666</v>
      </c>
      <c r="D100" s="1518"/>
      <c r="E100" s="404"/>
      <c r="F100" s="1522"/>
      <c r="G100" s="404"/>
      <c r="I100" s="329"/>
    </row>
    <row r="101" spans="2:9" ht="27" customHeight="1" thickBot="1">
      <c r="B101" s="379" t="s">
        <v>663</v>
      </c>
      <c r="C101" s="1519" t="s">
        <v>667</v>
      </c>
      <c r="D101" s="1520"/>
      <c r="E101" s="405"/>
      <c r="F101" s="1523"/>
      <c r="G101" s="405"/>
      <c r="I101" s="329"/>
    </row>
    <row r="102" spans="2:9" ht="19.899999999999999" customHeight="1">
      <c r="I102" s="329"/>
    </row>
    <row r="103" spans="2:9" ht="18.75">
      <c r="B103" s="331" t="s">
        <v>672</v>
      </c>
      <c r="I103" s="329"/>
    </row>
    <row r="104" spans="2:9" ht="15" customHeight="1">
      <c r="I104" s="329"/>
    </row>
    <row r="105" spans="2:9" ht="15" customHeight="1">
      <c r="B105" s="341" t="s">
        <v>811</v>
      </c>
      <c r="I105" s="329"/>
    </row>
    <row r="106" spans="2:9" ht="15" customHeight="1" thickBot="1">
      <c r="I106" s="329"/>
    </row>
    <row r="107" spans="2:9" ht="27" customHeight="1" thickBot="1">
      <c r="B107" s="376" t="s">
        <v>649</v>
      </c>
      <c r="C107" s="1465" t="s">
        <v>668</v>
      </c>
      <c r="D107" s="1466"/>
      <c r="E107" s="1136" t="s">
        <v>669</v>
      </c>
      <c r="F107" s="1124" t="s">
        <v>671</v>
      </c>
      <c r="G107" s="320" t="s">
        <v>647</v>
      </c>
      <c r="I107" s="329"/>
    </row>
    <row r="108" spans="2:9" ht="27" customHeight="1" thickTop="1" thickBot="1">
      <c r="B108" s="377" t="s">
        <v>660</v>
      </c>
      <c r="C108" s="1506" t="s">
        <v>673</v>
      </c>
      <c r="D108" s="1507"/>
      <c r="E108" s="411"/>
      <c r="F108" s="410"/>
      <c r="G108" s="408"/>
      <c r="I108" s="329"/>
    </row>
    <row r="109" spans="2:9" ht="27" customHeight="1" thickTop="1" thickBot="1">
      <c r="B109" s="378" t="s">
        <v>661</v>
      </c>
      <c r="C109" s="1508" t="s">
        <v>674</v>
      </c>
      <c r="D109" s="1509"/>
      <c r="E109" s="1512"/>
      <c r="F109" s="1513"/>
      <c r="G109" s="409"/>
      <c r="I109" s="329"/>
    </row>
    <row r="110" spans="2:9" ht="27" customHeight="1" thickTop="1" thickBot="1">
      <c r="B110" s="379" t="s">
        <v>662</v>
      </c>
      <c r="C110" s="1510" t="s">
        <v>675</v>
      </c>
      <c r="D110" s="1511"/>
      <c r="E110" s="1514"/>
      <c r="F110" s="1515"/>
      <c r="G110" s="409"/>
      <c r="I110" s="329"/>
    </row>
    <row r="111" spans="2:9" ht="19.899999999999999" customHeight="1">
      <c r="I111" s="329"/>
    </row>
    <row r="112" spans="2:9" ht="19.899999999999999" customHeight="1">
      <c r="B112" s="380" t="s">
        <v>676</v>
      </c>
      <c r="I112" s="329"/>
    </row>
    <row r="113" spans="2:12" ht="15" customHeight="1">
      <c r="I113" s="329"/>
    </row>
    <row r="114" spans="2:12" ht="15" customHeight="1">
      <c r="B114" s="341" t="s">
        <v>812</v>
      </c>
      <c r="I114" s="329"/>
    </row>
    <row r="115" spans="2:12" ht="15" customHeight="1">
      <c r="B115" s="341" t="s">
        <v>817</v>
      </c>
      <c r="I115" s="329"/>
    </row>
    <row r="116" spans="2:12" ht="15" customHeight="1" thickBot="1">
      <c r="D116" s="314" t="s">
        <v>677</v>
      </c>
      <c r="I116" s="329"/>
    </row>
    <row r="117" spans="2:12" ht="27" customHeight="1" thickBot="1">
      <c r="B117" s="381"/>
      <c r="C117" s="382" t="s">
        <v>678</v>
      </c>
      <c r="D117" s="383" t="s">
        <v>679</v>
      </c>
      <c r="I117" s="329"/>
    </row>
    <row r="118" spans="2:12" ht="27" customHeight="1" thickTop="1" thickBot="1">
      <c r="B118" s="384" t="s">
        <v>657</v>
      </c>
      <c r="C118" s="412"/>
      <c r="D118" s="413"/>
      <c r="I118" s="329"/>
      <c r="L118" s="385"/>
    </row>
    <row r="119" spans="2:12" ht="27" customHeight="1" thickTop="1">
      <c r="B119" s="386" t="s">
        <v>616</v>
      </c>
      <c r="C119" s="414"/>
      <c r="D119" s="415"/>
      <c r="I119" s="329"/>
    </row>
    <row r="120" spans="2:12" ht="27" customHeight="1">
      <c r="B120" s="386" t="s">
        <v>625</v>
      </c>
      <c r="C120" s="416"/>
      <c r="D120" s="417"/>
      <c r="I120" s="329"/>
    </row>
    <row r="121" spans="2:12" ht="27" customHeight="1">
      <c r="B121" s="386" t="s">
        <v>624</v>
      </c>
      <c r="C121" s="416"/>
      <c r="D121" s="417"/>
      <c r="I121" s="329"/>
    </row>
    <row r="122" spans="2:12" ht="27" customHeight="1">
      <c r="B122" s="386" t="s">
        <v>626</v>
      </c>
      <c r="C122" s="416"/>
      <c r="D122" s="417"/>
      <c r="I122" s="329"/>
    </row>
    <row r="123" spans="2:12" ht="27" customHeight="1">
      <c r="B123" s="386" t="s">
        <v>627</v>
      </c>
      <c r="C123" s="416"/>
      <c r="D123" s="417"/>
      <c r="I123" s="329"/>
    </row>
    <row r="124" spans="2:12" ht="27" customHeight="1">
      <c r="B124" s="386" t="s">
        <v>628</v>
      </c>
      <c r="C124" s="416"/>
      <c r="D124" s="417"/>
      <c r="I124" s="329"/>
    </row>
    <row r="125" spans="2:12" ht="27" customHeight="1">
      <c r="B125" s="386" t="s">
        <v>629</v>
      </c>
      <c r="C125" s="416"/>
      <c r="D125" s="417"/>
      <c r="I125" s="329"/>
    </row>
    <row r="126" spans="2:12" ht="27" customHeight="1">
      <c r="B126" s="386" t="s">
        <v>630</v>
      </c>
      <c r="C126" s="416"/>
      <c r="D126" s="417"/>
      <c r="I126" s="329"/>
    </row>
    <row r="127" spans="2:12" ht="27" customHeight="1">
      <c r="B127" s="386" t="s">
        <v>631</v>
      </c>
      <c r="C127" s="416"/>
      <c r="D127" s="417"/>
      <c r="I127" s="329"/>
    </row>
    <row r="128" spans="2:12" ht="27" customHeight="1">
      <c r="B128" s="386" t="s">
        <v>617</v>
      </c>
      <c r="C128" s="416"/>
      <c r="D128" s="417"/>
      <c r="I128" s="329"/>
    </row>
    <row r="129" spans="2:9" ht="27" customHeight="1">
      <c r="B129" s="386" t="s">
        <v>618</v>
      </c>
      <c r="C129" s="416"/>
      <c r="D129" s="417"/>
      <c r="I129" s="329"/>
    </row>
    <row r="130" spans="2:9" ht="27" customHeight="1" thickBot="1">
      <c r="B130" s="387" t="s">
        <v>619</v>
      </c>
      <c r="C130" s="418"/>
      <c r="D130" s="419"/>
      <c r="I130" s="329"/>
    </row>
    <row r="131" spans="2:9" ht="19.899999999999999" customHeight="1">
      <c r="I131" s="329"/>
    </row>
    <row r="132" spans="2:9" ht="19.899999999999999" customHeight="1">
      <c r="B132" s="375" t="s">
        <v>680</v>
      </c>
      <c r="I132" s="329"/>
    </row>
    <row r="133" spans="2:9" ht="15" customHeight="1">
      <c r="I133" s="329"/>
    </row>
    <row r="134" spans="2:9" ht="15" customHeight="1">
      <c r="B134" s="341" t="s">
        <v>799</v>
      </c>
      <c r="I134" s="329"/>
    </row>
    <row r="135" spans="2:9" ht="15" customHeight="1">
      <c r="B135" s="341" t="s">
        <v>814</v>
      </c>
      <c r="I135" s="329"/>
    </row>
    <row r="136" spans="2:9" ht="15" customHeight="1" thickBot="1">
      <c r="E136" s="314" t="s">
        <v>677</v>
      </c>
      <c r="I136" s="329"/>
    </row>
    <row r="137" spans="2:9" ht="27" customHeight="1" thickBot="1">
      <c r="B137" s="381"/>
      <c r="C137" s="1107" t="s">
        <v>683</v>
      </c>
      <c r="E137" s="314" t="s">
        <v>681</v>
      </c>
      <c r="I137" s="329"/>
    </row>
    <row r="138" spans="2:9" ht="27" customHeight="1" thickTop="1" thickBot="1">
      <c r="B138" s="384" t="s">
        <v>657</v>
      </c>
      <c r="C138" s="420"/>
      <c r="E138" s="314" t="s">
        <v>682</v>
      </c>
      <c r="I138" s="329"/>
    </row>
    <row r="139" spans="2:9" ht="27" customHeight="1" thickTop="1">
      <c r="B139" s="386" t="s">
        <v>616</v>
      </c>
      <c r="C139" s="421"/>
      <c r="I139" s="329"/>
    </row>
    <row r="140" spans="2:9" ht="27" customHeight="1">
      <c r="B140" s="386" t="s">
        <v>625</v>
      </c>
      <c r="C140" s="422"/>
      <c r="D140" s="1502" t="s">
        <v>813</v>
      </c>
      <c r="E140" s="1503"/>
      <c r="F140" s="1503"/>
      <c r="G140" s="311"/>
      <c r="I140" s="329"/>
    </row>
    <row r="141" spans="2:9" ht="27" customHeight="1" thickBot="1">
      <c r="B141" s="386" t="s">
        <v>624</v>
      </c>
      <c r="C141" s="422"/>
      <c r="D141" s="1504"/>
      <c r="E141" s="1505"/>
      <c r="F141" s="1505"/>
      <c r="G141" s="311"/>
      <c r="I141" s="329"/>
    </row>
    <row r="142" spans="2:9" ht="27" customHeight="1" thickBot="1">
      <c r="B142" s="386" t="s">
        <v>626</v>
      </c>
      <c r="C142" s="422"/>
      <c r="E142" s="388" t="s">
        <v>670</v>
      </c>
      <c r="G142" s="311"/>
      <c r="I142" s="329"/>
    </row>
    <row r="143" spans="2:9" ht="27" customHeight="1" thickTop="1" thickBot="1">
      <c r="B143" s="386" t="s">
        <v>627</v>
      </c>
      <c r="C143" s="422"/>
      <c r="E143" s="424"/>
      <c r="G143" s="311"/>
      <c r="I143" s="329"/>
    </row>
    <row r="144" spans="2:9" ht="27" customHeight="1" thickTop="1">
      <c r="B144" s="386" t="s">
        <v>628</v>
      </c>
      <c r="C144" s="422"/>
      <c r="I144" s="329"/>
    </row>
    <row r="145" spans="2:11" ht="27" customHeight="1">
      <c r="B145" s="386" t="s">
        <v>629</v>
      </c>
      <c r="C145" s="422"/>
      <c r="I145" s="329"/>
    </row>
    <row r="146" spans="2:11" ht="27" customHeight="1">
      <c r="B146" s="386" t="s">
        <v>630</v>
      </c>
      <c r="C146" s="422"/>
      <c r="I146" s="329"/>
    </row>
    <row r="147" spans="2:11" ht="27" customHeight="1">
      <c r="B147" s="386" t="s">
        <v>631</v>
      </c>
      <c r="C147" s="422"/>
      <c r="I147" s="329"/>
    </row>
    <row r="148" spans="2:11" ht="27" customHeight="1">
      <c r="B148" s="386" t="s">
        <v>617</v>
      </c>
      <c r="C148" s="422"/>
      <c r="I148" s="329"/>
    </row>
    <row r="149" spans="2:11" ht="27" customHeight="1">
      <c r="B149" s="386" t="s">
        <v>618</v>
      </c>
      <c r="C149" s="422"/>
      <c r="I149" s="329"/>
    </row>
    <row r="150" spans="2:11" ht="27" customHeight="1" thickBot="1">
      <c r="B150" s="387" t="s">
        <v>619</v>
      </c>
      <c r="C150" s="423"/>
      <c r="I150" s="329"/>
    </row>
    <row r="151" spans="2:11" ht="15" customHeight="1">
      <c r="I151" s="329"/>
    </row>
    <row r="152" spans="2:11" ht="19.899999999999999" customHeight="1" thickBot="1">
      <c r="I152" s="329"/>
      <c r="J152" s="389" t="s">
        <v>763</v>
      </c>
    </row>
    <row r="153" spans="2:11" ht="27" customHeight="1" thickTop="1" thickBot="1">
      <c r="I153" s="329"/>
      <c r="J153" s="390" t="s">
        <v>763</v>
      </c>
      <c r="K153" s="1081">
        <f>IFERROR(ROUND((ROUND($C$78*($E$78/$C$78),1)+ROUND(C138*E143,1)-ROUND(E108*F108,1)+ROUND(E98*F98,1))/SUM(C12:C23),4),0)</f>
        <v>0</v>
      </c>
    </row>
    <row r="154" spans="2:11" ht="15" customHeight="1" thickTop="1">
      <c r="I154" s="329"/>
    </row>
  </sheetData>
  <sheetProtection sheet="1" objects="1" scenarios="1" selectLockedCells="1"/>
  <mergeCells count="37">
    <mergeCell ref="P34:P37"/>
    <mergeCell ref="J60:K60"/>
    <mergeCell ref="J61:K61"/>
    <mergeCell ref="D140:F141"/>
    <mergeCell ref="C107:D107"/>
    <mergeCell ref="C108:D108"/>
    <mergeCell ref="C109:D109"/>
    <mergeCell ref="C110:D110"/>
    <mergeCell ref="E109:F110"/>
    <mergeCell ref="C98:D98"/>
    <mergeCell ref="C99:D99"/>
    <mergeCell ref="C100:D100"/>
    <mergeCell ref="C101:D101"/>
    <mergeCell ref="C97:D97"/>
    <mergeCell ref="F99:F101"/>
    <mergeCell ref="J63:K63"/>
    <mergeCell ref="K34:L37"/>
    <mergeCell ref="M34:N35"/>
    <mergeCell ref="M36:M37"/>
    <mergeCell ref="N36:N37"/>
    <mergeCell ref="J59:K59"/>
    <mergeCell ref="J55:K55"/>
    <mergeCell ref="J56:K56"/>
    <mergeCell ref="J57:K57"/>
    <mergeCell ref="J58:K58"/>
    <mergeCell ref="J50:K50"/>
    <mergeCell ref="J51:K51"/>
    <mergeCell ref="J52:K52"/>
    <mergeCell ref="J53:K53"/>
    <mergeCell ref="J54:K54"/>
    <mergeCell ref="J34:J37"/>
    <mergeCell ref="B11:C11"/>
    <mergeCell ref="B29:E29"/>
    <mergeCell ref="B37:B38"/>
    <mergeCell ref="B48:D48"/>
    <mergeCell ref="B49:B50"/>
    <mergeCell ref="C49:C50"/>
  </mergeCells>
  <phoneticPr fontId="3"/>
  <dataValidations count="5">
    <dataValidation type="whole" allowBlank="1" showInputMessage="1" showErrorMessage="1" error="0～100の値を入力してください。" sqref="C39:E39" xr:uid="{00000000-0002-0000-0300-000000000000}">
      <formula1>0</formula1>
      <formula2>100</formula2>
    </dataValidation>
    <dataValidation type="whole" operator="greaterThan" allowBlank="1" showInputMessage="1" showErrorMessage="1" error="整数を入力してください。" sqref="C44 C51:C60 M51:M60 C12:C23 B31:E31 C138:C150 C78:F90 E98:E101 G98:G101 E108 G108:G110 C118:D130" xr:uid="{00000000-0002-0000-0300-000001000000}">
      <formula1>0</formula1>
    </dataValidation>
    <dataValidation type="custom" operator="greaterThan" allowBlank="1" showInputMessage="1" showErrorMessage="1" error="小数点第１位までの数値を入力してください。" sqref="E143 F98 F108" xr:uid="{00000000-0002-0000-0300-000002000000}">
      <formula1>AND(AND(E98*10=INT(E98*10)),(E98&gt;0))</formula1>
    </dataValidation>
    <dataValidation type="list" allowBlank="1" showInputMessage="1" showErrorMessage="1" sqref="P38" xr:uid="{1CB1B279-451E-4355-8CFB-CF40C58ED602}">
      <formula1>"○"</formula1>
    </dataValidation>
    <dataValidation type="custom" operator="greaterThan" allowBlank="1" showInputMessage="1" showErrorMessage="1" error="0より大きい小数点第１位までの数値を入力してください。" sqref="K38:K39" xr:uid="{1D116EDE-F18D-437A-8FC9-ABD1FC6233A0}">
      <formula1>AND(AND(K38*10=INT(K38*10)),(K38&gt;0))</formula1>
    </dataValidation>
  </dataValidations>
  <printOptions horizontalCentered="1" verticalCentered="1"/>
  <pageMargins left="0" right="0" top="0" bottom="0" header="0" footer="0.19685039370078741"/>
  <pageSetup paperSize="9" scale="63" fitToHeight="0" orientation="landscape" cellComments="asDisplayed" r:id="rId1"/>
  <headerFooter scaleWithDoc="0">
    <oddFooter>&amp;R&amp;G</oddFooter>
  </headerFooter>
  <rowBreaks count="4" manualBreakCount="4">
    <brk id="32" max="16383" man="1"/>
    <brk id="64" max="16383" man="1"/>
    <brk id="102" max="16383" man="1"/>
    <brk id="131"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applyStyles="1" summaryBelow="0"/>
    <pageSetUpPr fitToPage="1"/>
  </sheetPr>
  <dimension ref="A1:V262"/>
  <sheetViews>
    <sheetView showGridLines="0" zoomScale="90" zoomScaleNormal="90" zoomScaleSheetLayoutView="80" workbookViewId="0">
      <selection activeCell="F13" sqref="F13"/>
    </sheetView>
  </sheetViews>
  <sheetFormatPr defaultColWidth="2.75" defaultRowHeight="14.25" customHeight="1" outlineLevelRow="1" outlineLevelCol="1"/>
  <cols>
    <col min="1" max="3" width="2.75" style="87"/>
    <col min="4" max="8" width="18.25" style="87" customWidth="1"/>
    <col min="9" max="9" width="10.125" style="87" customWidth="1"/>
    <col min="10" max="10" width="10" style="87" customWidth="1"/>
    <col min="11" max="11" width="2.75" style="87" customWidth="1"/>
    <col min="12" max="12" width="2.75" style="87" outlineLevel="1"/>
    <col min="13" max="13" width="2.75" style="87" customWidth="1" outlineLevel="1"/>
    <col min="14" max="20" width="20.625" style="87" customWidth="1" outlineLevel="1"/>
    <col min="21" max="21" width="14.625" style="87" customWidth="1" outlineLevel="1"/>
    <col min="22" max="22" width="27.875" style="1237" customWidth="1"/>
    <col min="23" max="23" width="16.625" style="87" customWidth="1"/>
    <col min="24" max="24" width="5.5" style="87" customWidth="1"/>
    <col min="25" max="25" width="8.375" style="87" customWidth="1"/>
    <col min="26" max="16384" width="2.75" style="87"/>
  </cols>
  <sheetData>
    <row r="1" spans="1:21" ht="20.100000000000001" customHeight="1">
      <c r="B1" s="308"/>
      <c r="C1" s="308"/>
      <c r="D1" s="308"/>
      <c r="E1" s="308"/>
      <c r="F1" s="308"/>
      <c r="G1" s="308"/>
      <c r="H1" s="308"/>
      <c r="I1" s="308"/>
      <c r="J1" s="308"/>
      <c r="K1" s="5"/>
      <c r="L1" s="425"/>
      <c r="N1" s="330" t="s">
        <v>530</v>
      </c>
    </row>
    <row r="2" spans="1:21" ht="20.100000000000001" customHeight="1">
      <c r="A2" s="310" t="s">
        <v>80</v>
      </c>
      <c r="B2" s="308"/>
      <c r="C2" s="308"/>
      <c r="D2" s="308"/>
      <c r="E2" s="308"/>
      <c r="F2" s="308"/>
      <c r="G2" s="308"/>
      <c r="H2" s="308"/>
      <c r="I2" s="308"/>
      <c r="J2" s="308"/>
      <c r="K2" s="5"/>
      <c r="L2" s="963"/>
      <c r="N2" s="5"/>
    </row>
    <row r="3" spans="1:21" ht="20.100000000000001" customHeight="1">
      <c r="A3" s="310"/>
      <c r="B3" s="308"/>
      <c r="C3" s="308"/>
      <c r="D3" s="308"/>
      <c r="E3" s="308"/>
      <c r="F3" s="308"/>
      <c r="G3" s="308"/>
      <c r="H3" s="308"/>
      <c r="I3" s="308"/>
      <c r="J3" s="308"/>
      <c r="K3" s="426"/>
      <c r="L3" s="963"/>
      <c r="N3" s="5"/>
    </row>
    <row r="4" spans="1:21" ht="20.100000000000001" customHeight="1">
      <c r="A4" s="310" t="s">
        <v>104</v>
      </c>
      <c r="B4" s="308"/>
      <c r="C4" s="308"/>
      <c r="D4" s="308"/>
      <c r="E4" s="308"/>
      <c r="F4" s="5"/>
      <c r="G4" s="5"/>
      <c r="H4" s="49"/>
      <c r="I4" s="49"/>
      <c r="J4" s="49"/>
      <c r="K4" s="426"/>
      <c r="L4" s="963"/>
      <c r="M4" s="427" t="s">
        <v>756</v>
      </c>
      <c r="N4" s="5"/>
    </row>
    <row r="5" spans="1:21" ht="15" customHeight="1">
      <c r="A5" s="308"/>
      <c r="B5" s="308"/>
      <c r="C5" s="308"/>
      <c r="D5" s="308"/>
      <c r="E5" s="308"/>
      <c r="F5" s="6"/>
      <c r="G5" s="6"/>
      <c r="H5" s="5"/>
      <c r="I5" s="5"/>
      <c r="J5" s="5"/>
      <c r="K5" s="426"/>
      <c r="L5" s="963"/>
      <c r="N5" s="5"/>
    </row>
    <row r="6" spans="1:21" ht="15" customHeight="1">
      <c r="A6" s="312"/>
      <c r="B6" s="312"/>
      <c r="C6" s="312"/>
      <c r="D6" s="313"/>
      <c r="E6" s="5"/>
      <c r="F6" s="6"/>
      <c r="G6" s="6"/>
      <c r="H6" s="5"/>
      <c r="I6" s="5"/>
      <c r="J6" s="5"/>
      <c r="K6" s="426"/>
      <c r="L6" s="963"/>
      <c r="N6" s="5"/>
    </row>
    <row r="7" spans="1:21" ht="15" customHeight="1">
      <c r="A7" s="312"/>
      <c r="B7" s="313" t="s">
        <v>143</v>
      </c>
      <c r="C7" s="313"/>
      <c r="D7" s="313"/>
      <c r="E7" s="5"/>
      <c r="F7" s="6"/>
      <c r="G7" s="6"/>
      <c r="H7" s="5"/>
      <c r="I7" s="5"/>
      <c r="J7" s="5"/>
      <c r="K7" s="426"/>
      <c r="L7" s="963"/>
      <c r="N7" s="5"/>
    </row>
    <row r="8" spans="1:21" ht="15" customHeight="1">
      <c r="A8" s="312"/>
      <c r="B8" s="313" t="s">
        <v>386</v>
      </c>
      <c r="C8" s="313"/>
      <c r="D8" s="313"/>
      <c r="E8" s="5"/>
      <c r="F8" s="6"/>
      <c r="G8" s="6"/>
      <c r="H8" s="5"/>
      <c r="I8" s="5"/>
      <c r="J8" s="5"/>
      <c r="K8" s="426"/>
      <c r="L8" s="963"/>
      <c r="N8" s="5"/>
    </row>
    <row r="9" spans="1:21" ht="15" customHeight="1">
      <c r="A9" s="312"/>
      <c r="B9" s="313"/>
      <c r="C9" s="313"/>
      <c r="D9" s="313"/>
      <c r="E9" s="5"/>
      <c r="F9" s="6"/>
      <c r="G9" s="6"/>
      <c r="H9" s="5"/>
      <c r="I9" s="5"/>
      <c r="J9" s="5"/>
      <c r="K9" s="426"/>
      <c r="L9" s="963"/>
      <c r="N9" s="5"/>
    </row>
    <row r="10" spans="1:21" ht="15" customHeight="1" thickBot="1">
      <c r="A10" s="426"/>
      <c r="B10" s="426"/>
      <c r="C10" s="426"/>
      <c r="D10" s="426"/>
      <c r="E10" s="21"/>
      <c r="F10" s="21"/>
      <c r="G10" s="21"/>
      <c r="H10" s="21"/>
      <c r="I10" s="426"/>
      <c r="J10" s="426"/>
      <c r="K10" s="426"/>
      <c r="L10" s="963"/>
      <c r="N10" s="5"/>
    </row>
    <row r="11" spans="1:21" ht="27" customHeight="1">
      <c r="A11" s="426"/>
      <c r="B11" s="426"/>
      <c r="C11" s="426"/>
      <c r="D11" s="1572" t="s">
        <v>151</v>
      </c>
      <c r="E11" s="1573"/>
      <c r="F11" s="1576" t="s">
        <v>53</v>
      </c>
      <c r="G11" s="428"/>
      <c r="H11" s="1578" t="s">
        <v>88</v>
      </c>
      <c r="I11" s="1550" t="s">
        <v>206</v>
      </c>
      <c r="J11" s="5"/>
      <c r="K11" s="426"/>
      <c r="L11" s="963"/>
      <c r="N11" s="1541" t="s">
        <v>151</v>
      </c>
      <c r="O11" s="1541"/>
      <c r="P11" s="1542" t="s">
        <v>205</v>
      </c>
      <c r="Q11" s="1542" t="s">
        <v>88</v>
      </c>
      <c r="R11" s="1544" t="s">
        <v>366</v>
      </c>
      <c r="S11" s="1545" t="s">
        <v>594</v>
      </c>
      <c r="T11" s="1528" t="s">
        <v>753</v>
      </c>
      <c r="U11" s="1529" t="s">
        <v>754</v>
      </c>
    </row>
    <row r="12" spans="1:21" ht="27" customHeight="1" thickBot="1">
      <c r="A12" s="426"/>
      <c r="B12" s="426"/>
      <c r="C12" s="426"/>
      <c r="D12" s="1574"/>
      <c r="E12" s="1575"/>
      <c r="F12" s="1577"/>
      <c r="G12" s="429" t="s">
        <v>3</v>
      </c>
      <c r="H12" s="1579"/>
      <c r="I12" s="1551"/>
      <c r="J12" s="5"/>
      <c r="K12" s="426"/>
      <c r="L12" s="963"/>
      <c r="N12" s="1541"/>
      <c r="O12" s="1541"/>
      <c r="P12" s="1543"/>
      <c r="Q12" s="1543"/>
      <c r="R12" s="1544"/>
      <c r="S12" s="1546"/>
      <c r="T12" s="1528"/>
      <c r="U12" s="1530"/>
    </row>
    <row r="13" spans="1:21" ht="27" customHeight="1" thickTop="1" thickBot="1">
      <c r="A13" s="426"/>
      <c r="B13" s="426"/>
      <c r="C13" s="426"/>
      <c r="D13" s="1599" t="s">
        <v>15</v>
      </c>
      <c r="E13" s="430" t="s">
        <v>9</v>
      </c>
      <c r="F13" s="115"/>
      <c r="G13" s="173"/>
      <c r="H13" s="155"/>
      <c r="I13" s="116"/>
      <c r="J13" s="431"/>
      <c r="K13" s="426"/>
      <c r="L13" s="963"/>
      <c r="N13" s="1552" t="s">
        <v>15</v>
      </c>
      <c r="O13" s="1117" t="s">
        <v>9</v>
      </c>
      <c r="P13" s="432" t="str">
        <f>IF(F13="","",ROUND(F13*R13*I13%,0))</f>
        <v/>
      </c>
      <c r="Q13" s="432" t="str">
        <f>IF(H13="","",ROUND(H13*I13%,0))</f>
        <v/>
      </c>
      <c r="R13" s="528"/>
      <c r="S13" s="433">
        <v>70.599999999999994</v>
      </c>
      <c r="T13" s="1085" t="str">
        <f>IF(COUNTIF(P13,"&gt;0")&gt;0,ROUND(P13*S13%,0),"")</f>
        <v/>
      </c>
      <c r="U13" s="87">
        <v>1</v>
      </c>
    </row>
    <row r="14" spans="1:21" ht="27" customHeight="1" thickTop="1" thickBot="1">
      <c r="A14" s="426"/>
      <c r="B14" s="426"/>
      <c r="C14" s="426"/>
      <c r="D14" s="1599"/>
      <c r="E14" s="434" t="s">
        <v>10</v>
      </c>
      <c r="F14" s="170"/>
      <c r="G14" s="169"/>
      <c r="H14" s="149"/>
      <c r="I14" s="168"/>
      <c r="J14" s="431"/>
      <c r="K14" s="426"/>
      <c r="L14" s="963"/>
      <c r="N14" s="1552"/>
      <c r="O14" s="1117" t="s">
        <v>10</v>
      </c>
      <c r="P14" s="432" t="str">
        <f t="shared" ref="P14:P24" si="0">IF(F14="","",ROUND(F14*R14*I14%,0))</f>
        <v/>
      </c>
      <c r="Q14" s="432" t="str">
        <f t="shared" ref="Q14:Q25" si="1">IF(H14="","",ROUND(H14*I14%,0))</f>
        <v/>
      </c>
      <c r="R14" s="529"/>
      <c r="S14" s="433">
        <v>70.400000000000006</v>
      </c>
      <c r="T14" s="1085" t="str">
        <f t="shared" ref="T14:T24" si="2">IF(COUNTIF(P14,"&gt;0")&gt;0,ROUND(P14*S14%,0),"")</f>
        <v/>
      </c>
      <c r="U14" s="87">
        <v>1</v>
      </c>
    </row>
    <row r="15" spans="1:21" ht="27" customHeight="1" thickTop="1" thickBot="1">
      <c r="A15" s="426"/>
      <c r="B15" s="426"/>
      <c r="C15" s="426"/>
      <c r="D15" s="1599"/>
      <c r="E15" s="435" t="s">
        <v>519</v>
      </c>
      <c r="F15" s="170"/>
      <c r="G15" s="172"/>
      <c r="H15" s="171"/>
      <c r="I15" s="168"/>
      <c r="J15" s="436"/>
      <c r="K15" s="426"/>
      <c r="L15" s="963"/>
      <c r="N15" s="1552"/>
      <c r="O15" s="1117" t="s">
        <v>519</v>
      </c>
      <c r="P15" s="432" t="str">
        <f t="shared" si="0"/>
        <v/>
      </c>
      <c r="Q15" s="432" t="str">
        <f t="shared" si="1"/>
        <v/>
      </c>
      <c r="R15" s="529"/>
      <c r="S15" s="433">
        <v>80.8</v>
      </c>
      <c r="T15" s="1085" t="str">
        <f t="shared" si="2"/>
        <v/>
      </c>
      <c r="U15" s="87">
        <v>1</v>
      </c>
    </row>
    <row r="16" spans="1:21" ht="27" customHeight="1" thickTop="1" thickBot="1">
      <c r="A16" s="426"/>
      <c r="B16" s="426"/>
      <c r="C16" s="426"/>
      <c r="D16" s="1599"/>
      <c r="E16" s="434" t="s">
        <v>62</v>
      </c>
      <c r="F16" s="170"/>
      <c r="G16" s="169"/>
      <c r="H16" s="149"/>
      <c r="I16" s="242"/>
      <c r="J16" s="431"/>
      <c r="K16" s="426"/>
      <c r="L16" s="963"/>
      <c r="N16" s="1552"/>
      <c r="O16" s="1117" t="s">
        <v>62</v>
      </c>
      <c r="P16" s="432" t="str">
        <f t="shared" si="0"/>
        <v/>
      </c>
      <c r="Q16" s="432" t="str">
        <f t="shared" si="1"/>
        <v/>
      </c>
      <c r="R16" s="529"/>
      <c r="S16" s="433">
        <v>82</v>
      </c>
      <c r="T16" s="1086" t="str">
        <f t="shared" si="2"/>
        <v/>
      </c>
      <c r="U16" s="87">
        <v>1</v>
      </c>
    </row>
    <row r="17" spans="1:21" ht="27" customHeight="1" thickTop="1" thickBot="1">
      <c r="A17" s="426"/>
      <c r="B17" s="426"/>
      <c r="C17" s="426"/>
      <c r="D17" s="1599"/>
      <c r="E17" s="434" t="s">
        <v>59</v>
      </c>
      <c r="F17" s="170"/>
      <c r="G17" s="169"/>
      <c r="H17" s="149"/>
      <c r="I17" s="168"/>
      <c r="J17" s="431"/>
      <c r="K17" s="426"/>
      <c r="L17" s="963"/>
      <c r="N17" s="1552"/>
      <c r="O17" s="1117" t="s">
        <v>59</v>
      </c>
      <c r="P17" s="432" t="str">
        <f t="shared" si="0"/>
        <v/>
      </c>
      <c r="Q17" s="432" t="str">
        <f t="shared" si="1"/>
        <v/>
      </c>
      <c r="R17" s="529"/>
      <c r="S17" s="433">
        <v>79.599999999999994</v>
      </c>
      <c r="T17" s="1086" t="str">
        <f t="shared" si="2"/>
        <v/>
      </c>
      <c r="U17" s="87">
        <v>1</v>
      </c>
    </row>
    <row r="18" spans="1:21" ht="27" customHeight="1" thickTop="1" thickBot="1">
      <c r="A18" s="426"/>
      <c r="B18" s="437"/>
      <c r="C18" s="437"/>
      <c r="D18" s="1593" t="s">
        <v>16</v>
      </c>
      <c r="E18" s="438" t="s">
        <v>144</v>
      </c>
      <c r="F18" s="234"/>
      <c r="G18" s="235"/>
      <c r="H18" s="236"/>
      <c r="I18" s="237"/>
      <c r="J18" s="436"/>
      <c r="L18" s="963"/>
      <c r="N18" s="1556" t="s">
        <v>16</v>
      </c>
      <c r="O18" s="1117" t="s">
        <v>144</v>
      </c>
      <c r="P18" s="432" t="str">
        <f t="shared" si="0"/>
        <v/>
      </c>
      <c r="Q18" s="432" t="str">
        <f t="shared" si="1"/>
        <v/>
      </c>
      <c r="R18" s="529"/>
      <c r="S18" s="433">
        <v>68.3</v>
      </c>
      <c r="T18" s="1086" t="str">
        <f t="shared" si="2"/>
        <v/>
      </c>
      <c r="U18" s="87">
        <v>1</v>
      </c>
    </row>
    <row r="19" spans="1:21" ht="27" customHeight="1" thickTop="1" thickBot="1">
      <c r="A19" s="426"/>
      <c r="B19" s="437"/>
      <c r="C19" s="437"/>
      <c r="D19" s="1594"/>
      <c r="E19" s="439" t="s">
        <v>60</v>
      </c>
      <c r="F19" s="238"/>
      <c r="G19" s="239"/>
      <c r="H19" s="240"/>
      <c r="I19" s="241"/>
      <c r="J19" s="436"/>
      <c r="K19" s="426"/>
      <c r="L19" s="963"/>
      <c r="N19" s="1556"/>
      <c r="O19" s="440" t="s">
        <v>60</v>
      </c>
      <c r="P19" s="432" t="str">
        <f t="shared" si="0"/>
        <v/>
      </c>
      <c r="Q19" s="432" t="str">
        <f t="shared" si="1"/>
        <v/>
      </c>
      <c r="R19" s="529"/>
      <c r="S19" s="433">
        <v>63</v>
      </c>
      <c r="T19" s="1086" t="str">
        <f t="shared" si="2"/>
        <v/>
      </c>
      <c r="U19" s="87">
        <v>1</v>
      </c>
    </row>
    <row r="20" spans="1:21" ht="27" customHeight="1" thickTop="1" thickBot="1">
      <c r="A20" s="426"/>
      <c r="B20" s="437"/>
      <c r="C20" s="437"/>
      <c r="D20" s="1595" t="s">
        <v>684</v>
      </c>
      <c r="E20" s="1596"/>
      <c r="F20" s="231"/>
      <c r="G20" s="232"/>
      <c r="H20" s="233"/>
      <c r="I20" s="117"/>
      <c r="J20" s="431"/>
      <c r="K20" s="426"/>
      <c r="L20" s="963"/>
      <c r="N20" s="1557" t="s">
        <v>684</v>
      </c>
      <c r="O20" s="1558"/>
      <c r="P20" s="432" t="str">
        <f t="shared" si="0"/>
        <v/>
      </c>
      <c r="Q20" s="432" t="str">
        <f t="shared" si="1"/>
        <v/>
      </c>
      <c r="R20" s="529"/>
      <c r="S20" s="433">
        <v>71.099999999999994</v>
      </c>
      <c r="T20" s="1086" t="str">
        <f t="shared" si="2"/>
        <v/>
      </c>
      <c r="U20" s="87">
        <v>1</v>
      </c>
    </row>
    <row r="21" spans="1:21" ht="27" customHeight="1" thickTop="1" thickBot="1">
      <c r="A21" s="426"/>
      <c r="B21" s="437"/>
      <c r="C21" s="437"/>
      <c r="D21" s="1582" t="s">
        <v>12</v>
      </c>
      <c r="E21" s="1583"/>
      <c r="F21" s="170"/>
      <c r="G21" s="172"/>
      <c r="H21" s="171"/>
      <c r="I21" s="168"/>
      <c r="J21" s="436"/>
      <c r="K21" s="426"/>
      <c r="L21" s="963"/>
      <c r="N21" s="1552" t="s">
        <v>12</v>
      </c>
      <c r="O21" s="1553"/>
      <c r="P21" s="432" t="str">
        <f t="shared" si="0"/>
        <v/>
      </c>
      <c r="Q21" s="432" t="str">
        <f t="shared" si="1"/>
        <v/>
      </c>
      <c r="R21" s="529"/>
      <c r="S21" s="433">
        <v>76.400000000000006</v>
      </c>
      <c r="T21" s="1085" t="str">
        <f t="shared" si="2"/>
        <v/>
      </c>
      <c r="U21" s="87">
        <v>1</v>
      </c>
    </row>
    <row r="22" spans="1:21" ht="27" customHeight="1" thickTop="1" thickBot="1">
      <c r="A22" s="426"/>
      <c r="B22" s="437"/>
      <c r="C22" s="437"/>
      <c r="D22" s="1582" t="s">
        <v>685</v>
      </c>
      <c r="E22" s="1583"/>
      <c r="F22" s="170"/>
      <c r="G22" s="169"/>
      <c r="H22" s="149"/>
      <c r="I22" s="168"/>
      <c r="J22" s="431"/>
      <c r="K22" s="426"/>
      <c r="L22" s="963"/>
      <c r="N22" s="1552" t="s">
        <v>685</v>
      </c>
      <c r="O22" s="1553"/>
      <c r="P22" s="432" t="str">
        <f t="shared" si="0"/>
        <v/>
      </c>
      <c r="Q22" s="432" t="str">
        <f t="shared" si="1"/>
        <v/>
      </c>
      <c r="R22" s="529"/>
      <c r="S22" s="433">
        <v>51.8</v>
      </c>
      <c r="T22" s="1085" t="str">
        <f t="shared" si="2"/>
        <v/>
      </c>
      <c r="U22" s="87">
        <v>1</v>
      </c>
    </row>
    <row r="23" spans="1:21" ht="27" customHeight="1" thickTop="1" thickBot="1">
      <c r="A23" s="426"/>
      <c r="B23" s="437"/>
      <c r="C23" s="437"/>
      <c r="D23" s="1582" t="s">
        <v>686</v>
      </c>
      <c r="E23" s="1583"/>
      <c r="F23" s="170"/>
      <c r="G23" s="169"/>
      <c r="H23" s="149"/>
      <c r="I23" s="168"/>
      <c r="J23" s="431"/>
      <c r="K23" s="426"/>
      <c r="L23" s="963"/>
      <c r="N23" s="1552" t="s">
        <v>686</v>
      </c>
      <c r="O23" s="1553"/>
      <c r="P23" s="432" t="str">
        <f t="shared" si="0"/>
        <v/>
      </c>
      <c r="Q23" s="432" t="str">
        <f t="shared" si="1"/>
        <v/>
      </c>
      <c r="R23" s="529"/>
      <c r="S23" s="433">
        <v>82.7</v>
      </c>
      <c r="T23" s="1085" t="str">
        <f t="shared" si="2"/>
        <v/>
      </c>
      <c r="U23" s="87">
        <v>1</v>
      </c>
    </row>
    <row r="24" spans="1:21" ht="27" customHeight="1" thickTop="1" thickBot="1">
      <c r="A24" s="426"/>
      <c r="B24" s="437"/>
      <c r="C24" s="437"/>
      <c r="D24" s="1582" t="s">
        <v>13</v>
      </c>
      <c r="E24" s="1583"/>
      <c r="F24" s="170"/>
      <c r="G24" s="169"/>
      <c r="H24" s="149"/>
      <c r="I24" s="168"/>
      <c r="J24" s="431"/>
      <c r="K24" s="426"/>
      <c r="L24" s="963"/>
      <c r="N24" s="1552" t="s">
        <v>13</v>
      </c>
      <c r="O24" s="1553"/>
      <c r="P24" s="432" t="str">
        <f t="shared" si="0"/>
        <v/>
      </c>
      <c r="Q24" s="432" t="str">
        <f t="shared" si="1"/>
        <v/>
      </c>
      <c r="R24" s="949"/>
      <c r="S24" s="433">
        <v>12.3</v>
      </c>
      <c r="T24" s="1085" t="str">
        <f t="shared" si="2"/>
        <v/>
      </c>
      <c r="U24" s="87">
        <v>2</v>
      </c>
    </row>
    <row r="25" spans="1:21" ht="27" customHeight="1" thickTop="1" thickBot="1">
      <c r="A25" s="426"/>
      <c r="B25" s="426"/>
      <c r="C25" s="426"/>
      <c r="D25" s="1584" t="s">
        <v>61</v>
      </c>
      <c r="E25" s="1585"/>
      <c r="F25" s="1586"/>
      <c r="G25" s="1587"/>
      <c r="H25" s="110"/>
      <c r="I25" s="118"/>
      <c r="J25" s="431"/>
      <c r="K25" s="426"/>
      <c r="L25" s="963"/>
      <c r="N25" s="1552" t="s">
        <v>61</v>
      </c>
      <c r="O25" s="1552"/>
      <c r="P25" s="248"/>
      <c r="Q25" s="432" t="str">
        <f t="shared" si="1"/>
        <v/>
      </c>
      <c r="R25" s="950"/>
      <c r="S25" s="167"/>
      <c r="T25" s="426"/>
    </row>
    <row r="26" spans="1:21" ht="19.899999999999999" customHeight="1">
      <c r="A26" s="426"/>
      <c r="B26" s="426"/>
      <c r="C26" s="426"/>
      <c r="D26" s="20"/>
      <c r="E26" s="20"/>
      <c r="F26" s="20"/>
      <c r="G26" s="20"/>
      <c r="H26" s="20"/>
      <c r="I26" s="20"/>
      <c r="J26" s="20"/>
      <c r="K26" s="426"/>
      <c r="L26" s="963"/>
      <c r="N26" s="200"/>
    </row>
    <row r="27" spans="1:21" ht="19.899999999999999" customHeight="1">
      <c r="A27" s="310" t="s">
        <v>105</v>
      </c>
      <c r="B27" s="426"/>
      <c r="C27" s="426"/>
      <c r="D27" s="426"/>
      <c r="E27" s="426"/>
      <c r="F27" s="426"/>
      <c r="G27" s="426"/>
      <c r="H27" s="426"/>
      <c r="I27" s="426"/>
      <c r="J27" s="426"/>
      <c r="K27" s="426"/>
      <c r="L27" s="963"/>
      <c r="M27" s="427" t="s">
        <v>757</v>
      </c>
    </row>
    <row r="28" spans="1:21" ht="15" customHeight="1">
      <c r="A28" s="426"/>
      <c r="B28" s="426"/>
      <c r="C28" s="426"/>
      <c r="D28" s="426"/>
      <c r="E28" s="426"/>
      <c r="F28" s="426"/>
      <c r="G28" s="426"/>
      <c r="H28" s="426"/>
      <c r="I28" s="426"/>
      <c r="J28" s="426"/>
      <c r="K28" s="426"/>
      <c r="L28" s="963"/>
    </row>
    <row r="29" spans="1:21" ht="15" customHeight="1">
      <c r="A29" s="426"/>
      <c r="B29" s="311" t="s">
        <v>815</v>
      </c>
      <c r="C29" s="426"/>
      <c r="D29" s="426"/>
      <c r="E29" s="426"/>
      <c r="F29" s="426"/>
      <c r="G29" s="426"/>
      <c r="H29" s="426"/>
      <c r="I29" s="426"/>
      <c r="J29" s="426"/>
      <c r="K29" s="426"/>
      <c r="L29" s="963"/>
    </row>
    <row r="30" spans="1:21" ht="15" customHeight="1" thickBot="1">
      <c r="A30" s="426"/>
      <c r="B30" s="426"/>
      <c r="C30" s="426"/>
      <c r="D30" s="426"/>
      <c r="E30" s="426"/>
      <c r="F30" s="426"/>
      <c r="G30" s="426"/>
      <c r="H30" s="426"/>
      <c r="I30" s="426"/>
      <c r="J30" s="426"/>
      <c r="K30" s="426"/>
      <c r="L30" s="963"/>
    </row>
    <row r="31" spans="1:21" ht="27" customHeight="1">
      <c r="A31" s="426"/>
      <c r="B31" s="426"/>
      <c r="C31" s="426"/>
      <c r="D31" s="1559" t="s">
        <v>389</v>
      </c>
      <c r="E31" s="1588"/>
      <c r="F31" s="1591" t="s">
        <v>520</v>
      </c>
      <c r="G31" s="441"/>
      <c r="H31" s="1534" t="s">
        <v>785</v>
      </c>
      <c r="I31" s="426"/>
      <c r="J31" s="426"/>
      <c r="K31" s="426"/>
      <c r="L31" s="963"/>
      <c r="N31" s="1554" t="s">
        <v>834</v>
      </c>
      <c r="O31" s="1555"/>
      <c r="P31" s="1536" t="s">
        <v>355</v>
      </c>
      <c r="Q31" s="1538" t="s">
        <v>697</v>
      </c>
    </row>
    <row r="32" spans="1:21" ht="27" customHeight="1" thickBot="1">
      <c r="A32" s="426"/>
      <c r="B32" s="426"/>
      <c r="C32" s="426"/>
      <c r="D32" s="1589"/>
      <c r="E32" s="1590"/>
      <c r="F32" s="1592"/>
      <c r="G32" s="442" t="s">
        <v>3</v>
      </c>
      <c r="H32" s="1547"/>
      <c r="I32" s="426"/>
      <c r="J32" s="426"/>
      <c r="K32" s="426"/>
      <c r="L32" s="963"/>
      <c r="N32" s="1554"/>
      <c r="O32" s="1555"/>
      <c r="P32" s="1537"/>
      <c r="Q32" s="1539"/>
    </row>
    <row r="33" spans="1:22" ht="27" customHeight="1" thickTop="1">
      <c r="A33" s="426"/>
      <c r="B33" s="426"/>
      <c r="C33" s="426"/>
      <c r="D33" s="1597"/>
      <c r="E33" s="1598"/>
      <c r="F33" s="244"/>
      <c r="G33" s="177"/>
      <c r="H33" s="113"/>
      <c r="I33" s="426"/>
      <c r="J33" s="426"/>
      <c r="K33" s="426"/>
      <c r="L33" s="963"/>
      <c r="N33" s="1526" t="str">
        <f t="shared" ref="N33:N42" si="3">IF(D33="","",D33)</f>
        <v/>
      </c>
      <c r="O33" s="1527"/>
      <c r="P33" s="443" t="str">
        <f t="shared" ref="P33:P42" si="4">IF(AND(F33="",Q33=""),"",ROUND(F33*Q33*H33%,0))</f>
        <v/>
      </c>
      <c r="Q33" s="954"/>
      <c r="R33" s="87" t="str">
        <f t="shared" ref="R33:R42" si="5">IF(G33="","円","円/"&amp;G33)</f>
        <v>円</v>
      </c>
    </row>
    <row r="34" spans="1:22" ht="27" customHeight="1">
      <c r="A34" s="426"/>
      <c r="B34" s="426"/>
      <c r="C34" s="426"/>
      <c r="D34" s="1564"/>
      <c r="E34" s="1565"/>
      <c r="F34" s="245"/>
      <c r="G34" s="176"/>
      <c r="H34" s="175"/>
      <c r="I34" s="426"/>
      <c r="J34" s="426"/>
      <c r="K34" s="426"/>
      <c r="L34" s="963"/>
      <c r="N34" s="1526" t="str">
        <f t="shared" si="3"/>
        <v/>
      </c>
      <c r="O34" s="1527"/>
      <c r="P34" s="443" t="str">
        <f t="shared" si="4"/>
        <v/>
      </c>
      <c r="Q34" s="955"/>
      <c r="R34" s="87" t="str">
        <f t="shared" si="5"/>
        <v>円</v>
      </c>
    </row>
    <row r="35" spans="1:22" ht="27" customHeight="1">
      <c r="A35" s="426"/>
      <c r="B35" s="426"/>
      <c r="C35" s="426"/>
      <c r="D35" s="1564"/>
      <c r="E35" s="1565"/>
      <c r="F35" s="245"/>
      <c r="G35" s="176"/>
      <c r="H35" s="175"/>
      <c r="I35" s="426"/>
      <c r="J35" s="426"/>
      <c r="K35" s="426"/>
      <c r="L35" s="963"/>
      <c r="N35" s="1526" t="str">
        <f t="shared" si="3"/>
        <v/>
      </c>
      <c r="O35" s="1527"/>
      <c r="P35" s="443" t="str">
        <f t="shared" si="4"/>
        <v/>
      </c>
      <c r="Q35" s="955"/>
      <c r="R35" s="87" t="str">
        <f t="shared" si="5"/>
        <v>円</v>
      </c>
    </row>
    <row r="36" spans="1:22" ht="27" customHeight="1" collapsed="1" thickBot="1">
      <c r="A36" s="426"/>
      <c r="B36" s="426"/>
      <c r="C36" s="426"/>
      <c r="D36" s="1568"/>
      <c r="E36" s="1569"/>
      <c r="F36" s="246"/>
      <c r="G36" s="297"/>
      <c r="H36" s="298"/>
      <c r="I36" s="426"/>
      <c r="J36" s="426"/>
      <c r="K36" s="426"/>
      <c r="L36" s="1229"/>
      <c r="M36" s="1221"/>
      <c r="N36" s="1570" t="str">
        <f t="shared" si="3"/>
        <v/>
      </c>
      <c r="O36" s="1571"/>
      <c r="P36" s="1235" t="str">
        <f t="shared" si="4"/>
        <v/>
      </c>
      <c r="Q36" s="1236"/>
      <c r="R36" s="1221" t="str">
        <f t="shared" si="5"/>
        <v>円</v>
      </c>
      <c r="S36" s="1221"/>
      <c r="T36" s="1221"/>
      <c r="U36" s="1221"/>
      <c r="V36" s="1221"/>
    </row>
    <row r="37" spans="1:22" ht="27" hidden="1" customHeight="1" outlineLevel="1">
      <c r="A37" s="426"/>
      <c r="B37" s="426"/>
      <c r="C37" s="426"/>
      <c r="D37" s="1566"/>
      <c r="E37" s="1567"/>
      <c r="F37" s="294"/>
      <c r="G37" s="295"/>
      <c r="H37" s="296"/>
      <c r="I37" s="426"/>
      <c r="J37" s="426"/>
      <c r="K37" s="426"/>
      <c r="L37" s="963"/>
      <c r="N37" s="1526" t="str">
        <f t="shared" si="3"/>
        <v/>
      </c>
      <c r="O37" s="1527"/>
      <c r="P37" s="443" t="str">
        <f t="shared" si="4"/>
        <v/>
      </c>
      <c r="Q37" s="955"/>
      <c r="R37" s="87" t="str">
        <f t="shared" si="5"/>
        <v>円</v>
      </c>
    </row>
    <row r="38" spans="1:22" ht="27" hidden="1" customHeight="1" outlineLevel="1">
      <c r="A38" s="426"/>
      <c r="B38" s="426"/>
      <c r="C38" s="426"/>
      <c r="D38" s="1564"/>
      <c r="E38" s="1565"/>
      <c r="F38" s="245"/>
      <c r="G38" s="176"/>
      <c r="H38" s="175"/>
      <c r="I38" s="426"/>
      <c r="J38" s="426"/>
      <c r="K38" s="426"/>
      <c r="L38" s="963"/>
      <c r="N38" s="1526" t="str">
        <f t="shared" si="3"/>
        <v/>
      </c>
      <c r="O38" s="1527"/>
      <c r="P38" s="443" t="str">
        <f t="shared" si="4"/>
        <v/>
      </c>
      <c r="Q38" s="955"/>
      <c r="R38" s="87" t="str">
        <f t="shared" si="5"/>
        <v>円</v>
      </c>
    </row>
    <row r="39" spans="1:22" ht="27" hidden="1" customHeight="1" outlineLevel="1">
      <c r="A39" s="426"/>
      <c r="B39" s="426"/>
      <c r="C39" s="426"/>
      <c r="D39" s="1564"/>
      <c r="E39" s="1565"/>
      <c r="F39" s="245"/>
      <c r="G39" s="176"/>
      <c r="H39" s="175"/>
      <c r="I39" s="426"/>
      <c r="J39" s="426"/>
      <c r="K39" s="426"/>
      <c r="L39" s="963"/>
      <c r="N39" s="1526" t="str">
        <f t="shared" si="3"/>
        <v/>
      </c>
      <c r="O39" s="1527"/>
      <c r="P39" s="443" t="str">
        <f t="shared" si="4"/>
        <v/>
      </c>
      <c r="Q39" s="955"/>
      <c r="R39" s="87" t="str">
        <f t="shared" si="5"/>
        <v>円</v>
      </c>
    </row>
    <row r="40" spans="1:22" ht="27" hidden="1" customHeight="1" outlineLevel="1">
      <c r="A40" s="426"/>
      <c r="B40" s="426"/>
      <c r="C40" s="426"/>
      <c r="D40" s="1564"/>
      <c r="E40" s="1565"/>
      <c r="F40" s="245"/>
      <c r="G40" s="176"/>
      <c r="H40" s="175"/>
      <c r="I40" s="426"/>
      <c r="J40" s="426"/>
      <c r="K40" s="426"/>
      <c r="L40" s="963"/>
      <c r="N40" s="1526" t="str">
        <f t="shared" si="3"/>
        <v/>
      </c>
      <c r="O40" s="1527"/>
      <c r="P40" s="443" t="str">
        <f t="shared" si="4"/>
        <v/>
      </c>
      <c r="Q40" s="955"/>
      <c r="R40" s="87" t="str">
        <f t="shared" si="5"/>
        <v>円</v>
      </c>
    </row>
    <row r="41" spans="1:22" ht="27" hidden="1" customHeight="1" outlineLevel="1">
      <c r="A41" s="426"/>
      <c r="B41" s="426"/>
      <c r="C41" s="426"/>
      <c r="D41" s="1564"/>
      <c r="E41" s="1565"/>
      <c r="F41" s="246"/>
      <c r="G41" s="174"/>
      <c r="H41" s="127"/>
      <c r="I41" s="426"/>
      <c r="J41" s="426"/>
      <c r="K41" s="426"/>
      <c r="L41" s="963"/>
      <c r="N41" s="1526" t="str">
        <f t="shared" si="3"/>
        <v/>
      </c>
      <c r="O41" s="1527"/>
      <c r="P41" s="443" t="str">
        <f t="shared" si="4"/>
        <v/>
      </c>
      <c r="Q41" s="955"/>
      <c r="R41" s="87" t="str">
        <f t="shared" si="5"/>
        <v>円</v>
      </c>
    </row>
    <row r="42" spans="1:22" ht="27" hidden="1" customHeight="1" outlineLevel="1" thickBot="1">
      <c r="A42" s="426"/>
      <c r="B42" s="426"/>
      <c r="C42" s="426"/>
      <c r="D42" s="1580"/>
      <c r="E42" s="1581"/>
      <c r="F42" s="247"/>
      <c r="G42" s="112"/>
      <c r="H42" s="114"/>
      <c r="I42" s="426"/>
      <c r="J42" s="426"/>
      <c r="K42" s="426"/>
      <c r="L42" s="963"/>
      <c r="N42" s="1526" t="str">
        <f t="shared" si="3"/>
        <v/>
      </c>
      <c r="O42" s="1527"/>
      <c r="P42" s="443" t="str">
        <f t="shared" si="4"/>
        <v/>
      </c>
      <c r="Q42" s="956"/>
      <c r="R42" s="87" t="str">
        <f t="shared" si="5"/>
        <v>円</v>
      </c>
    </row>
    <row r="43" spans="1:22" ht="27" customHeight="1" thickTop="1" thickBot="1">
      <c r="A43" s="426"/>
      <c r="B43" s="426"/>
      <c r="C43" s="426"/>
      <c r="D43" s="426"/>
      <c r="E43" s="426"/>
      <c r="F43" s="426"/>
      <c r="G43" s="426"/>
      <c r="H43" s="426"/>
      <c r="I43" s="426"/>
      <c r="J43" s="426"/>
      <c r="K43" s="426"/>
      <c r="L43" s="963"/>
      <c r="N43" s="200"/>
      <c r="P43" s="432" t="str">
        <f>IF(SUM(P33:P42)=0,"",SUM(P33:P42))</f>
        <v/>
      </c>
      <c r="Q43" s="444"/>
    </row>
    <row r="44" spans="1:22" ht="27" customHeight="1" thickTop="1">
      <c r="A44" s="426"/>
      <c r="B44" s="426"/>
      <c r="C44" s="426"/>
      <c r="D44" s="426"/>
      <c r="E44" s="426"/>
      <c r="F44" s="426"/>
      <c r="G44" s="426"/>
      <c r="H44" s="426"/>
      <c r="I44" s="426"/>
      <c r="J44" s="426"/>
      <c r="K44" s="426"/>
      <c r="L44" s="963"/>
      <c r="N44" s="200"/>
      <c r="P44" s="445"/>
      <c r="Q44" s="445"/>
    </row>
    <row r="45" spans="1:22" ht="19.899999999999999" customHeight="1">
      <c r="A45" s="426"/>
      <c r="B45" s="426"/>
      <c r="C45" s="426"/>
      <c r="D45" s="426"/>
      <c r="E45" s="426"/>
      <c r="F45" s="426"/>
      <c r="G45" s="426"/>
      <c r="H45" s="426"/>
      <c r="I45" s="426"/>
      <c r="J45" s="426"/>
      <c r="K45" s="426"/>
      <c r="L45" s="963"/>
      <c r="M45" s="380" t="s">
        <v>755</v>
      </c>
      <c r="P45" s="445"/>
      <c r="Q45" s="445"/>
    </row>
    <row r="46" spans="1:22" ht="15" customHeight="1">
      <c r="A46" s="426"/>
      <c r="B46" s="426"/>
      <c r="C46" s="426"/>
      <c r="D46" s="426"/>
      <c r="E46" s="426"/>
      <c r="F46" s="426"/>
      <c r="G46" s="426"/>
      <c r="H46" s="426"/>
      <c r="I46" s="426"/>
      <c r="J46" s="426"/>
      <c r="K46" s="426"/>
      <c r="L46" s="963"/>
      <c r="N46" s="200"/>
      <c r="P46" s="445"/>
      <c r="Q46" s="445"/>
    </row>
    <row r="47" spans="1:22" ht="27" customHeight="1" thickBot="1">
      <c r="A47" s="426"/>
      <c r="B47" s="426"/>
      <c r="C47" s="426"/>
      <c r="D47" s="426"/>
      <c r="E47" s="426"/>
      <c r="F47" s="426"/>
      <c r="G47" s="426"/>
      <c r="H47" s="426"/>
      <c r="I47" s="426"/>
      <c r="J47" s="426"/>
      <c r="K47" s="426"/>
      <c r="L47" s="963"/>
      <c r="N47" s="1533" t="s">
        <v>760</v>
      </c>
      <c r="O47" s="1492"/>
      <c r="P47" s="446" t="s">
        <v>761</v>
      </c>
      <c r="Q47" s="445"/>
    </row>
    <row r="48" spans="1:22" ht="27" customHeight="1" thickTop="1" thickBot="1">
      <c r="A48" s="426"/>
      <c r="B48" s="426"/>
      <c r="C48" s="426"/>
      <c r="D48" s="426"/>
      <c r="E48" s="426"/>
      <c r="F48" s="426"/>
      <c r="G48" s="426"/>
      <c r="H48" s="426"/>
      <c r="I48" s="426"/>
      <c r="J48" s="426"/>
      <c r="K48" s="426"/>
      <c r="L48" s="963"/>
      <c r="N48" s="1531" t="s">
        <v>758</v>
      </c>
      <c r="O48" s="1532"/>
      <c r="P48" s="432">
        <f>SUMIF($U$13:$U$24,1,$T$13:$T$24)</f>
        <v>0</v>
      </c>
      <c r="Q48" s="445"/>
    </row>
    <row r="49" spans="1:22" ht="27" customHeight="1" thickTop="1" thickBot="1">
      <c r="A49" s="426"/>
      <c r="B49" s="426"/>
      <c r="C49" s="426"/>
      <c r="D49" s="426"/>
      <c r="E49" s="426"/>
      <c r="F49" s="426"/>
      <c r="G49" s="426"/>
      <c r="H49" s="426"/>
      <c r="I49" s="426"/>
      <c r="J49" s="426"/>
      <c r="K49" s="426"/>
      <c r="L49" s="963"/>
      <c r="N49" s="1531" t="s">
        <v>759</v>
      </c>
      <c r="O49" s="1532"/>
      <c r="P49" s="432">
        <f>SUMIF($U$13:$U$24,2,$T$13:$T$24)</f>
        <v>0</v>
      </c>
      <c r="Q49" s="445"/>
    </row>
    <row r="50" spans="1:22" ht="27" customHeight="1" thickTop="1">
      <c r="A50" s="426"/>
      <c r="B50" s="426"/>
      <c r="C50" s="426"/>
      <c r="D50" s="426"/>
      <c r="E50" s="426"/>
      <c r="F50" s="426"/>
      <c r="G50" s="426"/>
      <c r="H50" s="426"/>
      <c r="I50" s="426"/>
      <c r="J50" s="426"/>
      <c r="K50" s="426"/>
      <c r="L50" s="963"/>
      <c r="N50" s="200"/>
      <c r="P50" s="445"/>
      <c r="Q50" s="445"/>
    </row>
    <row r="51" spans="1:22" s="186" customFormat="1" ht="19.899999999999999" customHeight="1">
      <c r="A51" s="310" t="s">
        <v>106</v>
      </c>
      <c r="B51" s="310"/>
      <c r="C51" s="310"/>
      <c r="D51" s="310"/>
      <c r="E51" s="310"/>
      <c r="F51" s="187"/>
      <c r="G51" s="187"/>
      <c r="H51" s="187"/>
      <c r="I51" s="187"/>
      <c r="J51" s="187"/>
      <c r="K51" s="187"/>
      <c r="L51" s="964"/>
      <c r="M51" s="447"/>
      <c r="N51" s="187"/>
      <c r="V51" s="1237"/>
    </row>
    <row r="52" spans="1:22" ht="15" customHeight="1">
      <c r="A52" s="308"/>
      <c r="B52" s="5"/>
      <c r="C52" s="5"/>
      <c r="D52" s="5"/>
      <c r="E52" s="5"/>
      <c r="F52" s="5"/>
      <c r="G52" s="5"/>
      <c r="H52" s="5"/>
      <c r="I52" s="5"/>
      <c r="J52" s="5"/>
      <c r="K52" s="5"/>
      <c r="L52" s="963"/>
      <c r="M52" s="5"/>
      <c r="N52" s="5"/>
    </row>
    <row r="53" spans="1:22" ht="15" customHeight="1">
      <c r="A53" s="312"/>
      <c r="B53" s="5" t="s">
        <v>687</v>
      </c>
      <c r="C53" s="5"/>
      <c r="D53" s="5"/>
      <c r="E53" s="5"/>
      <c r="F53" s="5"/>
      <c r="G53" s="5"/>
      <c r="H53" s="5"/>
      <c r="I53" s="5"/>
      <c r="J53" s="5"/>
      <c r="K53" s="5"/>
      <c r="L53" s="963"/>
      <c r="M53" s="5"/>
      <c r="N53" s="5"/>
    </row>
    <row r="54" spans="1:22" ht="15" customHeight="1" thickBot="1">
      <c r="A54" s="312"/>
      <c r="B54" s="5"/>
      <c r="C54" s="5"/>
      <c r="D54" s="5"/>
      <c r="E54" s="5"/>
      <c r="F54" s="5"/>
      <c r="G54" s="5"/>
      <c r="H54" s="5"/>
      <c r="I54" s="5"/>
      <c r="J54" s="5"/>
      <c r="K54" s="5"/>
      <c r="L54" s="963"/>
      <c r="M54" s="5"/>
      <c r="N54" s="448"/>
      <c r="O54" s="1119"/>
    </row>
    <row r="55" spans="1:22" ht="28.5" thickTop="1" thickBot="1">
      <c r="A55" s="312"/>
      <c r="B55" s="5"/>
      <c r="C55" s="290"/>
      <c r="D55" s="120" t="s">
        <v>193</v>
      </c>
      <c r="E55" s="596"/>
      <c r="G55" s="130"/>
      <c r="K55" s="5"/>
      <c r="L55" s="963"/>
      <c r="N55" s="449"/>
      <c r="O55" s="450"/>
    </row>
    <row r="56" spans="1:22" ht="19.899999999999999" customHeight="1">
      <c r="A56" s="312"/>
      <c r="B56" s="5"/>
      <c r="C56" s="5"/>
      <c r="D56" s="5"/>
      <c r="E56" s="5"/>
      <c r="F56" s="5"/>
      <c r="G56" s="5"/>
      <c r="I56" s="5"/>
      <c r="J56" s="5"/>
      <c r="K56" s="5"/>
      <c r="L56" s="963"/>
      <c r="M56" s="5"/>
      <c r="N56" s="451"/>
    </row>
    <row r="57" spans="1:22" s="186" customFormat="1" ht="18.75">
      <c r="A57" s="310" t="s">
        <v>107</v>
      </c>
      <c r="B57" s="310"/>
      <c r="C57" s="310"/>
      <c r="D57" s="310"/>
      <c r="E57" s="310"/>
      <c r="F57" s="187"/>
      <c r="G57" s="187"/>
      <c r="H57" s="187"/>
      <c r="I57" s="187"/>
      <c r="J57" s="187"/>
      <c r="K57" s="187"/>
      <c r="L57" s="964"/>
      <c r="M57" s="447" t="s">
        <v>297</v>
      </c>
      <c r="N57" s="187"/>
      <c r="O57" s="452"/>
      <c r="V57" s="1237"/>
    </row>
    <row r="58" spans="1:22" ht="15" customHeight="1">
      <c r="A58" s="312"/>
      <c r="B58" s="5"/>
      <c r="C58" s="5"/>
      <c r="D58" s="5"/>
      <c r="E58" s="5"/>
      <c r="F58" s="5"/>
      <c r="G58" s="5"/>
      <c r="H58" s="5"/>
      <c r="I58" s="5"/>
      <c r="J58" s="5"/>
      <c r="K58" s="5"/>
      <c r="L58" s="963"/>
      <c r="M58" s="5"/>
      <c r="N58" s="5"/>
      <c r="O58" s="200"/>
    </row>
    <row r="59" spans="1:22" s="186" customFormat="1" ht="18.75">
      <c r="A59" s="453"/>
      <c r="B59" s="454" t="s">
        <v>108</v>
      </c>
      <c r="C59" s="187"/>
      <c r="D59" s="187"/>
      <c r="E59" s="187"/>
      <c r="F59" s="187"/>
      <c r="G59" s="187"/>
      <c r="H59" s="187"/>
      <c r="I59" s="187"/>
      <c r="J59" s="187"/>
      <c r="K59" s="187"/>
      <c r="L59" s="964"/>
      <c r="M59" s="454" t="s">
        <v>108</v>
      </c>
      <c r="N59" s="187"/>
      <c r="V59" s="1237"/>
    </row>
    <row r="60" spans="1:22" ht="15" customHeight="1">
      <c r="A60" s="312"/>
      <c r="B60" s="5" t="s">
        <v>390</v>
      </c>
      <c r="C60" s="5"/>
      <c r="D60" s="5"/>
      <c r="E60" s="5"/>
      <c r="F60" s="5"/>
      <c r="G60" s="5"/>
      <c r="H60" s="5"/>
      <c r="I60" s="5"/>
      <c r="J60" s="5"/>
      <c r="K60" s="5"/>
      <c r="L60" s="963"/>
      <c r="M60" s="5"/>
      <c r="N60" s="5"/>
    </row>
    <row r="61" spans="1:22" ht="15" customHeight="1">
      <c r="A61" s="312"/>
      <c r="B61" s="5" t="s">
        <v>529</v>
      </c>
      <c r="C61" s="5"/>
      <c r="D61" s="5"/>
      <c r="E61" s="5"/>
      <c r="F61" s="5"/>
      <c r="G61" s="5"/>
      <c r="H61" s="5"/>
      <c r="I61" s="5"/>
      <c r="J61" s="5"/>
      <c r="K61" s="5"/>
      <c r="L61" s="963"/>
      <c r="M61" s="5"/>
      <c r="N61" s="5"/>
    </row>
    <row r="62" spans="1:22" ht="15" customHeight="1">
      <c r="A62" s="312"/>
      <c r="B62" s="5" t="s">
        <v>391</v>
      </c>
      <c r="C62" s="5"/>
      <c r="D62" s="5"/>
      <c r="E62" s="5"/>
      <c r="F62" s="5"/>
      <c r="G62" s="5"/>
      <c r="H62" s="5"/>
      <c r="I62" s="5"/>
      <c r="J62" s="5"/>
      <c r="K62" s="5"/>
      <c r="L62" s="963"/>
      <c r="M62" s="5"/>
      <c r="N62" s="5"/>
    </row>
    <row r="63" spans="1:22" ht="15" customHeight="1">
      <c r="A63" s="312"/>
      <c r="B63" s="5"/>
      <c r="C63" s="5"/>
      <c r="D63" s="5"/>
      <c r="E63" s="5"/>
      <c r="F63" s="5"/>
      <c r="G63" s="5"/>
      <c r="H63" s="5"/>
      <c r="I63" s="5"/>
      <c r="J63" s="5"/>
      <c r="K63" s="5"/>
      <c r="L63" s="963"/>
      <c r="M63" s="5"/>
      <c r="N63" s="5"/>
    </row>
    <row r="64" spans="1:22" ht="27" customHeight="1" thickBot="1">
      <c r="K64" s="5"/>
      <c r="L64" s="963"/>
      <c r="M64" s="5"/>
      <c r="N64" s="1691" t="s">
        <v>522</v>
      </c>
      <c r="O64" s="1692"/>
      <c r="P64" s="1122" t="s">
        <v>835</v>
      </c>
    </row>
    <row r="65" spans="1:22" ht="27" customHeight="1" thickBot="1">
      <c r="A65" s="312"/>
      <c r="B65" s="5"/>
      <c r="C65" s="1465" t="s">
        <v>149</v>
      </c>
      <c r="D65" s="1466"/>
      <c r="E65" s="1111" t="s">
        <v>79</v>
      </c>
      <c r="F65" s="1113" t="s">
        <v>206</v>
      </c>
      <c r="G65" s="455"/>
      <c r="H65" s="5"/>
      <c r="I65" s="5"/>
      <c r="J65" s="5"/>
      <c r="K65" s="5"/>
      <c r="L65" s="963"/>
      <c r="M65" s="5"/>
      <c r="N65" s="1693"/>
      <c r="O65" s="1694"/>
      <c r="P65" s="966" t="s">
        <v>836</v>
      </c>
    </row>
    <row r="66" spans="1:22" ht="27" customHeight="1" thickTop="1" thickBot="1">
      <c r="A66" s="5"/>
      <c r="B66" s="5"/>
      <c r="C66" s="1423" t="s">
        <v>28</v>
      </c>
      <c r="D66" s="1424"/>
      <c r="E66" s="588"/>
      <c r="F66" s="589"/>
      <c r="G66" s="456"/>
      <c r="K66" s="5"/>
      <c r="L66" s="963"/>
      <c r="M66" s="5"/>
      <c r="N66" s="1713" t="s">
        <v>862</v>
      </c>
      <c r="O66" s="1645"/>
      <c r="P66" s="457" t="str">
        <f>IF(COUNT(F66:F71)=0,"",IF(AND(E66&gt;0,F66&gt;0),ROUND(E66*F66%,0),SUM(P67:P71)))</f>
        <v/>
      </c>
    </row>
    <row r="67" spans="1:22" ht="27" customHeight="1" thickTop="1">
      <c r="A67" s="5"/>
      <c r="B67" s="5"/>
      <c r="C67" s="458"/>
      <c r="D67" s="459" t="s">
        <v>54</v>
      </c>
      <c r="E67" s="590"/>
      <c r="F67" s="591"/>
      <c r="G67" s="456"/>
      <c r="K67" s="5"/>
      <c r="L67" s="963"/>
      <c r="N67" s="185"/>
      <c r="O67" s="1116" t="s">
        <v>14</v>
      </c>
      <c r="P67" s="460" t="str">
        <f>IF(E67="","",ROUND(E67*F67%,0))</f>
        <v/>
      </c>
    </row>
    <row r="68" spans="1:22" ht="27" customHeight="1">
      <c r="A68" s="5"/>
      <c r="B68" s="5"/>
      <c r="C68" s="458"/>
      <c r="D68" s="459" t="s">
        <v>63</v>
      </c>
      <c r="E68" s="592"/>
      <c r="F68" s="593"/>
      <c r="G68" s="456"/>
      <c r="K68" s="5"/>
      <c r="L68" s="963"/>
      <c r="N68" s="185"/>
      <c r="O68" s="1116" t="s">
        <v>63</v>
      </c>
      <c r="P68" s="457" t="str">
        <f>IF(E68="","",ROUND(E68*F68%,0))</f>
        <v/>
      </c>
    </row>
    <row r="69" spans="1:22" ht="27" customHeight="1">
      <c r="A69" s="5"/>
      <c r="B69" s="5"/>
      <c r="C69" s="458"/>
      <c r="D69" s="459" t="s">
        <v>57</v>
      </c>
      <c r="E69" s="592"/>
      <c r="F69" s="593"/>
      <c r="G69" s="456"/>
      <c r="K69" s="5"/>
      <c r="L69" s="963"/>
      <c r="N69" s="185"/>
      <c r="O69" s="1116" t="s">
        <v>356</v>
      </c>
      <c r="P69" s="457" t="str">
        <f>IF(E69="","",ROUND(E69*F69%,0))</f>
        <v/>
      </c>
    </row>
    <row r="70" spans="1:22" ht="27" customHeight="1">
      <c r="A70" s="5"/>
      <c r="B70" s="5"/>
      <c r="C70" s="461"/>
      <c r="D70" s="462" t="s">
        <v>55</v>
      </c>
      <c r="E70" s="592"/>
      <c r="F70" s="593"/>
      <c r="G70" s="456"/>
      <c r="K70" s="5"/>
      <c r="L70" s="963"/>
      <c r="N70" s="185"/>
      <c r="O70" s="1116" t="s">
        <v>357</v>
      </c>
      <c r="P70" s="457" t="str">
        <f>IF(E70="","",ROUND(E70*F70%,0))</f>
        <v/>
      </c>
    </row>
    <row r="71" spans="1:22" ht="27" customHeight="1" thickBot="1">
      <c r="A71" s="5"/>
      <c r="B71" s="5"/>
      <c r="C71" s="463"/>
      <c r="D71" s="464" t="s">
        <v>56</v>
      </c>
      <c r="E71" s="594"/>
      <c r="F71" s="595"/>
      <c r="G71" s="456"/>
      <c r="K71" s="5"/>
      <c r="L71" s="963"/>
      <c r="N71" s="184"/>
      <c r="O71" s="1116" t="s">
        <v>11</v>
      </c>
      <c r="P71" s="465" t="str">
        <f>IF(E71="","",ROUND(E71*F71%,0))</f>
        <v/>
      </c>
    </row>
    <row r="72" spans="1:22" ht="27" customHeight="1" thickBot="1">
      <c r="A72" s="5"/>
      <c r="B72" s="5"/>
      <c r="C72" s="5"/>
      <c r="D72" s="5"/>
      <c r="E72" s="5"/>
      <c r="F72" s="5"/>
      <c r="G72" s="5"/>
      <c r="K72" s="5"/>
      <c r="L72" s="963"/>
      <c r="M72" s="5"/>
      <c r="N72" s="1548"/>
      <c r="O72" s="1549"/>
      <c r="P72" s="466"/>
    </row>
    <row r="73" spans="1:22" ht="27" customHeight="1">
      <c r="A73" s="5"/>
      <c r="B73" s="5"/>
      <c r="C73" s="5"/>
      <c r="D73" s="1714" t="s">
        <v>102</v>
      </c>
      <c r="E73" s="1715"/>
      <c r="F73" s="1716"/>
      <c r="G73" s="467"/>
      <c r="K73" s="5"/>
      <c r="L73" s="963"/>
      <c r="R73" s="468"/>
    </row>
    <row r="74" spans="1:22" ht="27" customHeight="1">
      <c r="A74" s="5"/>
      <c r="B74" s="5"/>
      <c r="C74" s="5"/>
      <c r="D74" s="1560" t="s">
        <v>388</v>
      </c>
      <c r="E74" s="1718" t="s">
        <v>365</v>
      </c>
      <c r="F74" s="469"/>
      <c r="G74" s="5"/>
      <c r="K74" s="5"/>
      <c r="L74" s="963"/>
      <c r="N74" s="470" t="s">
        <v>102</v>
      </c>
      <c r="O74" s="471"/>
      <c r="P74" s="1119"/>
      <c r="Q74" s="472"/>
      <c r="R74" s="437"/>
    </row>
    <row r="75" spans="1:22" ht="27" customHeight="1" thickBot="1">
      <c r="A75" s="5"/>
      <c r="B75" s="5"/>
      <c r="C75" s="5"/>
      <c r="D75" s="1717"/>
      <c r="E75" s="1719"/>
      <c r="F75" s="473" t="s">
        <v>3</v>
      </c>
      <c r="G75" s="5"/>
      <c r="K75" s="5"/>
      <c r="L75" s="963"/>
      <c r="M75" s="5"/>
      <c r="N75" s="1721" t="s">
        <v>251</v>
      </c>
      <c r="O75" s="1722"/>
      <c r="P75" s="474" t="s">
        <v>355</v>
      </c>
      <c r="Q75" s="1112" t="s">
        <v>252</v>
      </c>
      <c r="R75" s="437"/>
      <c r="S75" s="475"/>
    </row>
    <row r="76" spans="1:22" ht="27" customHeight="1" thickTop="1">
      <c r="A76" s="5"/>
      <c r="B76" s="5"/>
      <c r="C76" s="5"/>
      <c r="D76" s="1015"/>
      <c r="E76" s="121"/>
      <c r="F76" s="119"/>
      <c r="G76" s="5"/>
      <c r="K76" s="5"/>
      <c r="L76" s="963"/>
      <c r="M76" s="5"/>
      <c r="N76" s="1724" t="str">
        <f>IF(D76="","",D76)</f>
        <v/>
      </c>
      <c r="O76" s="1725"/>
      <c r="P76" s="476" t="str">
        <f t="shared" ref="P76:P85" si="6">IF(AND(E76="",Q76=""),"",ROUND(E76*Q76,0))</f>
        <v/>
      </c>
      <c r="Q76" s="530"/>
      <c r="R76" s="477" t="str">
        <f t="shared" ref="R76:R85" si="7">IF(F76="","円","円/"&amp;F76)</f>
        <v>円</v>
      </c>
      <c r="S76" s="475"/>
    </row>
    <row r="77" spans="1:22" ht="27" customHeight="1">
      <c r="A77" s="5"/>
      <c r="B77" s="5"/>
      <c r="C77" s="5"/>
      <c r="D77" s="1016"/>
      <c r="E77" s="582"/>
      <c r="F77" s="583"/>
      <c r="G77" s="5"/>
      <c r="K77" s="5"/>
      <c r="L77" s="963"/>
      <c r="M77" s="5"/>
      <c r="N77" s="1724" t="str">
        <f>IF(D77="","",D77)</f>
        <v/>
      </c>
      <c r="O77" s="1725"/>
      <c r="P77" s="478" t="str">
        <f t="shared" si="6"/>
        <v/>
      </c>
      <c r="Q77" s="531"/>
      <c r="R77" s="477" t="str">
        <f t="shared" si="7"/>
        <v>円</v>
      </c>
      <c r="S77" s="475"/>
    </row>
    <row r="78" spans="1:22" ht="27" customHeight="1">
      <c r="A78" s="5"/>
      <c r="B78" s="5"/>
      <c r="C78" s="5"/>
      <c r="D78" s="1016"/>
      <c r="E78" s="582"/>
      <c r="F78" s="583"/>
      <c r="G78" s="5"/>
      <c r="K78" s="5"/>
      <c r="L78" s="963"/>
      <c r="M78" s="5"/>
      <c r="N78" s="1724" t="str">
        <f t="shared" ref="N78:N84" si="8">IF(D78="","",D78)</f>
        <v/>
      </c>
      <c r="O78" s="1725"/>
      <c r="P78" s="478" t="str">
        <f t="shared" si="6"/>
        <v/>
      </c>
      <c r="Q78" s="531"/>
      <c r="R78" s="477" t="str">
        <f t="shared" si="7"/>
        <v>円</v>
      </c>
      <c r="S78" s="475"/>
    </row>
    <row r="79" spans="1:22" s="534" customFormat="1" ht="27" customHeight="1" collapsed="1">
      <c r="A79" s="533"/>
      <c r="B79" s="533"/>
      <c r="C79" s="533"/>
      <c r="D79" s="1017"/>
      <c r="E79" s="1018"/>
      <c r="F79" s="1019"/>
      <c r="G79" s="533"/>
      <c r="K79" s="533"/>
      <c r="L79" s="1229"/>
      <c r="M79" s="1231"/>
      <c r="N79" s="1726" t="str">
        <f t="shared" si="8"/>
        <v/>
      </c>
      <c r="O79" s="1727"/>
      <c r="P79" s="1232" t="str">
        <f t="shared" si="6"/>
        <v/>
      </c>
      <c r="Q79" s="1233"/>
      <c r="R79" s="1225" t="str">
        <f t="shared" si="7"/>
        <v>円</v>
      </c>
      <c r="S79" s="1234"/>
      <c r="T79" s="1221"/>
      <c r="U79" s="1221"/>
      <c r="V79" s="1221"/>
    </row>
    <row r="80" spans="1:22" ht="27" hidden="1" customHeight="1" outlineLevel="1">
      <c r="A80" s="5"/>
      <c r="B80" s="5"/>
      <c r="C80" s="5"/>
      <c r="D80" s="581"/>
      <c r="E80" s="582"/>
      <c r="F80" s="583"/>
      <c r="G80" s="5"/>
      <c r="K80" s="5"/>
      <c r="L80" s="963"/>
      <c r="M80" s="5"/>
      <c r="N80" s="1724" t="str">
        <f t="shared" si="8"/>
        <v/>
      </c>
      <c r="O80" s="1725"/>
      <c r="P80" s="478" t="str">
        <f t="shared" si="6"/>
        <v/>
      </c>
      <c r="Q80" s="531"/>
      <c r="R80" s="477" t="str">
        <f t="shared" si="7"/>
        <v>円</v>
      </c>
      <c r="S80" s="475"/>
    </row>
    <row r="81" spans="1:22" ht="27" hidden="1" customHeight="1" outlineLevel="1">
      <c r="A81" s="5"/>
      <c r="B81" s="5"/>
      <c r="C81" s="5"/>
      <c r="D81" s="581"/>
      <c r="E81" s="582"/>
      <c r="F81" s="583"/>
      <c r="G81" s="5"/>
      <c r="K81" s="5"/>
      <c r="L81" s="963"/>
      <c r="M81" s="5"/>
      <c r="N81" s="1724" t="str">
        <f t="shared" si="8"/>
        <v/>
      </c>
      <c r="O81" s="1725"/>
      <c r="P81" s="478" t="str">
        <f t="shared" si="6"/>
        <v/>
      </c>
      <c r="Q81" s="531"/>
      <c r="R81" s="477" t="str">
        <f t="shared" si="7"/>
        <v>円</v>
      </c>
      <c r="S81" s="475"/>
    </row>
    <row r="82" spans="1:22" ht="27" hidden="1" customHeight="1" outlineLevel="1">
      <c r="A82" s="5"/>
      <c r="B82" s="5"/>
      <c r="C82" s="5"/>
      <c r="D82" s="581"/>
      <c r="E82" s="582"/>
      <c r="F82" s="583"/>
      <c r="G82" s="5"/>
      <c r="K82" s="5"/>
      <c r="L82" s="963"/>
      <c r="M82" s="5"/>
      <c r="N82" s="1724" t="str">
        <f t="shared" si="8"/>
        <v/>
      </c>
      <c r="O82" s="1725"/>
      <c r="P82" s="478" t="str">
        <f t="shared" si="6"/>
        <v/>
      </c>
      <c r="Q82" s="531"/>
      <c r="R82" s="477" t="str">
        <f t="shared" si="7"/>
        <v>円</v>
      </c>
      <c r="S82" s="475"/>
    </row>
    <row r="83" spans="1:22" ht="27" hidden="1" customHeight="1" outlineLevel="1">
      <c r="A83" s="5"/>
      <c r="B83" s="5"/>
      <c r="C83" s="5"/>
      <c r="D83" s="581"/>
      <c r="E83" s="582"/>
      <c r="F83" s="583"/>
      <c r="G83" s="5"/>
      <c r="K83" s="5"/>
      <c r="L83" s="963"/>
      <c r="M83" s="5"/>
      <c r="N83" s="1724" t="str">
        <f>IF(D83="","",D83)</f>
        <v/>
      </c>
      <c r="O83" s="1725"/>
      <c r="P83" s="478" t="str">
        <f t="shared" si="6"/>
        <v/>
      </c>
      <c r="Q83" s="531"/>
      <c r="R83" s="477" t="str">
        <f t="shared" si="7"/>
        <v>円</v>
      </c>
      <c r="S83" s="475"/>
    </row>
    <row r="84" spans="1:22" ht="27" hidden="1" customHeight="1" outlineLevel="1">
      <c r="A84" s="5"/>
      <c r="B84" s="5"/>
      <c r="C84" s="5"/>
      <c r="D84" s="581"/>
      <c r="E84" s="582"/>
      <c r="F84" s="584"/>
      <c r="G84" s="5"/>
      <c r="K84" s="5"/>
      <c r="L84" s="963"/>
      <c r="M84" s="5"/>
      <c r="N84" s="1724" t="str">
        <f t="shared" si="8"/>
        <v/>
      </c>
      <c r="O84" s="1725"/>
      <c r="P84" s="478" t="str">
        <f t="shared" si="6"/>
        <v/>
      </c>
      <c r="Q84" s="531"/>
      <c r="R84" s="477" t="str">
        <f t="shared" si="7"/>
        <v>円</v>
      </c>
      <c r="S84" s="475"/>
    </row>
    <row r="85" spans="1:22" ht="27" hidden="1" customHeight="1" outlineLevel="1" thickBot="1">
      <c r="A85" s="5"/>
      <c r="B85" s="5"/>
      <c r="C85" s="5"/>
      <c r="D85" s="585"/>
      <c r="E85" s="586"/>
      <c r="F85" s="587"/>
      <c r="G85" s="5"/>
      <c r="K85" s="5"/>
      <c r="L85" s="963"/>
      <c r="M85" s="5"/>
      <c r="N85" s="1724" t="str">
        <f>IF(D85="","",D85)</f>
        <v/>
      </c>
      <c r="O85" s="1725"/>
      <c r="P85" s="476" t="str">
        <f t="shared" si="6"/>
        <v/>
      </c>
      <c r="Q85" s="532"/>
      <c r="R85" s="477" t="str">
        <f t="shared" si="7"/>
        <v>円</v>
      </c>
      <c r="S85" s="475"/>
    </row>
    <row r="86" spans="1:22" ht="27" customHeight="1">
      <c r="A86" s="5"/>
      <c r="B86" s="5"/>
      <c r="C86" s="5"/>
      <c r="D86" s="5"/>
      <c r="E86" s="5"/>
      <c r="F86" s="5"/>
      <c r="G86" s="5"/>
      <c r="H86" s="5"/>
      <c r="I86" s="5"/>
      <c r="J86" s="5"/>
      <c r="K86" s="5"/>
      <c r="L86" s="963"/>
      <c r="M86" s="5"/>
      <c r="N86" s="1645" t="s">
        <v>860</v>
      </c>
      <c r="O86" s="1720"/>
      <c r="P86" s="479" t="str">
        <f>IF(SUM(P76:P85)=0,"",SUM(P76:P85))</f>
        <v/>
      </c>
    </row>
    <row r="87" spans="1:22" ht="15" customHeight="1" thickBot="1">
      <c r="A87" s="5"/>
      <c r="B87" s="5"/>
      <c r="C87" s="5"/>
      <c r="D87" s="5"/>
      <c r="E87" s="5"/>
      <c r="F87" s="5"/>
      <c r="G87" s="5"/>
      <c r="H87" s="5"/>
      <c r="I87" s="5"/>
      <c r="J87" s="5"/>
      <c r="K87" s="5"/>
      <c r="L87" s="963"/>
      <c r="M87" s="5"/>
      <c r="N87" s="480"/>
      <c r="O87" s="481"/>
      <c r="P87" s="482"/>
    </row>
    <row r="88" spans="1:22" ht="27" customHeight="1" thickTop="1" thickBot="1">
      <c r="A88" s="5"/>
      <c r="B88" s="5"/>
      <c r="C88" s="5"/>
      <c r="D88" s="5"/>
      <c r="E88" s="5"/>
      <c r="F88" s="5"/>
      <c r="G88" s="5"/>
      <c r="H88" s="5"/>
      <c r="I88" s="5"/>
      <c r="J88" s="5"/>
      <c r="K88" s="5"/>
      <c r="L88" s="963"/>
      <c r="M88" s="5"/>
      <c r="N88" s="1652" t="s">
        <v>861</v>
      </c>
      <c r="O88" s="1653"/>
      <c r="P88" s="483" t="str">
        <f>IF(AND(P66="",P86=""),"",SUM(P66,P86))</f>
        <v/>
      </c>
    </row>
    <row r="89" spans="1:22" ht="15" customHeight="1" thickTop="1">
      <c r="A89" s="5"/>
      <c r="B89" s="5"/>
      <c r="C89" s="5"/>
      <c r="D89" s="5"/>
      <c r="E89" s="5"/>
      <c r="F89" s="5"/>
      <c r="G89" s="5"/>
      <c r="H89" s="5"/>
      <c r="I89" s="5"/>
      <c r="J89" s="5"/>
      <c r="K89" s="5"/>
      <c r="L89" s="963"/>
      <c r="M89" s="5"/>
      <c r="N89" s="480"/>
      <c r="O89" s="481"/>
      <c r="P89" s="482"/>
    </row>
    <row r="90" spans="1:22" s="186" customFormat="1" ht="18.75">
      <c r="A90" s="187"/>
      <c r="B90" s="484" t="s">
        <v>109</v>
      </c>
      <c r="C90" s="485"/>
      <c r="D90" s="187"/>
      <c r="E90" s="187"/>
      <c r="F90" s="187"/>
      <c r="G90" s="187"/>
      <c r="H90" s="187"/>
      <c r="I90" s="187"/>
      <c r="J90" s="187"/>
      <c r="K90" s="187"/>
      <c r="L90" s="964"/>
      <c r="M90" s="484" t="s">
        <v>109</v>
      </c>
      <c r="N90" s="187"/>
      <c r="V90" s="1237"/>
    </row>
    <row r="91" spans="1:22" ht="15" customHeight="1">
      <c r="A91" s="5"/>
      <c r="B91" s="5" t="s">
        <v>510</v>
      </c>
      <c r="C91" s="5"/>
      <c r="D91" s="5"/>
      <c r="E91" s="5"/>
      <c r="F91" s="5"/>
      <c r="G91" s="5"/>
      <c r="H91" s="5"/>
      <c r="I91" s="5"/>
      <c r="J91" s="5"/>
      <c r="K91" s="5"/>
      <c r="L91" s="963"/>
      <c r="M91" s="486"/>
      <c r="N91" s="5"/>
    </row>
    <row r="92" spans="1:22" ht="15" customHeight="1">
      <c r="A92" s="5"/>
      <c r="B92" s="5" t="s">
        <v>392</v>
      </c>
      <c r="C92" s="5"/>
      <c r="D92" s="5"/>
      <c r="E92" s="5"/>
      <c r="F92" s="5"/>
      <c r="G92" s="5"/>
      <c r="H92" s="5"/>
      <c r="I92" s="5"/>
      <c r="J92" s="5"/>
      <c r="K92" s="5"/>
      <c r="L92" s="963"/>
      <c r="M92" s="5"/>
      <c r="N92" s="5"/>
    </row>
    <row r="93" spans="1:22" ht="15" customHeight="1" thickBot="1">
      <c r="A93" s="5"/>
      <c r="B93" s="5" t="s">
        <v>528</v>
      </c>
      <c r="C93" s="5"/>
      <c r="D93" s="5"/>
      <c r="E93" s="5"/>
      <c r="F93" s="5"/>
      <c r="G93" s="5"/>
      <c r="H93" s="5"/>
      <c r="I93" s="5"/>
      <c r="J93" s="5"/>
      <c r="K93" s="5"/>
      <c r="L93" s="963"/>
      <c r="M93" s="5"/>
    </row>
    <row r="94" spans="1:22" ht="27" customHeight="1">
      <c r="A94" s="5"/>
      <c r="B94" s="5"/>
      <c r="D94" s="1559" t="s">
        <v>509</v>
      </c>
      <c r="E94" s="1561" t="s">
        <v>367</v>
      </c>
      <c r="F94" s="428"/>
      <c r="G94" s="1534" t="s">
        <v>206</v>
      </c>
      <c r="K94" s="5"/>
      <c r="L94" s="963"/>
      <c r="M94" s="5"/>
      <c r="N94" s="1721" t="s">
        <v>527</v>
      </c>
      <c r="O94" s="1723"/>
      <c r="P94" s="1122" t="s">
        <v>355</v>
      </c>
      <c r="Q94" s="1545" t="s">
        <v>252</v>
      </c>
    </row>
    <row r="95" spans="1:22" ht="27" customHeight="1" thickBot="1">
      <c r="A95" s="5"/>
      <c r="B95" s="5"/>
      <c r="D95" s="1560"/>
      <c r="E95" s="1562"/>
      <c r="F95" s="1109" t="s">
        <v>3</v>
      </c>
      <c r="G95" s="1563"/>
      <c r="K95" s="5"/>
      <c r="L95" s="963"/>
      <c r="M95" s="5"/>
      <c r="N95" s="1721"/>
      <c r="O95" s="1723"/>
      <c r="P95" s="1122" t="s">
        <v>837</v>
      </c>
      <c r="Q95" s="1545"/>
      <c r="R95" s="437"/>
    </row>
    <row r="96" spans="1:22" ht="27" customHeight="1" thickTop="1">
      <c r="A96" s="5"/>
      <c r="B96" s="5"/>
      <c r="D96" s="566"/>
      <c r="E96" s="567"/>
      <c r="F96" s="568"/>
      <c r="G96" s="569"/>
      <c r="K96" s="5"/>
      <c r="L96" s="963"/>
      <c r="M96" s="5"/>
      <c r="N96" s="1728" t="str">
        <f t="shared" ref="N96" si="9">IF(D96="","",D96)</f>
        <v/>
      </c>
      <c r="O96" s="1729"/>
      <c r="P96" s="476" t="str">
        <f t="shared" ref="P96:P105" si="10">IF(AND(E96="",Q96=""),"",ROUND(E96*G96%*Q96,0))</f>
        <v/>
      </c>
      <c r="Q96" s="530"/>
      <c r="R96" s="477" t="str">
        <f t="shared" ref="R96:R105" si="11">IF(F96="","円","円/"&amp;F96)</f>
        <v>円</v>
      </c>
    </row>
    <row r="97" spans="1:22" ht="27" customHeight="1">
      <c r="A97" s="5"/>
      <c r="B97" s="5"/>
      <c r="D97" s="570"/>
      <c r="E97" s="571"/>
      <c r="F97" s="572"/>
      <c r="G97" s="573"/>
      <c r="K97" s="5"/>
      <c r="L97" s="963"/>
      <c r="M97" s="5"/>
      <c r="N97" s="1728" t="str">
        <f t="shared" ref="N97:N104" si="12">IF(D97="","",D97)</f>
        <v/>
      </c>
      <c r="O97" s="1729"/>
      <c r="P97" s="478" t="str">
        <f t="shared" si="10"/>
        <v/>
      </c>
      <c r="Q97" s="531"/>
      <c r="R97" s="477" t="str">
        <f t="shared" si="11"/>
        <v>円</v>
      </c>
    </row>
    <row r="98" spans="1:22" ht="27" customHeight="1">
      <c r="A98" s="5"/>
      <c r="B98" s="5"/>
      <c r="D98" s="570"/>
      <c r="E98" s="571"/>
      <c r="F98" s="572"/>
      <c r="G98" s="573"/>
      <c r="K98" s="5"/>
      <c r="L98" s="963"/>
      <c r="M98" s="5"/>
      <c r="N98" s="1728" t="str">
        <f t="shared" si="12"/>
        <v/>
      </c>
      <c r="O98" s="1729"/>
      <c r="P98" s="478" t="str">
        <f t="shared" si="10"/>
        <v/>
      </c>
      <c r="Q98" s="531"/>
      <c r="R98" s="477" t="str">
        <f t="shared" si="11"/>
        <v>円</v>
      </c>
    </row>
    <row r="99" spans="1:22" s="534" customFormat="1" ht="27" customHeight="1" collapsed="1" thickBot="1">
      <c r="A99" s="533"/>
      <c r="B99" s="533"/>
      <c r="D99" s="1020"/>
      <c r="E99" s="1021"/>
      <c r="F99" s="1022"/>
      <c r="G99" s="1023"/>
      <c r="K99" s="533"/>
      <c r="L99" s="1229"/>
      <c r="M99" s="1231"/>
      <c r="N99" s="1726" t="str">
        <f t="shared" si="12"/>
        <v/>
      </c>
      <c r="O99" s="1727"/>
      <c r="P99" s="1232" t="str">
        <f t="shared" si="10"/>
        <v/>
      </c>
      <c r="Q99" s="1233"/>
      <c r="R99" s="1225" t="str">
        <f t="shared" si="11"/>
        <v>円</v>
      </c>
      <c r="S99" s="1221"/>
      <c r="T99" s="1221"/>
      <c r="U99" s="1221"/>
      <c r="V99" s="1221"/>
    </row>
    <row r="100" spans="1:22" ht="27" hidden="1" customHeight="1" outlineLevel="1">
      <c r="A100" s="5"/>
      <c r="B100" s="5"/>
      <c r="D100" s="570"/>
      <c r="E100" s="574"/>
      <c r="F100" s="575"/>
      <c r="G100" s="576"/>
      <c r="K100" s="5"/>
      <c r="L100" s="963"/>
      <c r="M100" s="5"/>
      <c r="N100" s="1728" t="str">
        <f t="shared" si="12"/>
        <v/>
      </c>
      <c r="O100" s="1729"/>
      <c r="P100" s="478" t="str">
        <f t="shared" si="10"/>
        <v/>
      </c>
      <c r="Q100" s="531"/>
      <c r="R100" s="477" t="str">
        <f t="shared" si="11"/>
        <v>円</v>
      </c>
    </row>
    <row r="101" spans="1:22" ht="27" hidden="1" customHeight="1" outlineLevel="1">
      <c r="A101" s="5"/>
      <c r="B101" s="5"/>
      <c r="D101" s="570"/>
      <c r="E101" s="574"/>
      <c r="F101" s="575"/>
      <c r="G101" s="576"/>
      <c r="K101" s="5"/>
      <c r="L101" s="963"/>
      <c r="M101" s="5"/>
      <c r="N101" s="1728" t="str">
        <f t="shared" si="12"/>
        <v/>
      </c>
      <c r="O101" s="1729"/>
      <c r="P101" s="478" t="str">
        <f t="shared" si="10"/>
        <v/>
      </c>
      <c r="Q101" s="531"/>
      <c r="R101" s="477" t="str">
        <f t="shared" si="11"/>
        <v>円</v>
      </c>
    </row>
    <row r="102" spans="1:22" ht="27" hidden="1" customHeight="1" outlineLevel="1">
      <c r="A102" s="5"/>
      <c r="B102" s="5"/>
      <c r="D102" s="570"/>
      <c r="E102" s="574"/>
      <c r="F102" s="575"/>
      <c r="G102" s="576"/>
      <c r="K102" s="5"/>
      <c r="L102" s="963"/>
      <c r="M102" s="5"/>
      <c r="N102" s="1728" t="str">
        <f t="shared" si="12"/>
        <v/>
      </c>
      <c r="O102" s="1729"/>
      <c r="P102" s="478" t="str">
        <f t="shared" si="10"/>
        <v/>
      </c>
      <c r="Q102" s="531"/>
      <c r="R102" s="477" t="str">
        <f t="shared" si="11"/>
        <v>円</v>
      </c>
    </row>
    <row r="103" spans="1:22" ht="27" hidden="1" customHeight="1" outlineLevel="1">
      <c r="A103" s="5"/>
      <c r="B103" s="5"/>
      <c r="D103" s="570"/>
      <c r="E103" s="574"/>
      <c r="F103" s="575"/>
      <c r="G103" s="576"/>
      <c r="K103" s="5"/>
      <c r="L103" s="963"/>
      <c r="M103" s="5"/>
      <c r="N103" s="1728" t="str">
        <f>IF(D103="","",D103)</f>
        <v/>
      </c>
      <c r="O103" s="1729"/>
      <c r="P103" s="478" t="str">
        <f t="shared" si="10"/>
        <v/>
      </c>
      <c r="Q103" s="531"/>
      <c r="R103" s="477" t="str">
        <f t="shared" si="11"/>
        <v>円</v>
      </c>
    </row>
    <row r="104" spans="1:22" ht="27" hidden="1" customHeight="1" outlineLevel="1">
      <c r="A104" s="5"/>
      <c r="B104" s="5"/>
      <c r="D104" s="570"/>
      <c r="E104" s="574"/>
      <c r="F104" s="575"/>
      <c r="G104" s="576"/>
      <c r="K104" s="5"/>
      <c r="L104" s="963"/>
      <c r="M104" s="5"/>
      <c r="N104" s="1728" t="str">
        <f t="shared" si="12"/>
        <v/>
      </c>
      <c r="O104" s="1729"/>
      <c r="P104" s="478" t="str">
        <f t="shared" si="10"/>
        <v/>
      </c>
      <c r="Q104" s="531"/>
      <c r="R104" s="477" t="str">
        <f t="shared" si="11"/>
        <v>円</v>
      </c>
    </row>
    <row r="105" spans="1:22" ht="27" hidden="1" customHeight="1" outlineLevel="1" thickBot="1">
      <c r="A105" s="5"/>
      <c r="B105" s="5"/>
      <c r="D105" s="577"/>
      <c r="E105" s="578"/>
      <c r="F105" s="579"/>
      <c r="G105" s="580"/>
      <c r="K105" s="5"/>
      <c r="L105" s="963"/>
      <c r="M105" s="5"/>
      <c r="N105" s="1728" t="str">
        <f>IF(D105="","",D105)</f>
        <v/>
      </c>
      <c r="O105" s="1729"/>
      <c r="P105" s="478" t="str">
        <f t="shared" si="10"/>
        <v/>
      </c>
      <c r="Q105" s="532"/>
      <c r="R105" s="477" t="str">
        <f t="shared" si="11"/>
        <v>円</v>
      </c>
    </row>
    <row r="106" spans="1:22" ht="27" customHeight="1" thickTop="1" thickBot="1">
      <c r="K106" s="5"/>
      <c r="L106" s="963"/>
      <c r="M106" s="5"/>
      <c r="N106" s="1647" t="s">
        <v>838</v>
      </c>
      <c r="O106" s="1648"/>
      <c r="P106" s="487" t="str">
        <f>IF(SUM(P96:P105)=0,"",SUM(P96:P105))</f>
        <v/>
      </c>
    </row>
    <row r="107" spans="1:22" ht="25.15" customHeight="1" thickTop="1">
      <c r="K107" s="5"/>
      <c r="L107" s="963"/>
      <c r="M107" s="5"/>
      <c r="N107" s="480"/>
      <c r="O107" s="481"/>
      <c r="P107" s="482"/>
    </row>
    <row r="108" spans="1:22" s="186" customFormat="1" ht="18.75">
      <c r="A108" s="310" t="s">
        <v>508</v>
      </c>
      <c r="B108" s="310"/>
      <c r="C108" s="310"/>
      <c r="D108" s="310"/>
      <c r="E108" s="310"/>
      <c r="F108" s="187"/>
      <c r="G108" s="187"/>
      <c r="H108" s="187"/>
      <c r="I108" s="187"/>
      <c r="J108" s="187"/>
      <c r="K108" s="187"/>
      <c r="L108" s="964"/>
      <c r="M108" s="310" t="s">
        <v>526</v>
      </c>
      <c r="N108" s="187"/>
      <c r="O108" s="187"/>
      <c r="P108" s="187"/>
      <c r="Q108" s="187"/>
      <c r="R108" s="187"/>
      <c r="V108" s="1237"/>
    </row>
    <row r="109" spans="1:22" ht="15" customHeight="1">
      <c r="B109" s="312"/>
      <c r="C109" s="5"/>
      <c r="D109" s="5"/>
      <c r="K109" s="5"/>
      <c r="L109" s="963"/>
      <c r="M109" s="5"/>
    </row>
    <row r="110" spans="1:22" s="186" customFormat="1" ht="18.75">
      <c r="B110" s="454" t="s">
        <v>108</v>
      </c>
      <c r="C110" s="187"/>
      <c r="K110" s="187"/>
      <c r="L110" s="964"/>
      <c r="M110" s="454" t="s">
        <v>108</v>
      </c>
      <c r="V110" s="1237"/>
    </row>
    <row r="111" spans="1:22" ht="15" customHeight="1">
      <c r="B111" s="5" t="s">
        <v>688</v>
      </c>
      <c r="C111" s="5"/>
      <c r="K111" s="5"/>
      <c r="L111" s="963"/>
      <c r="M111" s="5"/>
    </row>
    <row r="112" spans="1:22" ht="15" customHeight="1">
      <c r="B112" s="5" t="s">
        <v>689</v>
      </c>
      <c r="C112" s="5"/>
      <c r="K112" s="5"/>
      <c r="L112" s="963"/>
      <c r="M112" s="5"/>
    </row>
    <row r="113" spans="1:19" ht="15" customHeight="1" thickBot="1">
      <c r="K113" s="5"/>
      <c r="L113" s="963"/>
      <c r="M113" s="5"/>
    </row>
    <row r="114" spans="1:19" ht="27" customHeight="1">
      <c r="C114" s="1561" t="s">
        <v>149</v>
      </c>
      <c r="D114" s="1576"/>
      <c r="E114" s="1561" t="s">
        <v>79</v>
      </c>
      <c r="F114" s="1534" t="s">
        <v>206</v>
      </c>
      <c r="G114" s="249"/>
      <c r="H114" s="5"/>
      <c r="I114" s="5"/>
      <c r="J114" s="5"/>
      <c r="K114" s="5"/>
      <c r="L114" s="963"/>
      <c r="M114" s="5"/>
      <c r="N114" s="1652" t="s">
        <v>522</v>
      </c>
      <c r="O114" s="1492"/>
      <c r="P114" s="1122" t="s">
        <v>355</v>
      </c>
      <c r="Q114" s="1540"/>
    </row>
    <row r="115" spans="1:19" ht="27" customHeight="1" thickBot="1">
      <c r="C115" s="1562"/>
      <c r="D115" s="1577"/>
      <c r="E115" s="1562"/>
      <c r="F115" s="1535"/>
      <c r="G115" s="250"/>
      <c r="H115" s="5"/>
      <c r="I115" s="5"/>
      <c r="J115" s="5"/>
      <c r="K115" s="5"/>
      <c r="L115" s="963"/>
      <c r="M115" s="5"/>
      <c r="N115" s="1492"/>
      <c r="O115" s="1492"/>
      <c r="P115" s="1122" t="s">
        <v>837</v>
      </c>
      <c r="Q115" s="1540"/>
    </row>
    <row r="116" spans="1:19" ht="27" customHeight="1" thickTop="1" thickBot="1">
      <c r="C116" s="1650" t="s">
        <v>28</v>
      </c>
      <c r="D116" s="1651"/>
      <c r="E116" s="558"/>
      <c r="F116" s="559"/>
      <c r="G116" s="252"/>
      <c r="H116" s="431"/>
      <c r="I116" s="5"/>
      <c r="J116" s="5"/>
      <c r="K116" s="5"/>
      <c r="L116" s="963"/>
      <c r="M116" s="5"/>
      <c r="N116" s="1649" t="s">
        <v>839</v>
      </c>
      <c r="O116" s="1558"/>
      <c r="P116" s="488" t="str">
        <f>IF(COUNT(F116:F123)=0,"",IF(AND(E116&gt;0,F116&gt;0),ROUND(E116*F116%,0),SUM(P117:P123)))</f>
        <v/>
      </c>
      <c r="Q116" s="466"/>
    </row>
    <row r="117" spans="1:19" ht="27" customHeight="1" thickTop="1">
      <c r="C117" s="45"/>
      <c r="D117" s="489" t="s">
        <v>25</v>
      </c>
      <c r="E117" s="560"/>
      <c r="F117" s="561"/>
      <c r="G117" s="251"/>
      <c r="H117" s="431"/>
      <c r="I117" s="5"/>
      <c r="J117" s="5"/>
      <c r="K117" s="5"/>
      <c r="L117" s="963"/>
      <c r="M117" s="5"/>
      <c r="N117" s="253"/>
      <c r="O117" s="490" t="s">
        <v>25</v>
      </c>
      <c r="P117" s="460" t="str">
        <f t="shared" ref="P117:P123" si="13">IF(F117="","",ROUND(E117*F117%,0))</f>
        <v/>
      </c>
      <c r="Q117" s="466" t="str">
        <f t="shared" ref="Q117:Q123" si="14">IF(G117="","",ROUND(E117*G117%,0))</f>
        <v/>
      </c>
    </row>
    <row r="118" spans="1:19" ht="27" customHeight="1">
      <c r="C118" s="45"/>
      <c r="D118" s="489" t="s">
        <v>26</v>
      </c>
      <c r="E118" s="562"/>
      <c r="F118" s="563"/>
      <c r="G118" s="251"/>
      <c r="H118" s="431"/>
      <c r="I118" s="5"/>
      <c r="J118" s="5"/>
      <c r="K118" s="5"/>
      <c r="L118" s="963"/>
      <c r="M118" s="5"/>
      <c r="N118" s="253"/>
      <c r="O118" s="490" t="s">
        <v>26</v>
      </c>
      <c r="P118" s="465" t="str">
        <f t="shared" si="13"/>
        <v/>
      </c>
      <c r="Q118" s="466" t="str">
        <f t="shared" si="14"/>
        <v/>
      </c>
    </row>
    <row r="119" spans="1:19" ht="27" customHeight="1">
      <c r="C119" s="45"/>
      <c r="D119" s="489" t="s">
        <v>45</v>
      </c>
      <c r="E119" s="562"/>
      <c r="F119" s="563"/>
      <c r="G119" s="251"/>
      <c r="H119" s="431"/>
      <c r="I119" s="5"/>
      <c r="J119" s="5"/>
      <c r="K119" s="5"/>
      <c r="L119" s="963"/>
      <c r="M119" s="5"/>
      <c r="N119" s="253"/>
      <c r="O119" s="490" t="s">
        <v>45</v>
      </c>
      <c r="P119" s="465" t="str">
        <f t="shared" si="13"/>
        <v/>
      </c>
      <c r="Q119" s="466" t="str">
        <f t="shared" si="14"/>
        <v/>
      </c>
    </row>
    <row r="120" spans="1:19" ht="27" customHeight="1">
      <c r="C120" s="45"/>
      <c r="D120" s="489" t="s">
        <v>525</v>
      </c>
      <c r="E120" s="562"/>
      <c r="F120" s="563"/>
      <c r="G120" s="251"/>
      <c r="H120" s="431"/>
      <c r="I120" s="5"/>
      <c r="J120" s="5"/>
      <c r="K120" s="5"/>
      <c r="L120" s="963"/>
      <c r="M120" s="5"/>
      <c r="N120" s="253"/>
      <c r="O120" s="490" t="s">
        <v>525</v>
      </c>
      <c r="P120" s="465" t="str">
        <f t="shared" si="13"/>
        <v/>
      </c>
      <c r="Q120" s="466" t="str">
        <f t="shared" si="14"/>
        <v/>
      </c>
    </row>
    <row r="121" spans="1:19" ht="27" customHeight="1">
      <c r="C121" s="45"/>
      <c r="D121" s="489" t="s">
        <v>46</v>
      </c>
      <c r="E121" s="562"/>
      <c r="F121" s="563"/>
      <c r="G121" s="251"/>
      <c r="H121" s="431"/>
      <c r="I121" s="5"/>
      <c r="J121" s="5"/>
      <c r="K121" s="5"/>
      <c r="L121" s="963"/>
      <c r="M121" s="5"/>
      <c r="N121" s="253"/>
      <c r="O121" s="490" t="s">
        <v>46</v>
      </c>
      <c r="P121" s="465" t="str">
        <f t="shared" si="13"/>
        <v/>
      </c>
      <c r="Q121" s="466" t="str">
        <f t="shared" si="14"/>
        <v/>
      </c>
    </row>
    <row r="122" spans="1:19" ht="27" customHeight="1">
      <c r="A122" s="5"/>
      <c r="B122" s="426"/>
      <c r="C122" s="45"/>
      <c r="D122" s="489" t="s">
        <v>27</v>
      </c>
      <c r="E122" s="562"/>
      <c r="F122" s="563"/>
      <c r="G122" s="251"/>
      <c r="H122" s="431"/>
      <c r="I122" s="5"/>
      <c r="J122" s="5"/>
      <c r="K122" s="5"/>
      <c r="L122" s="963"/>
      <c r="M122" s="5"/>
      <c r="N122" s="253"/>
      <c r="O122" s="490" t="s">
        <v>27</v>
      </c>
      <c r="P122" s="465" t="str">
        <f t="shared" si="13"/>
        <v/>
      </c>
      <c r="Q122" s="466" t="str">
        <f t="shared" si="14"/>
        <v/>
      </c>
    </row>
    <row r="123" spans="1:19" ht="27" customHeight="1" thickBot="1">
      <c r="A123" s="5"/>
      <c r="B123" s="426"/>
      <c r="C123" s="491"/>
      <c r="D123" s="492" t="s">
        <v>11</v>
      </c>
      <c r="E123" s="564"/>
      <c r="F123" s="565"/>
      <c r="G123" s="251"/>
      <c r="H123" s="431"/>
      <c r="I123" s="5"/>
      <c r="J123" s="5"/>
      <c r="K123" s="5"/>
      <c r="L123" s="963"/>
      <c r="M123" s="5"/>
      <c r="N123" s="184"/>
      <c r="O123" s="490" t="s">
        <v>11</v>
      </c>
      <c r="P123" s="465" t="str">
        <f t="shared" si="13"/>
        <v/>
      </c>
      <c r="Q123" s="466" t="str">
        <f t="shared" si="14"/>
        <v/>
      </c>
    </row>
    <row r="124" spans="1:19" ht="15" customHeight="1">
      <c r="C124" s="5"/>
      <c r="D124" s="5"/>
      <c r="E124" s="5"/>
      <c r="F124" s="5"/>
      <c r="G124" s="5"/>
      <c r="H124" s="5"/>
      <c r="I124" s="5"/>
      <c r="J124" s="5"/>
      <c r="K124" s="5"/>
      <c r="L124" s="963"/>
      <c r="P124" s="5"/>
      <c r="Q124" s="5"/>
      <c r="R124" s="5"/>
      <c r="S124" s="5"/>
    </row>
    <row r="125" spans="1:19" ht="18.75">
      <c r="B125" s="484" t="s">
        <v>109</v>
      </c>
      <c r="C125" s="493"/>
      <c r="D125" s="5"/>
      <c r="E125" s="5"/>
      <c r="F125" s="5"/>
      <c r="G125" s="5"/>
      <c r="H125" s="5"/>
      <c r="I125" s="5"/>
      <c r="J125" s="5"/>
      <c r="K125" s="5"/>
      <c r="L125" s="963"/>
      <c r="M125" s="484" t="s">
        <v>109</v>
      </c>
      <c r="P125" s="5"/>
      <c r="Q125" s="5"/>
      <c r="R125" s="5"/>
      <c r="S125" s="5"/>
    </row>
    <row r="126" spans="1:19" ht="15" customHeight="1">
      <c r="B126" s="494" t="s">
        <v>690</v>
      </c>
      <c r="C126" s="5"/>
      <c r="D126" s="5"/>
      <c r="E126" s="5"/>
      <c r="F126" s="5"/>
      <c r="G126" s="5"/>
      <c r="H126" s="5"/>
      <c r="I126" s="5"/>
      <c r="J126" s="5"/>
      <c r="K126" s="5"/>
      <c r="L126" s="963"/>
      <c r="P126" s="5"/>
      <c r="Q126" s="5"/>
      <c r="R126" s="5"/>
      <c r="S126" s="5"/>
    </row>
    <row r="127" spans="1:19" ht="15" customHeight="1">
      <c r="B127" s="5" t="s">
        <v>392</v>
      </c>
      <c r="C127" s="5"/>
      <c r="D127" s="5"/>
      <c r="E127" s="5"/>
      <c r="F127" s="5"/>
      <c r="G127" s="5"/>
      <c r="H127" s="5"/>
      <c r="I127" s="5"/>
      <c r="J127" s="5"/>
      <c r="K127" s="5"/>
      <c r="L127" s="963"/>
      <c r="M127" s="468"/>
      <c r="P127" s="5"/>
      <c r="Q127" s="5"/>
      <c r="R127" s="5"/>
      <c r="S127" s="5"/>
    </row>
    <row r="128" spans="1:19" ht="15" customHeight="1" thickBot="1">
      <c r="C128" s="5"/>
      <c r="D128" s="5"/>
      <c r="E128" s="5"/>
      <c r="F128" s="5"/>
      <c r="G128" s="5"/>
      <c r="H128" s="5"/>
      <c r="I128" s="5"/>
      <c r="J128" s="5"/>
      <c r="K128" s="5"/>
      <c r="L128" s="963"/>
      <c r="N128" s="468"/>
      <c r="O128" s="468"/>
      <c r="P128" s="437"/>
      <c r="Q128" s="437"/>
      <c r="R128" s="437"/>
      <c r="S128" s="437"/>
    </row>
    <row r="129" spans="1:22" ht="27" customHeight="1">
      <c r="D129" s="1559" t="s">
        <v>509</v>
      </c>
      <c r="E129" s="1561" t="s">
        <v>367</v>
      </c>
      <c r="F129" s="1111"/>
      <c r="G129" s="1534" t="s">
        <v>206</v>
      </c>
      <c r="H129" s="249"/>
      <c r="K129" s="5"/>
      <c r="L129" s="963"/>
      <c r="N129" s="1721" t="s">
        <v>527</v>
      </c>
      <c r="O129" s="1723"/>
      <c r="P129" s="1122" t="s">
        <v>355</v>
      </c>
      <c r="Q129" s="1536" t="s">
        <v>252</v>
      </c>
    </row>
    <row r="130" spans="1:22" ht="27" customHeight="1" thickBot="1">
      <c r="D130" s="1560"/>
      <c r="E130" s="1562"/>
      <c r="F130" s="1109" t="s">
        <v>3</v>
      </c>
      <c r="G130" s="1535"/>
      <c r="H130" s="250"/>
      <c r="K130" s="5"/>
      <c r="L130" s="963"/>
      <c r="M130" s="437"/>
      <c r="N130" s="1721"/>
      <c r="O130" s="1723"/>
      <c r="P130" s="1122" t="s">
        <v>837</v>
      </c>
      <c r="Q130" s="1706"/>
      <c r="R130" s="437"/>
    </row>
    <row r="131" spans="1:22" ht="27" customHeight="1" thickTop="1">
      <c r="D131" s="544"/>
      <c r="E131" s="545"/>
      <c r="F131" s="546"/>
      <c r="G131" s="547"/>
      <c r="H131" s="252"/>
      <c r="K131" s="5"/>
      <c r="L131" s="963"/>
      <c r="M131" s="437"/>
      <c r="N131" s="1724" t="str">
        <f t="shared" ref="N131" si="15">IF(D131="","",D131)</f>
        <v/>
      </c>
      <c r="O131" s="1725"/>
      <c r="P131" s="495" t="str">
        <f t="shared" ref="P131:P140" si="16">IF(Q131="","",ROUND(E131*G131*Q131%,0))</f>
        <v/>
      </c>
      <c r="Q131" s="535"/>
      <c r="R131" s="477" t="str">
        <f t="shared" ref="R131:R140" si="17">IF(F131="","円","円/"&amp;F131)</f>
        <v>円</v>
      </c>
    </row>
    <row r="132" spans="1:22" ht="27" customHeight="1">
      <c r="D132" s="548"/>
      <c r="E132" s="549"/>
      <c r="F132" s="550"/>
      <c r="G132" s="551"/>
      <c r="H132" s="252"/>
      <c r="K132" s="5"/>
      <c r="L132" s="963"/>
      <c r="M132" s="437"/>
      <c r="N132" s="1724" t="str">
        <f t="shared" ref="N132:N139" si="18">IF(D132="","",D132)</f>
        <v/>
      </c>
      <c r="O132" s="1725"/>
      <c r="P132" s="496" t="str">
        <f t="shared" si="16"/>
        <v/>
      </c>
      <c r="Q132" s="536"/>
      <c r="R132" s="477" t="str">
        <f t="shared" si="17"/>
        <v>円</v>
      </c>
    </row>
    <row r="133" spans="1:22" ht="27" customHeight="1">
      <c r="D133" s="552"/>
      <c r="E133" s="549"/>
      <c r="F133" s="553"/>
      <c r="G133" s="551"/>
      <c r="H133" s="252"/>
      <c r="K133" s="5"/>
      <c r="L133" s="963"/>
      <c r="M133" s="437"/>
      <c r="N133" s="1724" t="str">
        <f t="shared" si="18"/>
        <v/>
      </c>
      <c r="O133" s="1725"/>
      <c r="P133" s="496" t="str">
        <f t="shared" si="16"/>
        <v/>
      </c>
      <c r="Q133" s="536"/>
      <c r="R133" s="477" t="str">
        <f t="shared" si="17"/>
        <v>円</v>
      </c>
    </row>
    <row r="134" spans="1:22" s="1024" customFormat="1" ht="27" customHeight="1" collapsed="1" thickBot="1">
      <c r="D134" s="1025"/>
      <c r="E134" s="1028"/>
      <c r="F134" s="1029"/>
      <c r="G134" s="1030"/>
      <c r="H134" s="1026"/>
      <c r="K134" s="1027"/>
      <c r="L134" s="1229"/>
      <c r="M134" s="1221"/>
      <c r="N134" s="1726" t="str">
        <f t="shared" si="18"/>
        <v/>
      </c>
      <c r="O134" s="1727"/>
      <c r="P134" s="1222" t="str">
        <f t="shared" si="16"/>
        <v/>
      </c>
      <c r="Q134" s="1230"/>
      <c r="R134" s="1225" t="str">
        <f t="shared" si="17"/>
        <v>円</v>
      </c>
      <c r="S134" s="1221"/>
      <c r="T134" s="1221"/>
      <c r="U134" s="1221"/>
      <c r="V134" s="1221"/>
    </row>
    <row r="135" spans="1:22" ht="27" hidden="1" customHeight="1" outlineLevel="1">
      <c r="D135" s="548"/>
      <c r="E135" s="549"/>
      <c r="F135" s="550"/>
      <c r="G135" s="551"/>
      <c r="H135" s="252"/>
      <c r="K135" s="5"/>
      <c r="L135" s="963"/>
      <c r="M135" s="437"/>
      <c r="N135" s="1724" t="str">
        <f>IF(D135="","",D135)</f>
        <v/>
      </c>
      <c r="O135" s="1725"/>
      <c r="P135" s="496" t="str">
        <f t="shared" si="16"/>
        <v/>
      </c>
      <c r="Q135" s="536"/>
      <c r="R135" s="477" t="str">
        <f t="shared" si="17"/>
        <v>円</v>
      </c>
    </row>
    <row r="136" spans="1:22" ht="27" hidden="1" customHeight="1" outlineLevel="1">
      <c r="D136" s="548"/>
      <c r="E136" s="549"/>
      <c r="F136" s="550"/>
      <c r="G136" s="551"/>
      <c r="H136" s="252"/>
      <c r="K136" s="5"/>
      <c r="L136" s="963"/>
      <c r="M136" s="437"/>
      <c r="N136" s="1724" t="str">
        <f t="shared" si="18"/>
        <v/>
      </c>
      <c r="O136" s="1725"/>
      <c r="P136" s="496" t="str">
        <f t="shared" si="16"/>
        <v/>
      </c>
      <c r="Q136" s="536"/>
      <c r="R136" s="477" t="str">
        <f t="shared" si="17"/>
        <v>円</v>
      </c>
    </row>
    <row r="137" spans="1:22" ht="27" hidden="1" customHeight="1" outlineLevel="1">
      <c r="D137" s="548"/>
      <c r="E137" s="549"/>
      <c r="F137" s="550"/>
      <c r="G137" s="551"/>
      <c r="H137" s="252"/>
      <c r="K137" s="5"/>
      <c r="L137" s="963"/>
      <c r="M137" s="437"/>
      <c r="N137" s="1724" t="str">
        <f t="shared" si="18"/>
        <v/>
      </c>
      <c r="O137" s="1725"/>
      <c r="P137" s="496" t="str">
        <f t="shared" si="16"/>
        <v/>
      </c>
      <c r="Q137" s="536"/>
      <c r="R137" s="477" t="str">
        <f t="shared" si="17"/>
        <v>円</v>
      </c>
    </row>
    <row r="138" spans="1:22" ht="27" hidden="1" customHeight="1" outlineLevel="1">
      <c r="D138" s="548"/>
      <c r="E138" s="549"/>
      <c r="F138" s="550"/>
      <c r="G138" s="551"/>
      <c r="H138" s="252"/>
      <c r="K138" s="5"/>
      <c r="L138" s="963"/>
      <c r="M138" s="437"/>
      <c r="N138" s="1724" t="str">
        <f t="shared" si="18"/>
        <v/>
      </c>
      <c r="O138" s="1725"/>
      <c r="P138" s="496" t="str">
        <f t="shared" si="16"/>
        <v/>
      </c>
      <c r="Q138" s="536"/>
      <c r="R138" s="477" t="str">
        <f t="shared" si="17"/>
        <v>円</v>
      </c>
    </row>
    <row r="139" spans="1:22" ht="27" hidden="1" customHeight="1" outlineLevel="1">
      <c r="D139" s="548"/>
      <c r="E139" s="549"/>
      <c r="F139" s="550"/>
      <c r="G139" s="551"/>
      <c r="H139" s="252"/>
      <c r="K139" s="5"/>
      <c r="L139" s="963"/>
      <c r="M139" s="437"/>
      <c r="N139" s="1724" t="str">
        <f t="shared" si="18"/>
        <v/>
      </c>
      <c r="O139" s="1725"/>
      <c r="P139" s="496" t="str">
        <f t="shared" si="16"/>
        <v/>
      </c>
      <c r="Q139" s="536"/>
      <c r="R139" s="477" t="str">
        <f t="shared" si="17"/>
        <v>円</v>
      </c>
    </row>
    <row r="140" spans="1:22" ht="27" hidden="1" customHeight="1" outlineLevel="1" thickBot="1">
      <c r="D140" s="554"/>
      <c r="E140" s="555"/>
      <c r="F140" s="556"/>
      <c r="G140" s="557"/>
      <c r="H140" s="252"/>
      <c r="K140" s="5"/>
      <c r="L140" s="963"/>
      <c r="M140" s="437"/>
      <c r="N140" s="1724" t="str">
        <f>IF(D140="","",D140)</f>
        <v/>
      </c>
      <c r="O140" s="1725"/>
      <c r="P140" s="497" t="str">
        <f t="shared" si="16"/>
        <v/>
      </c>
      <c r="Q140" s="537"/>
      <c r="R140" s="477" t="str">
        <f t="shared" si="17"/>
        <v>円</v>
      </c>
    </row>
    <row r="141" spans="1:22" ht="27" customHeight="1" thickTop="1" thickBot="1">
      <c r="K141" s="5"/>
      <c r="L141" s="963"/>
      <c r="M141" s="437"/>
      <c r="N141" s="1647" t="s">
        <v>840</v>
      </c>
      <c r="O141" s="1648"/>
      <c r="P141" s="498" t="str">
        <f>IF(SUM(P131:P140)=0,"",SUM(P131:P140))</f>
        <v/>
      </c>
      <c r="Q141" s="437"/>
      <c r="R141" s="437"/>
    </row>
    <row r="142" spans="1:22" ht="25.15" customHeight="1" thickTop="1">
      <c r="K142" s="5"/>
      <c r="L142" s="963"/>
    </row>
    <row r="143" spans="1:22" ht="20.100000000000001" customHeight="1">
      <c r="A143" s="310" t="s">
        <v>110</v>
      </c>
      <c r="K143" s="5"/>
      <c r="L143" s="963"/>
      <c r="M143" s="310" t="s">
        <v>298</v>
      </c>
    </row>
    <row r="144" spans="1:22" ht="15" customHeight="1">
      <c r="A144" s="310"/>
      <c r="K144" s="5"/>
      <c r="L144" s="963"/>
    </row>
    <row r="145" spans="2:22" ht="15" customHeight="1">
      <c r="B145" s="5" t="s">
        <v>691</v>
      </c>
      <c r="C145" s="5"/>
      <c r="D145" s="5"/>
      <c r="E145" s="5"/>
      <c r="F145" s="5"/>
      <c r="G145" s="5"/>
      <c r="H145" s="5"/>
      <c r="L145" s="965"/>
    </row>
    <row r="146" spans="2:22" ht="15" customHeight="1">
      <c r="B146" s="290" t="s">
        <v>536</v>
      </c>
      <c r="C146" s="290"/>
      <c r="D146" s="290"/>
      <c r="E146" s="290"/>
      <c r="F146" s="290"/>
      <c r="G146" s="290"/>
      <c r="H146" s="290"/>
      <c r="L146" s="965"/>
      <c r="P146" s="5"/>
      <c r="Q146" s="5"/>
      <c r="R146" s="5"/>
      <c r="S146" s="5"/>
    </row>
    <row r="147" spans="2:22" ht="15" customHeight="1" thickBot="1">
      <c r="B147" s="88"/>
      <c r="C147" s="88"/>
      <c r="D147" s="88"/>
      <c r="E147" s="88"/>
      <c r="F147" s="88"/>
      <c r="G147" s="88"/>
      <c r="H147" s="88"/>
      <c r="L147" s="965"/>
    </row>
    <row r="148" spans="2:22" ht="27" customHeight="1">
      <c r="B148" s="1559" t="s">
        <v>151</v>
      </c>
      <c r="C148" s="1701"/>
      <c r="D148" s="1707"/>
      <c r="E148" s="1711" t="s">
        <v>524</v>
      </c>
      <c r="F148" s="1667" t="s">
        <v>206</v>
      </c>
      <c r="G148" s="1559" t="s">
        <v>77</v>
      </c>
      <c r="H148" s="1701"/>
      <c r="I148" s="1702"/>
      <c r="J148" s="1660"/>
      <c r="L148" s="965"/>
      <c r="N148" s="1695" t="s">
        <v>151</v>
      </c>
      <c r="O148" s="1696"/>
      <c r="P148" s="1122" t="s">
        <v>355</v>
      </c>
    </row>
    <row r="149" spans="2:22" ht="27" customHeight="1" thickBot="1">
      <c r="B149" s="1708"/>
      <c r="C149" s="1709"/>
      <c r="D149" s="1710"/>
      <c r="E149" s="1712"/>
      <c r="F149" s="1668"/>
      <c r="G149" s="1560"/>
      <c r="H149" s="1703"/>
      <c r="I149" s="1704"/>
      <c r="J149" s="1705"/>
      <c r="L149" s="965"/>
      <c r="N149" s="1697"/>
      <c r="O149" s="1698"/>
      <c r="P149" s="1122" t="s">
        <v>837</v>
      </c>
    </row>
    <row r="150" spans="2:22" ht="27" customHeight="1" thickTop="1" thickBot="1">
      <c r="B150" s="1423" t="s">
        <v>28</v>
      </c>
      <c r="C150" s="1424"/>
      <c r="D150" s="1666"/>
      <c r="E150" s="542"/>
      <c r="F150" s="543"/>
      <c r="G150" s="1656"/>
      <c r="H150" s="1657"/>
      <c r="I150" s="1655"/>
      <c r="J150" s="1658"/>
      <c r="L150" s="965"/>
      <c r="N150" s="1699" t="s">
        <v>841</v>
      </c>
      <c r="O150" s="1700"/>
      <c r="P150" s="500" t="str">
        <f>IF(COUNT(F150:F154)=0,"",IF(AND(E150&gt;0,F150&gt;0),ROUND(E150*F150%,0),SUM(P151:P154)))</f>
        <v/>
      </c>
    </row>
    <row r="151" spans="2:22" ht="27" customHeight="1" thickTop="1">
      <c r="B151" s="501"/>
      <c r="C151" s="502" t="s">
        <v>35</v>
      </c>
      <c r="D151" s="503"/>
      <c r="E151" s="132"/>
      <c r="F151" s="276"/>
      <c r="G151" s="1508" t="s">
        <v>65</v>
      </c>
      <c r="H151" s="1654"/>
      <c r="I151" s="1655"/>
      <c r="J151" s="1612"/>
      <c r="L151" s="965"/>
      <c r="N151" s="967"/>
      <c r="O151" s="968" t="s">
        <v>35</v>
      </c>
      <c r="P151" s="970" t="str">
        <f>IF(E151="","",ROUND(E151*F151%,0))</f>
        <v/>
      </c>
    </row>
    <row r="152" spans="2:22" ht="27" customHeight="1">
      <c r="B152" s="501"/>
      <c r="C152" s="502" t="s">
        <v>36</v>
      </c>
      <c r="D152" s="503"/>
      <c r="E152" s="183"/>
      <c r="F152" s="277"/>
      <c r="G152" s="1508" t="s">
        <v>66</v>
      </c>
      <c r="H152" s="1654"/>
      <c r="I152" s="1655"/>
      <c r="J152" s="1612"/>
      <c r="L152" s="965"/>
      <c r="N152" s="967"/>
      <c r="O152" s="968" t="s">
        <v>36</v>
      </c>
      <c r="P152" s="515" t="str">
        <f>IF(E152="","",ROUND(E152*F152%,0))</f>
        <v/>
      </c>
    </row>
    <row r="153" spans="2:22" ht="27" customHeight="1">
      <c r="B153" s="501"/>
      <c r="C153" s="502" t="s">
        <v>37</v>
      </c>
      <c r="D153" s="503"/>
      <c r="E153" s="183"/>
      <c r="F153" s="278"/>
      <c r="G153" s="1508" t="s">
        <v>692</v>
      </c>
      <c r="H153" s="1654"/>
      <c r="I153" s="1655"/>
      <c r="J153" s="1612"/>
      <c r="L153" s="965"/>
      <c r="N153" s="967"/>
      <c r="O153" s="968" t="s">
        <v>37</v>
      </c>
      <c r="P153" s="515" t="str">
        <f>IF(E153="","",ROUND(E153*F153%,0))</f>
        <v/>
      </c>
    </row>
    <row r="154" spans="2:22" ht="27" customHeight="1" thickBot="1">
      <c r="B154" s="504"/>
      <c r="C154" s="505" t="s">
        <v>38</v>
      </c>
      <c r="D154" s="506"/>
      <c r="E154" s="133"/>
      <c r="F154" s="279"/>
      <c r="G154" s="1642" t="s">
        <v>693</v>
      </c>
      <c r="H154" s="1643"/>
      <c r="I154" s="1659"/>
      <c r="J154" s="1644"/>
      <c r="L154" s="965"/>
      <c r="N154" s="969"/>
      <c r="O154" s="1120" t="s">
        <v>38</v>
      </c>
      <c r="P154" s="515" t="str">
        <f>IF(E154="","",ROUND(E154*F154%,0))</f>
        <v/>
      </c>
    </row>
    <row r="155" spans="2:22" ht="15" customHeight="1">
      <c r="L155" s="965"/>
    </row>
    <row r="156" spans="2:22" ht="15" customHeight="1">
      <c r="L156" s="965"/>
    </row>
    <row r="157" spans="2:22" ht="15" customHeight="1">
      <c r="L157" s="965"/>
    </row>
    <row r="158" spans="2:22" ht="15" customHeight="1">
      <c r="L158" s="965"/>
    </row>
    <row r="159" spans="2:22" ht="15" customHeight="1">
      <c r="L159" s="965"/>
      <c r="R159" s="5"/>
    </row>
    <row r="160" spans="2:22" ht="15" customHeight="1">
      <c r="L160" s="965"/>
      <c r="O160" s="5"/>
      <c r="P160" s="5"/>
      <c r="Q160" s="5"/>
      <c r="R160" s="5"/>
      <c r="S160" s="5"/>
      <c r="T160" s="507"/>
      <c r="U160" s="507"/>
      <c r="V160" s="1238"/>
    </row>
    <row r="161" spans="1:22" ht="25.15" customHeight="1">
      <c r="L161" s="965"/>
      <c r="O161" s="5"/>
      <c r="P161" s="5"/>
      <c r="Q161" s="5"/>
      <c r="R161" s="5"/>
      <c r="S161" s="5"/>
    </row>
    <row r="162" spans="1:22" ht="18.75">
      <c r="A162" s="508" t="s">
        <v>142</v>
      </c>
      <c r="B162" s="509"/>
      <c r="C162" s="509"/>
      <c r="D162" s="509"/>
      <c r="E162" s="509"/>
      <c r="F162" s="509"/>
      <c r="G162" s="509"/>
      <c r="H162" s="509"/>
      <c r="I162" s="509"/>
      <c r="L162" s="965"/>
      <c r="M162" s="508" t="s">
        <v>250</v>
      </c>
      <c r="O162" s="5"/>
      <c r="P162" s="5"/>
      <c r="Q162" s="5"/>
      <c r="R162" s="5"/>
      <c r="S162" s="5"/>
      <c r="V162" s="1238"/>
    </row>
    <row r="163" spans="1:22" ht="15" customHeight="1">
      <c r="A163" s="509"/>
      <c r="B163" s="509"/>
      <c r="C163" s="509"/>
      <c r="D163" s="509"/>
      <c r="E163" s="509"/>
      <c r="F163" s="509"/>
      <c r="G163" s="509"/>
      <c r="H163" s="509"/>
      <c r="I163" s="509"/>
      <c r="L163" s="965"/>
      <c r="R163" s="5"/>
      <c r="S163" s="5"/>
    </row>
    <row r="164" spans="1:22" ht="15" customHeight="1">
      <c r="A164" s="5"/>
      <c r="B164" s="5" t="s">
        <v>694</v>
      </c>
      <c r="C164" s="5"/>
      <c r="D164" s="5"/>
      <c r="E164" s="5"/>
      <c r="F164" s="5"/>
      <c r="G164" s="5"/>
      <c r="H164" s="5"/>
      <c r="I164" s="5"/>
      <c r="L164" s="965"/>
    </row>
    <row r="165" spans="1:22" ht="15" customHeight="1">
      <c r="A165" s="312"/>
      <c r="B165" s="5" t="s">
        <v>536</v>
      </c>
      <c r="C165" s="5"/>
      <c r="D165" s="5"/>
      <c r="E165" s="5"/>
      <c r="F165" s="5"/>
      <c r="G165" s="5"/>
      <c r="H165" s="5"/>
      <c r="I165" s="5"/>
      <c r="L165" s="965"/>
    </row>
    <row r="166" spans="1:22" ht="15" customHeight="1" thickBot="1">
      <c r="A166" s="5"/>
      <c r="B166" s="5"/>
      <c r="C166" s="5"/>
      <c r="D166" s="5"/>
      <c r="E166" s="5"/>
      <c r="F166" s="5"/>
      <c r="G166" s="5"/>
      <c r="H166" s="5"/>
      <c r="I166" s="5"/>
      <c r="L166" s="965"/>
    </row>
    <row r="167" spans="1:22" ht="27" customHeight="1">
      <c r="A167" s="5"/>
      <c r="B167" s="1615" t="s">
        <v>151</v>
      </c>
      <c r="C167" s="1616"/>
      <c r="D167" s="1617"/>
      <c r="E167" s="1621" t="s">
        <v>524</v>
      </c>
      <c r="F167" s="1667" t="s">
        <v>206</v>
      </c>
      <c r="G167" s="1561" t="s">
        <v>72</v>
      </c>
      <c r="H167" s="1576"/>
      <c r="I167" s="1660"/>
      <c r="J167" s="1106"/>
      <c r="L167" s="965"/>
      <c r="N167" s="1638" t="s">
        <v>151</v>
      </c>
      <c r="O167" s="1639"/>
      <c r="P167" s="1122" t="s">
        <v>355</v>
      </c>
      <c r="Q167" s="1602"/>
    </row>
    <row r="168" spans="1:22" ht="27" customHeight="1" thickBot="1">
      <c r="A168" s="5"/>
      <c r="B168" s="1618"/>
      <c r="C168" s="1619"/>
      <c r="D168" s="1620"/>
      <c r="E168" s="1622"/>
      <c r="F168" s="1668"/>
      <c r="G168" s="1661"/>
      <c r="H168" s="1662"/>
      <c r="I168" s="1644"/>
      <c r="J168" s="1106"/>
      <c r="L168" s="965"/>
      <c r="N168" s="1639"/>
      <c r="O168" s="1639"/>
      <c r="P168" s="1122" t="s">
        <v>837</v>
      </c>
      <c r="Q168" s="1603"/>
    </row>
    <row r="169" spans="1:22" ht="27" customHeight="1" thickTop="1" thickBot="1">
      <c r="A169" s="5"/>
      <c r="B169" s="1561" t="s">
        <v>28</v>
      </c>
      <c r="C169" s="1576"/>
      <c r="D169" s="1576"/>
      <c r="E169" s="540"/>
      <c r="F169" s="541"/>
      <c r="G169" s="1663"/>
      <c r="H169" s="1664"/>
      <c r="I169" s="1665"/>
      <c r="J169" s="51"/>
      <c r="L169" s="965"/>
      <c r="N169" s="1640" t="s">
        <v>842</v>
      </c>
      <c r="O169" s="1641"/>
      <c r="P169" s="500" t="str">
        <f>IF(COUNT(F169:F172)=0,"",IF(AND(E169&gt;0,F169&gt;0),ROUND(E169*F169%,0),SUM(P170:P172)))</f>
        <v/>
      </c>
      <c r="Q169" s="510"/>
    </row>
    <row r="170" spans="1:22" ht="27" customHeight="1" thickTop="1">
      <c r="A170" s="5"/>
      <c r="B170" s="45"/>
      <c r="C170" s="511" t="s">
        <v>32</v>
      </c>
      <c r="D170" s="512"/>
      <c r="E170" s="156"/>
      <c r="F170" s="280"/>
      <c r="G170" s="1607" t="s">
        <v>695</v>
      </c>
      <c r="H170" s="1608"/>
      <c r="I170" s="1609"/>
      <c r="J170" s="513"/>
      <c r="L170" s="965"/>
      <c r="N170" s="253"/>
      <c r="O170" s="1120" t="s">
        <v>32</v>
      </c>
      <c r="P170" s="514" t="str">
        <f>IF(E170="","",ROUND(E170*F170%,0))</f>
        <v/>
      </c>
      <c r="Q170" s="510"/>
      <c r="T170" s="475"/>
    </row>
    <row r="171" spans="1:22" ht="27" customHeight="1">
      <c r="A171" s="5"/>
      <c r="B171" s="45"/>
      <c r="C171" s="511" t="s">
        <v>33</v>
      </c>
      <c r="D171" s="512"/>
      <c r="E171" s="182"/>
      <c r="F171" s="281"/>
      <c r="G171" s="1610" t="s">
        <v>146</v>
      </c>
      <c r="H171" s="1611"/>
      <c r="I171" s="1612"/>
      <c r="J171" s="1106"/>
      <c r="L171" s="965"/>
      <c r="N171" s="253"/>
      <c r="O171" s="1120" t="s">
        <v>33</v>
      </c>
      <c r="P171" s="515" t="str">
        <f>IF(E171="","",ROUND(E171*F171%,0))</f>
        <v/>
      </c>
      <c r="Q171" s="510"/>
    </row>
    <row r="172" spans="1:22" ht="27" customHeight="1" thickBot="1">
      <c r="A172" s="5"/>
      <c r="B172" s="516"/>
      <c r="C172" s="517" t="s">
        <v>2</v>
      </c>
      <c r="D172" s="518"/>
      <c r="E172" s="134"/>
      <c r="F172" s="282"/>
      <c r="G172" s="1642" t="s">
        <v>696</v>
      </c>
      <c r="H172" s="1643"/>
      <c r="I172" s="1644"/>
      <c r="J172" s="1106"/>
      <c r="L172" s="965"/>
      <c r="N172" s="184"/>
      <c r="O172" s="1120" t="s">
        <v>2</v>
      </c>
      <c r="P172" s="515" t="str">
        <f>IF(E172="","",ROUND(E172*F172%,0))</f>
        <v/>
      </c>
      <c r="Q172" s="510"/>
      <c r="T172" s="5"/>
    </row>
    <row r="173" spans="1:22" ht="15" customHeight="1">
      <c r="A173" s="5"/>
      <c r="B173" s="5"/>
      <c r="C173" s="5"/>
      <c r="D173" s="5"/>
      <c r="E173" s="5"/>
      <c r="F173" s="5"/>
      <c r="G173" s="5"/>
      <c r="H173" s="5"/>
      <c r="I173" s="5"/>
      <c r="L173" s="965"/>
    </row>
    <row r="174" spans="1:22" ht="15" customHeight="1">
      <c r="A174" s="5"/>
      <c r="B174" s="5"/>
      <c r="C174" s="5"/>
      <c r="D174" s="5"/>
      <c r="E174" s="5"/>
      <c r="F174" s="5"/>
      <c r="G174" s="5"/>
      <c r="H174" s="5"/>
      <c r="I174" s="5"/>
      <c r="L174" s="965"/>
    </row>
    <row r="175" spans="1:22" ht="15" customHeight="1">
      <c r="A175" s="5"/>
      <c r="B175" s="5"/>
      <c r="C175" s="5"/>
      <c r="D175" s="5"/>
      <c r="E175" s="5"/>
      <c r="F175" s="5"/>
      <c r="G175" s="5"/>
      <c r="H175" s="5"/>
      <c r="I175" s="5"/>
      <c r="L175" s="965"/>
    </row>
    <row r="176" spans="1:22" ht="15" customHeight="1">
      <c r="A176" s="5"/>
      <c r="B176" s="5"/>
      <c r="C176" s="5"/>
      <c r="D176" s="5"/>
      <c r="E176" s="5"/>
      <c r="F176" s="5"/>
      <c r="G176" s="5"/>
      <c r="H176" s="5"/>
      <c r="I176" s="5"/>
      <c r="L176" s="965"/>
    </row>
    <row r="177" spans="1:17" ht="25.15" customHeight="1">
      <c r="A177" s="5"/>
      <c r="B177" s="5"/>
      <c r="C177" s="5"/>
      <c r="D177" s="5"/>
      <c r="E177" s="5"/>
      <c r="F177" s="5"/>
      <c r="G177" s="5"/>
      <c r="H177" s="5"/>
      <c r="I177" s="5"/>
      <c r="L177" s="965"/>
    </row>
    <row r="178" spans="1:17" ht="18.75">
      <c r="A178" s="310" t="s">
        <v>783</v>
      </c>
      <c r="B178" s="308"/>
      <c r="C178" s="308"/>
      <c r="D178" s="308"/>
      <c r="E178" s="308"/>
      <c r="F178" s="308"/>
      <c r="G178" s="308"/>
      <c r="H178" s="308"/>
      <c r="I178" s="308"/>
      <c r="L178" s="965"/>
      <c r="M178" s="310" t="s">
        <v>523</v>
      </c>
    </row>
    <row r="179" spans="1:17" ht="15" customHeight="1">
      <c r="A179" s="308"/>
      <c r="B179" s="308"/>
      <c r="C179" s="308"/>
      <c r="D179" s="308"/>
      <c r="E179" s="308"/>
      <c r="F179" s="308"/>
      <c r="G179" s="308"/>
      <c r="H179" s="308"/>
      <c r="I179" s="308"/>
      <c r="L179" s="965"/>
    </row>
    <row r="180" spans="1:17" ht="15" customHeight="1">
      <c r="A180" s="312"/>
      <c r="B180" s="5" t="s">
        <v>698</v>
      </c>
      <c r="C180" s="5"/>
      <c r="D180" s="5"/>
      <c r="E180" s="5"/>
      <c r="F180" s="5"/>
      <c r="G180" s="5"/>
      <c r="H180" s="5"/>
      <c r="I180" s="5"/>
      <c r="L180" s="965"/>
    </row>
    <row r="181" spans="1:17" ht="15" customHeight="1">
      <c r="A181" s="312"/>
      <c r="B181" s="5" t="s">
        <v>699</v>
      </c>
      <c r="C181" s="5"/>
      <c r="D181" s="5"/>
      <c r="E181" s="5"/>
      <c r="F181" s="5"/>
      <c r="G181" s="5"/>
      <c r="H181" s="5"/>
      <c r="I181" s="5"/>
      <c r="L181" s="965"/>
    </row>
    <row r="182" spans="1:17" ht="15" customHeight="1">
      <c r="A182" s="5"/>
      <c r="B182" s="5" t="s">
        <v>700</v>
      </c>
      <c r="C182" s="5"/>
      <c r="D182" s="5"/>
      <c r="E182" s="5"/>
      <c r="F182" s="5"/>
      <c r="G182" s="5"/>
      <c r="H182" s="5"/>
      <c r="I182" s="5"/>
      <c r="L182" s="965"/>
    </row>
    <row r="183" spans="1:17" ht="15" customHeight="1">
      <c r="A183" s="5"/>
      <c r="B183" s="5" t="s">
        <v>701</v>
      </c>
      <c r="C183" s="5"/>
      <c r="D183" s="5"/>
      <c r="E183" s="5"/>
      <c r="F183" s="5"/>
      <c r="G183" s="5"/>
      <c r="H183" s="5"/>
      <c r="I183" s="5"/>
      <c r="L183" s="965"/>
    </row>
    <row r="184" spans="1:17" ht="18.75">
      <c r="A184" s="5"/>
      <c r="B184" s="5" t="s">
        <v>702</v>
      </c>
      <c r="C184" s="5"/>
      <c r="D184" s="5"/>
      <c r="E184" s="5"/>
      <c r="F184" s="5"/>
      <c r="G184" s="5"/>
      <c r="H184" s="5"/>
      <c r="I184" s="5"/>
      <c r="L184" s="965"/>
      <c r="M184" s="186" t="s">
        <v>17</v>
      </c>
      <c r="N184" s="186"/>
    </row>
    <row r="185" spans="1:17" ht="15" customHeight="1" thickBot="1">
      <c r="A185" s="5"/>
      <c r="B185" s="88"/>
      <c r="C185" s="88"/>
      <c r="D185" s="88"/>
      <c r="E185" s="88"/>
      <c r="F185" s="88"/>
      <c r="G185" s="88"/>
      <c r="H185" s="88"/>
      <c r="I185" s="88"/>
      <c r="L185" s="965"/>
    </row>
    <row r="186" spans="1:17" ht="27" customHeight="1">
      <c r="A186" s="5"/>
      <c r="B186" s="1623" t="s">
        <v>162</v>
      </c>
      <c r="C186" s="1624"/>
      <c r="D186" s="1625"/>
      <c r="E186" s="1629" t="s">
        <v>163</v>
      </c>
      <c r="F186" s="519"/>
      <c r="G186" s="1631" t="s">
        <v>164</v>
      </c>
      <c r="H186" s="1534" t="s">
        <v>206</v>
      </c>
      <c r="I186" s="249"/>
      <c r="L186" s="965"/>
      <c r="N186" s="1633" t="s">
        <v>522</v>
      </c>
      <c r="O186" s="1634"/>
      <c r="P186" s="1122" t="s">
        <v>355</v>
      </c>
      <c r="Q186" s="520"/>
    </row>
    <row r="187" spans="1:17" ht="27" customHeight="1" thickBot="1">
      <c r="A187" s="5"/>
      <c r="B187" s="1626"/>
      <c r="C187" s="1627"/>
      <c r="D187" s="1628"/>
      <c r="E187" s="1630"/>
      <c r="F187" s="521" t="s">
        <v>3</v>
      </c>
      <c r="G187" s="1632"/>
      <c r="H187" s="1613"/>
      <c r="I187" s="250"/>
      <c r="L187" s="965"/>
      <c r="N187" s="1635"/>
      <c r="O187" s="1634"/>
      <c r="P187" s="1122" t="s">
        <v>837</v>
      </c>
      <c r="Q187" s="472"/>
    </row>
    <row r="188" spans="1:17" ht="27" customHeight="1" thickTop="1" thickBot="1">
      <c r="A188" s="5"/>
      <c r="B188" s="1682" t="s">
        <v>17</v>
      </c>
      <c r="C188" s="1685" t="s">
        <v>28</v>
      </c>
      <c r="D188" s="1686"/>
      <c r="E188" s="1687"/>
      <c r="F188" s="1688"/>
      <c r="G188" s="539"/>
      <c r="H188" s="538"/>
      <c r="I188" s="522"/>
      <c r="L188" s="965"/>
      <c r="N188" s="1636" t="s">
        <v>825</v>
      </c>
      <c r="O188" s="1637"/>
      <c r="P188" s="498">
        <f>IF(G188&gt;0, ROUND(G188 * H188 / 100,0), IF(G188=0, ROUND(SUMPRODUCT($G$189:$G$228, $H$189:$H$228 / 100),0), ""))</f>
        <v>0</v>
      </c>
      <c r="Q188" s="523"/>
    </row>
    <row r="189" spans="1:17" s="1221" customFormat="1" ht="27" customHeight="1" thickTop="1">
      <c r="A189" s="1231"/>
      <c r="B189" s="1683"/>
      <c r="C189" s="1330"/>
      <c r="D189" s="1331"/>
      <c r="E189" s="1689"/>
      <c r="F189" s="1690"/>
      <c r="G189" s="1339"/>
      <c r="H189" s="1340"/>
      <c r="I189" s="1334"/>
      <c r="L189" s="1220"/>
      <c r="N189" s="1226"/>
      <c r="O189" s="1226"/>
      <c r="P189" s="1227"/>
      <c r="Q189" s="1228"/>
    </row>
    <row r="190" spans="1:17" ht="27" customHeight="1">
      <c r="A190" s="5"/>
      <c r="B190" s="1683"/>
      <c r="C190" s="524"/>
      <c r="D190" s="180"/>
      <c r="E190" s="1689"/>
      <c r="F190" s="1690"/>
      <c r="G190" s="181"/>
      <c r="H190" s="265"/>
      <c r="I190" s="452"/>
      <c r="L190" s="965"/>
      <c r="N190" s="525"/>
      <c r="O190" s="525"/>
      <c r="P190" s="526"/>
      <c r="Q190" s="523"/>
    </row>
    <row r="191" spans="1:17" ht="27" customHeight="1">
      <c r="A191" s="5"/>
      <c r="B191" s="1683"/>
      <c r="C191" s="524"/>
      <c r="D191" s="180"/>
      <c r="E191" s="1689"/>
      <c r="F191" s="1690"/>
      <c r="G191" s="181"/>
      <c r="H191" s="265"/>
      <c r="I191" s="452"/>
      <c r="L191" s="965"/>
      <c r="N191" s="186"/>
      <c r="O191" s="525"/>
      <c r="P191" s="526"/>
      <c r="Q191" s="523"/>
    </row>
    <row r="192" spans="1:17" s="1221" customFormat="1" ht="27" customHeight="1" collapsed="1" thickBot="1">
      <c r="A192" s="1231"/>
      <c r="B192" s="1683"/>
      <c r="C192" s="1330"/>
      <c r="D192" s="1331"/>
      <c r="E192" s="1689"/>
      <c r="F192" s="1690"/>
      <c r="G192" s="1332"/>
      <c r="H192" s="1333"/>
      <c r="I192" s="1334"/>
      <c r="L192" s="1220"/>
      <c r="N192" s="1226"/>
      <c r="O192" s="1226"/>
      <c r="P192" s="1227"/>
      <c r="Q192" s="1228"/>
    </row>
    <row r="193" spans="1:17" ht="27" hidden="1" customHeight="1" outlineLevel="1">
      <c r="A193" s="5"/>
      <c r="B193" s="1683"/>
      <c r="C193" s="524"/>
      <c r="D193" s="180"/>
      <c r="E193" s="1689"/>
      <c r="F193" s="1690"/>
      <c r="G193" s="181"/>
      <c r="H193" s="265"/>
      <c r="I193" s="452"/>
      <c r="L193" s="965"/>
      <c r="N193" s="525"/>
      <c r="O193" s="525"/>
      <c r="P193" s="526"/>
      <c r="Q193" s="523"/>
    </row>
    <row r="194" spans="1:17" ht="27" hidden="1" customHeight="1" outlineLevel="1">
      <c r="A194" s="5"/>
      <c r="B194" s="1683"/>
      <c r="C194" s="524"/>
      <c r="D194" s="180"/>
      <c r="E194" s="1689"/>
      <c r="F194" s="1690"/>
      <c r="G194" s="181"/>
      <c r="H194" s="265"/>
      <c r="I194" s="452"/>
      <c r="L194" s="965"/>
      <c r="N194" s="525"/>
      <c r="O194" s="525"/>
      <c r="P194" s="526"/>
      <c r="Q194" s="523"/>
    </row>
    <row r="195" spans="1:17" ht="27" hidden="1" customHeight="1" outlineLevel="1">
      <c r="A195" s="5"/>
      <c r="B195" s="1683"/>
      <c r="C195" s="524"/>
      <c r="D195" s="180"/>
      <c r="E195" s="1689"/>
      <c r="F195" s="1690"/>
      <c r="G195" s="181"/>
      <c r="H195" s="265"/>
      <c r="I195" s="452"/>
      <c r="L195" s="965"/>
      <c r="N195" s="525"/>
      <c r="O195" s="525"/>
      <c r="P195" s="526"/>
      <c r="Q195" s="523"/>
    </row>
    <row r="196" spans="1:17" ht="27" hidden="1" customHeight="1" outlineLevel="1">
      <c r="A196" s="5"/>
      <c r="B196" s="1683"/>
      <c r="C196" s="524"/>
      <c r="D196" s="180"/>
      <c r="E196" s="1689"/>
      <c r="F196" s="1690"/>
      <c r="G196" s="181"/>
      <c r="H196" s="265"/>
      <c r="I196" s="452"/>
      <c r="L196" s="965"/>
      <c r="N196" s="525"/>
      <c r="O196" s="525"/>
      <c r="P196" s="526"/>
      <c r="Q196" s="523"/>
    </row>
    <row r="197" spans="1:17" ht="27" hidden="1" customHeight="1" outlineLevel="1">
      <c r="A197" s="5"/>
      <c r="B197" s="1683"/>
      <c r="C197" s="524"/>
      <c r="D197" s="180"/>
      <c r="E197" s="1689"/>
      <c r="F197" s="1690"/>
      <c r="G197" s="181"/>
      <c r="H197" s="265"/>
      <c r="I197" s="452"/>
      <c r="L197" s="965"/>
      <c r="N197" s="525"/>
      <c r="O197" s="525"/>
      <c r="P197" s="526"/>
      <c r="Q197" s="523"/>
    </row>
    <row r="198" spans="1:17" ht="27" hidden="1" customHeight="1" outlineLevel="1">
      <c r="A198" s="5"/>
      <c r="B198" s="1683"/>
      <c r="C198" s="524"/>
      <c r="D198" s="180"/>
      <c r="E198" s="1689"/>
      <c r="F198" s="1690"/>
      <c r="G198" s="181"/>
      <c r="H198" s="265"/>
      <c r="I198" s="452"/>
      <c r="L198" s="965"/>
      <c r="N198" s="525"/>
      <c r="O198" s="525"/>
      <c r="P198" s="526"/>
      <c r="Q198" s="523"/>
    </row>
    <row r="199" spans="1:17" ht="27" hidden="1" customHeight="1" outlineLevel="1">
      <c r="A199" s="5"/>
      <c r="B199" s="1683"/>
      <c r="C199" s="524"/>
      <c r="D199" s="180"/>
      <c r="E199" s="1689"/>
      <c r="F199" s="1690"/>
      <c r="G199" s="181"/>
      <c r="H199" s="265"/>
      <c r="I199" s="452"/>
      <c r="L199" s="965"/>
      <c r="N199" s="525"/>
      <c r="O199" s="525"/>
      <c r="P199" s="526"/>
      <c r="Q199" s="523"/>
    </row>
    <row r="200" spans="1:17" ht="27" hidden="1" customHeight="1" outlineLevel="1">
      <c r="A200" s="5"/>
      <c r="B200" s="1683"/>
      <c r="C200" s="524"/>
      <c r="D200" s="180"/>
      <c r="E200" s="1689"/>
      <c r="F200" s="1690"/>
      <c r="G200" s="181"/>
      <c r="H200" s="265"/>
      <c r="I200" s="452"/>
      <c r="L200" s="965"/>
      <c r="N200" s="525"/>
      <c r="O200" s="525"/>
      <c r="P200" s="526"/>
      <c r="Q200" s="523"/>
    </row>
    <row r="201" spans="1:17" ht="27" hidden="1" customHeight="1" outlineLevel="1">
      <c r="A201" s="5"/>
      <c r="B201" s="1683"/>
      <c r="C201" s="524"/>
      <c r="D201" s="180"/>
      <c r="E201" s="1689"/>
      <c r="F201" s="1690"/>
      <c r="G201" s="181"/>
      <c r="H201" s="265"/>
      <c r="I201" s="452"/>
      <c r="L201" s="965"/>
      <c r="N201" s="525"/>
      <c r="O201" s="525"/>
      <c r="P201" s="526"/>
      <c r="Q201" s="523"/>
    </row>
    <row r="202" spans="1:17" ht="27" hidden="1" customHeight="1" outlineLevel="1">
      <c r="A202" s="5"/>
      <c r="B202" s="1683"/>
      <c r="C202" s="524"/>
      <c r="D202" s="180"/>
      <c r="E202" s="1689"/>
      <c r="F202" s="1690"/>
      <c r="G202" s="181"/>
      <c r="H202" s="265"/>
      <c r="I202" s="452"/>
      <c r="L202" s="965"/>
      <c r="N202" s="525"/>
      <c r="O202" s="525"/>
      <c r="P202" s="526"/>
      <c r="Q202" s="523"/>
    </row>
    <row r="203" spans="1:17" ht="27" hidden="1" customHeight="1" outlineLevel="1">
      <c r="A203" s="5"/>
      <c r="B203" s="1683"/>
      <c r="C203" s="524"/>
      <c r="D203" s="180"/>
      <c r="E203" s="1689"/>
      <c r="F203" s="1690"/>
      <c r="G203" s="181"/>
      <c r="H203" s="265"/>
      <c r="I203" s="452"/>
      <c r="L203" s="965"/>
      <c r="N203" s="525"/>
      <c r="O203" s="525"/>
      <c r="P203" s="526"/>
      <c r="Q203" s="523"/>
    </row>
    <row r="204" spans="1:17" ht="27" hidden="1" customHeight="1" outlineLevel="1">
      <c r="A204" s="5"/>
      <c r="B204" s="1683"/>
      <c r="C204" s="524"/>
      <c r="D204" s="180"/>
      <c r="E204" s="1689"/>
      <c r="F204" s="1690"/>
      <c r="G204" s="181"/>
      <c r="H204" s="265"/>
      <c r="I204" s="452"/>
      <c r="L204" s="965"/>
      <c r="N204" s="525"/>
      <c r="O204" s="525"/>
      <c r="P204" s="526"/>
      <c r="Q204" s="523"/>
    </row>
    <row r="205" spans="1:17" ht="27" hidden="1" customHeight="1" outlineLevel="1">
      <c r="A205" s="5"/>
      <c r="B205" s="1683"/>
      <c r="C205" s="524"/>
      <c r="D205" s="180"/>
      <c r="E205" s="1689"/>
      <c r="F205" s="1690"/>
      <c r="G205" s="181"/>
      <c r="H205" s="265"/>
      <c r="I205" s="452"/>
      <c r="L205" s="965"/>
      <c r="N205" s="525"/>
      <c r="O205" s="525"/>
      <c r="P205" s="526"/>
      <c r="Q205" s="523"/>
    </row>
    <row r="206" spans="1:17" ht="27" hidden="1" customHeight="1" outlineLevel="1">
      <c r="A206" s="5"/>
      <c r="B206" s="1683"/>
      <c r="C206" s="524"/>
      <c r="D206" s="180"/>
      <c r="E206" s="1689"/>
      <c r="F206" s="1690"/>
      <c r="G206" s="181"/>
      <c r="H206" s="265"/>
      <c r="I206" s="452"/>
      <c r="L206" s="965"/>
      <c r="N206" s="525"/>
      <c r="O206" s="525"/>
      <c r="P206" s="526"/>
      <c r="Q206" s="523"/>
    </row>
    <row r="207" spans="1:17" ht="27" hidden="1" customHeight="1" outlineLevel="1">
      <c r="A207" s="5"/>
      <c r="B207" s="1683"/>
      <c r="C207" s="524"/>
      <c r="D207" s="180"/>
      <c r="E207" s="1689"/>
      <c r="F207" s="1690"/>
      <c r="G207" s="181"/>
      <c r="H207" s="265"/>
      <c r="I207" s="452"/>
      <c r="L207" s="965"/>
      <c r="N207" s="525"/>
      <c r="O207" s="525"/>
      <c r="P207" s="526"/>
      <c r="Q207" s="523"/>
    </row>
    <row r="208" spans="1:17" ht="27" hidden="1" customHeight="1" outlineLevel="1">
      <c r="A208" s="5"/>
      <c r="B208" s="1683"/>
      <c r="C208" s="524"/>
      <c r="D208" s="180"/>
      <c r="E208" s="1689"/>
      <c r="F208" s="1690"/>
      <c r="G208" s="181"/>
      <c r="H208" s="265"/>
      <c r="I208" s="452"/>
      <c r="L208" s="965"/>
      <c r="N208" s="525"/>
      <c r="O208" s="525"/>
      <c r="P208" s="526"/>
      <c r="Q208" s="523"/>
    </row>
    <row r="209" spans="1:17" ht="27" hidden="1" customHeight="1" outlineLevel="1">
      <c r="A209" s="5"/>
      <c r="B209" s="1683"/>
      <c r="C209" s="524"/>
      <c r="D209" s="180"/>
      <c r="E209" s="1689"/>
      <c r="F209" s="1690"/>
      <c r="G209" s="181"/>
      <c r="H209" s="265"/>
      <c r="I209" s="452"/>
      <c r="L209" s="965"/>
      <c r="N209" s="525"/>
      <c r="O209" s="525"/>
      <c r="P209" s="526"/>
      <c r="Q209" s="523"/>
    </row>
    <row r="210" spans="1:17" ht="27" hidden="1" customHeight="1" outlineLevel="1">
      <c r="A210" s="5"/>
      <c r="B210" s="1683"/>
      <c r="C210" s="524"/>
      <c r="D210" s="180"/>
      <c r="E210" s="1689"/>
      <c r="F210" s="1690"/>
      <c r="G210" s="181"/>
      <c r="H210" s="265"/>
      <c r="I210" s="452"/>
      <c r="L210" s="965"/>
      <c r="N210" s="525"/>
      <c r="O210" s="525"/>
      <c r="P210" s="526"/>
      <c r="Q210" s="523"/>
    </row>
    <row r="211" spans="1:17" ht="27" hidden="1" customHeight="1" outlineLevel="1">
      <c r="A211" s="5"/>
      <c r="B211" s="1683"/>
      <c r="C211" s="524"/>
      <c r="D211" s="180"/>
      <c r="E211" s="1689"/>
      <c r="F211" s="1690"/>
      <c r="G211" s="181"/>
      <c r="H211" s="265"/>
      <c r="I211" s="452"/>
      <c r="L211" s="965"/>
      <c r="N211" s="525"/>
      <c r="O211" s="525"/>
      <c r="P211" s="526"/>
      <c r="Q211" s="523"/>
    </row>
    <row r="212" spans="1:17" ht="27" hidden="1" customHeight="1" outlineLevel="1">
      <c r="A212" s="5"/>
      <c r="B212" s="1683"/>
      <c r="C212" s="524"/>
      <c r="D212" s="180"/>
      <c r="E212" s="1689"/>
      <c r="F212" s="1690"/>
      <c r="G212" s="181"/>
      <c r="H212" s="265"/>
      <c r="I212" s="452"/>
      <c r="L212" s="965"/>
      <c r="N212" s="525"/>
      <c r="O212" s="525"/>
      <c r="P212" s="526"/>
      <c r="Q212" s="523"/>
    </row>
    <row r="213" spans="1:17" ht="27" hidden="1" customHeight="1" outlineLevel="1">
      <c r="A213" s="5"/>
      <c r="B213" s="1683"/>
      <c r="C213" s="524"/>
      <c r="D213" s="180"/>
      <c r="E213" s="1689"/>
      <c r="F213" s="1690"/>
      <c r="G213" s="181"/>
      <c r="H213" s="265"/>
      <c r="I213" s="452"/>
      <c r="L213" s="965"/>
      <c r="N213" s="525"/>
      <c r="O213" s="525"/>
      <c r="P213" s="526"/>
      <c r="Q213" s="523"/>
    </row>
    <row r="214" spans="1:17" ht="27" hidden="1" customHeight="1" outlineLevel="1">
      <c r="A214" s="5"/>
      <c r="B214" s="1683"/>
      <c r="C214" s="524"/>
      <c r="D214" s="180"/>
      <c r="E214" s="1689"/>
      <c r="F214" s="1690"/>
      <c r="G214" s="181"/>
      <c r="H214" s="265"/>
      <c r="I214" s="452"/>
      <c r="L214" s="965"/>
      <c r="N214" s="525"/>
      <c r="O214" s="525"/>
      <c r="P214" s="526"/>
      <c r="Q214" s="523"/>
    </row>
    <row r="215" spans="1:17" ht="27" hidden="1" customHeight="1" outlineLevel="1">
      <c r="A215" s="5"/>
      <c r="B215" s="1683"/>
      <c r="C215" s="524"/>
      <c r="D215" s="180"/>
      <c r="E215" s="1689"/>
      <c r="F215" s="1690"/>
      <c r="G215" s="181"/>
      <c r="H215" s="265"/>
      <c r="I215" s="452"/>
      <c r="L215" s="965"/>
      <c r="N215" s="525"/>
      <c r="O215" s="525"/>
      <c r="P215" s="526"/>
      <c r="Q215" s="523"/>
    </row>
    <row r="216" spans="1:17" ht="27" hidden="1" customHeight="1" outlineLevel="1">
      <c r="A216" s="5"/>
      <c r="B216" s="1683"/>
      <c r="C216" s="524"/>
      <c r="D216" s="180"/>
      <c r="E216" s="1689"/>
      <c r="F216" s="1690"/>
      <c r="G216" s="181"/>
      <c r="H216" s="265"/>
      <c r="I216" s="452"/>
      <c r="L216" s="965"/>
      <c r="N216" s="525"/>
      <c r="O216" s="525"/>
      <c r="P216" s="526"/>
      <c r="Q216" s="523"/>
    </row>
    <row r="217" spans="1:17" ht="27" hidden="1" customHeight="1" outlineLevel="1">
      <c r="A217" s="5"/>
      <c r="B217" s="1683"/>
      <c r="C217" s="524"/>
      <c r="D217" s="180"/>
      <c r="E217" s="1689"/>
      <c r="F217" s="1690"/>
      <c r="G217" s="181"/>
      <c r="H217" s="265"/>
      <c r="I217" s="452"/>
      <c r="L217" s="965"/>
      <c r="N217" s="525"/>
      <c r="O217" s="525"/>
      <c r="P217" s="526"/>
      <c r="Q217" s="523"/>
    </row>
    <row r="218" spans="1:17" ht="27" hidden="1" customHeight="1" outlineLevel="1">
      <c r="A218" s="5"/>
      <c r="B218" s="1683"/>
      <c r="C218" s="524"/>
      <c r="D218" s="180"/>
      <c r="E218" s="1689"/>
      <c r="F218" s="1690"/>
      <c r="G218" s="181"/>
      <c r="H218" s="265"/>
      <c r="I218" s="452"/>
      <c r="L218" s="965"/>
      <c r="N218" s="525"/>
      <c r="O218" s="525"/>
      <c r="P218" s="526"/>
      <c r="Q218" s="523"/>
    </row>
    <row r="219" spans="1:17" ht="27" hidden="1" customHeight="1" outlineLevel="1">
      <c r="A219" s="5"/>
      <c r="B219" s="1683"/>
      <c r="C219" s="524"/>
      <c r="D219" s="180"/>
      <c r="E219" s="1689"/>
      <c r="F219" s="1690"/>
      <c r="G219" s="181"/>
      <c r="H219" s="265"/>
      <c r="I219" s="452"/>
      <c r="L219" s="965"/>
      <c r="N219" s="525"/>
      <c r="O219" s="525"/>
      <c r="P219" s="526"/>
      <c r="Q219" s="523"/>
    </row>
    <row r="220" spans="1:17" ht="27" hidden="1" customHeight="1" outlineLevel="1">
      <c r="A220" s="5"/>
      <c r="B220" s="1683"/>
      <c r="C220" s="524"/>
      <c r="D220" s="180"/>
      <c r="E220" s="1689"/>
      <c r="F220" s="1690"/>
      <c r="G220" s="181"/>
      <c r="H220" s="265"/>
      <c r="I220" s="452"/>
      <c r="L220" s="965"/>
      <c r="N220" s="525"/>
      <c r="O220" s="525"/>
      <c r="P220" s="526"/>
      <c r="Q220" s="523"/>
    </row>
    <row r="221" spans="1:17" ht="27" hidden="1" customHeight="1" outlineLevel="1">
      <c r="A221" s="5"/>
      <c r="B221" s="1683"/>
      <c r="C221" s="524"/>
      <c r="D221" s="180"/>
      <c r="E221" s="1689"/>
      <c r="F221" s="1690"/>
      <c r="G221" s="181"/>
      <c r="H221" s="265"/>
      <c r="I221" s="452"/>
      <c r="L221" s="965"/>
      <c r="N221" s="525"/>
      <c r="O221" s="525"/>
      <c r="P221" s="526"/>
      <c r="Q221" s="523"/>
    </row>
    <row r="222" spans="1:17" ht="27" hidden="1" customHeight="1" outlineLevel="1">
      <c r="A222" s="5"/>
      <c r="B222" s="1683"/>
      <c r="C222" s="524"/>
      <c r="D222" s="180"/>
      <c r="E222" s="1689"/>
      <c r="F222" s="1690"/>
      <c r="G222" s="181"/>
      <c r="H222" s="265"/>
      <c r="I222" s="452"/>
      <c r="L222" s="965"/>
      <c r="N222" s="525"/>
      <c r="O222" s="525"/>
      <c r="P222" s="526"/>
      <c r="Q222" s="523"/>
    </row>
    <row r="223" spans="1:17" ht="27" hidden="1" customHeight="1" outlineLevel="1">
      <c r="A223" s="5"/>
      <c r="B223" s="1683"/>
      <c r="C223" s="524"/>
      <c r="D223" s="180"/>
      <c r="E223" s="1689"/>
      <c r="F223" s="1690"/>
      <c r="G223" s="181"/>
      <c r="H223" s="265"/>
      <c r="I223" s="452"/>
      <c r="L223" s="965"/>
      <c r="N223" s="525"/>
      <c r="O223" s="525"/>
      <c r="P223" s="526"/>
      <c r="Q223" s="523"/>
    </row>
    <row r="224" spans="1:17" ht="27" hidden="1" customHeight="1" outlineLevel="1">
      <c r="A224" s="5"/>
      <c r="B224" s="1683"/>
      <c r="C224" s="524"/>
      <c r="D224" s="180"/>
      <c r="E224" s="1689"/>
      <c r="F224" s="1690"/>
      <c r="G224" s="181"/>
      <c r="H224" s="265"/>
      <c r="I224" s="452"/>
      <c r="L224" s="965"/>
      <c r="N224" s="525"/>
      <c r="O224" s="525"/>
      <c r="P224" s="526"/>
      <c r="Q224" s="523"/>
    </row>
    <row r="225" spans="1:19" ht="27" hidden="1" customHeight="1" outlineLevel="1">
      <c r="A225" s="5"/>
      <c r="B225" s="1683"/>
      <c r="C225" s="524"/>
      <c r="D225" s="180"/>
      <c r="E225" s="1689"/>
      <c r="F225" s="1690"/>
      <c r="G225" s="181"/>
      <c r="H225" s="265"/>
      <c r="I225" s="452"/>
      <c r="L225" s="965"/>
      <c r="M225" s="186" t="s">
        <v>165</v>
      </c>
      <c r="N225" s="186"/>
      <c r="O225" s="525"/>
      <c r="P225" s="526"/>
      <c r="Q225" s="523"/>
    </row>
    <row r="226" spans="1:19" ht="27" hidden="1" customHeight="1" outlineLevel="1">
      <c r="A226" s="5"/>
      <c r="B226" s="1683"/>
      <c r="C226" s="524"/>
      <c r="D226" s="180"/>
      <c r="E226" s="1689"/>
      <c r="F226" s="1690"/>
      <c r="G226" s="181"/>
      <c r="H226" s="265"/>
      <c r="I226" s="452"/>
      <c r="L226" s="965"/>
      <c r="N226" s="525"/>
      <c r="O226" s="525"/>
      <c r="P226" s="526"/>
      <c r="Q226" s="523"/>
    </row>
    <row r="227" spans="1:19" ht="27" hidden="1" customHeight="1" outlineLevel="1">
      <c r="A227" s="5"/>
      <c r="B227" s="1683"/>
      <c r="C227" s="524"/>
      <c r="D227" s="180"/>
      <c r="E227" s="1689"/>
      <c r="F227" s="1690"/>
      <c r="G227" s="181"/>
      <c r="H227" s="265"/>
      <c r="I227" s="452"/>
      <c r="L227" s="965"/>
      <c r="N227" s="1604" t="s">
        <v>522</v>
      </c>
      <c r="O227" s="1605"/>
      <c r="P227" s="1122" t="s">
        <v>355</v>
      </c>
      <c r="Q227" s="1614" t="s">
        <v>764</v>
      </c>
      <c r="R227" s="1600" t="s">
        <v>521</v>
      </c>
    </row>
    <row r="228" spans="1:19" ht="27" hidden="1" customHeight="1" outlineLevel="1" thickBot="1">
      <c r="A228" s="7"/>
      <c r="B228" s="1684"/>
      <c r="C228" s="527"/>
      <c r="D228" s="180"/>
      <c r="E228" s="1689"/>
      <c r="F228" s="1690"/>
      <c r="G228" s="135"/>
      <c r="H228" s="284"/>
      <c r="I228" s="452"/>
      <c r="L228" s="965"/>
      <c r="N228" s="1606"/>
      <c r="O228" s="1605"/>
      <c r="P228" s="1122" t="s">
        <v>837</v>
      </c>
      <c r="Q228" s="1601"/>
      <c r="R228" s="1601"/>
    </row>
    <row r="229" spans="1:19" s="1221" customFormat="1" ht="27" customHeight="1" thickTop="1">
      <c r="A229" s="1231"/>
      <c r="B229" s="1669" t="s">
        <v>165</v>
      </c>
      <c r="C229" s="1670"/>
      <c r="D229" s="1341"/>
      <c r="E229" s="1342"/>
      <c r="F229" s="1343"/>
      <c r="G229" s="1677"/>
      <c r="H229" s="1344"/>
      <c r="I229" s="1334"/>
      <c r="L229" s="1220"/>
      <c r="N229" s="1726" t="str">
        <f>IF(D229="","",D229)</f>
        <v/>
      </c>
      <c r="O229" s="1727"/>
      <c r="P229" s="1345" t="str">
        <f>IF(R229="","",ROUND(E229*H229*R229%,0))</f>
        <v/>
      </c>
      <c r="Q229" s="1346"/>
      <c r="R229" s="1347"/>
      <c r="S229" s="1225" t="str">
        <f t="shared" ref="S229:S258" si="19">IF(F229="","円","円/"&amp;F229)</f>
        <v>円</v>
      </c>
    </row>
    <row r="230" spans="1:19" ht="27" customHeight="1">
      <c r="A230" s="5"/>
      <c r="B230" s="1671"/>
      <c r="C230" s="1672"/>
      <c r="D230" s="299"/>
      <c r="E230" s="300"/>
      <c r="F230" s="287"/>
      <c r="G230" s="1678"/>
      <c r="H230" s="285"/>
      <c r="I230" s="452"/>
      <c r="L230" s="965"/>
      <c r="N230" s="1724" t="str">
        <f t="shared" ref="N230:N256" si="20">IF(D230="","",D230)</f>
        <v/>
      </c>
      <c r="O230" s="1725"/>
      <c r="P230" s="971" t="str">
        <f t="shared" ref="P230:P258" si="21">IF(R230="","",ROUND(E230*H230*R230%,0))</f>
        <v/>
      </c>
      <c r="Q230" s="1073"/>
      <c r="R230" s="1074"/>
      <c r="S230" s="477" t="str">
        <f t="shared" si="19"/>
        <v>円</v>
      </c>
    </row>
    <row r="231" spans="1:19" s="1221" customFormat="1" ht="27" customHeight="1" collapsed="1" thickBot="1">
      <c r="A231" s="1231"/>
      <c r="B231" s="1673"/>
      <c r="C231" s="1674"/>
      <c r="D231" s="1335"/>
      <c r="E231" s="1336"/>
      <c r="F231" s="1337"/>
      <c r="G231" s="1679"/>
      <c r="H231" s="1338"/>
      <c r="I231" s="1334"/>
      <c r="L231" s="1220"/>
      <c r="N231" s="1726" t="str">
        <f t="shared" si="20"/>
        <v/>
      </c>
      <c r="O231" s="1727"/>
      <c r="P231" s="1222" t="str">
        <f t="shared" si="21"/>
        <v/>
      </c>
      <c r="Q231" s="1223"/>
      <c r="R231" s="1224"/>
      <c r="S231" s="1225" t="str">
        <f t="shared" si="19"/>
        <v>円</v>
      </c>
    </row>
    <row r="232" spans="1:19" ht="27" hidden="1" customHeight="1" outlineLevel="1">
      <c r="A232" s="5"/>
      <c r="B232" s="1675" t="s">
        <v>165</v>
      </c>
      <c r="C232" s="1676"/>
      <c r="D232" s="179"/>
      <c r="E232" s="178"/>
      <c r="F232" s="287"/>
      <c r="G232" s="1680"/>
      <c r="H232" s="285"/>
      <c r="I232" s="452"/>
      <c r="L232" s="965"/>
      <c r="N232" s="1724" t="str">
        <f t="shared" si="20"/>
        <v/>
      </c>
      <c r="O232" s="1725"/>
      <c r="P232" s="496" t="str">
        <f t="shared" si="21"/>
        <v/>
      </c>
      <c r="Q232" s="1073"/>
      <c r="R232" s="1074"/>
      <c r="S232" s="477" t="str">
        <f t="shared" si="19"/>
        <v>円</v>
      </c>
    </row>
    <row r="233" spans="1:19" ht="27" hidden="1" customHeight="1" outlineLevel="1">
      <c r="A233" s="5"/>
      <c r="B233" s="1671"/>
      <c r="C233" s="1672"/>
      <c r="D233" s="179"/>
      <c r="E233" s="178"/>
      <c r="F233" s="287"/>
      <c r="G233" s="1678"/>
      <c r="H233" s="285"/>
      <c r="I233" s="452"/>
      <c r="L233" s="965"/>
      <c r="N233" s="1724" t="str">
        <f t="shared" si="20"/>
        <v/>
      </c>
      <c r="O233" s="1725"/>
      <c r="P233" s="496" t="str">
        <f t="shared" si="21"/>
        <v/>
      </c>
      <c r="Q233" s="1073"/>
      <c r="R233" s="1074"/>
      <c r="S233" s="477" t="str">
        <f t="shared" si="19"/>
        <v>円</v>
      </c>
    </row>
    <row r="234" spans="1:19" ht="27" hidden="1" customHeight="1" outlineLevel="1">
      <c r="A234" s="5"/>
      <c r="B234" s="1671"/>
      <c r="C234" s="1672"/>
      <c r="D234" s="179"/>
      <c r="E234" s="178"/>
      <c r="F234" s="287"/>
      <c r="G234" s="1678"/>
      <c r="H234" s="285"/>
      <c r="I234" s="452"/>
      <c r="L234" s="965"/>
      <c r="N234" s="1724" t="str">
        <f t="shared" si="20"/>
        <v/>
      </c>
      <c r="O234" s="1725"/>
      <c r="P234" s="496" t="str">
        <f t="shared" si="21"/>
        <v/>
      </c>
      <c r="Q234" s="1073"/>
      <c r="R234" s="1074"/>
      <c r="S234" s="477" t="str">
        <f t="shared" si="19"/>
        <v>円</v>
      </c>
    </row>
    <row r="235" spans="1:19" ht="27" hidden="1" customHeight="1" outlineLevel="1">
      <c r="A235" s="5"/>
      <c r="B235" s="1671"/>
      <c r="C235" s="1672"/>
      <c r="D235" s="179"/>
      <c r="E235" s="178"/>
      <c r="F235" s="287"/>
      <c r="G235" s="1678"/>
      <c r="H235" s="285"/>
      <c r="I235" s="452"/>
      <c r="L235" s="965"/>
      <c r="N235" s="1724" t="str">
        <f t="shared" si="20"/>
        <v/>
      </c>
      <c r="O235" s="1725"/>
      <c r="P235" s="496" t="str">
        <f t="shared" si="21"/>
        <v/>
      </c>
      <c r="Q235" s="1073"/>
      <c r="R235" s="1074"/>
      <c r="S235" s="477" t="str">
        <f t="shared" si="19"/>
        <v>円</v>
      </c>
    </row>
    <row r="236" spans="1:19" ht="27" hidden="1" customHeight="1" outlineLevel="1">
      <c r="A236" s="5"/>
      <c r="B236" s="1671"/>
      <c r="C236" s="1672"/>
      <c r="D236" s="179"/>
      <c r="E236" s="178"/>
      <c r="F236" s="287"/>
      <c r="G236" s="1678"/>
      <c r="H236" s="285"/>
      <c r="I236" s="452"/>
      <c r="L236" s="965"/>
      <c r="N236" s="1724" t="str">
        <f t="shared" si="20"/>
        <v/>
      </c>
      <c r="O236" s="1725"/>
      <c r="P236" s="496" t="str">
        <f t="shared" si="21"/>
        <v/>
      </c>
      <c r="Q236" s="1073"/>
      <c r="R236" s="1074"/>
      <c r="S236" s="477" t="str">
        <f t="shared" si="19"/>
        <v>円</v>
      </c>
    </row>
    <row r="237" spans="1:19" ht="27" hidden="1" customHeight="1" outlineLevel="1">
      <c r="A237" s="5"/>
      <c r="B237" s="1671"/>
      <c r="C237" s="1672"/>
      <c r="D237" s="179"/>
      <c r="E237" s="178"/>
      <c r="F237" s="287"/>
      <c r="G237" s="1678"/>
      <c r="H237" s="285"/>
      <c r="I237" s="452"/>
      <c r="L237" s="965"/>
      <c r="N237" s="1724" t="str">
        <f t="shared" si="20"/>
        <v/>
      </c>
      <c r="O237" s="1725"/>
      <c r="P237" s="496" t="str">
        <f t="shared" si="21"/>
        <v/>
      </c>
      <c r="Q237" s="1073"/>
      <c r="R237" s="1074"/>
      <c r="S237" s="477" t="str">
        <f t="shared" si="19"/>
        <v>円</v>
      </c>
    </row>
    <row r="238" spans="1:19" ht="27" hidden="1" customHeight="1" outlineLevel="1">
      <c r="A238" s="5"/>
      <c r="B238" s="1671"/>
      <c r="C238" s="1672"/>
      <c r="D238" s="179"/>
      <c r="E238" s="178"/>
      <c r="F238" s="287"/>
      <c r="G238" s="1678"/>
      <c r="H238" s="285"/>
      <c r="I238" s="452"/>
      <c r="L238" s="965"/>
      <c r="N238" s="1724" t="str">
        <f t="shared" si="20"/>
        <v/>
      </c>
      <c r="O238" s="1725"/>
      <c r="P238" s="496" t="str">
        <f t="shared" si="21"/>
        <v/>
      </c>
      <c r="Q238" s="1073"/>
      <c r="R238" s="1074"/>
      <c r="S238" s="477" t="str">
        <f t="shared" si="19"/>
        <v>円</v>
      </c>
    </row>
    <row r="239" spans="1:19" ht="27" hidden="1" customHeight="1" outlineLevel="1">
      <c r="A239" s="5"/>
      <c r="B239" s="1671"/>
      <c r="C239" s="1672"/>
      <c r="D239" s="179"/>
      <c r="E239" s="178"/>
      <c r="F239" s="287"/>
      <c r="G239" s="1678"/>
      <c r="H239" s="285"/>
      <c r="I239" s="452"/>
      <c r="L239" s="965"/>
      <c r="N239" s="1724" t="str">
        <f t="shared" si="20"/>
        <v/>
      </c>
      <c r="O239" s="1725"/>
      <c r="P239" s="496" t="str">
        <f t="shared" si="21"/>
        <v/>
      </c>
      <c r="Q239" s="1073"/>
      <c r="R239" s="1074"/>
      <c r="S239" s="477" t="str">
        <f t="shared" si="19"/>
        <v>円</v>
      </c>
    </row>
    <row r="240" spans="1:19" ht="27" hidden="1" customHeight="1" outlineLevel="1">
      <c r="A240" s="5"/>
      <c r="B240" s="1671"/>
      <c r="C240" s="1672"/>
      <c r="D240" s="179"/>
      <c r="E240" s="178"/>
      <c r="F240" s="287"/>
      <c r="G240" s="1678"/>
      <c r="H240" s="285"/>
      <c r="I240" s="452"/>
      <c r="L240" s="965"/>
      <c r="N240" s="1724" t="str">
        <f t="shared" si="20"/>
        <v/>
      </c>
      <c r="O240" s="1725"/>
      <c r="P240" s="496" t="str">
        <f t="shared" si="21"/>
        <v/>
      </c>
      <c r="Q240" s="1073"/>
      <c r="R240" s="1074"/>
      <c r="S240" s="477" t="str">
        <f t="shared" si="19"/>
        <v>円</v>
      </c>
    </row>
    <row r="241" spans="1:19" ht="27" hidden="1" customHeight="1" outlineLevel="1">
      <c r="A241" s="5"/>
      <c r="B241" s="1671"/>
      <c r="C241" s="1672"/>
      <c r="D241" s="179"/>
      <c r="E241" s="178"/>
      <c r="F241" s="287"/>
      <c r="G241" s="1678"/>
      <c r="H241" s="285"/>
      <c r="I241" s="452"/>
      <c r="L241" s="965"/>
      <c r="N241" s="1724" t="str">
        <f t="shared" si="20"/>
        <v/>
      </c>
      <c r="O241" s="1725"/>
      <c r="P241" s="496" t="str">
        <f t="shared" si="21"/>
        <v/>
      </c>
      <c r="Q241" s="1073"/>
      <c r="R241" s="1074"/>
      <c r="S241" s="477" t="str">
        <f t="shared" si="19"/>
        <v>円</v>
      </c>
    </row>
    <row r="242" spans="1:19" ht="27" hidden="1" customHeight="1" outlineLevel="1">
      <c r="A242" s="5"/>
      <c r="B242" s="1671"/>
      <c r="C242" s="1672"/>
      <c r="D242" s="179"/>
      <c r="E242" s="178"/>
      <c r="F242" s="287"/>
      <c r="G242" s="1678"/>
      <c r="H242" s="285"/>
      <c r="I242" s="452"/>
      <c r="L242" s="965"/>
      <c r="N242" s="1724" t="str">
        <f t="shared" si="20"/>
        <v/>
      </c>
      <c r="O242" s="1725"/>
      <c r="P242" s="496" t="str">
        <f t="shared" si="21"/>
        <v/>
      </c>
      <c r="Q242" s="1073"/>
      <c r="R242" s="1074"/>
      <c r="S242" s="477" t="str">
        <f t="shared" si="19"/>
        <v>円</v>
      </c>
    </row>
    <row r="243" spans="1:19" ht="27" hidden="1" customHeight="1" outlineLevel="1">
      <c r="A243" s="5"/>
      <c r="B243" s="1671"/>
      <c r="C243" s="1672"/>
      <c r="D243" s="179"/>
      <c r="E243" s="178"/>
      <c r="F243" s="287"/>
      <c r="G243" s="1678"/>
      <c r="H243" s="285"/>
      <c r="I243" s="452"/>
      <c r="L243" s="965"/>
      <c r="N243" s="1724" t="str">
        <f t="shared" si="20"/>
        <v/>
      </c>
      <c r="O243" s="1725"/>
      <c r="P243" s="496" t="str">
        <f t="shared" si="21"/>
        <v/>
      </c>
      <c r="Q243" s="1073"/>
      <c r="R243" s="1074"/>
      <c r="S243" s="477" t="str">
        <f t="shared" si="19"/>
        <v>円</v>
      </c>
    </row>
    <row r="244" spans="1:19" ht="27" hidden="1" customHeight="1" outlineLevel="1">
      <c r="A244" s="5"/>
      <c r="B244" s="1671"/>
      <c r="C244" s="1672"/>
      <c r="D244" s="179"/>
      <c r="E244" s="178"/>
      <c r="F244" s="287"/>
      <c r="G244" s="1678"/>
      <c r="H244" s="285"/>
      <c r="I244" s="452"/>
      <c r="L244" s="965"/>
      <c r="N244" s="1724" t="str">
        <f t="shared" si="20"/>
        <v/>
      </c>
      <c r="O244" s="1725"/>
      <c r="P244" s="496" t="str">
        <f t="shared" si="21"/>
        <v/>
      </c>
      <c r="Q244" s="1073"/>
      <c r="R244" s="1074"/>
      <c r="S244" s="477" t="str">
        <f t="shared" si="19"/>
        <v>円</v>
      </c>
    </row>
    <row r="245" spans="1:19" ht="27" hidden="1" customHeight="1" outlineLevel="1">
      <c r="A245" s="5"/>
      <c r="B245" s="1671"/>
      <c r="C245" s="1672"/>
      <c r="D245" s="179"/>
      <c r="E245" s="178"/>
      <c r="F245" s="287"/>
      <c r="G245" s="1678"/>
      <c r="H245" s="285"/>
      <c r="I245" s="452"/>
      <c r="L245" s="965"/>
      <c r="N245" s="1724" t="str">
        <f t="shared" si="20"/>
        <v/>
      </c>
      <c r="O245" s="1725"/>
      <c r="P245" s="496" t="str">
        <f t="shared" si="21"/>
        <v/>
      </c>
      <c r="Q245" s="1073"/>
      <c r="R245" s="1074"/>
      <c r="S245" s="477" t="str">
        <f t="shared" si="19"/>
        <v>円</v>
      </c>
    </row>
    <row r="246" spans="1:19" ht="27" hidden="1" customHeight="1" outlineLevel="1">
      <c r="A246" s="5"/>
      <c r="B246" s="1671"/>
      <c r="C246" s="1672"/>
      <c r="D246" s="179"/>
      <c r="E246" s="178"/>
      <c r="F246" s="287"/>
      <c r="G246" s="1678"/>
      <c r="H246" s="285"/>
      <c r="I246" s="452"/>
      <c r="L246" s="965"/>
      <c r="N246" s="1724" t="str">
        <f t="shared" si="20"/>
        <v/>
      </c>
      <c r="O246" s="1725"/>
      <c r="P246" s="496" t="str">
        <f t="shared" si="21"/>
        <v/>
      </c>
      <c r="Q246" s="1073"/>
      <c r="R246" s="1074"/>
      <c r="S246" s="477" t="str">
        <f t="shared" si="19"/>
        <v>円</v>
      </c>
    </row>
    <row r="247" spans="1:19" ht="27" hidden="1" customHeight="1" outlineLevel="1">
      <c r="A247" s="5"/>
      <c r="B247" s="1671"/>
      <c r="C247" s="1672"/>
      <c r="D247" s="179"/>
      <c r="E247" s="178"/>
      <c r="F247" s="287"/>
      <c r="G247" s="1678"/>
      <c r="H247" s="285"/>
      <c r="I247" s="452"/>
      <c r="L247" s="965"/>
      <c r="N247" s="1724" t="str">
        <f t="shared" si="20"/>
        <v/>
      </c>
      <c r="O247" s="1725"/>
      <c r="P247" s="496" t="str">
        <f t="shared" si="21"/>
        <v/>
      </c>
      <c r="Q247" s="1073"/>
      <c r="R247" s="1074"/>
      <c r="S247" s="477" t="str">
        <f t="shared" si="19"/>
        <v>円</v>
      </c>
    </row>
    <row r="248" spans="1:19" ht="27" hidden="1" customHeight="1" outlineLevel="1">
      <c r="A248" s="5"/>
      <c r="B248" s="1671"/>
      <c r="C248" s="1672"/>
      <c r="D248" s="179"/>
      <c r="E248" s="178"/>
      <c r="F248" s="287"/>
      <c r="G248" s="1678"/>
      <c r="H248" s="285"/>
      <c r="I248" s="452"/>
      <c r="L248" s="965"/>
      <c r="N248" s="1724" t="str">
        <f t="shared" si="20"/>
        <v/>
      </c>
      <c r="O248" s="1725"/>
      <c r="P248" s="496" t="str">
        <f t="shared" si="21"/>
        <v/>
      </c>
      <c r="Q248" s="1073"/>
      <c r="R248" s="1074"/>
      <c r="S248" s="477" t="str">
        <f t="shared" si="19"/>
        <v>円</v>
      </c>
    </row>
    <row r="249" spans="1:19" ht="27" hidden="1" customHeight="1" outlineLevel="1">
      <c r="A249" s="5"/>
      <c r="B249" s="1671"/>
      <c r="C249" s="1672"/>
      <c r="D249" s="179"/>
      <c r="E249" s="178"/>
      <c r="F249" s="287"/>
      <c r="G249" s="1678"/>
      <c r="H249" s="285"/>
      <c r="I249" s="452"/>
      <c r="L249" s="965"/>
      <c r="N249" s="1724" t="str">
        <f t="shared" si="20"/>
        <v/>
      </c>
      <c r="O249" s="1725"/>
      <c r="P249" s="496" t="str">
        <f t="shared" si="21"/>
        <v/>
      </c>
      <c r="Q249" s="1073"/>
      <c r="R249" s="1074"/>
      <c r="S249" s="477" t="str">
        <f t="shared" si="19"/>
        <v>円</v>
      </c>
    </row>
    <row r="250" spans="1:19" ht="27" hidden="1" customHeight="1" outlineLevel="1">
      <c r="A250" s="5"/>
      <c r="B250" s="1671"/>
      <c r="C250" s="1672"/>
      <c r="D250" s="179"/>
      <c r="E250" s="178"/>
      <c r="F250" s="287"/>
      <c r="G250" s="1678"/>
      <c r="H250" s="285"/>
      <c r="I250" s="452"/>
      <c r="L250" s="965"/>
      <c r="N250" s="1724" t="str">
        <f t="shared" si="20"/>
        <v/>
      </c>
      <c r="O250" s="1725"/>
      <c r="P250" s="496" t="str">
        <f t="shared" si="21"/>
        <v/>
      </c>
      <c r="Q250" s="1073"/>
      <c r="R250" s="1074"/>
      <c r="S250" s="477" t="str">
        <f t="shared" si="19"/>
        <v>円</v>
      </c>
    </row>
    <row r="251" spans="1:19" ht="27" hidden="1" customHeight="1" outlineLevel="1">
      <c r="A251" s="5"/>
      <c r="B251" s="1671"/>
      <c r="C251" s="1672"/>
      <c r="D251" s="179"/>
      <c r="E251" s="178"/>
      <c r="F251" s="287"/>
      <c r="G251" s="1678"/>
      <c r="H251" s="285"/>
      <c r="I251" s="452"/>
      <c r="L251" s="965"/>
      <c r="N251" s="1724" t="str">
        <f t="shared" si="20"/>
        <v/>
      </c>
      <c r="O251" s="1725"/>
      <c r="P251" s="496" t="str">
        <f t="shared" si="21"/>
        <v/>
      </c>
      <c r="Q251" s="1073"/>
      <c r="R251" s="1074"/>
      <c r="S251" s="477" t="str">
        <f t="shared" si="19"/>
        <v>円</v>
      </c>
    </row>
    <row r="252" spans="1:19" ht="27" hidden="1" customHeight="1" outlineLevel="1">
      <c r="A252" s="5"/>
      <c r="B252" s="1671"/>
      <c r="C252" s="1672"/>
      <c r="D252" s="179"/>
      <c r="E252" s="178"/>
      <c r="F252" s="287"/>
      <c r="G252" s="1678"/>
      <c r="H252" s="285"/>
      <c r="I252" s="452"/>
      <c r="L252" s="965"/>
      <c r="N252" s="1724" t="str">
        <f t="shared" si="20"/>
        <v/>
      </c>
      <c r="O252" s="1725"/>
      <c r="P252" s="496" t="str">
        <f t="shared" si="21"/>
        <v/>
      </c>
      <c r="Q252" s="1073"/>
      <c r="R252" s="1074"/>
      <c r="S252" s="477" t="str">
        <f t="shared" si="19"/>
        <v>円</v>
      </c>
    </row>
    <row r="253" spans="1:19" ht="27" hidden="1" customHeight="1" outlineLevel="1">
      <c r="A253" s="5"/>
      <c r="B253" s="1671"/>
      <c r="C253" s="1672"/>
      <c r="D253" s="179"/>
      <c r="E253" s="178"/>
      <c r="F253" s="287"/>
      <c r="G253" s="1678"/>
      <c r="H253" s="285"/>
      <c r="I253" s="452"/>
      <c r="L253" s="965"/>
      <c r="N253" s="1724" t="str">
        <f t="shared" si="20"/>
        <v/>
      </c>
      <c r="O253" s="1725"/>
      <c r="P253" s="496" t="str">
        <f t="shared" si="21"/>
        <v/>
      </c>
      <c r="Q253" s="1073"/>
      <c r="R253" s="1074"/>
      <c r="S253" s="477" t="str">
        <f t="shared" si="19"/>
        <v>円</v>
      </c>
    </row>
    <row r="254" spans="1:19" ht="27" hidden="1" customHeight="1" outlineLevel="1">
      <c r="A254" s="5"/>
      <c r="B254" s="1671"/>
      <c r="C254" s="1672"/>
      <c r="D254" s="179"/>
      <c r="E254" s="178"/>
      <c r="F254" s="287"/>
      <c r="G254" s="1678"/>
      <c r="H254" s="285"/>
      <c r="I254" s="452"/>
      <c r="L254" s="965"/>
      <c r="N254" s="1724" t="str">
        <f t="shared" si="20"/>
        <v/>
      </c>
      <c r="O254" s="1725"/>
      <c r="P254" s="496" t="str">
        <f t="shared" si="21"/>
        <v/>
      </c>
      <c r="Q254" s="1073"/>
      <c r="R254" s="1074"/>
      <c r="S254" s="477" t="str">
        <f t="shared" si="19"/>
        <v>円</v>
      </c>
    </row>
    <row r="255" spans="1:19" ht="27" hidden="1" customHeight="1" outlineLevel="1">
      <c r="A255" s="5"/>
      <c r="B255" s="1671"/>
      <c r="C255" s="1672"/>
      <c r="D255" s="179"/>
      <c r="E255" s="178"/>
      <c r="F255" s="287"/>
      <c r="G255" s="1678"/>
      <c r="H255" s="285"/>
      <c r="I255" s="452"/>
      <c r="L255" s="965"/>
      <c r="N255" s="1724" t="str">
        <f t="shared" si="20"/>
        <v/>
      </c>
      <c r="O255" s="1725"/>
      <c r="P255" s="496" t="str">
        <f t="shared" si="21"/>
        <v/>
      </c>
      <c r="Q255" s="1073"/>
      <c r="R255" s="1074"/>
      <c r="S255" s="477" t="str">
        <f t="shared" si="19"/>
        <v>円</v>
      </c>
    </row>
    <row r="256" spans="1:19" ht="27" hidden="1" customHeight="1" outlineLevel="1">
      <c r="A256" s="5"/>
      <c r="B256" s="1671"/>
      <c r="C256" s="1672"/>
      <c r="D256" s="179"/>
      <c r="E256" s="178"/>
      <c r="F256" s="287"/>
      <c r="G256" s="1678"/>
      <c r="H256" s="285"/>
      <c r="I256" s="452"/>
      <c r="L256" s="965"/>
      <c r="N256" s="1724" t="str">
        <f t="shared" si="20"/>
        <v/>
      </c>
      <c r="O256" s="1725"/>
      <c r="P256" s="496" t="str">
        <f t="shared" si="21"/>
        <v/>
      </c>
      <c r="Q256" s="1073"/>
      <c r="R256" s="1074"/>
      <c r="S256" s="477" t="str">
        <f t="shared" si="19"/>
        <v>円</v>
      </c>
    </row>
    <row r="257" spans="1:19" ht="27" hidden="1" customHeight="1" outlineLevel="1">
      <c r="A257" s="5"/>
      <c r="B257" s="1671"/>
      <c r="C257" s="1672"/>
      <c r="D257" s="179"/>
      <c r="E257" s="178"/>
      <c r="F257" s="287"/>
      <c r="G257" s="1678"/>
      <c r="H257" s="285"/>
      <c r="I257" s="452"/>
      <c r="L257" s="965"/>
      <c r="N257" s="1724" t="str">
        <f>IF(D257="","",D257)</f>
        <v/>
      </c>
      <c r="O257" s="1725"/>
      <c r="P257" s="496" t="str">
        <f t="shared" si="21"/>
        <v/>
      </c>
      <c r="Q257" s="1073"/>
      <c r="R257" s="1074"/>
      <c r="S257" s="477" t="str">
        <f t="shared" si="19"/>
        <v>円</v>
      </c>
    </row>
    <row r="258" spans="1:19" ht="27" hidden="1" customHeight="1" outlineLevel="1" thickBot="1">
      <c r="A258" s="5"/>
      <c r="B258" s="1673"/>
      <c r="C258" s="1674"/>
      <c r="D258" s="136"/>
      <c r="E258" s="137"/>
      <c r="F258" s="288"/>
      <c r="G258" s="1681"/>
      <c r="H258" s="286"/>
      <c r="I258" s="452"/>
      <c r="L258" s="965"/>
      <c r="N258" s="1724" t="str">
        <f>IF(D258="","",D258)</f>
        <v/>
      </c>
      <c r="O258" s="1725"/>
      <c r="P258" s="496" t="str">
        <f t="shared" si="21"/>
        <v/>
      </c>
      <c r="Q258" s="1075"/>
      <c r="R258" s="1076"/>
      <c r="S258" s="477" t="str">
        <f t="shared" si="19"/>
        <v>円</v>
      </c>
    </row>
    <row r="259" spans="1:19" ht="27" customHeight="1" thickTop="1" thickBot="1">
      <c r="A259" s="5"/>
      <c r="B259" s="5"/>
      <c r="C259" s="5"/>
      <c r="D259" s="5"/>
      <c r="E259" s="5"/>
      <c r="F259" s="5"/>
      <c r="G259" s="5"/>
      <c r="H259" s="5"/>
      <c r="I259" s="5"/>
      <c r="L259" s="965"/>
      <c r="N259" s="1645" t="s">
        <v>765</v>
      </c>
      <c r="O259" s="1646"/>
      <c r="P259" s="498" t="str">
        <f>IF(SUM($P$229:$P$258)=0,"",SUMIF($Q$229:$Q$258,1,$P$229:$P$258))</f>
        <v/>
      </c>
      <c r="Q259" s="437"/>
      <c r="R259" s="437"/>
    </row>
    <row r="260" spans="1:19" ht="27" customHeight="1" thickTop="1" thickBot="1">
      <c r="A260" s="5"/>
      <c r="B260" s="5"/>
      <c r="C260" s="5"/>
      <c r="D260" s="5"/>
      <c r="E260" s="5"/>
      <c r="F260" s="5"/>
      <c r="G260" s="5"/>
      <c r="H260" s="5"/>
      <c r="I260" s="5"/>
      <c r="L260" s="965"/>
      <c r="N260" s="1645" t="s">
        <v>826</v>
      </c>
      <c r="O260" s="1646"/>
      <c r="P260" s="498" t="str">
        <f>IF(SUM($P$229:$P$258)=0,"",SUMIF($Q$229:$Q$258,2,$P$229:$P$258))</f>
        <v/>
      </c>
    </row>
    <row r="261" spans="1:19" ht="15" customHeight="1" thickTop="1">
      <c r="A261" s="5"/>
      <c r="B261" s="5"/>
      <c r="C261" s="5"/>
      <c r="D261" s="5"/>
      <c r="E261" s="5"/>
      <c r="F261" s="5"/>
      <c r="G261" s="5"/>
      <c r="H261" s="5"/>
      <c r="I261" s="5"/>
      <c r="L261" s="965"/>
    </row>
    <row r="262" spans="1:19" ht="14.25" customHeight="1">
      <c r="B262" s="5"/>
      <c r="C262" s="5"/>
      <c r="D262" s="5"/>
      <c r="E262" s="5"/>
      <c r="F262" s="5"/>
      <c r="G262" s="5"/>
      <c r="H262" s="5"/>
      <c r="I262" s="5"/>
    </row>
  </sheetData>
  <sheetProtection sheet="1" objects="1" scenarios="1" selectLockedCells="1"/>
  <mergeCells count="189">
    <mergeCell ref="N256:O256"/>
    <mergeCell ref="N257:O257"/>
    <mergeCell ref="N258:O258"/>
    <mergeCell ref="N247:O247"/>
    <mergeCell ref="N248:O248"/>
    <mergeCell ref="N249:O249"/>
    <mergeCell ref="N250:O250"/>
    <mergeCell ref="N251:O251"/>
    <mergeCell ref="N252:O252"/>
    <mergeCell ref="N253:O253"/>
    <mergeCell ref="N254:O254"/>
    <mergeCell ref="N255:O255"/>
    <mergeCell ref="N238:O238"/>
    <mergeCell ref="N239:O239"/>
    <mergeCell ref="N240:O240"/>
    <mergeCell ref="N241:O241"/>
    <mergeCell ref="N242:O242"/>
    <mergeCell ref="N243:O243"/>
    <mergeCell ref="N244:O244"/>
    <mergeCell ref="N245:O245"/>
    <mergeCell ref="N246:O246"/>
    <mergeCell ref="N229:O229"/>
    <mergeCell ref="N230:O230"/>
    <mergeCell ref="N231:O231"/>
    <mergeCell ref="N232:O232"/>
    <mergeCell ref="N233:O233"/>
    <mergeCell ref="N234:O234"/>
    <mergeCell ref="N235:O235"/>
    <mergeCell ref="N236:O236"/>
    <mergeCell ref="N237:O237"/>
    <mergeCell ref="N132:O132"/>
    <mergeCell ref="N133:O133"/>
    <mergeCell ref="N134:O134"/>
    <mergeCell ref="N135:O135"/>
    <mergeCell ref="N136:O136"/>
    <mergeCell ref="N137:O137"/>
    <mergeCell ref="N138:O138"/>
    <mergeCell ref="N139:O139"/>
    <mergeCell ref="N140:O140"/>
    <mergeCell ref="N98:O98"/>
    <mergeCell ref="N99:O99"/>
    <mergeCell ref="N100:O100"/>
    <mergeCell ref="N101:O101"/>
    <mergeCell ref="N102:O102"/>
    <mergeCell ref="N103:O103"/>
    <mergeCell ref="N104:O104"/>
    <mergeCell ref="N105:O105"/>
    <mergeCell ref="N131:O131"/>
    <mergeCell ref="N79:O79"/>
    <mergeCell ref="N80:O80"/>
    <mergeCell ref="N81:O81"/>
    <mergeCell ref="N82:O82"/>
    <mergeCell ref="N83:O83"/>
    <mergeCell ref="N84:O84"/>
    <mergeCell ref="N85:O85"/>
    <mergeCell ref="N96:O96"/>
    <mergeCell ref="N97:O97"/>
    <mergeCell ref="N64:O65"/>
    <mergeCell ref="N148:O149"/>
    <mergeCell ref="N150:O150"/>
    <mergeCell ref="G148:J149"/>
    <mergeCell ref="Q129:Q130"/>
    <mergeCell ref="B148:D149"/>
    <mergeCell ref="E148:E149"/>
    <mergeCell ref="F148:F149"/>
    <mergeCell ref="N66:O66"/>
    <mergeCell ref="D73:F73"/>
    <mergeCell ref="D74:D75"/>
    <mergeCell ref="E74:E75"/>
    <mergeCell ref="N86:O86"/>
    <mergeCell ref="N75:O75"/>
    <mergeCell ref="N129:O130"/>
    <mergeCell ref="C114:D115"/>
    <mergeCell ref="E114:E115"/>
    <mergeCell ref="Q94:Q95"/>
    <mergeCell ref="N94:O95"/>
    <mergeCell ref="N106:O106"/>
    <mergeCell ref="C66:D66"/>
    <mergeCell ref="N76:O76"/>
    <mergeCell ref="N77:O77"/>
    <mergeCell ref="N78:O78"/>
    <mergeCell ref="N260:O260"/>
    <mergeCell ref="N141:O141"/>
    <mergeCell ref="N116:O116"/>
    <mergeCell ref="C116:D116"/>
    <mergeCell ref="G129:G130"/>
    <mergeCell ref="N88:O88"/>
    <mergeCell ref="G151:J151"/>
    <mergeCell ref="G150:J150"/>
    <mergeCell ref="G152:J152"/>
    <mergeCell ref="G153:J153"/>
    <mergeCell ref="N114:O115"/>
    <mergeCell ref="G154:J154"/>
    <mergeCell ref="G167:I168"/>
    <mergeCell ref="G169:I169"/>
    <mergeCell ref="B150:D150"/>
    <mergeCell ref="N259:O259"/>
    <mergeCell ref="F167:F168"/>
    <mergeCell ref="B229:C231"/>
    <mergeCell ref="B232:C258"/>
    <mergeCell ref="G229:G231"/>
    <mergeCell ref="G232:G258"/>
    <mergeCell ref="B188:B228"/>
    <mergeCell ref="C188:D188"/>
    <mergeCell ref="E188:F228"/>
    <mergeCell ref="R227:R228"/>
    <mergeCell ref="Q167:Q168"/>
    <mergeCell ref="N227:O228"/>
    <mergeCell ref="B169:D169"/>
    <mergeCell ref="G170:I170"/>
    <mergeCell ref="G171:I171"/>
    <mergeCell ref="H186:H187"/>
    <mergeCell ref="Q227:Q228"/>
    <mergeCell ref="B167:D168"/>
    <mergeCell ref="E167:E168"/>
    <mergeCell ref="B186:D187"/>
    <mergeCell ref="E186:E187"/>
    <mergeCell ref="G186:G187"/>
    <mergeCell ref="N186:O187"/>
    <mergeCell ref="N188:O188"/>
    <mergeCell ref="N167:O168"/>
    <mergeCell ref="N169:O169"/>
    <mergeCell ref="G172:I172"/>
    <mergeCell ref="D11:E12"/>
    <mergeCell ref="F11:F12"/>
    <mergeCell ref="H11:H12"/>
    <mergeCell ref="D42:E42"/>
    <mergeCell ref="D24:E24"/>
    <mergeCell ref="D25:E25"/>
    <mergeCell ref="F25:G25"/>
    <mergeCell ref="D31:E32"/>
    <mergeCell ref="F31:F32"/>
    <mergeCell ref="D18:D19"/>
    <mergeCell ref="D20:E20"/>
    <mergeCell ref="D21:E21"/>
    <mergeCell ref="D22:E22"/>
    <mergeCell ref="D23:E23"/>
    <mergeCell ref="D33:E33"/>
    <mergeCell ref="D40:E40"/>
    <mergeCell ref="D41:E41"/>
    <mergeCell ref="D13:D17"/>
    <mergeCell ref="N31:O32"/>
    <mergeCell ref="N13:N17"/>
    <mergeCell ref="N18:N19"/>
    <mergeCell ref="N20:O20"/>
    <mergeCell ref="N21:O21"/>
    <mergeCell ref="N22:O22"/>
    <mergeCell ref="C65:D65"/>
    <mergeCell ref="D129:D130"/>
    <mergeCell ref="E129:E130"/>
    <mergeCell ref="G94:G95"/>
    <mergeCell ref="E94:E95"/>
    <mergeCell ref="D94:D95"/>
    <mergeCell ref="N40:O40"/>
    <mergeCell ref="D39:E39"/>
    <mergeCell ref="N39:O39"/>
    <mergeCell ref="D38:E38"/>
    <mergeCell ref="N38:O38"/>
    <mergeCell ref="D37:E37"/>
    <mergeCell ref="N37:O37"/>
    <mergeCell ref="D36:E36"/>
    <mergeCell ref="N36:O36"/>
    <mergeCell ref="D34:E34"/>
    <mergeCell ref="N34:O34"/>
    <mergeCell ref="D35:E35"/>
    <mergeCell ref="N35:O35"/>
    <mergeCell ref="T11:T12"/>
    <mergeCell ref="U11:U12"/>
    <mergeCell ref="N48:O48"/>
    <mergeCell ref="N47:O47"/>
    <mergeCell ref="N49:O49"/>
    <mergeCell ref="N41:O41"/>
    <mergeCell ref="N42:O42"/>
    <mergeCell ref="F114:F115"/>
    <mergeCell ref="P31:P32"/>
    <mergeCell ref="Q31:Q32"/>
    <mergeCell ref="N33:O33"/>
    <mergeCell ref="Q114:Q115"/>
    <mergeCell ref="N11:O12"/>
    <mergeCell ref="P11:P12"/>
    <mergeCell ref="Q11:Q12"/>
    <mergeCell ref="R11:R12"/>
    <mergeCell ref="S11:S12"/>
    <mergeCell ref="H31:H32"/>
    <mergeCell ref="N72:O72"/>
    <mergeCell ref="I11:I12"/>
    <mergeCell ref="N23:O23"/>
    <mergeCell ref="N24:O24"/>
    <mergeCell ref="N25:O25"/>
  </mergeCells>
  <phoneticPr fontId="3"/>
  <dataValidations count="5">
    <dataValidation type="whole" operator="greaterThan" allowBlank="1" showInputMessage="1" showErrorMessage="1" error="整数を入力してください。" sqref="E55 E66:E71 E116:E123 F33:F42 Q76:Q85 E96:E105 R13:R24 E150:E154 G188:G228 E131:E140 H13:H25 F13:F24 Q33:Q42 E76:E85 Q96:Q105 Q131:Q140 E169:E172 E229:E258 R229:R258" xr:uid="{00000000-0002-0000-0400-000000000000}">
      <formula1>0</formula1>
    </dataValidation>
    <dataValidation type="whole" allowBlank="1" showInputMessage="1" showErrorMessage="1" sqref="G116:G123 F150:F154 H131:H140 F169:F172 I188:I258" xr:uid="{00000000-0002-0000-0400-000001000000}">
      <formula1>1</formula1>
      <formula2>100</formula2>
    </dataValidation>
    <dataValidation allowBlank="1" showInputMessage="1" sqref="F131:F140 F229:F258" xr:uid="{00000000-0002-0000-0400-000002000000}"/>
    <dataValidation type="whole" allowBlank="1" showInputMessage="1" showErrorMessage="1" error="1～100の値を入力してください。" sqref="I13:I25 H33:H42 F66:F71 G96:G105 F116:F123 G131:G140 F150:F154 F169:F172 H188:H258" xr:uid="{00000000-0002-0000-0400-000003000000}">
      <formula1>1</formula1>
      <formula2>100</formula2>
    </dataValidation>
    <dataValidation type="whole" allowBlank="1" showInputMessage="1" showErrorMessage="1" sqref="Q229:Q258" xr:uid="{00000000-0002-0000-0400-000004000000}">
      <formula1>1</formula1>
      <formula2>2</formula2>
    </dataValidation>
  </dataValidations>
  <printOptions horizontalCentered="1" verticalCentered="1"/>
  <pageMargins left="0" right="0" top="0" bottom="0" header="0" footer="0.19685039370078741"/>
  <pageSetup paperSize="9" scale="51" fitToHeight="0" orientation="landscape" cellComments="asDisplayed" r:id="rId1"/>
  <headerFooter scaleWithDoc="0"/>
  <rowBreaks count="5" manualBreakCount="5">
    <brk id="50" max="20" man="1"/>
    <brk id="89" max="20" man="1"/>
    <brk id="124" max="20" man="1"/>
    <brk id="177" max="20" man="1"/>
    <brk id="224" max="20" man="1"/>
  </rowBreaks>
  <drawing r:id="rId2"/>
  <legacyDrawing r:id="rId3"/>
  <controls>
    <mc:AlternateContent xmlns:mc="http://schemas.openxmlformats.org/markup-compatibility/2006">
      <mc:Choice Requires="x14">
        <control shapeId="4097" r:id="rId4" name="Label1">
          <controlPr defaultSize="0" print="0" autoLine="0" r:id="rId5">
            <anchor moveWithCells="1">
              <from>
                <xdr:col>4</xdr:col>
                <xdr:colOff>581025</xdr:colOff>
                <xdr:row>176</xdr:row>
                <xdr:rowOff>276225</xdr:rowOff>
              </from>
              <to>
                <xdr:col>4</xdr:col>
                <xdr:colOff>1343025</xdr:colOff>
                <xdr:row>178</xdr:row>
                <xdr:rowOff>142875</xdr:rowOff>
              </to>
            </anchor>
          </controlPr>
        </control>
      </mc:Choice>
      <mc:Fallback>
        <control shapeId="4097" r:id="rId4" name="Label1"/>
      </mc:Fallback>
    </mc:AlternateContent>
    <mc:AlternateContent xmlns:mc="http://schemas.openxmlformats.org/markup-compatibility/2006">
      <mc:Choice Requires="x14">
        <control shapeId="4098" r:id="rId6" name="Label2">
          <controlPr defaultSize="0" print="0" autoLine="0" r:id="rId7">
            <anchor moveWithCells="1">
              <from>
                <xdr:col>4</xdr:col>
                <xdr:colOff>628650</xdr:colOff>
                <xdr:row>177</xdr:row>
                <xdr:rowOff>85725</xdr:rowOff>
              </from>
              <to>
                <xdr:col>4</xdr:col>
                <xdr:colOff>1295400</xdr:colOff>
                <xdr:row>178</xdr:row>
                <xdr:rowOff>0</xdr:rowOff>
              </to>
            </anchor>
          </controlPr>
        </control>
      </mc:Choice>
      <mc:Fallback>
        <control shapeId="4098" r:id="rId6" name="Label2"/>
      </mc:Fallback>
    </mc:AlternateContent>
    <mc:AlternateContent xmlns:mc="http://schemas.openxmlformats.org/markup-compatibility/2006">
      <mc:Choice Requires="x14">
        <control shapeId="4099" r:id="rId8" name="Label3">
          <controlPr defaultSize="0" print="0" autoLine="0" r:id="rId9">
            <anchor moveWithCells="1">
              <from>
                <xdr:col>5</xdr:col>
                <xdr:colOff>19050</xdr:colOff>
                <xdr:row>176</xdr:row>
                <xdr:rowOff>276225</xdr:rowOff>
              </from>
              <to>
                <xdr:col>5</xdr:col>
                <xdr:colOff>552450</xdr:colOff>
                <xdr:row>177</xdr:row>
                <xdr:rowOff>171450</xdr:rowOff>
              </to>
            </anchor>
          </controlPr>
        </control>
      </mc:Choice>
      <mc:Fallback>
        <control shapeId="4099" r:id="rId8" name="Label3"/>
      </mc:Fallback>
    </mc:AlternateContent>
    <mc:AlternateContent xmlns:mc="http://schemas.openxmlformats.org/markup-compatibility/2006">
      <mc:Choice Requires="x14">
        <control shapeId="4100" r:id="rId10" name="txt_kounyu">
          <controlPr locked="0" defaultSize="0" print="0" autoLine="0" r:id="rId11">
            <anchor moveWithCells="1">
              <from>
                <xdr:col>5</xdr:col>
                <xdr:colOff>19050</xdr:colOff>
                <xdr:row>177</xdr:row>
                <xdr:rowOff>171450</xdr:rowOff>
              </from>
              <to>
                <xdr:col>5</xdr:col>
                <xdr:colOff>552450</xdr:colOff>
                <xdr:row>178</xdr:row>
                <xdr:rowOff>142875</xdr:rowOff>
              </to>
            </anchor>
          </controlPr>
        </control>
      </mc:Choice>
      <mc:Fallback>
        <control shapeId="4100" r:id="rId10" name="txt_kounyu"/>
      </mc:Fallback>
    </mc:AlternateContent>
    <mc:AlternateContent xmlns:mc="http://schemas.openxmlformats.org/markup-compatibility/2006">
      <mc:Choice Requires="x14">
        <control shapeId="4101" r:id="rId12" name="Label4">
          <controlPr defaultSize="0" print="0" autoLine="0" r:id="rId13">
            <anchor moveWithCells="1">
              <from>
                <xdr:col>5</xdr:col>
                <xdr:colOff>552450</xdr:colOff>
                <xdr:row>176</xdr:row>
                <xdr:rowOff>276225</xdr:rowOff>
              </from>
              <to>
                <xdr:col>5</xdr:col>
                <xdr:colOff>1085850</xdr:colOff>
                <xdr:row>177</xdr:row>
                <xdr:rowOff>171450</xdr:rowOff>
              </to>
            </anchor>
          </controlPr>
        </control>
      </mc:Choice>
      <mc:Fallback>
        <control shapeId="4101" r:id="rId12" name="Label4"/>
      </mc:Fallback>
    </mc:AlternateContent>
    <mc:AlternateContent xmlns:mc="http://schemas.openxmlformats.org/markup-compatibility/2006">
      <mc:Choice Requires="x14">
        <control shapeId="4102" r:id="rId14" name="txt_jikyu">
          <controlPr locked="0" defaultSize="0" print="0" autoLine="0" r:id="rId15">
            <anchor moveWithCells="1">
              <from>
                <xdr:col>5</xdr:col>
                <xdr:colOff>552450</xdr:colOff>
                <xdr:row>177</xdr:row>
                <xdr:rowOff>171450</xdr:rowOff>
              </from>
              <to>
                <xdr:col>5</xdr:col>
                <xdr:colOff>1085850</xdr:colOff>
                <xdr:row>178</xdr:row>
                <xdr:rowOff>142875</xdr:rowOff>
              </to>
            </anchor>
          </controlPr>
        </control>
      </mc:Choice>
      <mc:Fallback>
        <control shapeId="4102" r:id="rId14" name="txt_jikyu"/>
      </mc:Fallback>
    </mc:AlternateContent>
    <mc:AlternateContent xmlns:mc="http://schemas.openxmlformats.org/markup-compatibility/2006">
      <mc:Choice Requires="x14">
        <control shapeId="4103" r:id="rId16" name="btnKoushin1">
          <controlPr defaultSize="0" print="0" autoLine="0" r:id="rId17">
            <anchor moveWithCells="1">
              <from>
                <xdr:col>5</xdr:col>
                <xdr:colOff>1085850</xdr:colOff>
                <xdr:row>176</xdr:row>
                <xdr:rowOff>276225</xdr:rowOff>
              </from>
              <to>
                <xdr:col>6</xdr:col>
                <xdr:colOff>952500</xdr:colOff>
                <xdr:row>178</xdr:row>
                <xdr:rowOff>142875</xdr:rowOff>
              </to>
            </anchor>
          </controlPr>
        </control>
      </mc:Choice>
      <mc:Fallback>
        <control shapeId="4103" r:id="rId16" name="btnKoushi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pageSetUpPr fitToPage="1"/>
  </sheetPr>
  <dimension ref="A1:U115"/>
  <sheetViews>
    <sheetView showGridLines="0" zoomScale="80" zoomScaleNormal="80" zoomScaleSheetLayoutView="80" workbookViewId="0">
      <selection activeCell="E12" sqref="E12"/>
    </sheetView>
  </sheetViews>
  <sheetFormatPr defaultColWidth="2.75" defaultRowHeight="27.75" customHeight="1" outlineLevelRow="1" outlineLevelCol="1"/>
  <cols>
    <col min="1" max="2" width="2.625" style="88" customWidth="1"/>
    <col min="3" max="4" width="10.625" style="88" customWidth="1"/>
    <col min="5" max="9" width="18.25" style="88" customWidth="1"/>
    <col min="10" max="10" width="2.625" style="88" customWidth="1"/>
    <col min="11" max="12" width="2.625" style="88" customWidth="1" outlineLevel="1"/>
    <col min="13" max="13" width="2.625" style="87" customWidth="1" outlineLevel="1"/>
    <col min="14" max="14" width="15.625" style="87" customWidth="1" outlineLevel="1"/>
    <col min="15" max="16" width="20.625" style="88" customWidth="1" outlineLevel="1"/>
    <col min="17" max="17" width="18.25" style="88" customWidth="1" outlineLevel="1"/>
    <col min="18" max="20" width="15.625" style="88" customWidth="1"/>
    <col min="21" max="21" width="2.625" style="88" customWidth="1"/>
    <col min="22" max="16384" width="2.75" style="88"/>
  </cols>
  <sheetData>
    <row r="1" spans="1:21" ht="20.100000000000001" customHeight="1">
      <c r="I1" s="5"/>
      <c r="J1" s="5"/>
      <c r="K1" s="899" t="s">
        <v>547</v>
      </c>
    </row>
    <row r="2" spans="1:21" ht="20.100000000000001" customHeight="1">
      <c r="A2" s="310" t="s">
        <v>81</v>
      </c>
      <c r="B2" s="308"/>
      <c r="C2" s="308"/>
      <c r="D2" s="308"/>
      <c r="E2" s="308"/>
      <c r="F2" s="308"/>
      <c r="G2" s="308"/>
      <c r="H2" s="308"/>
      <c r="I2" s="5"/>
      <c r="J2" s="5"/>
      <c r="K2" s="597"/>
      <c r="U2" s="598"/>
    </row>
    <row r="3" spans="1:21" ht="15" customHeight="1">
      <c r="A3" s="308"/>
      <c r="B3" s="308"/>
      <c r="C3" s="308"/>
      <c r="D3" s="308"/>
      <c r="E3" s="308"/>
      <c r="F3" s="308"/>
      <c r="G3" s="308"/>
      <c r="H3" s="308"/>
      <c r="I3" s="5"/>
      <c r="J3" s="5"/>
      <c r="K3" s="597"/>
      <c r="U3" s="5"/>
    </row>
    <row r="4" spans="1:21" ht="20.100000000000001" customHeight="1">
      <c r="A4" s="310" t="s">
        <v>111</v>
      </c>
      <c r="B4" s="308"/>
      <c r="C4" s="308"/>
      <c r="D4" s="308"/>
      <c r="E4" s="308"/>
      <c r="F4" s="5"/>
      <c r="G4" s="5"/>
      <c r="H4" s="5"/>
      <c r="I4" s="5"/>
      <c r="J4" s="5"/>
      <c r="K4" s="597"/>
      <c r="L4" s="310" t="s">
        <v>299</v>
      </c>
      <c r="U4" s="5"/>
    </row>
    <row r="5" spans="1:21" ht="15" customHeight="1">
      <c r="A5" s="312"/>
      <c r="H5" s="5"/>
      <c r="I5" s="5"/>
      <c r="J5" s="5"/>
      <c r="K5" s="499"/>
      <c r="M5" s="88"/>
      <c r="N5" s="88"/>
    </row>
    <row r="6" spans="1:21" ht="15" customHeight="1">
      <c r="A6" s="312"/>
      <c r="B6" s="599" t="s">
        <v>703</v>
      </c>
      <c r="C6" s="600"/>
      <c r="D6" s="600"/>
      <c r="E6" s="600"/>
      <c r="F6" s="600"/>
      <c r="G6" s="600"/>
      <c r="H6" s="5"/>
      <c r="I6" s="5"/>
      <c r="J6" s="5"/>
      <c r="K6" s="499"/>
      <c r="M6" s="88"/>
      <c r="N6" s="88"/>
    </row>
    <row r="7" spans="1:21" ht="15" customHeight="1">
      <c r="A7" s="312"/>
      <c r="B7" s="49" t="s">
        <v>536</v>
      </c>
      <c r="C7" s="601"/>
      <c r="D7" s="601"/>
      <c r="E7" s="601"/>
      <c r="F7" s="601"/>
      <c r="G7" s="601"/>
      <c r="H7" s="5"/>
      <c r="I7" s="5"/>
      <c r="J7" s="5"/>
      <c r="K7" s="499"/>
      <c r="M7" s="88"/>
      <c r="N7" s="88"/>
    </row>
    <row r="8" spans="1:21" ht="15" customHeight="1">
      <c r="A8" s="312"/>
      <c r="B8" s="49"/>
      <c r="C8" s="601"/>
      <c r="D8" s="601"/>
      <c r="E8" s="601"/>
      <c r="F8" s="601"/>
      <c r="G8" s="601"/>
      <c r="H8" s="5"/>
      <c r="I8" s="5"/>
      <c r="J8" s="5"/>
      <c r="K8" s="499"/>
      <c r="M8" s="88"/>
      <c r="N8" s="88"/>
    </row>
    <row r="9" spans="1:21" ht="15" customHeight="1" thickBot="1">
      <c r="A9" s="312"/>
      <c r="B9" s="313"/>
      <c r="H9" s="5"/>
      <c r="I9" s="5"/>
      <c r="J9" s="5"/>
      <c r="K9" s="499"/>
      <c r="M9" s="88"/>
      <c r="N9" s="88"/>
    </row>
    <row r="10" spans="1:21" ht="27" customHeight="1">
      <c r="A10" s="602"/>
      <c r="B10" s="1561" t="s">
        <v>152</v>
      </c>
      <c r="C10" s="1576"/>
      <c r="D10" s="1576"/>
      <c r="E10" s="1631" t="s">
        <v>83</v>
      </c>
      <c r="F10" s="1534" t="s">
        <v>206</v>
      </c>
      <c r="G10" s="263"/>
      <c r="H10" s="5"/>
      <c r="I10" s="5"/>
      <c r="J10" s="5"/>
      <c r="K10" s="499"/>
      <c r="M10" s="1798" t="s">
        <v>152</v>
      </c>
      <c r="N10" s="1799"/>
      <c r="O10" s="1799"/>
      <c r="P10" s="1122" t="s">
        <v>835</v>
      </c>
    </row>
    <row r="11" spans="1:21" ht="27" customHeight="1" thickBot="1">
      <c r="A11" s="5"/>
      <c r="B11" s="1661"/>
      <c r="C11" s="1662"/>
      <c r="D11" s="1662"/>
      <c r="E11" s="1778"/>
      <c r="F11" s="1795"/>
      <c r="G11" s="264"/>
      <c r="H11" s="5"/>
      <c r="I11" s="5"/>
      <c r="J11" s="5"/>
      <c r="K11" s="499"/>
      <c r="M11" s="1799"/>
      <c r="N11" s="1799"/>
      <c r="O11" s="1799"/>
      <c r="P11" s="966" t="s">
        <v>836</v>
      </c>
    </row>
    <row r="12" spans="1:21" ht="27" customHeight="1" thickTop="1" thickBot="1">
      <c r="A12" s="5"/>
      <c r="B12" s="1789" t="s">
        <v>28</v>
      </c>
      <c r="C12" s="1790"/>
      <c r="D12" s="1790"/>
      <c r="E12" s="131"/>
      <c r="F12" s="627"/>
      <c r="G12" s="252"/>
      <c r="H12" s="603" t="str">
        <f t="shared" ref="H12:H18" si="0">IF(AND(E12&gt;0,OR(F12&gt;0,G12&gt;0)),"",IF(AND(E12=0,OR(F12=0,G12=0)),"",1))</f>
        <v/>
      </c>
      <c r="I12" s="5"/>
      <c r="J12" s="5"/>
      <c r="K12" s="499"/>
      <c r="M12" s="1796" t="s">
        <v>28</v>
      </c>
      <c r="N12" s="1797"/>
      <c r="O12" s="1797"/>
      <c r="P12" s="194" t="str">
        <f>IF(COUNT($F12:$F18)=0,"",IF(AND($E12&gt;0,COUNT($F12)&gt;0),ROUND($E12*F12%,0),SUM(P13:P18)))</f>
        <v/>
      </c>
    </row>
    <row r="13" spans="1:21" ht="27" customHeight="1" thickTop="1">
      <c r="A13" s="5"/>
      <c r="B13" s="604"/>
      <c r="C13" s="1791" t="s">
        <v>68</v>
      </c>
      <c r="D13" s="1123" t="s">
        <v>67</v>
      </c>
      <c r="E13" s="291"/>
      <c r="F13" s="144"/>
      <c r="G13" s="605"/>
      <c r="H13" s="603" t="str">
        <f t="shared" si="0"/>
        <v/>
      </c>
      <c r="I13" s="5"/>
      <c r="J13" s="5"/>
      <c r="K13" s="499"/>
      <c r="M13" s="606"/>
      <c r="N13" s="1762" t="s">
        <v>546</v>
      </c>
      <c r="O13" s="1121" t="s">
        <v>67</v>
      </c>
      <c r="P13" s="194" t="str">
        <f t="shared" ref="P13:P18" si="1">IF(E13="","",ROUND(E13*F13%,0))</f>
        <v/>
      </c>
    </row>
    <row r="14" spans="1:21" ht="27" customHeight="1">
      <c r="A14" s="5"/>
      <c r="B14" s="604"/>
      <c r="C14" s="1792"/>
      <c r="D14" s="1123" t="s">
        <v>73</v>
      </c>
      <c r="E14" s="292"/>
      <c r="F14" s="265"/>
      <c r="G14" s="605"/>
      <c r="H14" s="603" t="str">
        <f t="shared" si="0"/>
        <v/>
      </c>
      <c r="I14" s="5"/>
      <c r="J14" s="5"/>
      <c r="K14" s="499"/>
      <c r="M14" s="606"/>
      <c r="N14" s="1763"/>
      <c r="O14" s="1121" t="s">
        <v>73</v>
      </c>
      <c r="P14" s="194" t="str">
        <f t="shared" si="1"/>
        <v/>
      </c>
    </row>
    <row r="15" spans="1:21" ht="27" customHeight="1">
      <c r="A15" s="5"/>
      <c r="B15" s="45"/>
      <c r="C15" s="1776" t="s">
        <v>159</v>
      </c>
      <c r="D15" s="1777"/>
      <c r="E15" s="292"/>
      <c r="F15" s="265"/>
      <c r="G15" s="605"/>
      <c r="H15" s="603" t="str">
        <f t="shared" si="0"/>
        <v/>
      </c>
      <c r="I15" s="5"/>
      <c r="J15" s="5"/>
      <c r="K15" s="499"/>
      <c r="M15" s="185"/>
      <c r="N15" s="1800" t="s">
        <v>545</v>
      </c>
      <c r="O15" s="1801"/>
      <c r="P15" s="194" t="str">
        <f t="shared" si="1"/>
        <v/>
      </c>
    </row>
    <row r="16" spans="1:21" ht="27" customHeight="1">
      <c r="A16" s="5"/>
      <c r="B16" s="45"/>
      <c r="C16" s="1776" t="s">
        <v>160</v>
      </c>
      <c r="D16" s="1777"/>
      <c r="E16" s="292"/>
      <c r="F16" s="265"/>
      <c r="G16" s="605"/>
      <c r="H16" s="603" t="str">
        <f t="shared" si="0"/>
        <v/>
      </c>
      <c r="I16" s="5"/>
      <c r="J16" s="5"/>
      <c r="K16" s="499"/>
      <c r="M16" s="185"/>
      <c r="N16" s="1800" t="s">
        <v>544</v>
      </c>
      <c r="O16" s="1801"/>
      <c r="P16" s="194" t="str">
        <f t="shared" si="1"/>
        <v/>
      </c>
    </row>
    <row r="17" spans="1:19" ht="27.75" customHeight="1">
      <c r="A17" s="5"/>
      <c r="B17" s="45"/>
      <c r="C17" s="1774" t="s">
        <v>19</v>
      </c>
      <c r="D17" s="1777"/>
      <c r="E17" s="292"/>
      <c r="F17" s="265"/>
      <c r="G17" s="605"/>
      <c r="H17" s="603" t="str">
        <f t="shared" si="0"/>
        <v/>
      </c>
      <c r="I17" s="7"/>
      <c r="J17" s="5"/>
      <c r="K17" s="499"/>
      <c r="M17" s="185"/>
      <c r="N17" s="1762" t="s">
        <v>19</v>
      </c>
      <c r="O17" s="1763"/>
      <c r="P17" s="194" t="str">
        <f t="shared" si="1"/>
        <v/>
      </c>
    </row>
    <row r="18" spans="1:19" ht="27.75" customHeight="1" thickBot="1">
      <c r="A18" s="5"/>
      <c r="B18" s="47"/>
      <c r="C18" s="1793" t="s">
        <v>20</v>
      </c>
      <c r="D18" s="1794"/>
      <c r="E18" s="293"/>
      <c r="F18" s="141"/>
      <c r="G18" s="605"/>
      <c r="H18" s="603" t="str">
        <f t="shared" si="0"/>
        <v/>
      </c>
      <c r="I18" s="5"/>
      <c r="J18" s="5"/>
      <c r="K18" s="499"/>
      <c r="M18" s="184"/>
      <c r="N18" s="1762" t="s">
        <v>20</v>
      </c>
      <c r="O18" s="1763"/>
      <c r="P18" s="194" t="str">
        <f t="shared" si="1"/>
        <v/>
      </c>
    </row>
    <row r="19" spans="1:19" ht="27" customHeight="1">
      <c r="A19" s="5"/>
      <c r="B19" s="18" t="s">
        <v>512</v>
      </c>
      <c r="C19" s="5"/>
      <c r="D19" s="5"/>
      <c r="E19" s="5"/>
      <c r="F19" s="5"/>
      <c r="G19" s="5"/>
      <c r="H19" s="37"/>
      <c r="I19" s="5"/>
      <c r="J19" s="5"/>
      <c r="K19" s="499"/>
      <c r="M19" s="1766" t="s">
        <v>543</v>
      </c>
      <c r="N19" s="1766"/>
      <c r="O19" s="1766"/>
      <c r="P19" s="194">
        <f>SUM(IF(【９】自動車!AW16="","",【９】自動車!AW16),IF(【10】農業機械!AT18="","",【10】農業機械!AT18))</f>
        <v>0</v>
      </c>
    </row>
    <row r="20" spans="1:19" ht="27" customHeight="1" thickBot="1">
      <c r="A20" s="5"/>
      <c r="B20" s="18"/>
      <c r="C20" s="5"/>
      <c r="D20" s="5"/>
      <c r="E20" s="5"/>
      <c r="F20" s="5"/>
      <c r="G20" s="5"/>
      <c r="H20" s="37"/>
      <c r="I20" s="5"/>
      <c r="J20" s="5"/>
      <c r="K20" s="499"/>
      <c r="M20" s="1766" t="s">
        <v>542</v>
      </c>
      <c r="N20" s="1766"/>
      <c r="O20" s="1766"/>
      <c r="P20" s="607" t="str">
        <f>IF(SUM(【９】自動車!AV16,【10】農業機械!AS18)=0,"",SUM(【９】自動車!AV16,【10】農業機械!AS18))</f>
        <v/>
      </c>
    </row>
    <row r="21" spans="1:19" ht="27" customHeight="1" thickTop="1" thickBot="1">
      <c r="A21" s="5"/>
      <c r="B21" s="18"/>
      <c r="C21" s="5"/>
      <c r="D21" s="5"/>
      <c r="E21" s="5"/>
      <c r="F21" s="5"/>
      <c r="G21" s="5"/>
      <c r="H21" s="37"/>
      <c r="I21" s="5"/>
      <c r="J21" s="5"/>
      <c r="K21" s="499"/>
      <c r="M21" s="1764" t="s">
        <v>541</v>
      </c>
      <c r="N21" s="1764"/>
      <c r="O21" s="1765"/>
      <c r="P21" s="608" t="str">
        <f>IF(SUM(P12,P19:P20)=0,"",SUM(P12,P19:P20))</f>
        <v/>
      </c>
    </row>
    <row r="22" spans="1:19" ht="20.100000000000001" customHeight="1" thickTop="1">
      <c r="A22" s="5"/>
      <c r="B22" s="18"/>
      <c r="C22" s="5"/>
      <c r="D22" s="5"/>
      <c r="E22" s="5"/>
      <c r="F22" s="5"/>
      <c r="G22" s="5"/>
      <c r="H22" s="37"/>
      <c r="I22" s="5"/>
      <c r="J22" s="5"/>
      <c r="K22" s="499"/>
      <c r="M22" s="88"/>
      <c r="N22" s="88"/>
    </row>
    <row r="23" spans="1:19" ht="20.100000000000001" customHeight="1">
      <c r="A23" s="310" t="s">
        <v>112</v>
      </c>
      <c r="B23" s="308"/>
      <c r="C23" s="308"/>
      <c r="D23" s="308"/>
      <c r="E23" s="308"/>
      <c r="F23" s="5"/>
      <c r="G23" s="5"/>
      <c r="H23" s="5"/>
      <c r="I23" s="5"/>
      <c r="J23" s="5"/>
      <c r="K23" s="597"/>
      <c r="L23" s="310" t="s">
        <v>540</v>
      </c>
      <c r="M23" s="88"/>
      <c r="N23" s="88"/>
    </row>
    <row r="24" spans="1:19" ht="15" customHeight="1">
      <c r="A24" s="308"/>
      <c r="B24" s="308"/>
      <c r="C24" s="308"/>
      <c r="D24" s="308"/>
      <c r="E24" s="308"/>
      <c r="F24" s="313"/>
      <c r="G24" s="5"/>
      <c r="H24" s="5"/>
      <c r="I24" s="5"/>
      <c r="J24" s="5"/>
      <c r="K24" s="597"/>
      <c r="M24" s="88"/>
      <c r="N24" s="88"/>
    </row>
    <row r="25" spans="1:19" ht="15" customHeight="1">
      <c r="A25" s="5"/>
      <c r="B25" s="609" t="s">
        <v>704</v>
      </c>
      <c r="C25" s="610"/>
      <c r="D25" s="610"/>
      <c r="E25" s="610"/>
      <c r="F25" s="610"/>
      <c r="G25" s="610"/>
      <c r="H25" s="610"/>
      <c r="I25" s="610"/>
      <c r="J25" s="5"/>
      <c r="K25" s="597"/>
      <c r="M25" s="88"/>
      <c r="N25" s="88"/>
      <c r="R25" s="314"/>
      <c r="S25" s="314"/>
    </row>
    <row r="26" spans="1:19" ht="15" customHeight="1">
      <c r="A26" s="312"/>
      <c r="B26" s="611" t="s">
        <v>536</v>
      </c>
      <c r="C26" s="612"/>
      <c r="D26" s="612"/>
      <c r="E26" s="612"/>
      <c r="F26" s="612"/>
      <c r="G26" s="612"/>
      <c r="H26" s="612"/>
      <c r="I26" s="612"/>
      <c r="J26" s="5"/>
      <c r="K26" s="597"/>
      <c r="M26" s="88"/>
      <c r="N26" s="88"/>
      <c r="R26" s="87"/>
      <c r="S26" s="314"/>
    </row>
    <row r="27" spans="1:19" ht="15" customHeight="1" thickBot="1">
      <c r="A27" s="5"/>
      <c r="C27" s="5"/>
      <c r="D27" s="5"/>
      <c r="E27" s="5"/>
      <c r="F27" s="5"/>
      <c r="G27" s="5"/>
      <c r="H27" s="5"/>
      <c r="I27" s="5"/>
      <c r="J27" s="5"/>
      <c r="K27" s="597"/>
      <c r="M27" s="314"/>
      <c r="N27" s="88"/>
    </row>
    <row r="28" spans="1:19" ht="27.75" customHeight="1">
      <c r="A28" s="5"/>
      <c r="B28" s="1561" t="s">
        <v>152</v>
      </c>
      <c r="C28" s="1576"/>
      <c r="D28" s="1576"/>
      <c r="E28" s="1631" t="s">
        <v>79</v>
      </c>
      <c r="F28" s="1667" t="s">
        <v>206</v>
      </c>
      <c r="G28" s="1561" t="s">
        <v>74</v>
      </c>
      <c r="H28" s="1738"/>
      <c r="J28" s="5"/>
      <c r="K28" s="597"/>
      <c r="M28" s="1798" t="s">
        <v>152</v>
      </c>
      <c r="N28" s="1799"/>
      <c r="O28" s="1799"/>
      <c r="P28" s="1122" t="s">
        <v>835</v>
      </c>
    </row>
    <row r="29" spans="1:19" ht="27.75" customHeight="1" thickBot="1">
      <c r="B29" s="1661"/>
      <c r="C29" s="1662"/>
      <c r="D29" s="1662"/>
      <c r="E29" s="1778"/>
      <c r="F29" s="1804"/>
      <c r="G29" s="1661"/>
      <c r="H29" s="1802"/>
      <c r="J29" s="5"/>
      <c r="K29" s="597"/>
      <c r="M29" s="1799"/>
      <c r="N29" s="1799"/>
      <c r="O29" s="1799"/>
      <c r="P29" s="966" t="s">
        <v>836</v>
      </c>
    </row>
    <row r="30" spans="1:19" ht="27.75" customHeight="1" thickTop="1" thickBot="1">
      <c r="A30" s="5"/>
      <c r="B30" s="1751" t="s">
        <v>28</v>
      </c>
      <c r="C30" s="1752"/>
      <c r="D30" s="1752"/>
      <c r="E30" s="131"/>
      <c r="F30" s="628"/>
      <c r="G30" s="157"/>
      <c r="H30" s="158"/>
      <c r="J30" s="5"/>
      <c r="K30" s="597"/>
      <c r="M30" s="1796" t="s">
        <v>28</v>
      </c>
      <c r="N30" s="1797"/>
      <c r="O30" s="1797"/>
      <c r="P30" s="613" t="str">
        <f>IF(COUNT($F30:$F35)=0,"",IF(AND($E30&gt;0,COUNT($F30)&gt;0),ROUND($E30*F30%,0),SUM(P31:P35)))</f>
        <v/>
      </c>
    </row>
    <row r="31" spans="1:19" ht="27.75" customHeight="1" thickTop="1">
      <c r="A31" s="5"/>
      <c r="B31" s="46"/>
      <c r="C31" s="1774" t="s">
        <v>21</v>
      </c>
      <c r="D31" s="1775"/>
      <c r="E31" s="142"/>
      <c r="F31" s="143"/>
      <c r="G31" s="301" t="s">
        <v>69</v>
      </c>
      <c r="H31" s="614"/>
      <c r="J31" s="5"/>
      <c r="K31" s="597"/>
      <c r="M31" s="615"/>
      <c r="N31" s="1762" t="s">
        <v>21</v>
      </c>
      <c r="O31" s="1763"/>
      <c r="P31" s="613" t="str">
        <f>IF(E31="","",ROUND(E31*F31%,0))</f>
        <v/>
      </c>
    </row>
    <row r="32" spans="1:19" ht="27.75" customHeight="1">
      <c r="A32" s="5"/>
      <c r="B32" s="45"/>
      <c r="C32" s="1774" t="s">
        <v>22</v>
      </c>
      <c r="D32" s="1775"/>
      <c r="E32" s="191"/>
      <c r="F32" s="190"/>
      <c r="G32" s="302" t="s">
        <v>70</v>
      </c>
      <c r="H32" s="616"/>
      <c r="J32" s="5"/>
      <c r="K32" s="597"/>
      <c r="M32" s="615"/>
      <c r="N32" s="1762" t="s">
        <v>22</v>
      </c>
      <c r="O32" s="1763"/>
      <c r="P32" s="613" t="str">
        <f>IF(E32="","",ROUND(E32*F32%,0))</f>
        <v/>
      </c>
    </row>
    <row r="33" spans="1:17" ht="27.75" customHeight="1">
      <c r="A33" s="5"/>
      <c r="B33" s="45"/>
      <c r="C33" s="1774" t="s">
        <v>705</v>
      </c>
      <c r="D33" s="1775"/>
      <c r="E33" s="191"/>
      <c r="F33" s="190"/>
      <c r="G33" s="193"/>
      <c r="H33" s="192"/>
      <c r="J33" s="5"/>
      <c r="K33" s="597"/>
      <c r="M33" s="615"/>
      <c r="N33" s="1762" t="s">
        <v>539</v>
      </c>
      <c r="O33" s="1763"/>
      <c r="P33" s="613" t="str">
        <f>IF(E33="","",ROUND(E33*F33%,0))</f>
        <v/>
      </c>
    </row>
    <row r="34" spans="1:17" s="89" customFormat="1" ht="27.75" customHeight="1">
      <c r="A34" s="5"/>
      <c r="B34" s="45"/>
      <c r="C34" s="1774" t="s">
        <v>23</v>
      </c>
      <c r="D34" s="1775"/>
      <c r="E34" s="191"/>
      <c r="F34" s="190"/>
      <c r="G34" s="302" t="s">
        <v>71</v>
      </c>
      <c r="H34" s="616"/>
      <c r="J34" s="5"/>
      <c r="K34" s="617"/>
      <c r="L34" s="88"/>
      <c r="M34" s="615"/>
      <c r="N34" s="1762" t="s">
        <v>23</v>
      </c>
      <c r="O34" s="1763"/>
      <c r="P34" s="613" t="str">
        <f>IF(E34="","",ROUND(E34*F34%,0))</f>
        <v/>
      </c>
    </row>
    <row r="35" spans="1:17" ht="27.75" customHeight="1" thickBot="1">
      <c r="A35" s="5"/>
      <c r="B35" s="618"/>
      <c r="C35" s="1785" t="s">
        <v>97</v>
      </c>
      <c r="D35" s="1786"/>
      <c r="E35" s="134"/>
      <c r="F35" s="140"/>
      <c r="G35" s="159"/>
      <c r="H35" s="160"/>
      <c r="J35" s="5"/>
      <c r="K35" s="597"/>
      <c r="M35" s="619"/>
      <c r="N35" s="1762" t="s">
        <v>97</v>
      </c>
      <c r="O35" s="1763"/>
      <c r="P35" s="613" t="str">
        <f>IF(E35="","",ROUND(E35*F35%,0))</f>
        <v/>
      </c>
    </row>
    <row r="36" spans="1:17" ht="27.75" customHeight="1" thickBot="1">
      <c r="A36" s="5"/>
      <c r="B36" s="89"/>
      <c r="C36" s="89"/>
      <c r="D36" s="89"/>
      <c r="E36" s="89"/>
      <c r="F36" s="89"/>
      <c r="G36" s="89"/>
      <c r="H36" s="89"/>
      <c r="I36" s="89"/>
      <c r="J36" s="5"/>
      <c r="K36" s="597"/>
      <c r="M36" s="1766" t="s">
        <v>24</v>
      </c>
      <c r="N36" s="1766"/>
      <c r="O36" s="1766"/>
      <c r="P36" s="972">
        <f>SUM(IF(【９】自動車!AX16="","",【９】自動車!AX16),IF(【10】農業機械!AU18="","",【10】農業機械!AU18))</f>
        <v>0</v>
      </c>
      <c r="Q36" s="314"/>
    </row>
    <row r="37" spans="1:17" ht="27.75" customHeight="1" thickTop="1" thickBot="1">
      <c r="A37" s="5"/>
      <c r="J37" s="5"/>
      <c r="K37" s="597"/>
      <c r="M37" s="1764" t="s">
        <v>538</v>
      </c>
      <c r="N37" s="1764"/>
      <c r="O37" s="1765"/>
      <c r="P37" s="487" t="str">
        <f>IF(SUM(P30,P36)=0,"",SUM(P30,P36))</f>
        <v/>
      </c>
    </row>
    <row r="38" spans="1:17" ht="27.75" customHeight="1" thickTop="1">
      <c r="A38" s="5"/>
      <c r="B38" s="5"/>
      <c r="C38" s="5"/>
      <c r="D38" s="5"/>
      <c r="E38" s="5"/>
      <c r="F38" s="5"/>
      <c r="G38" s="5"/>
      <c r="H38" s="5"/>
      <c r="I38" s="5"/>
      <c r="J38" s="5"/>
      <c r="K38" s="597"/>
      <c r="M38" s="314"/>
      <c r="N38" s="314"/>
      <c r="O38" s="314"/>
      <c r="P38" s="314"/>
      <c r="Q38" s="314"/>
    </row>
    <row r="39" spans="1:17" ht="27.75" customHeight="1">
      <c r="A39" s="5"/>
      <c r="B39" s="5"/>
      <c r="C39" s="5"/>
      <c r="D39" s="5"/>
      <c r="E39" s="5"/>
      <c r="F39" s="5"/>
      <c r="G39" s="5"/>
      <c r="H39" s="5"/>
      <c r="I39" s="5"/>
      <c r="J39" s="5"/>
      <c r="K39" s="597"/>
      <c r="M39" s="88"/>
      <c r="N39" s="88"/>
    </row>
    <row r="40" spans="1:17" ht="20.100000000000001" customHeight="1">
      <c r="A40" s="5"/>
      <c r="B40" s="5"/>
      <c r="C40" s="5"/>
      <c r="D40" s="5"/>
      <c r="E40" s="5"/>
      <c r="F40" s="5"/>
      <c r="G40" s="5"/>
      <c r="H40" s="5"/>
      <c r="I40" s="5"/>
      <c r="J40" s="5"/>
      <c r="K40" s="597"/>
      <c r="M40" s="88"/>
      <c r="N40" s="88"/>
    </row>
    <row r="41" spans="1:17" ht="20.100000000000001" customHeight="1">
      <c r="A41" s="310" t="s">
        <v>99</v>
      </c>
      <c r="B41" s="308"/>
      <c r="C41" s="308"/>
      <c r="D41" s="308"/>
      <c r="E41" s="308"/>
      <c r="F41" s="308"/>
      <c r="G41" s="308"/>
      <c r="H41" s="308"/>
      <c r="I41" s="5"/>
      <c r="J41" s="5"/>
      <c r="K41" s="597"/>
      <c r="L41" s="310" t="s">
        <v>300</v>
      </c>
      <c r="M41" s="88"/>
      <c r="N41" s="88"/>
    </row>
    <row r="42" spans="1:17" ht="15" customHeight="1">
      <c r="A42" s="312"/>
      <c r="B42" s="313"/>
      <c r="C42" s="313"/>
      <c r="D42" s="313"/>
      <c r="E42" s="313"/>
      <c r="F42" s="313"/>
      <c r="G42" s="313"/>
      <c r="H42" s="313"/>
      <c r="I42" s="5"/>
      <c r="J42" s="5"/>
      <c r="K42" s="597"/>
      <c r="M42" s="88"/>
      <c r="N42" s="88"/>
    </row>
    <row r="43" spans="1:17" ht="15" customHeight="1">
      <c r="A43" s="312"/>
      <c r="B43" s="620" t="s">
        <v>706</v>
      </c>
      <c r="D43" s="313"/>
      <c r="E43" s="313"/>
      <c r="F43" s="313"/>
      <c r="G43" s="313"/>
      <c r="H43" s="313"/>
      <c r="I43" s="5"/>
      <c r="J43" s="5"/>
      <c r="K43" s="597"/>
      <c r="M43" s="88"/>
      <c r="N43" s="88"/>
    </row>
    <row r="44" spans="1:17" ht="15" customHeight="1" thickBot="1">
      <c r="A44" s="5"/>
      <c r="B44" s="5"/>
      <c r="C44" s="5"/>
      <c r="D44" s="5"/>
      <c r="E44" s="5"/>
      <c r="F44" s="314"/>
      <c r="G44" s="314"/>
      <c r="H44" s="314"/>
      <c r="I44" s="5"/>
      <c r="J44" s="5"/>
      <c r="K44" s="597"/>
      <c r="M44" s="88"/>
      <c r="N44" s="88"/>
    </row>
    <row r="45" spans="1:17" ht="27.75" customHeight="1" thickBot="1">
      <c r="A45" s="5"/>
      <c r="B45" s="1561" t="s">
        <v>152</v>
      </c>
      <c r="C45" s="1576"/>
      <c r="D45" s="1787"/>
      <c r="E45" s="1115" t="s">
        <v>79</v>
      </c>
      <c r="F45" s="1107" t="s">
        <v>206</v>
      </c>
      <c r="G45" s="314"/>
      <c r="H45" s="314"/>
      <c r="I45" s="314"/>
      <c r="J45" s="5"/>
      <c r="K45" s="597"/>
      <c r="M45" s="1767" t="s">
        <v>152</v>
      </c>
      <c r="N45" s="1768"/>
      <c r="O45" s="621" t="s">
        <v>79</v>
      </c>
    </row>
    <row r="46" spans="1:17" ht="27.75" customHeight="1" thickTop="1" thickBot="1">
      <c r="A46" s="5"/>
      <c r="B46" s="1730" t="s">
        <v>168</v>
      </c>
      <c r="C46" s="1731"/>
      <c r="D46" s="1784"/>
      <c r="E46" s="1156"/>
      <c r="F46" s="1157"/>
      <c r="G46" s="314"/>
      <c r="H46" s="314"/>
      <c r="I46" s="314"/>
      <c r="K46" s="597"/>
      <c r="M46" s="1767" t="s">
        <v>593</v>
      </c>
      <c r="N46" s="1769"/>
      <c r="O46" s="500" t="str">
        <f>IF(E46="","",ROUND(E46*F46%,0))</f>
        <v/>
      </c>
    </row>
    <row r="47" spans="1:17" ht="20.100000000000001" customHeight="1">
      <c r="A47" s="7"/>
      <c r="B47" s="21"/>
      <c r="C47" s="21"/>
      <c r="D47" s="622"/>
      <c r="E47" s="622"/>
      <c r="F47" s="314"/>
      <c r="G47" s="314"/>
      <c r="H47" s="314"/>
      <c r="J47" s="5"/>
      <c r="K47" s="597"/>
      <c r="M47" s="88"/>
      <c r="N47" s="88"/>
    </row>
    <row r="48" spans="1:17" ht="20.100000000000001" customHeight="1">
      <c r="A48" s="310" t="s">
        <v>158</v>
      </c>
      <c r="B48" s="308"/>
      <c r="C48" s="308"/>
      <c r="D48" s="308"/>
      <c r="E48" s="308"/>
      <c r="F48" s="308"/>
      <c r="G48" s="308"/>
      <c r="H48" s="308"/>
      <c r="J48" s="5"/>
      <c r="K48" s="597"/>
      <c r="L48" s="310" t="s">
        <v>537</v>
      </c>
      <c r="M48" s="88"/>
      <c r="N48" s="88"/>
    </row>
    <row r="49" spans="1:17" ht="15" customHeight="1">
      <c r="A49" s="623"/>
      <c r="B49" s="5"/>
      <c r="C49" s="5"/>
      <c r="D49" s="5"/>
      <c r="E49" s="5"/>
      <c r="F49" s="5"/>
      <c r="G49" s="5"/>
      <c r="H49" s="5"/>
      <c r="K49" s="597"/>
      <c r="M49" s="88"/>
      <c r="N49" s="88"/>
    </row>
    <row r="50" spans="1:17" ht="15" customHeight="1">
      <c r="A50" s="623"/>
      <c r="B50" s="5" t="s">
        <v>707</v>
      </c>
      <c r="D50" s="5"/>
      <c r="E50" s="5"/>
      <c r="F50" s="5"/>
      <c r="G50" s="5"/>
      <c r="H50" s="5"/>
      <c r="K50" s="597"/>
      <c r="M50" s="88"/>
      <c r="N50" s="88"/>
    </row>
    <row r="51" spans="1:17" ht="15" customHeight="1">
      <c r="A51" s="623"/>
      <c r="B51" s="5" t="s">
        <v>393</v>
      </c>
      <c r="D51" s="5"/>
      <c r="E51" s="5"/>
      <c r="F51" s="5"/>
      <c r="G51" s="5"/>
      <c r="H51" s="5"/>
      <c r="K51" s="597"/>
      <c r="M51" s="88"/>
      <c r="N51" s="88"/>
    </row>
    <row r="52" spans="1:17" ht="15" customHeight="1">
      <c r="A52" s="623"/>
      <c r="B52" s="5" t="s">
        <v>536</v>
      </c>
      <c r="D52" s="5"/>
      <c r="E52" s="5"/>
      <c r="F52" s="5"/>
      <c r="G52" s="5"/>
      <c r="H52" s="5"/>
      <c r="K52" s="597"/>
      <c r="M52" s="88"/>
      <c r="N52" s="88"/>
    </row>
    <row r="53" spans="1:17" ht="15" customHeight="1" thickBot="1">
      <c r="A53" s="5"/>
      <c r="K53" s="597"/>
      <c r="M53" s="88"/>
      <c r="N53" s="88"/>
    </row>
    <row r="54" spans="1:17" ht="27" customHeight="1">
      <c r="A54" s="5"/>
      <c r="B54" s="1559" t="s">
        <v>172</v>
      </c>
      <c r="C54" s="1701"/>
      <c r="D54" s="1770"/>
      <c r="E54" s="1711" t="s">
        <v>181</v>
      </c>
      <c r="F54" s="1782" t="s">
        <v>47</v>
      </c>
      <c r="G54" s="1534" t="s">
        <v>206</v>
      </c>
      <c r="H54" s="249"/>
      <c r="K54" s="597"/>
      <c r="M54" s="1638" t="s">
        <v>522</v>
      </c>
      <c r="N54" s="1805"/>
      <c r="O54" s="1806"/>
      <c r="P54" s="1788" t="s">
        <v>535</v>
      </c>
      <c r="Q54" s="1779" t="s">
        <v>534</v>
      </c>
    </row>
    <row r="55" spans="1:17" s="89" customFormat="1" ht="27" customHeight="1" thickBot="1">
      <c r="A55" s="5"/>
      <c r="B55" s="1560"/>
      <c r="C55" s="1703"/>
      <c r="D55" s="1771"/>
      <c r="E55" s="1781"/>
      <c r="F55" s="1783"/>
      <c r="G55" s="1535"/>
      <c r="H55" s="250"/>
      <c r="I55" s="88"/>
      <c r="J55" s="88"/>
      <c r="K55" s="617"/>
      <c r="L55" s="88"/>
      <c r="M55" s="1805"/>
      <c r="N55" s="1805"/>
      <c r="O55" s="1806"/>
      <c r="P55" s="1780"/>
      <c r="Q55" s="1780"/>
    </row>
    <row r="56" spans="1:17" s="89" customFormat="1" ht="27" customHeight="1" thickTop="1" thickBot="1">
      <c r="A56" s="5"/>
      <c r="B56" s="1650" t="s">
        <v>28</v>
      </c>
      <c r="C56" s="1759"/>
      <c r="D56" s="1760"/>
      <c r="E56" s="629"/>
      <c r="F56" s="630"/>
      <c r="G56" s="559"/>
      <c r="H56" s="522"/>
      <c r="K56" s="617"/>
      <c r="L56" s="88"/>
      <c r="M56" s="1807" t="s">
        <v>533</v>
      </c>
      <c r="N56" s="1808"/>
      <c r="O56" s="1809"/>
      <c r="P56" s="1031">
        <f>SUM(P57,P58)</f>
        <v>0</v>
      </c>
      <c r="Q56" s="1031">
        <f>SUM(Q57,Q58)</f>
        <v>0</v>
      </c>
    </row>
    <row r="57" spans="1:17" ht="27" customHeight="1" thickTop="1">
      <c r="A57" s="5"/>
      <c r="B57" s="624"/>
      <c r="C57" s="1772"/>
      <c r="D57" s="1773"/>
      <c r="E57" s="138"/>
      <c r="F57" s="139"/>
      <c r="G57" s="283"/>
      <c r="H57" s="625"/>
      <c r="I57" s="89"/>
      <c r="J57" s="89"/>
      <c r="K57" s="597"/>
      <c r="L57" s="89"/>
      <c r="M57" s="1766" t="s">
        <v>532</v>
      </c>
      <c r="N57" s="1763"/>
      <c r="O57" s="1810"/>
      <c r="P57" s="1032">
        <f>IF(E56&gt;0, ROUND(E56 * $G$56 / 100,0), IF(E56=0, ROUND(SUMPRODUCT(E57:E76, $G$57:$G$76 / 100),0), ""))</f>
        <v>0</v>
      </c>
      <c r="Q57" s="1032">
        <f>IF(F56&gt;0, ROUND(F56 * $G$56 / 100,0), IF(F56=0, ROUND(SUMPRODUCT(F57:F76, $G$57:$G$76 / 100),0), ""))</f>
        <v>0</v>
      </c>
    </row>
    <row r="58" spans="1:17" ht="27" customHeight="1">
      <c r="A58" s="7"/>
      <c r="B58" s="624"/>
      <c r="C58" s="1733"/>
      <c r="D58" s="1734"/>
      <c r="E58" s="189"/>
      <c r="F58" s="188"/>
      <c r="G58" s="265"/>
      <c r="H58" s="625"/>
      <c r="K58" s="597"/>
      <c r="M58" s="1766" t="s">
        <v>531</v>
      </c>
      <c r="N58" s="1763"/>
      <c r="O58" s="1811"/>
      <c r="P58" s="1033">
        <f>ROUND(E77 * $G$77 / 100,0)</f>
        <v>0</v>
      </c>
      <c r="Q58" s="1033">
        <f>ROUND(F77 * $G$77 / 100,0)</f>
        <v>0</v>
      </c>
    </row>
    <row r="59" spans="1:17" ht="27" customHeight="1">
      <c r="A59" s="7"/>
      <c r="B59" s="624"/>
      <c r="C59" s="1733"/>
      <c r="D59" s="1734"/>
      <c r="E59" s="189"/>
      <c r="F59" s="188"/>
      <c r="G59" s="265"/>
      <c r="H59" s="625"/>
      <c r="K59" s="597"/>
      <c r="M59" s="88"/>
    </row>
    <row r="60" spans="1:17" ht="27" customHeight="1" collapsed="1" thickBot="1">
      <c r="A60" s="7"/>
      <c r="B60" s="624"/>
      <c r="C60" s="1733"/>
      <c r="D60" s="1734"/>
      <c r="E60" s="189"/>
      <c r="F60" s="188"/>
      <c r="G60" s="265"/>
      <c r="H60" s="625"/>
      <c r="K60" s="597"/>
      <c r="M60" s="88"/>
    </row>
    <row r="61" spans="1:17" ht="27" hidden="1" customHeight="1" outlineLevel="1">
      <c r="A61" s="7"/>
      <c r="B61" s="624"/>
      <c r="C61" s="1733"/>
      <c r="D61" s="1734"/>
      <c r="E61" s="189"/>
      <c r="F61" s="188"/>
      <c r="G61" s="265"/>
      <c r="H61" s="625"/>
      <c r="K61" s="597"/>
      <c r="M61" s="88"/>
    </row>
    <row r="62" spans="1:17" ht="27" hidden="1" customHeight="1" outlineLevel="1">
      <c r="A62" s="7"/>
      <c r="B62" s="624"/>
      <c r="C62" s="1733"/>
      <c r="D62" s="1734"/>
      <c r="E62" s="189"/>
      <c r="F62" s="188"/>
      <c r="G62" s="265"/>
      <c r="H62" s="625"/>
      <c r="K62" s="597"/>
      <c r="M62" s="88"/>
    </row>
    <row r="63" spans="1:17" ht="27" hidden="1" customHeight="1" outlineLevel="1">
      <c r="A63" s="7"/>
      <c r="B63" s="624"/>
      <c r="C63" s="1733"/>
      <c r="D63" s="1734"/>
      <c r="E63" s="189"/>
      <c r="F63" s="188"/>
      <c r="G63" s="265"/>
      <c r="H63" s="625"/>
      <c r="K63" s="597"/>
      <c r="M63" s="88"/>
    </row>
    <row r="64" spans="1:17" ht="27" hidden="1" customHeight="1" outlineLevel="1">
      <c r="A64" s="7"/>
      <c r="B64" s="624"/>
      <c r="C64" s="1733"/>
      <c r="D64" s="1734"/>
      <c r="E64" s="189"/>
      <c r="F64" s="188"/>
      <c r="G64" s="265"/>
      <c r="H64" s="625"/>
      <c r="K64" s="597"/>
      <c r="M64" s="88"/>
    </row>
    <row r="65" spans="1:13" ht="27" hidden="1" customHeight="1" outlineLevel="1">
      <c r="A65" s="7"/>
      <c r="B65" s="624"/>
      <c r="C65" s="1733"/>
      <c r="D65" s="1734"/>
      <c r="E65" s="189"/>
      <c r="F65" s="188"/>
      <c r="G65" s="265"/>
      <c r="H65" s="625"/>
      <c r="K65" s="597"/>
      <c r="M65" s="88"/>
    </row>
    <row r="66" spans="1:13" ht="27" hidden="1" customHeight="1" outlineLevel="1">
      <c r="A66" s="7"/>
      <c r="B66" s="624"/>
      <c r="C66" s="1733"/>
      <c r="D66" s="1734"/>
      <c r="E66" s="189"/>
      <c r="F66" s="188"/>
      <c r="G66" s="265"/>
      <c r="H66" s="625"/>
      <c r="K66" s="597"/>
      <c r="M66" s="88"/>
    </row>
    <row r="67" spans="1:13" ht="27" hidden="1" customHeight="1" outlineLevel="1">
      <c r="A67" s="7"/>
      <c r="B67" s="624"/>
      <c r="C67" s="1733"/>
      <c r="D67" s="1734"/>
      <c r="E67" s="189"/>
      <c r="F67" s="188"/>
      <c r="G67" s="265"/>
      <c r="H67" s="625"/>
      <c r="K67" s="597"/>
      <c r="M67" s="88"/>
    </row>
    <row r="68" spans="1:13" ht="27" hidden="1" customHeight="1" outlineLevel="1">
      <c r="A68" s="7"/>
      <c r="B68" s="624"/>
      <c r="C68" s="1733"/>
      <c r="D68" s="1734"/>
      <c r="E68" s="189"/>
      <c r="F68" s="188"/>
      <c r="G68" s="265"/>
      <c r="H68" s="625"/>
      <c r="K68" s="597"/>
      <c r="M68" s="88"/>
    </row>
    <row r="69" spans="1:13" ht="27" hidden="1" customHeight="1" outlineLevel="1">
      <c r="A69" s="7"/>
      <c r="B69" s="624"/>
      <c r="C69" s="1733"/>
      <c r="D69" s="1734"/>
      <c r="E69" s="189"/>
      <c r="F69" s="188"/>
      <c r="G69" s="265"/>
      <c r="H69" s="625"/>
      <c r="K69" s="597"/>
      <c r="M69" s="88"/>
    </row>
    <row r="70" spans="1:13" ht="27" hidden="1" customHeight="1" outlineLevel="1">
      <c r="A70" s="7"/>
      <c r="B70" s="624"/>
      <c r="C70" s="1733"/>
      <c r="D70" s="1734"/>
      <c r="E70" s="189"/>
      <c r="F70" s="188"/>
      <c r="G70" s="265"/>
      <c r="H70" s="625"/>
      <c r="K70" s="597"/>
      <c r="M70" s="88"/>
    </row>
    <row r="71" spans="1:13" ht="27" hidden="1" customHeight="1" outlineLevel="1">
      <c r="A71" s="7"/>
      <c r="B71" s="624"/>
      <c r="C71" s="1733"/>
      <c r="D71" s="1734"/>
      <c r="E71" s="189"/>
      <c r="F71" s="188"/>
      <c r="G71" s="265"/>
      <c r="H71" s="625"/>
      <c r="K71" s="597"/>
      <c r="M71" s="88"/>
    </row>
    <row r="72" spans="1:13" ht="27" hidden="1" customHeight="1" outlineLevel="1">
      <c r="A72" s="7"/>
      <c r="B72" s="624"/>
      <c r="C72" s="1733"/>
      <c r="D72" s="1734"/>
      <c r="E72" s="189"/>
      <c r="F72" s="188"/>
      <c r="G72" s="265"/>
      <c r="H72" s="625"/>
      <c r="K72" s="597"/>
      <c r="M72" s="88"/>
    </row>
    <row r="73" spans="1:13" ht="27" hidden="1" customHeight="1" outlineLevel="1">
      <c r="A73" s="7"/>
      <c r="B73" s="624"/>
      <c r="C73" s="1733"/>
      <c r="D73" s="1734"/>
      <c r="E73" s="189"/>
      <c r="F73" s="188"/>
      <c r="G73" s="265"/>
      <c r="H73" s="625"/>
      <c r="K73" s="597"/>
      <c r="M73" s="88"/>
    </row>
    <row r="74" spans="1:13" ht="27" hidden="1" customHeight="1" outlineLevel="1">
      <c r="A74" s="7"/>
      <c r="B74" s="624"/>
      <c r="C74" s="1733"/>
      <c r="D74" s="1734"/>
      <c r="E74" s="189"/>
      <c r="F74" s="188"/>
      <c r="G74" s="265"/>
      <c r="H74" s="625"/>
      <c r="K74" s="597"/>
      <c r="M74" s="88"/>
    </row>
    <row r="75" spans="1:13" ht="27" hidden="1" customHeight="1" outlineLevel="1">
      <c r="A75" s="7"/>
      <c r="B75" s="624"/>
      <c r="C75" s="1733"/>
      <c r="D75" s="1734"/>
      <c r="E75" s="189"/>
      <c r="F75" s="188"/>
      <c r="G75" s="265"/>
      <c r="H75" s="625"/>
      <c r="K75" s="597"/>
      <c r="M75" s="88"/>
    </row>
    <row r="76" spans="1:13" ht="27" hidden="1" customHeight="1" outlineLevel="1" thickBot="1">
      <c r="A76" s="5"/>
      <c r="B76" s="48"/>
      <c r="C76" s="1733"/>
      <c r="D76" s="1734"/>
      <c r="E76" s="189"/>
      <c r="F76" s="188"/>
      <c r="G76" s="284"/>
      <c r="H76" s="625"/>
      <c r="K76" s="597"/>
    </row>
    <row r="77" spans="1:13" ht="27" customHeight="1" thickTop="1" thickBot="1">
      <c r="A77" s="5"/>
      <c r="B77" s="1730" t="s">
        <v>173</v>
      </c>
      <c r="C77" s="1731"/>
      <c r="D77" s="1732"/>
      <c r="E77" s="128"/>
      <c r="F77" s="129"/>
      <c r="G77" s="289"/>
      <c r="H77" s="625"/>
      <c r="K77" s="597"/>
    </row>
    <row r="78" spans="1:13" ht="15" customHeight="1">
      <c r="A78" s="5"/>
      <c r="B78" s="16"/>
      <c r="C78" s="626"/>
      <c r="D78" s="83"/>
      <c r="E78" s="83"/>
      <c r="F78" s="83"/>
      <c r="G78" s="83"/>
      <c r="H78" s="314"/>
      <c r="K78" s="597"/>
    </row>
    <row r="79" spans="1:13" ht="15" customHeight="1">
      <c r="A79" s="5"/>
      <c r="B79" s="18" t="s">
        <v>394</v>
      </c>
      <c r="C79" s="626"/>
      <c r="D79" s="83"/>
      <c r="E79" s="83"/>
      <c r="F79" s="83"/>
      <c r="G79" s="83"/>
      <c r="H79" s="83"/>
      <c r="K79" s="597"/>
    </row>
    <row r="80" spans="1:13" ht="27.75" customHeight="1">
      <c r="A80" s="5"/>
      <c r="B80" s="16"/>
      <c r="C80" s="626"/>
      <c r="D80" s="83"/>
      <c r="E80" s="83"/>
      <c r="F80" s="83"/>
      <c r="G80" s="83"/>
      <c r="H80" s="83"/>
      <c r="K80" s="597"/>
    </row>
    <row r="81" spans="1:16" ht="27.75" customHeight="1">
      <c r="A81" s="5"/>
      <c r="B81" s="7"/>
      <c r="C81" s="5"/>
      <c r="D81" s="5"/>
      <c r="E81" s="5"/>
      <c r="F81" s="5"/>
      <c r="G81" s="5"/>
      <c r="H81" s="5"/>
      <c r="K81" s="597"/>
    </row>
    <row r="82" spans="1:16" ht="27.75" customHeight="1">
      <c r="A82" s="5"/>
      <c r="B82" s="5"/>
      <c r="C82" s="5"/>
      <c r="D82" s="5"/>
      <c r="E82" s="5"/>
      <c r="F82" s="5"/>
      <c r="G82" s="5"/>
      <c r="H82" s="5"/>
      <c r="K82" s="597"/>
    </row>
    <row r="83" spans="1:16" ht="27.75" customHeight="1">
      <c r="A83" s="5"/>
      <c r="B83" s="5"/>
      <c r="C83" s="5"/>
      <c r="D83" s="5"/>
      <c r="E83" s="5"/>
      <c r="F83" s="5"/>
      <c r="G83" s="5"/>
      <c r="H83" s="5"/>
      <c r="K83" s="597"/>
    </row>
    <row r="84" spans="1:16" ht="19.899999999999999" customHeight="1">
      <c r="A84" s="5"/>
      <c r="B84" s="5"/>
      <c r="C84" s="5"/>
      <c r="D84" s="5"/>
      <c r="E84" s="5"/>
      <c r="F84" s="5"/>
      <c r="G84" s="5"/>
      <c r="H84" s="5"/>
      <c r="K84" s="597"/>
    </row>
    <row r="85" spans="1:16" ht="19.899999999999999" customHeight="1">
      <c r="A85" s="310" t="s">
        <v>708</v>
      </c>
      <c r="B85" s="5"/>
      <c r="C85" s="5"/>
      <c r="D85" s="5"/>
      <c r="E85" s="5"/>
      <c r="F85" s="5"/>
      <c r="G85" s="5"/>
      <c r="H85" s="5"/>
      <c r="K85" s="597"/>
      <c r="L85" s="186" t="s">
        <v>737</v>
      </c>
    </row>
    <row r="86" spans="1:16" ht="15" customHeight="1">
      <c r="A86" s="5"/>
      <c r="B86" s="5"/>
      <c r="C86" s="5"/>
      <c r="D86" s="5"/>
      <c r="E86" s="5"/>
      <c r="F86" s="5"/>
      <c r="G86" s="5"/>
      <c r="H86" s="5"/>
      <c r="K86" s="597"/>
    </row>
    <row r="87" spans="1:16" ht="15" customHeight="1">
      <c r="A87" s="5"/>
      <c r="B87" s="49" t="s">
        <v>816</v>
      </c>
      <c r="C87" s="5"/>
      <c r="D87" s="5"/>
      <c r="E87" s="5"/>
      <c r="F87" s="5"/>
      <c r="G87" s="5"/>
      <c r="H87" s="5"/>
      <c r="K87" s="597"/>
    </row>
    <row r="88" spans="1:16" ht="15" customHeight="1" thickBot="1">
      <c r="A88" s="5"/>
      <c r="B88" s="5"/>
      <c r="C88" s="5"/>
      <c r="D88" s="5"/>
      <c r="E88" s="5"/>
      <c r="F88" s="5"/>
      <c r="G88" s="5"/>
      <c r="H88" s="5"/>
      <c r="K88" s="597"/>
    </row>
    <row r="89" spans="1:16" ht="27" customHeight="1" thickBot="1">
      <c r="A89" s="5"/>
      <c r="B89" s="1748" t="s">
        <v>709</v>
      </c>
      <c r="C89" s="1749"/>
      <c r="D89" s="1750"/>
      <c r="E89" s="1561" t="s">
        <v>713</v>
      </c>
      <c r="F89" s="1738"/>
      <c r="G89" s="1739" t="s">
        <v>714</v>
      </c>
      <c r="H89" s="1739"/>
      <c r="I89" s="1466"/>
      <c r="K89" s="617"/>
      <c r="M89" s="1652" t="s">
        <v>522</v>
      </c>
      <c r="N89" s="1652"/>
      <c r="O89" s="1652"/>
      <c r="P89" s="957" t="s">
        <v>740</v>
      </c>
    </row>
    <row r="90" spans="1:16" ht="27" customHeight="1" thickTop="1" thickBot="1">
      <c r="A90" s="5"/>
      <c r="B90" s="1751" t="s">
        <v>711</v>
      </c>
      <c r="C90" s="1752"/>
      <c r="D90" s="1752"/>
      <c r="E90" s="1753"/>
      <c r="F90" s="1754"/>
      <c r="G90" s="1740" t="s">
        <v>715</v>
      </c>
      <c r="H90" s="1741"/>
      <c r="I90" s="1742"/>
      <c r="K90" s="617"/>
      <c r="M90" s="1531" t="s">
        <v>738</v>
      </c>
      <c r="N90" s="1531"/>
      <c r="O90" s="1761"/>
      <c r="P90" s="1089" t="str">
        <f>IF(E90="","",E90)</f>
        <v/>
      </c>
    </row>
    <row r="91" spans="1:16" ht="27" customHeight="1" thickTop="1" thickBot="1">
      <c r="A91" s="314"/>
      <c r="B91" s="1757" t="s">
        <v>712</v>
      </c>
      <c r="C91" s="1758"/>
      <c r="D91" s="1758"/>
      <c r="E91" s="1755"/>
      <c r="F91" s="1756"/>
      <c r="G91" s="1608" t="s">
        <v>716</v>
      </c>
      <c r="H91" s="1743"/>
      <c r="I91" s="1744"/>
      <c r="K91" s="617"/>
      <c r="M91" s="1645" t="s">
        <v>739</v>
      </c>
      <c r="N91" s="1803"/>
      <c r="O91" s="1803"/>
      <c r="P91" s="1089" t="str">
        <f>IF(E91="","",E91)</f>
        <v/>
      </c>
    </row>
    <row r="92" spans="1:16" ht="27" customHeight="1" thickTop="1" thickBot="1">
      <c r="A92" s="314"/>
      <c r="B92" s="1735" t="s">
        <v>710</v>
      </c>
      <c r="C92" s="1736"/>
      <c r="D92" s="1737"/>
      <c r="E92" s="1087"/>
      <c r="F92" s="1088"/>
      <c r="G92" s="1745" t="s">
        <v>717</v>
      </c>
      <c r="H92" s="1746"/>
      <c r="I92" s="1747"/>
      <c r="K92" s="597"/>
      <c r="M92" s="1531" t="s">
        <v>565</v>
      </c>
      <c r="N92" s="1531"/>
      <c r="O92" s="1761"/>
      <c r="P92" s="1089" t="str">
        <f>IF(AND(F92="",【12】労働時間!T4=""),"",ROUND(【12】労働時間!T4*F92,0))</f>
        <v/>
      </c>
    </row>
    <row r="93" spans="1:16" ht="27.75" customHeight="1">
      <c r="A93" s="314"/>
      <c r="B93" s="314"/>
      <c r="C93" s="314"/>
      <c r="D93" s="314"/>
      <c r="E93" s="314"/>
      <c r="F93" s="314"/>
      <c r="G93" s="314"/>
      <c r="H93" s="314"/>
      <c r="K93" s="597"/>
    </row>
    <row r="94" spans="1:16" ht="27.75" customHeight="1">
      <c r="A94" s="314"/>
      <c r="B94" s="314"/>
      <c r="C94" s="314"/>
      <c r="D94" s="314"/>
      <c r="E94" s="314"/>
      <c r="F94" s="314"/>
      <c r="G94" s="314"/>
      <c r="H94" s="314"/>
    </row>
    <row r="95" spans="1:16" ht="27.75" customHeight="1">
      <c r="A95" s="314"/>
      <c r="B95" s="314"/>
      <c r="C95" s="314"/>
      <c r="D95" s="314"/>
      <c r="E95" s="314"/>
      <c r="F95" s="314"/>
      <c r="G95" s="314"/>
      <c r="H95" s="314"/>
    </row>
    <row r="96" spans="1:16" ht="27.75" customHeight="1">
      <c r="A96" s="314"/>
      <c r="B96" s="314"/>
      <c r="C96" s="314"/>
      <c r="D96" s="314"/>
      <c r="E96" s="314"/>
      <c r="F96" s="314"/>
      <c r="G96" s="314"/>
      <c r="H96" s="314"/>
    </row>
    <row r="97" spans="1:8" ht="27.75" customHeight="1">
      <c r="A97" s="314"/>
      <c r="B97" s="314"/>
      <c r="C97" s="314"/>
      <c r="D97" s="314"/>
      <c r="E97" s="314"/>
      <c r="F97" s="314"/>
      <c r="G97" s="314"/>
      <c r="H97" s="314"/>
    </row>
    <row r="98" spans="1:8" ht="27.75" customHeight="1">
      <c r="A98" s="314"/>
      <c r="B98" s="314"/>
      <c r="C98" s="314"/>
      <c r="D98" s="314"/>
      <c r="E98" s="314"/>
      <c r="F98" s="314"/>
      <c r="G98" s="314"/>
      <c r="H98" s="314"/>
    </row>
    <row r="99" spans="1:8" ht="27.75" customHeight="1">
      <c r="A99" s="314"/>
      <c r="B99" s="314"/>
      <c r="C99" s="314"/>
      <c r="D99" s="314"/>
      <c r="E99" s="314"/>
      <c r="F99" s="314"/>
      <c r="G99" s="314"/>
      <c r="H99" s="314"/>
    </row>
    <row r="100" spans="1:8" ht="27.75" customHeight="1">
      <c r="A100" s="314"/>
      <c r="B100" s="314"/>
      <c r="C100" s="314"/>
      <c r="D100" s="314"/>
      <c r="E100" s="314"/>
      <c r="F100" s="314"/>
      <c r="G100" s="314"/>
      <c r="H100" s="314"/>
    </row>
    <row r="101" spans="1:8" ht="27.75" customHeight="1">
      <c r="A101" s="314"/>
      <c r="B101" s="314"/>
      <c r="C101" s="314"/>
      <c r="D101" s="314"/>
      <c r="E101" s="314"/>
      <c r="F101" s="314"/>
      <c r="G101" s="314"/>
      <c r="H101" s="314"/>
    </row>
    <row r="102" spans="1:8" ht="27.75" customHeight="1">
      <c r="A102" s="314"/>
      <c r="B102" s="314"/>
      <c r="C102" s="314"/>
      <c r="D102" s="314"/>
      <c r="E102" s="314"/>
      <c r="F102" s="314"/>
      <c r="G102" s="314"/>
      <c r="H102" s="314"/>
    </row>
    <row r="103" spans="1:8" ht="27.75" customHeight="1">
      <c r="A103" s="314"/>
      <c r="B103" s="314"/>
      <c r="C103" s="314"/>
      <c r="D103" s="314"/>
      <c r="E103" s="314"/>
      <c r="F103" s="314"/>
      <c r="G103" s="314"/>
      <c r="H103" s="314"/>
    </row>
    <row r="104" spans="1:8" ht="27.75" customHeight="1">
      <c r="A104" s="314"/>
      <c r="B104" s="314"/>
      <c r="C104" s="314"/>
      <c r="D104" s="314"/>
      <c r="E104" s="314"/>
      <c r="F104" s="314"/>
      <c r="G104" s="314"/>
      <c r="H104" s="314"/>
    </row>
    <row r="105" spans="1:8" ht="27.75" customHeight="1">
      <c r="A105" s="314"/>
      <c r="B105" s="314"/>
      <c r="C105" s="314"/>
      <c r="D105" s="314"/>
      <c r="E105" s="314"/>
      <c r="F105" s="314"/>
      <c r="G105" s="314"/>
      <c r="H105" s="314"/>
    </row>
    <row r="106" spans="1:8" ht="27.75" customHeight="1">
      <c r="A106" s="314"/>
      <c r="B106" s="314"/>
      <c r="C106" s="314"/>
      <c r="D106" s="314"/>
      <c r="E106" s="314"/>
      <c r="F106" s="314"/>
      <c r="G106" s="314"/>
      <c r="H106" s="314"/>
    </row>
    <row r="107" spans="1:8" ht="27.75" customHeight="1">
      <c r="A107" s="16"/>
      <c r="B107" s="626"/>
      <c r="C107" s="626"/>
      <c r="D107" s="83"/>
      <c r="E107" s="83"/>
      <c r="F107" s="83"/>
      <c r="G107" s="83"/>
      <c r="H107" s="83"/>
    </row>
    <row r="108" spans="1:8" ht="27.75" customHeight="1">
      <c r="A108" s="5"/>
      <c r="B108" s="5"/>
      <c r="C108" s="5"/>
      <c r="D108" s="5"/>
      <c r="E108" s="5"/>
      <c r="F108" s="5"/>
      <c r="G108" s="5"/>
      <c r="H108" s="5"/>
    </row>
    <row r="109" spans="1:8" ht="27.75" customHeight="1">
      <c r="A109" s="5"/>
      <c r="B109" s="5"/>
      <c r="C109" s="5"/>
      <c r="D109" s="5"/>
      <c r="E109" s="5"/>
      <c r="F109" s="5"/>
      <c r="G109" s="5"/>
      <c r="H109" s="5"/>
    </row>
    <row r="110" spans="1:8" ht="27.75" customHeight="1">
      <c r="A110" s="5"/>
      <c r="B110" s="5"/>
      <c r="C110" s="5"/>
      <c r="D110" s="5"/>
      <c r="E110" s="5"/>
      <c r="F110" s="5"/>
      <c r="G110" s="5"/>
      <c r="H110" s="5"/>
    </row>
    <row r="111" spans="1:8" ht="27.75" customHeight="1">
      <c r="A111" s="5"/>
      <c r="B111" s="5"/>
      <c r="C111" s="5"/>
      <c r="D111" s="5"/>
      <c r="E111" s="5"/>
      <c r="F111" s="5"/>
      <c r="G111" s="5"/>
      <c r="H111" s="5"/>
    </row>
    <row r="112" spans="1:8" ht="27.75" customHeight="1">
      <c r="A112" s="5"/>
      <c r="B112" s="5"/>
      <c r="C112" s="5"/>
      <c r="D112" s="5"/>
      <c r="E112" s="5"/>
      <c r="F112" s="5"/>
      <c r="G112" s="5"/>
      <c r="H112" s="5"/>
    </row>
    <row r="113" spans="1:8" ht="27.75" customHeight="1">
      <c r="A113" s="5"/>
      <c r="B113" s="5"/>
      <c r="C113" s="5"/>
      <c r="D113" s="5"/>
      <c r="E113" s="5"/>
      <c r="F113" s="5"/>
      <c r="G113" s="5"/>
      <c r="H113" s="5"/>
    </row>
    <row r="114" spans="1:8" ht="27.75" customHeight="1">
      <c r="A114" s="5"/>
      <c r="B114" s="5"/>
      <c r="C114" s="5"/>
      <c r="D114" s="5"/>
      <c r="E114" s="5"/>
      <c r="F114" s="5"/>
      <c r="G114" s="5"/>
      <c r="H114" s="5"/>
    </row>
    <row r="115" spans="1:8" ht="27.75" customHeight="1">
      <c r="A115" s="5"/>
      <c r="B115" s="5"/>
      <c r="C115" s="5"/>
      <c r="D115" s="5"/>
      <c r="E115" s="5"/>
      <c r="F115" s="5"/>
      <c r="G115" s="5"/>
      <c r="H115" s="5"/>
    </row>
  </sheetData>
  <sheetProtection sheet="1" objects="1" scenarios="1" selectLockedCells="1"/>
  <mergeCells count="89">
    <mergeCell ref="M91:O91"/>
    <mergeCell ref="M92:O92"/>
    <mergeCell ref="F28:F29"/>
    <mergeCell ref="M54:O55"/>
    <mergeCell ref="M56:O56"/>
    <mergeCell ref="M57:O57"/>
    <mergeCell ref="M58:O58"/>
    <mergeCell ref="F10:F11"/>
    <mergeCell ref="M12:O12"/>
    <mergeCell ref="N33:O33"/>
    <mergeCell ref="M28:O29"/>
    <mergeCell ref="N16:O16"/>
    <mergeCell ref="N17:O17"/>
    <mergeCell ref="M30:O30"/>
    <mergeCell ref="N31:O31"/>
    <mergeCell ref="M19:O19"/>
    <mergeCell ref="M20:O20"/>
    <mergeCell ref="M21:O21"/>
    <mergeCell ref="M10:O11"/>
    <mergeCell ref="N13:N14"/>
    <mergeCell ref="N15:O15"/>
    <mergeCell ref="G28:H29"/>
    <mergeCell ref="N18:O18"/>
    <mergeCell ref="B10:D11"/>
    <mergeCell ref="E10:E11"/>
    <mergeCell ref="B12:D12"/>
    <mergeCell ref="C13:C14"/>
    <mergeCell ref="C18:D18"/>
    <mergeCell ref="Q54:Q55"/>
    <mergeCell ref="E54:E55"/>
    <mergeCell ref="F54:F55"/>
    <mergeCell ref="B46:D46"/>
    <mergeCell ref="C35:D35"/>
    <mergeCell ref="B45:D45"/>
    <mergeCell ref="P54:P55"/>
    <mergeCell ref="G54:G55"/>
    <mergeCell ref="C34:D34"/>
    <mergeCell ref="C15:D15"/>
    <mergeCell ref="E28:E29"/>
    <mergeCell ref="C16:D16"/>
    <mergeCell ref="C17:D17"/>
    <mergeCell ref="B28:D29"/>
    <mergeCell ref="C31:D31"/>
    <mergeCell ref="C32:D32"/>
    <mergeCell ref="C33:D33"/>
    <mergeCell ref="B30:D30"/>
    <mergeCell ref="B56:D56"/>
    <mergeCell ref="M89:O89"/>
    <mergeCell ref="M90:O90"/>
    <mergeCell ref="N32:O32"/>
    <mergeCell ref="M37:O37"/>
    <mergeCell ref="N34:O34"/>
    <mergeCell ref="N35:O35"/>
    <mergeCell ref="M36:O36"/>
    <mergeCell ref="M45:N45"/>
    <mergeCell ref="M46:N46"/>
    <mergeCell ref="B54:D55"/>
    <mergeCell ref="C57:D57"/>
    <mergeCell ref="C58:D58"/>
    <mergeCell ref="C59:D59"/>
    <mergeCell ref="C60:D60"/>
    <mergeCell ref="C61:D61"/>
    <mergeCell ref="B92:D92"/>
    <mergeCell ref="E89:F89"/>
    <mergeCell ref="G89:I89"/>
    <mergeCell ref="G90:I90"/>
    <mergeCell ref="G91:I91"/>
    <mergeCell ref="G92:I92"/>
    <mergeCell ref="B89:D89"/>
    <mergeCell ref="B90:D90"/>
    <mergeCell ref="E90:F90"/>
    <mergeCell ref="E91:F91"/>
    <mergeCell ref="B91:D91"/>
    <mergeCell ref="C62:D62"/>
    <mergeCell ref="C63:D63"/>
    <mergeCell ref="C64:D64"/>
    <mergeCell ref="C65:D65"/>
    <mergeCell ref="C66:D66"/>
    <mergeCell ref="B77:D77"/>
    <mergeCell ref="C67:D67"/>
    <mergeCell ref="C68:D68"/>
    <mergeCell ref="C69:D69"/>
    <mergeCell ref="C70:D70"/>
    <mergeCell ref="C76:D76"/>
    <mergeCell ref="C71:D71"/>
    <mergeCell ref="C72:D72"/>
    <mergeCell ref="C73:D73"/>
    <mergeCell ref="C74:D74"/>
    <mergeCell ref="C75:D75"/>
  </mergeCells>
  <phoneticPr fontId="3"/>
  <dataValidations count="3">
    <dataValidation type="whole" operator="greaterThan" allowBlank="1" showInputMessage="1" showErrorMessage="1" error="整数を入力してください。" sqref="E12:E18 E56:F77 O46 E30:E35 E46 E90:F91 F92" xr:uid="{00000000-0002-0000-0500-000000000000}">
      <formula1>0</formula1>
    </dataValidation>
    <dataValidation type="whole" allowBlank="1" showInputMessage="1" showErrorMessage="1" sqref="G12:G18 F46 H56:H77" xr:uid="{00000000-0002-0000-0500-000001000000}">
      <formula1>1</formula1>
      <formula2>100</formula2>
    </dataValidation>
    <dataValidation type="whole" allowBlank="1" showInputMessage="1" showErrorMessage="1" error="1～100の値を入力してください。" sqref="F12:F18 F30:F35 F46 G56:G77" xr:uid="{00000000-0002-0000-0500-000002000000}">
      <formula1>1</formula1>
      <formula2>100</formula2>
    </dataValidation>
  </dataValidations>
  <printOptions horizontalCentered="1" verticalCentered="1"/>
  <pageMargins left="0" right="0" top="0" bottom="0" header="0" footer="0.19685039370078741"/>
  <pageSetup paperSize="9" scale="72" fitToHeight="0" orientation="landscape" cellComments="asDisplayed" r:id="rId1"/>
  <headerFooter scaleWithDoc="0"/>
  <rowBreaks count="2" manualBreakCount="2">
    <brk id="22" max="16383" man="1"/>
    <brk id="47" max="16383" man="1"/>
  </rowBreaks>
  <drawing r:id="rId2"/>
  <legacyDrawing r:id="rId3"/>
  <controls>
    <mc:AlternateContent xmlns:mc="http://schemas.openxmlformats.org/markup-compatibility/2006">
      <mc:Choice Requires="x14">
        <control shapeId="5121" r:id="rId4" name="Label1">
          <controlPr defaultSize="0" print="0" autoLine="0" r:id="rId5">
            <anchor moveWithCells="1">
              <from>
                <xdr:col>6</xdr:col>
                <xdr:colOff>704850</xdr:colOff>
                <xdr:row>47</xdr:row>
                <xdr:rowOff>19050</xdr:rowOff>
              </from>
              <to>
                <xdr:col>7</xdr:col>
                <xdr:colOff>190500</xdr:colOff>
                <xdr:row>47</xdr:row>
                <xdr:rowOff>228600</xdr:rowOff>
              </to>
            </anchor>
          </controlPr>
        </control>
      </mc:Choice>
      <mc:Fallback>
        <control shapeId="5121" r:id="rId4" name="Label1"/>
      </mc:Fallback>
    </mc:AlternateContent>
    <mc:AlternateContent xmlns:mc="http://schemas.openxmlformats.org/markup-compatibility/2006">
      <mc:Choice Requires="x14">
        <control shapeId="5122" r:id="rId6" name="txt_hyouji">
          <controlPr locked="0" defaultSize="0" print="0" autoLine="0" r:id="rId7">
            <anchor moveWithCells="1">
              <from>
                <xdr:col>6</xdr:col>
                <xdr:colOff>704850</xdr:colOff>
                <xdr:row>47</xdr:row>
                <xdr:rowOff>228600</xdr:rowOff>
              </from>
              <to>
                <xdr:col>7</xdr:col>
                <xdr:colOff>190500</xdr:colOff>
                <xdr:row>49</xdr:row>
                <xdr:rowOff>0</xdr:rowOff>
              </to>
            </anchor>
          </controlPr>
        </control>
      </mc:Choice>
      <mc:Fallback>
        <control shapeId="5122" r:id="rId6" name="txt_hyouji"/>
      </mc:Fallback>
    </mc:AlternateContent>
    <mc:AlternateContent xmlns:mc="http://schemas.openxmlformats.org/markup-compatibility/2006">
      <mc:Choice Requires="x14">
        <control shapeId="5123" r:id="rId8" name="btnKoushin1">
          <controlPr defaultSize="0" print="0" autoLine="0" r:id="rId9">
            <anchor moveWithCells="1">
              <from>
                <xdr:col>7</xdr:col>
                <xdr:colOff>342900</xdr:colOff>
                <xdr:row>47</xdr:row>
                <xdr:rowOff>19050</xdr:rowOff>
              </from>
              <to>
                <xdr:col>8</xdr:col>
                <xdr:colOff>219075</xdr:colOff>
                <xdr:row>49</xdr:row>
                <xdr:rowOff>0</xdr:rowOff>
              </to>
            </anchor>
          </controlPr>
        </control>
      </mc:Choice>
      <mc:Fallback>
        <control shapeId="5123" r:id="rId8" name="btnKoushi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54"/>
  <sheetViews>
    <sheetView showGridLines="0" zoomScale="85" zoomScaleNormal="85" zoomScaleSheetLayoutView="80" workbookViewId="0"/>
  </sheetViews>
  <sheetFormatPr defaultRowHeight="13.5"/>
  <cols>
    <col min="1" max="2" width="2.75" customWidth="1"/>
    <col min="3" max="4" width="10.75" customWidth="1"/>
    <col min="5" max="5" width="9.75" customWidth="1"/>
    <col min="6" max="6" width="15.75" customWidth="1"/>
    <col min="7" max="9" width="20.75" customWidth="1"/>
    <col min="23" max="23" width="2.75" customWidth="1"/>
  </cols>
  <sheetData>
    <row r="2" spans="1:9" ht="18.75">
      <c r="A2" s="197" t="s">
        <v>741</v>
      </c>
    </row>
    <row r="3" spans="1:9" ht="15" customHeight="1"/>
    <row r="4" spans="1:9" ht="27" customHeight="1">
      <c r="B4" s="1832" t="s">
        <v>522</v>
      </c>
      <c r="C4" s="1833"/>
      <c r="D4" s="1833"/>
      <c r="E4" s="1834"/>
      <c r="F4" s="1823" t="s">
        <v>558</v>
      </c>
      <c r="G4" s="1824" t="s">
        <v>100</v>
      </c>
      <c r="H4" s="1824"/>
      <c r="I4" s="1825"/>
    </row>
    <row r="5" spans="1:9" ht="27" customHeight="1">
      <c r="B5" s="1835"/>
      <c r="C5" s="1836"/>
      <c r="D5" s="1836"/>
      <c r="E5" s="1837"/>
      <c r="F5" s="1818"/>
      <c r="G5" s="207" t="s">
        <v>843</v>
      </c>
      <c r="H5" s="196" t="s">
        <v>844</v>
      </c>
      <c r="I5" s="208"/>
    </row>
    <row r="6" spans="1:9" ht="27" customHeight="1" thickBot="1">
      <c r="B6" s="1838"/>
      <c r="C6" s="1839"/>
      <c r="D6" s="1839"/>
      <c r="E6" s="1840"/>
      <c r="F6" s="1819"/>
      <c r="G6" s="206"/>
      <c r="H6" s="204"/>
      <c r="I6" s="205" t="s">
        <v>503</v>
      </c>
    </row>
    <row r="7" spans="1:9" ht="27" customHeight="1" thickTop="1" thickBot="1">
      <c r="B7" s="1841" t="s">
        <v>557</v>
      </c>
      <c r="C7" s="1830"/>
      <c r="D7" s="1831"/>
      <c r="E7" s="198" t="s">
        <v>554</v>
      </c>
      <c r="F7" s="1208">
        <f>SUMIFS(【８】建物!$O$17:$O$316,【８】建物!$M$17:$M$316,"[06]畜舎")</f>
        <v>0</v>
      </c>
      <c r="G7" s="1842"/>
      <c r="H7" s="1208">
        <f>SUMIFS(【８】建物!$AW$17:$AW$316,【８】建物!$M$17:$M$316,"[06]畜舎")</f>
        <v>0</v>
      </c>
      <c r="I7" s="1826"/>
    </row>
    <row r="8" spans="1:9" ht="27" customHeight="1" thickTop="1" thickBot="1">
      <c r="B8" s="1829" t="s">
        <v>556</v>
      </c>
      <c r="C8" s="1830"/>
      <c r="D8" s="1831"/>
      <c r="E8" s="198" t="s">
        <v>554</v>
      </c>
      <c r="F8" s="1208">
        <f>SUMIFS(【８】建物!$O$17:$O$316,【８】建物!$M$17:$M$316,"[09]たい肥舎・たい肥盤")</f>
        <v>0</v>
      </c>
      <c r="G8" s="1843"/>
      <c r="H8" s="1208">
        <f>SUMIFS(【８】建物!$AW$17:$AW$316,【８】建物!$M$17:$M$316,"[09]たい肥舎・たい肥盤")</f>
        <v>0</v>
      </c>
      <c r="I8" s="1827"/>
    </row>
    <row r="9" spans="1:9" ht="27" customHeight="1" thickTop="1" thickBot="1">
      <c r="B9" s="1829" t="s">
        <v>555</v>
      </c>
      <c r="C9" s="1830"/>
      <c r="D9" s="1831"/>
      <c r="E9" s="198" t="s">
        <v>552</v>
      </c>
      <c r="F9" s="1208">
        <f>SUMIFS(【８】建物!$O$17:$O$316,【８】建物!$M$17:$M$316,"[26]ふん尿貯留槽")</f>
        <v>0</v>
      </c>
      <c r="G9" s="1843"/>
      <c r="H9" s="1208">
        <f>SUMIFS(【８】建物!$AW$17:$AW$316,【８】建物!$M$17:$M$316,"[26]ふん尿貯留槽")</f>
        <v>0</v>
      </c>
      <c r="I9" s="1827"/>
    </row>
    <row r="10" spans="1:9" ht="27" customHeight="1" thickTop="1" thickBot="1">
      <c r="B10" s="1829" t="s">
        <v>720</v>
      </c>
      <c r="C10" s="1830"/>
      <c r="D10" s="1831"/>
      <c r="E10" s="198" t="s">
        <v>552</v>
      </c>
      <c r="F10" s="1208">
        <f>SUMIFS(【８】建物!$O$17:$O$316,【８】建物!$M$17:$M$316,"[28]脱臭施設")</f>
        <v>0</v>
      </c>
      <c r="G10" s="1843"/>
      <c r="H10" s="1208">
        <f>SUMIFS(【８】建物!$AW$17:$AW$316,【８】建物!$M$17:$M$316,"[28]脱臭施設")</f>
        <v>0</v>
      </c>
      <c r="I10" s="1827"/>
    </row>
    <row r="11" spans="1:9" ht="27" customHeight="1" thickTop="1" thickBot="1">
      <c r="B11" s="1829" t="s">
        <v>553</v>
      </c>
      <c r="C11" s="1830"/>
      <c r="D11" s="1831"/>
      <c r="E11" s="198" t="s">
        <v>552</v>
      </c>
      <c r="F11" s="1208">
        <f>SUMIFS(【８】建物!$O$17:$O$316,【８】建物!$M$17:$M$316,"[27]浄化処理施設")</f>
        <v>0</v>
      </c>
      <c r="G11" s="1843"/>
      <c r="H11" s="1208">
        <f>SUMIFS(【８】建物!$AW$17:$AW$316,【８】建物!$M$17:$M$316,"[27]浄化処理施設")</f>
        <v>0</v>
      </c>
      <c r="I11" s="1827"/>
    </row>
    <row r="12" spans="1:9" ht="27" customHeight="1" thickTop="1" thickBot="1">
      <c r="B12" s="1829" t="s">
        <v>719</v>
      </c>
      <c r="C12" s="1830"/>
      <c r="D12" s="1831"/>
      <c r="E12" s="198" t="s">
        <v>552</v>
      </c>
      <c r="F12" s="1208">
        <f>SUMIFS(【８】建物!$O$17:$O$316,【８】建物!$M$17:$M$316,"[29]ﾌﾟﾗｽﾁｯｸﾊｳｽ利用乾燥施設")+
SUMIFS(【８】建物!$O$17:$O$316,【８】建物!$M$17:$M$316,"[30]その他のふん乾燥施設")</f>
        <v>0</v>
      </c>
      <c r="G12" s="1844"/>
      <c r="H12" s="1208">
        <f>SUMIFS(【８】建物!$AW$17:$AW$316,【８】建物!$M$17:$M$316,"[29]ﾌﾟﾗｽﾁｯｸﾊｳｽ利用乾燥施設")+
SUMIFS(【８】建物!$AW$17:$AW$316,【８】建物!$M$17:$M$316,"[30]その他のふん乾燥施設")</f>
        <v>0</v>
      </c>
      <c r="I12" s="1827"/>
    </row>
    <row r="13" spans="1:9" ht="27" customHeight="1" thickTop="1" thickBot="1">
      <c r="B13" s="1829" t="s">
        <v>718</v>
      </c>
      <c r="C13" s="1830"/>
      <c r="D13" s="1831"/>
      <c r="E13" s="198" t="s">
        <v>552</v>
      </c>
      <c r="F13" s="1208">
        <f>SUMIFS(【８】建物!$O$17:$O$316,【８】建物!$M$17:$M$316,"[24]飼料用タンク")</f>
        <v>0</v>
      </c>
      <c r="G13" s="1844"/>
      <c r="H13" s="1208">
        <f>SUMIFS(【８】建物!$AW$17:$AW$316,【８】建物!$M$17:$M$316,"[24]飼料用タンク")</f>
        <v>0</v>
      </c>
      <c r="I13" s="1827"/>
    </row>
    <row r="14" spans="1:9" ht="27" customHeight="1" thickTop="1" thickBot="1">
      <c r="B14" s="1829" t="s">
        <v>2</v>
      </c>
      <c r="C14" s="1829"/>
      <c r="D14" s="1829"/>
      <c r="E14" s="1829"/>
      <c r="F14" s="1216"/>
      <c r="G14" s="1844"/>
      <c r="H14" s="1208">
        <f>SUMIFS(【８】建物!$AW$17:$AW$316,【８】建物!$M$17:$M$316,"&lt;&gt;[06]畜舎",【８】建物!$M$17:$M$316,"&lt;&gt;[09]たい肥舎・たい肥盤",【８】建物!$M$17:$M$316,"&lt;&gt;[26]ふん尿貯留槽",【８】建物!$M$17:$M$316,"&lt;&gt;[28]脱臭施設",【８】建物!$M$17:$M$316,"&lt;&gt;[27]浄化処理施設",【８】建物!$M$17:$M$316,"&lt;&gt;[30]その他のふん乾燥施設",【８】建物!$M$17:$M$316,"&lt;&gt;[24]飼料用タンク",【８】建物!$M$17:$M$316,"&lt;&gt;[29]ﾌﾟﾗｽﾁｯｸﾊｳｽ利用乾燥施設")</f>
        <v>0</v>
      </c>
      <c r="I14" s="1828"/>
    </row>
    <row r="15" spans="1:9" ht="27" customHeight="1" thickTop="1" thickBot="1">
      <c r="B15" s="1820" t="s">
        <v>28</v>
      </c>
      <c r="C15" s="1821"/>
      <c r="D15" s="1821"/>
      <c r="E15" s="1822"/>
      <c r="F15" s="1068"/>
      <c r="G15" s="1066">
        <f>SUM(【８】建物!AZ16,【８】建物!BA16)</f>
        <v>0</v>
      </c>
      <c r="H15" s="1069"/>
      <c r="I15" s="1066">
        <f>【８】建物!AX16</f>
        <v>0</v>
      </c>
    </row>
    <row r="16" spans="1:9" ht="20.100000000000001" customHeight="1" thickTop="1"/>
    <row r="17" spans="1:9" ht="20.100000000000001" customHeight="1"/>
    <row r="18" spans="1:9" ht="20.100000000000001" customHeight="1"/>
    <row r="19" spans="1:9" ht="18.75">
      <c r="A19" s="197" t="s">
        <v>742</v>
      </c>
    </row>
    <row r="20" spans="1:9" ht="15" customHeight="1"/>
    <row r="21" spans="1:9" ht="27" customHeight="1">
      <c r="B21" s="1832" t="s">
        <v>522</v>
      </c>
      <c r="C21" s="1833"/>
      <c r="D21" s="1833"/>
      <c r="E21" s="1833"/>
      <c r="F21" s="1817" t="s">
        <v>845</v>
      </c>
      <c r="G21" s="1824" t="s">
        <v>100</v>
      </c>
      <c r="H21" s="1824"/>
      <c r="I21" s="1825"/>
    </row>
    <row r="22" spans="1:9" ht="27" customHeight="1">
      <c r="B22" s="1835"/>
      <c r="C22" s="1836"/>
      <c r="D22" s="1836"/>
      <c r="E22" s="1836"/>
      <c r="F22" s="1818"/>
      <c r="G22" s="208" t="s">
        <v>846</v>
      </c>
      <c r="H22" s="196" t="s">
        <v>844</v>
      </c>
      <c r="I22" s="208"/>
    </row>
    <row r="23" spans="1:9" ht="27" customHeight="1" thickBot="1">
      <c r="B23" s="1838"/>
      <c r="C23" s="1839"/>
      <c r="D23" s="1839"/>
      <c r="E23" s="1839"/>
      <c r="F23" s="1819"/>
      <c r="G23" s="209"/>
      <c r="H23" s="204"/>
      <c r="I23" s="205" t="s">
        <v>503</v>
      </c>
    </row>
    <row r="24" spans="1:9" ht="27" customHeight="1" thickTop="1" thickBot="1">
      <c r="B24" s="1829" t="s">
        <v>551</v>
      </c>
      <c r="C24" s="1829"/>
      <c r="D24" s="1829"/>
      <c r="E24" s="1848"/>
      <c r="F24" s="1066">
        <f>COUNTIFS(【９】自動車!K17:K316,"[1]貨物自動車",【９】自動車!AB17:AB316,"",【９】自動車!W17:W316,"&gt;0")</f>
        <v>0</v>
      </c>
      <c r="G24" s="1849"/>
      <c r="H24" s="1066">
        <f>SUMIFS(【９】自動車!$AQ$17:$AQ$316,【９】自動車!$K$17:$K$316,"[1]貨物自動車")</f>
        <v>0</v>
      </c>
      <c r="I24" s="1826"/>
    </row>
    <row r="25" spans="1:9" ht="27" customHeight="1" thickTop="1" thickBot="1">
      <c r="B25" s="1829" t="s">
        <v>2</v>
      </c>
      <c r="C25" s="1829"/>
      <c r="D25" s="1829"/>
      <c r="E25" s="1829"/>
      <c r="F25" s="1067"/>
      <c r="G25" s="1850"/>
      <c r="H25" s="1066">
        <f>SUMIFS(【９】自動車!$AQ$17:$AQ$316,【９】自動車!$K$17:$K$316,"[2]その他の自動車")</f>
        <v>0</v>
      </c>
      <c r="I25" s="1828"/>
    </row>
    <row r="26" spans="1:9" ht="27" customHeight="1" thickTop="1" thickBot="1">
      <c r="B26" s="1820" t="s">
        <v>28</v>
      </c>
      <c r="C26" s="1821"/>
      <c r="D26" s="1821"/>
      <c r="E26" s="1822"/>
      <c r="F26" s="1068"/>
      <c r="G26" s="1066">
        <f>SUM(【９】自動車!AT16,【９】自動車!AU16)</f>
        <v>0</v>
      </c>
      <c r="H26" s="1070"/>
      <c r="I26" s="1066">
        <f>【９】自動車!AR16</f>
        <v>0</v>
      </c>
    </row>
    <row r="27" spans="1:9" ht="27" customHeight="1" thickTop="1"/>
    <row r="28" spans="1:9" ht="20.100000000000001" customHeight="1"/>
    <row r="29" spans="1:9" ht="20.100000000000001" customHeight="1">
      <c r="A29" s="197" t="s">
        <v>743</v>
      </c>
    </row>
    <row r="30" spans="1:9" ht="15" customHeight="1"/>
    <row r="31" spans="1:9" ht="20.100000000000001" customHeight="1">
      <c r="B31" s="195" t="s">
        <v>449</v>
      </c>
    </row>
    <row r="32" spans="1:9" ht="27" customHeight="1">
      <c r="B32" s="1832" t="s">
        <v>522</v>
      </c>
      <c r="C32" s="1833"/>
      <c r="D32" s="1833"/>
      <c r="E32" s="1834"/>
      <c r="F32" s="1817" t="s">
        <v>845</v>
      </c>
      <c r="G32" s="1824" t="s">
        <v>100</v>
      </c>
      <c r="H32" s="1824"/>
      <c r="I32" s="1825"/>
    </row>
    <row r="33" spans="2:9" ht="27" customHeight="1">
      <c r="B33" s="1835"/>
      <c r="C33" s="1836"/>
      <c r="D33" s="1836"/>
      <c r="E33" s="1837"/>
      <c r="F33" s="1818"/>
      <c r="G33" s="208" t="s">
        <v>846</v>
      </c>
      <c r="H33" s="196" t="s">
        <v>844</v>
      </c>
      <c r="I33" s="208"/>
    </row>
    <row r="34" spans="2:9" ht="27" customHeight="1" thickBot="1">
      <c r="B34" s="1838"/>
      <c r="C34" s="1839"/>
      <c r="D34" s="1839"/>
      <c r="E34" s="1840"/>
      <c r="F34" s="1819"/>
      <c r="G34" s="209"/>
      <c r="H34" s="204"/>
      <c r="I34" s="205" t="s">
        <v>503</v>
      </c>
    </row>
    <row r="35" spans="2:9" ht="27" customHeight="1" thickTop="1" thickBot="1">
      <c r="B35" s="1812" t="s">
        <v>721</v>
      </c>
      <c r="C35" s="1812"/>
      <c r="D35" s="1812"/>
      <c r="E35" s="1813"/>
      <c r="F35" s="1066">
        <f>COUNTIFS(【10】農業機械!$E$19:$E$318,"[50]バキュームカー",【10】農業機械!$W$19:$W$318,"",【10】農業機械!$R$19:$R$318,"&gt;0")</f>
        <v>0</v>
      </c>
      <c r="G35" s="1071">
        <f>SUM(SUMIFS(【10】農業機械!$AQ$19:$AQ$318,【10】農業機械!$E$19:$E$318,"[50]バキュームカー"),
SUMIFS(【10】農業機械!$AR$19:$AR$318,【10】農業機械!$E$19:$E$318,"[50]バキュームカー"))</f>
        <v>0</v>
      </c>
      <c r="H35" s="1066">
        <f>SUMIFS(【10】農業機械!$AN$19:$AN$318,【10】農業機械!$E$19:$E$318,"[50]バキュームカー")</f>
        <v>0</v>
      </c>
      <c r="I35" s="1072">
        <f>SUMIFS(【10】農業機械!$AO$19:$AO$318,【10】農業機械!$E$19:$E$318,"[50]バキュームカー")</f>
        <v>0</v>
      </c>
    </row>
    <row r="36" spans="2:9" ht="27" customHeight="1" thickTop="1" thickBot="1">
      <c r="B36" s="1829" t="s">
        <v>722</v>
      </c>
      <c r="C36" s="1829"/>
      <c r="D36" s="1829"/>
      <c r="E36" s="1848"/>
      <c r="F36" s="1066">
        <f>COUNTIFS(【10】農業機械!$E$19:$E$318,"[08]マニュアスプレッダー",【10】農業機械!$W$19:$W$318,"",【10】農業機械!$R$19:$R$318,"&gt;0")</f>
        <v>0</v>
      </c>
      <c r="G36" s="1071">
        <f>SUM(SUMIFS(【10】農業機械!$AQ$19:$AQ$318,【10】農業機械!$E$19:$E$318,"[08]マニュアスプレッダー"),
SUMIFS(【10】農業機械!$AR$19:$AR$318,【10】農業機械!$E$19:$E$318,"[08]マニュアスプレッダー"))</f>
        <v>0</v>
      </c>
      <c r="H36" s="1066">
        <f>SUMIFS(【10】農業機械!$AN$19:$AN$318,【10】農業機械!$E$19:$E$318,"[08]マニュアスプレッダー")</f>
        <v>0</v>
      </c>
      <c r="I36" s="1072">
        <f>SUMIFS(【10】農業機械!$AO$19:$AO$318,【10】農業機械!$E$19:$E$318,"[08]マニュアスプレッダー")</f>
        <v>0</v>
      </c>
    </row>
    <row r="37" spans="2:9" ht="27" customHeight="1" thickTop="1" thickBot="1">
      <c r="B37" s="1829" t="s">
        <v>723</v>
      </c>
      <c r="C37" s="1829"/>
      <c r="D37" s="1829"/>
      <c r="E37" s="1848"/>
      <c r="F37" s="1066">
        <f>COUNTIFS(【10】農業機械!$E$19:$E$318,"[52]固液分離機",【10】農業機械!$W$19:$W$318,"",【10】農業機械!$R$19:$R$318,"&gt;0")</f>
        <v>0</v>
      </c>
      <c r="G37" s="1071">
        <f>SUM(SUMIFS(【10】農業機械!$AQ$19:$AQ$318,【10】農業機械!$E$19:$E$318,"[52]固液分離機"),
SUMIFS(【10】農業機械!$AR$19:$AR$318,【10】農業機械!$E$19:$E$318,"[52]固液分離機"))</f>
        <v>0</v>
      </c>
      <c r="H37" s="1066">
        <f>SUMIFS(【10】農業機械!$AN$19:$AN$318,【10】農業機械!$E$19:$E$318,"[52]固液分離機")</f>
        <v>0</v>
      </c>
      <c r="I37" s="1072">
        <f>SUMIFS(【10】農業機械!$AO$19:$AO$318,【10】農業機械!$E$19:$E$318,"[52]固液分離機")</f>
        <v>0</v>
      </c>
    </row>
    <row r="38" spans="2:9" ht="27" customHeight="1" thickTop="1" thickBot="1">
      <c r="B38" s="1814" t="s">
        <v>549</v>
      </c>
      <c r="C38" s="1815"/>
      <c r="D38" s="1815"/>
      <c r="E38" s="1816"/>
      <c r="F38" s="1066">
        <f>COUNTIFS(【10】農業機械!$E$19:$E$318,"[49]ローダー",【10】農業機械!$W$19:$W$318,"",【10】農業機械!$R$19:$R$318,"&gt;0")</f>
        <v>0</v>
      </c>
      <c r="G38" s="1071">
        <f>SUM(SUMIFS(【10】農業機械!$AQ$19:$AQ$318,【10】農業機械!$E$19:$E$318,"[49]ローダー"),
SUMIFS(【10】農業機械!$AR$19:$AR$318,【10】農業機械!$E$19:$E$318,"[49]ローダー"))</f>
        <v>0</v>
      </c>
      <c r="H38" s="1066">
        <f>SUMIFS(【10】農業機械!$AN$19:$AN$318,【10】農業機械!$E$19:$E$318,"[49]ローダー")</f>
        <v>0</v>
      </c>
      <c r="I38" s="1072">
        <f>SUMIFS(【10】農業機械!$AO$19:$AO$318,【10】農業機械!$E$19:$E$318,"[49]ローダー")</f>
        <v>0</v>
      </c>
    </row>
    <row r="39" spans="2:9" ht="27" customHeight="1" thickTop="1" thickBot="1">
      <c r="B39" s="1845" t="s">
        <v>892</v>
      </c>
      <c r="C39" s="1846"/>
      <c r="D39" s="1846"/>
      <c r="E39" s="1847"/>
      <c r="F39" s="1208">
        <f>COUNTIFS(【10】農業機械!$E$19:$E$318,"[17]動力噴霧機",【10】農業機械!$W$19:$W$318,"",【10】農業機械!$R$19:$R$318,"&gt;0")</f>
        <v>0</v>
      </c>
      <c r="G39" s="1209">
        <f>SUM(SUMIFS(【10】農業機械!$AQ$19:$AQ$318,【10】農業機械!$E$19:$E$318,"[17]動力噴霧機"),
SUMIFS(【10】農業機械!$AR$19:$AR$318,【10】農業機械!$E$19:$E$318,"[17]動力噴霧機"))</f>
        <v>0</v>
      </c>
      <c r="H39" s="1208">
        <f>SUMIFS(【10】農業機械!$AN$19:$AN$318,【10】農業機械!$E$19:$E$318,"[17]動力噴霧機")</f>
        <v>0</v>
      </c>
      <c r="I39" s="1210">
        <f>SUMIFS(【10】農業機械!$AO$19:$AO$318,【10】農業機械!$E$19:$E$318,"[17]動力噴霧機")</f>
        <v>0</v>
      </c>
    </row>
    <row r="40" spans="2:9" ht="27" customHeight="1" thickTop="1" thickBot="1">
      <c r="B40" s="1812" t="s">
        <v>550</v>
      </c>
      <c r="C40" s="1812"/>
      <c r="D40" s="1812"/>
      <c r="E40" s="1813"/>
      <c r="F40" s="1208">
        <f>COUNTIFS(【10】農業機械!$E$19:$E$318,"[05]農用トラクター",【10】農業機械!$W$19:$W$318,"",【10】農業機械!$R$19:$R$318,"&gt;0")</f>
        <v>0</v>
      </c>
      <c r="G40" s="1209">
        <f>SUM(SUMIFS(【10】農業機械!$AQ$19:$AQ$318,【10】農業機械!$E$19:$E$318,"[05]農用トラクター"),
SUMIFS(【10】農業機械!$AR$19:$AR$318,【10】農業機械!$E$19:$E$318,"[05]農用トラクター"))</f>
        <v>0</v>
      </c>
      <c r="H40" s="1208">
        <f>SUMIFS(【10】農業機械!$AN$19:$AN$318,【10】農業機械!$E$19:$E$318,"[05]農用トラクター")</f>
        <v>0</v>
      </c>
      <c r="I40" s="1210">
        <f>SUMIFS(【10】農業機械!$AO$19:$AO$318,【10】農業機械!$E$19:$E$318,"[05]農用トラクター")</f>
        <v>0</v>
      </c>
    </row>
    <row r="41" spans="2:9" ht="27" customHeight="1" thickTop="1" thickBot="1">
      <c r="B41" s="1812" t="s">
        <v>724</v>
      </c>
      <c r="C41" s="1812"/>
      <c r="D41" s="1812"/>
      <c r="E41" s="1813"/>
      <c r="F41" s="1208">
        <f>COUNTIFS(【10】農業機械!$E$19:$E$318,"[40]飼料粉砕機",【10】農業機械!$W$19:$W$318,"",【10】農業機械!$R$19:$R$318,"&gt;0")</f>
        <v>0</v>
      </c>
      <c r="G41" s="1209">
        <f>SUM(SUMIFS(【10】農業機械!$AQ$19:$AQ$318,【10】農業機械!$E$19:$E$318,"[40]飼料粉砕機"),
SUMIFS(【10】農業機械!$AR$19:$AR$318,【10】農業機械!$E$19:$E$318,"[40]飼料粉砕機"))</f>
        <v>0</v>
      </c>
      <c r="H41" s="1208">
        <f>SUMIFS(【10】農業機械!$AN$19:$AN$318,【10】農業機械!$E$19:$E$318,"[40]飼料粉砕機")</f>
        <v>0</v>
      </c>
      <c r="I41" s="1210">
        <f>SUMIFS(【10】農業機械!$AO$19:$AO$318,【10】農業機械!$E$19:$E$318,"[40]飼料粉砕機")</f>
        <v>0</v>
      </c>
    </row>
    <row r="42" spans="2:9" ht="27" customHeight="1" thickTop="1" thickBot="1">
      <c r="B42" s="1812" t="s">
        <v>725</v>
      </c>
      <c r="C42" s="1812"/>
      <c r="D42" s="1812"/>
      <c r="E42" s="1813"/>
      <c r="F42" s="1208">
        <f>COUNTIFS(【10】農業機械!$E$19:$E$318,"[41]飼料配合機",【10】農業機械!$W$19:$W$318,"",【10】農業機械!$R$19:$R$318,"&gt;0")</f>
        <v>0</v>
      </c>
      <c r="G42" s="1209">
        <f>SUM(SUMIFS(【10】農業機械!$AQ$19:$AQ$318,【10】農業機械!$E$19:$E$318,"[41]飼料配合機"),
SUMIFS(【10】農業機械!$AR$19:$AR$318,【10】農業機械!$E$19:$E$318,"[41]飼料配合機"))</f>
        <v>0</v>
      </c>
      <c r="H42" s="1208">
        <f>SUMIFS(【10】農業機械!$AN$19:$AN$318,【10】農業機械!$E$19:$E$318,"[41]飼料配合機")</f>
        <v>0</v>
      </c>
      <c r="I42" s="1210">
        <f>SUMIFS(【10】農業機械!$AO$19:$AO$318,【10】農業機械!$E$19:$E$318,"[41]飼料配合機")</f>
        <v>0</v>
      </c>
    </row>
    <row r="43" spans="2:9" ht="27" customHeight="1" thickTop="1" thickBot="1">
      <c r="B43" s="1812" t="s">
        <v>726</v>
      </c>
      <c r="C43" s="1812"/>
      <c r="D43" s="1812"/>
      <c r="E43" s="1813"/>
      <c r="F43" s="1208">
        <f>COUNTIFS(【10】農業機械!$E$19:$E$318,"[48]自動給餌機",【10】農業機械!$W$19:$W$318,"",【10】農業機械!$R$19:$R$318,"&gt;0")</f>
        <v>0</v>
      </c>
      <c r="G43" s="1209">
        <f>SUM(SUMIFS(【10】農業機械!$AQ$19:$AQ$318,【10】農業機械!$E$19:$E$318,"[48]自動給餌機"),
SUMIFS(【10】農業機械!$AR$19:$AR$318,【10】農業機械!$E$19:$E$318,"[48]自動給餌機"))</f>
        <v>0</v>
      </c>
      <c r="H43" s="1208">
        <f>SUMIFS(【10】農業機械!$AN$19:$AN$318,【10】農業機械!$E$19:$E$318,"[48]自動給餌機")</f>
        <v>0</v>
      </c>
      <c r="I43" s="1210">
        <f>SUMIFS(【10】農業機械!$AO$19:$AO$318,【10】農業機械!$E$19:$E$318,"[48]自動給餌機")</f>
        <v>0</v>
      </c>
    </row>
    <row r="44" spans="2:9" ht="27" customHeight="1" thickTop="1" thickBot="1">
      <c r="B44" s="1812" t="s">
        <v>727</v>
      </c>
      <c r="C44" s="1812"/>
      <c r="D44" s="1812"/>
      <c r="E44" s="1813"/>
      <c r="F44" s="1208">
        <f>COUNTIFS(【10】農業機械!$E$19:$E$318,"[53]自動給水機",【10】農業機械!$W$19:$W$318,"",【10】農業機械!$R$19:$R$318,"&gt;0")</f>
        <v>0</v>
      </c>
      <c r="G44" s="1209">
        <f>SUM(SUMIFS(【10】農業機械!$AQ$19:$AQ$318,【10】農業機械!$E$19:$E$318,"[53]自動給水機"),
SUMIFS(【10】農業機械!$AR$19:$AR$318,【10】農業機械!$E$19:$E$318,"[53]自動給水機"))</f>
        <v>0</v>
      </c>
      <c r="H44" s="1208">
        <f>SUMIFS(【10】農業機械!$AN$19:$AN$318,【10】農業機械!$E$19:$E$318,"[53]自動給水機")</f>
        <v>0</v>
      </c>
      <c r="I44" s="1210">
        <f>SUMIFS(【10】農業機械!$AO$19:$AO$318,【10】農業機械!$E$19:$E$318,"[53]自動給水機")</f>
        <v>0</v>
      </c>
    </row>
    <row r="45" spans="2:9" ht="27" customHeight="1" thickTop="1" thickBot="1">
      <c r="B45" s="1812" t="s">
        <v>2</v>
      </c>
      <c r="C45" s="1812"/>
      <c r="D45" s="1812"/>
      <c r="E45" s="1812"/>
      <c r="F45" s="1211"/>
      <c r="G45" s="1212">
        <f>SUM(SUMIFS(【10】農業機械!$AQ$19:$AQ$318,【10】農業機械!$E$19:$E$318,"[56]その他の農機具"),
SUMIFS(【10】農業機械!$AR$19:$AR$318,【10】農業機械!$E$19:$E$318,"[56]その他の農機具"))</f>
        <v>0</v>
      </c>
      <c r="H45" s="1208">
        <f>SUMIFS(【10】農業機械!$AN$19:$AN$318,【10】農業機械!$E$19:$E$318,"[56]その他の農機具")</f>
        <v>0</v>
      </c>
      <c r="I45" s="1213">
        <f>SUMIFS(【10】農業機械!$AO$19:$AO$318,【10】農業機械!$E$19:$E$318,"[56]その他の農機具")</f>
        <v>0</v>
      </c>
    </row>
    <row r="46" spans="2:9" ht="27" customHeight="1" thickTop="1" thickBot="1">
      <c r="B46" s="1812" t="s">
        <v>28</v>
      </c>
      <c r="C46" s="1812"/>
      <c r="D46" s="1812"/>
      <c r="E46" s="1812"/>
      <c r="F46" s="1214"/>
      <c r="G46" s="1208">
        <f>SUM(G35:G45,【11】農具購入費!AC18)</f>
        <v>0</v>
      </c>
      <c r="H46" s="1215"/>
      <c r="I46" s="1208">
        <f>SUM(I35:I45)</f>
        <v>0</v>
      </c>
    </row>
    <row r="47" spans="2:9" ht="20.100000000000001" customHeight="1" thickTop="1"/>
    <row r="48" spans="2:9" ht="20.100000000000001" customHeight="1"/>
    <row r="49" spans="2:9" ht="19.899999999999999" customHeight="1"/>
    <row r="50" spans="2:9" ht="18.75">
      <c r="B50" s="195" t="s">
        <v>548</v>
      </c>
    </row>
    <row r="51" spans="2:9" ht="27" customHeight="1">
      <c r="B51" s="1853" t="s">
        <v>522</v>
      </c>
      <c r="C51" s="1854"/>
      <c r="D51" s="1854"/>
      <c r="E51" s="1854"/>
      <c r="F51" s="1851"/>
      <c r="G51" s="1851" t="s">
        <v>846</v>
      </c>
      <c r="H51" s="1820" t="s">
        <v>844</v>
      </c>
      <c r="I51" s="210"/>
    </row>
    <row r="52" spans="2:9" ht="27" customHeight="1" thickBot="1">
      <c r="B52" s="1854"/>
      <c r="C52" s="1854"/>
      <c r="D52" s="1854"/>
      <c r="E52" s="1854"/>
      <c r="F52" s="1852"/>
      <c r="G52" s="1852"/>
      <c r="H52" s="1852"/>
      <c r="I52" s="205" t="s">
        <v>503</v>
      </c>
    </row>
    <row r="53" spans="2:9" ht="27" customHeight="1" thickTop="1" thickBot="1">
      <c r="B53" s="1829" t="s">
        <v>548</v>
      </c>
      <c r="C53" s="1829"/>
      <c r="D53" s="1829"/>
      <c r="E53" s="1829"/>
      <c r="F53" s="1068"/>
      <c r="G53" s="1208">
        <f>SUM(SUMIFS(【10】農業機械!$AQ$19:$AQ$318,【10】農業機械!$E$19:$E$318,{"[57]パソコン","[58]その他の生産管理機器"}),
SUMIFS(【10】農業機械!$AR$19:$AR$318,【10】農業機械!$E$19:$E$318,{"[57]パソコン","[58]その他の生産管理機器"}),【11】農具購入費!AC61)</f>
        <v>0</v>
      </c>
      <c r="H53" s="1208">
        <f>SUMIFS(【10】農業機械!$AN$19:$AN$318,【10】農業機械!$E$19:$E$318,"[57]パソコン")+
SUMIFS(【10】農業機械!$AN$19:$AN$318,【10】農業機械!$E$19:$E$318,"[58]その他の生産管理機器")</f>
        <v>0</v>
      </c>
      <c r="I53" s="1208">
        <f>SUMIFS(【10】農業機械!$AO$19:$AO$318,【10】農業機械!$E$19:$E$318,"[58]その他の生産管理機器")+
SUMIFS(【10】農業機械!$AO$19:$AO$318,【10】農業機械!$E$19:$E$318,"[57]パソコン")</f>
        <v>0</v>
      </c>
    </row>
    <row r="54" spans="2:9" ht="14.25" thickTop="1"/>
  </sheetData>
  <sheetProtection sheet="1" objects="1" scenarios="1" selectLockedCells="1"/>
  <mergeCells count="42">
    <mergeCell ref="B46:E46"/>
    <mergeCell ref="B45:E45"/>
    <mergeCell ref="B53:E53"/>
    <mergeCell ref="G51:G52"/>
    <mergeCell ref="H51:H52"/>
    <mergeCell ref="B51:E52"/>
    <mergeCell ref="F51:F52"/>
    <mergeCell ref="B15:E15"/>
    <mergeCell ref="G7:G14"/>
    <mergeCell ref="B39:E39"/>
    <mergeCell ref="B40:E40"/>
    <mergeCell ref="B35:E35"/>
    <mergeCell ref="B25:E25"/>
    <mergeCell ref="B24:E24"/>
    <mergeCell ref="B36:E36"/>
    <mergeCell ref="G24:G25"/>
    <mergeCell ref="B21:E23"/>
    <mergeCell ref="F21:F23"/>
    <mergeCell ref="G21:I21"/>
    <mergeCell ref="B37:E37"/>
    <mergeCell ref="I24:I25"/>
    <mergeCell ref="G32:I32"/>
    <mergeCell ref="B32:E34"/>
    <mergeCell ref="F4:F6"/>
    <mergeCell ref="G4:I4"/>
    <mergeCell ref="I7:I14"/>
    <mergeCell ref="B11:D11"/>
    <mergeCell ref="B14:E14"/>
    <mergeCell ref="B4:E6"/>
    <mergeCell ref="B13:D13"/>
    <mergeCell ref="B12:D12"/>
    <mergeCell ref="B8:D8"/>
    <mergeCell ref="B9:D9"/>
    <mergeCell ref="B10:D10"/>
    <mergeCell ref="B7:D7"/>
    <mergeCell ref="B44:E44"/>
    <mergeCell ref="B38:E38"/>
    <mergeCell ref="F32:F34"/>
    <mergeCell ref="B26:E26"/>
    <mergeCell ref="B41:E41"/>
    <mergeCell ref="B42:E42"/>
    <mergeCell ref="B43:E43"/>
  </mergeCells>
  <phoneticPr fontId="3"/>
  <printOptions horizontalCentered="1" verticalCentered="1"/>
  <pageMargins left="0" right="0" top="0" bottom="0" header="0" footer="0.19685039370078741"/>
  <pageSetup paperSize="9" scale="48" fitToWidth="0" orientation="landscape" cellComments="asDisplayed" r:id="rId1"/>
  <headerFooter scaleWithDoc="0">
    <oddFooter>&amp;R&amp;G</oddFooter>
  </headerFooter>
  <rowBreaks count="1" manualBreakCount="1">
    <brk id="28" max="16383"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heetPr>
  <dimension ref="A1:BA341"/>
  <sheetViews>
    <sheetView showGridLines="0" zoomScale="80" zoomScaleNormal="80" zoomScaleSheetLayoutView="85" workbookViewId="0">
      <pane xSplit="3" ySplit="16" topLeftCell="D17" activePane="bottomRight" state="frozen"/>
      <selection pane="topRight" activeCell="D1" sqref="D1"/>
      <selection pane="bottomLeft" activeCell="A17" sqref="A17"/>
      <selection pane="bottomRight" activeCell="D17" sqref="D17:K17"/>
    </sheetView>
  </sheetViews>
  <sheetFormatPr defaultColWidth="2.625" defaultRowHeight="14.25" customHeight="1" outlineLevelRow="1" outlineLevelCol="1"/>
  <cols>
    <col min="1" max="1" width="0.875" style="50" customWidth="1"/>
    <col min="2" max="2" width="2.625" style="50" customWidth="1"/>
    <col min="3" max="3" width="3.625" style="89" customWidth="1"/>
    <col min="4" max="11" width="2.625" style="89" customWidth="1"/>
    <col min="12" max="12" width="7.5" style="89" customWidth="1"/>
    <col min="13" max="13" width="13.875" style="89" bestFit="1" customWidth="1"/>
    <col min="14" max="14" width="16.5" style="89" customWidth="1"/>
    <col min="15" max="15" width="13.25" style="89" customWidth="1"/>
    <col min="16" max="16" width="6.875" style="89" customWidth="1"/>
    <col min="17" max="17" width="5.375" style="89" customWidth="1"/>
    <col min="18" max="18" width="10.5" style="89" customWidth="1"/>
    <col min="19" max="19" width="5.375" style="89" customWidth="1"/>
    <col min="20" max="20" width="23.75" style="89" customWidth="1"/>
    <col min="21" max="22" width="21.125" style="89" customWidth="1"/>
    <col min="23" max="23" width="18.625" style="89" customWidth="1"/>
    <col min="24" max="24" width="8" style="89" customWidth="1"/>
    <col min="25" max="25" width="10.125" style="89" customWidth="1"/>
    <col min="26" max="26" width="21.5" style="89" customWidth="1"/>
    <col min="27" max="27" width="2.625" style="89"/>
    <col min="28" max="28" width="2.625" style="89" outlineLevel="1"/>
    <col min="29" max="29" width="11.875" style="89" customWidth="1" outlineLevel="1"/>
    <col min="30" max="31" width="2.625" style="89" outlineLevel="1"/>
    <col min="32" max="53" width="10.625" style="89" customWidth="1" outlineLevel="1"/>
    <col min="54" max="16384" width="2.625" style="50"/>
  </cols>
  <sheetData>
    <row r="1" spans="1:53" ht="18.75">
      <c r="C1" s="50"/>
      <c r="D1" s="50"/>
      <c r="E1" s="50"/>
      <c r="F1" s="50"/>
      <c r="G1" s="50"/>
      <c r="H1" s="50"/>
      <c r="I1" s="50"/>
      <c r="J1" s="50"/>
      <c r="K1" s="50"/>
      <c r="L1" s="50"/>
      <c r="M1" s="50"/>
      <c r="N1" s="50"/>
      <c r="O1" s="50"/>
      <c r="P1" s="50"/>
      <c r="Q1" s="50"/>
      <c r="R1" s="50"/>
      <c r="S1" s="50"/>
      <c r="T1" s="50"/>
      <c r="U1" s="50"/>
      <c r="V1" s="50"/>
      <c r="W1" s="50"/>
      <c r="X1" s="50"/>
      <c r="Y1" s="631"/>
      <c r="Z1" s="631"/>
      <c r="AA1" s="50"/>
      <c r="AB1" s="50"/>
      <c r="AC1" s="899" t="s">
        <v>547</v>
      </c>
      <c r="AU1" s="632"/>
    </row>
    <row r="2" spans="1:53" ht="21" customHeight="1">
      <c r="A2" s="633" t="s">
        <v>741</v>
      </c>
      <c r="C2" s="50"/>
      <c r="D2" s="50"/>
      <c r="E2" s="50"/>
      <c r="F2" s="50"/>
      <c r="G2" s="50"/>
      <c r="H2" s="50"/>
      <c r="I2" s="50"/>
      <c r="J2" s="50"/>
      <c r="K2" s="50"/>
      <c r="L2" s="50"/>
      <c r="M2" s="50"/>
      <c r="N2" s="50"/>
      <c r="O2" s="50"/>
      <c r="P2" s="50"/>
      <c r="Q2" s="50"/>
      <c r="R2" s="50"/>
      <c r="S2" s="50"/>
      <c r="T2" s="50"/>
      <c r="U2" s="50"/>
      <c r="V2" s="50"/>
      <c r="W2" s="50"/>
      <c r="X2" s="50"/>
      <c r="Y2" s="50"/>
      <c r="Z2" s="50"/>
      <c r="AA2" s="50"/>
      <c r="AB2" s="975"/>
      <c r="AC2" s="50"/>
      <c r="AF2" s="633" t="s">
        <v>847</v>
      </c>
      <c r="AS2" s="632"/>
      <c r="AT2" s="632"/>
    </row>
    <row r="3" spans="1:53" ht="14.25" customHeight="1">
      <c r="A3" s="634"/>
      <c r="C3" s="50"/>
      <c r="D3" s="50"/>
      <c r="E3" s="50"/>
      <c r="F3" s="50"/>
      <c r="G3" s="50"/>
      <c r="H3" s="50"/>
      <c r="I3" s="50"/>
      <c r="J3" s="50"/>
      <c r="K3" s="50"/>
      <c r="L3" s="50"/>
      <c r="M3" s="50"/>
      <c r="N3" s="50"/>
      <c r="O3" s="50"/>
      <c r="P3" s="50"/>
      <c r="Q3" s="50"/>
      <c r="R3" s="50"/>
      <c r="S3" s="50"/>
      <c r="T3" s="50"/>
      <c r="U3" s="50"/>
      <c r="V3" s="50"/>
      <c r="W3" s="50"/>
      <c r="X3" s="50"/>
      <c r="Y3" s="50"/>
      <c r="Z3" s="50"/>
      <c r="AA3" s="50"/>
      <c r="AB3" s="975"/>
      <c r="AC3" s="50"/>
    </row>
    <row r="4" spans="1:53" ht="14.25" customHeight="1">
      <c r="A4" s="634"/>
      <c r="C4" s="599" t="s">
        <v>728</v>
      </c>
      <c r="D4" s="50"/>
      <c r="E4" s="50"/>
      <c r="F4" s="50"/>
      <c r="G4" s="50"/>
      <c r="H4" s="50"/>
      <c r="I4" s="50"/>
      <c r="J4" s="50"/>
      <c r="K4" s="50"/>
      <c r="L4" s="50"/>
      <c r="M4" s="50"/>
      <c r="N4" s="50"/>
      <c r="O4" s="50"/>
      <c r="P4" s="50"/>
      <c r="Q4" s="50"/>
      <c r="R4" s="50"/>
      <c r="S4" s="50"/>
      <c r="T4" s="50"/>
      <c r="U4" s="50"/>
      <c r="V4" s="50"/>
      <c r="W4" s="50"/>
      <c r="X4" s="50"/>
      <c r="Y4" s="50"/>
      <c r="Z4" s="50"/>
      <c r="AA4" s="50"/>
      <c r="AB4" s="975"/>
    </row>
    <row r="5" spans="1:53" ht="14.25" customHeight="1">
      <c r="A5" s="634"/>
      <c r="C5" s="5" t="s">
        <v>178</v>
      </c>
      <c r="D5" s="599"/>
      <c r="E5" s="50"/>
      <c r="F5" s="50"/>
      <c r="G5" s="50"/>
      <c r="H5" s="50"/>
      <c r="I5" s="50"/>
      <c r="J5" s="50"/>
      <c r="K5" s="50"/>
      <c r="L5" s="50"/>
      <c r="M5" s="50"/>
      <c r="N5" s="50"/>
      <c r="O5" s="50"/>
      <c r="P5" s="50"/>
      <c r="Q5" s="50"/>
      <c r="R5" s="50"/>
      <c r="S5" s="50"/>
      <c r="T5" s="50"/>
      <c r="U5" s="50"/>
      <c r="V5" s="50"/>
      <c r="W5" s="50"/>
      <c r="X5" s="50"/>
      <c r="Y5" s="50"/>
      <c r="Z5" s="50"/>
      <c r="AA5" s="50"/>
      <c r="AB5" s="975"/>
      <c r="AC5" s="50"/>
    </row>
    <row r="6" spans="1:53" ht="14.25" customHeight="1">
      <c r="A6" s="634"/>
      <c r="C6" s="7" t="s">
        <v>395</v>
      </c>
      <c r="D6" s="50"/>
      <c r="E6" s="50"/>
      <c r="F6" s="50"/>
      <c r="G6" s="50"/>
      <c r="H6" s="50"/>
      <c r="I6" s="50"/>
      <c r="J6" s="50"/>
      <c r="K6" s="50"/>
      <c r="L6" s="50"/>
      <c r="M6" s="50"/>
      <c r="N6" s="50"/>
      <c r="O6" s="50"/>
      <c r="P6" s="50"/>
      <c r="Q6" s="50"/>
      <c r="R6" s="50"/>
      <c r="S6" s="50"/>
      <c r="T6" s="50"/>
      <c r="U6" s="50"/>
      <c r="V6" s="50"/>
      <c r="W6" s="50"/>
      <c r="X6" s="50"/>
      <c r="Y6" s="50"/>
      <c r="Z6" s="50"/>
      <c r="AA6" s="50"/>
      <c r="AB6" s="975"/>
      <c r="AC6" s="973"/>
    </row>
    <row r="7" spans="1:53" ht="14.25" customHeight="1">
      <c r="A7" s="634"/>
      <c r="C7" s="50"/>
      <c r="D7" s="50"/>
      <c r="E7" s="50"/>
      <c r="F7" s="50"/>
      <c r="G7" s="50"/>
      <c r="H7" s="50"/>
      <c r="I7" s="50"/>
      <c r="J7" s="50"/>
      <c r="K7" s="50"/>
      <c r="L7" s="50"/>
      <c r="M7" s="50"/>
      <c r="N7" s="50"/>
      <c r="O7" s="50"/>
      <c r="P7" s="50"/>
      <c r="Q7" s="50"/>
      <c r="R7" s="50"/>
      <c r="S7" s="50"/>
      <c r="T7" s="50"/>
      <c r="U7" s="50"/>
      <c r="V7" s="50"/>
      <c r="W7" s="50"/>
      <c r="X7" s="50"/>
      <c r="Y7" s="50"/>
      <c r="Z7" s="50"/>
      <c r="AA7" s="50"/>
      <c r="AB7" s="975"/>
      <c r="AC7" s="973"/>
    </row>
    <row r="8" spans="1:53" ht="14.25" customHeight="1">
      <c r="A8" s="634"/>
      <c r="C8" s="7"/>
      <c r="D8" s="50"/>
      <c r="E8" s="50"/>
      <c r="F8" s="50"/>
      <c r="G8" s="50"/>
      <c r="H8" s="50"/>
      <c r="I8" s="50"/>
      <c r="J8" s="50"/>
      <c r="K8" s="50"/>
      <c r="L8" s="50"/>
      <c r="M8" s="50"/>
      <c r="N8" s="50"/>
      <c r="O8" s="50"/>
      <c r="P8" s="50"/>
      <c r="Q8" s="50"/>
      <c r="R8" s="50"/>
      <c r="S8" s="50"/>
      <c r="T8" s="50"/>
      <c r="U8" s="50"/>
      <c r="V8" s="50"/>
      <c r="W8" s="50"/>
      <c r="X8" s="50"/>
      <c r="Y8" s="50"/>
      <c r="Z8" s="50"/>
      <c r="AA8" s="50"/>
      <c r="AB8" s="975"/>
      <c r="AC8" s="973"/>
      <c r="AS8" s="632"/>
      <c r="AT8" s="632"/>
      <c r="AU8" s="632"/>
      <c r="BA8" s="632"/>
    </row>
    <row r="9" spans="1:53" ht="14.25" customHeight="1" thickBot="1">
      <c r="A9" s="634"/>
      <c r="C9" s="7"/>
      <c r="D9" s="50"/>
      <c r="E9" s="50"/>
      <c r="F9" s="50"/>
      <c r="G9" s="50"/>
      <c r="H9" s="50"/>
      <c r="I9" s="50"/>
      <c r="J9" s="50"/>
      <c r="K9" s="50"/>
      <c r="L9" s="50"/>
      <c r="M9" s="50"/>
      <c r="N9" s="50"/>
      <c r="O9" s="50"/>
      <c r="P9" s="50"/>
      <c r="Q9" s="50"/>
      <c r="R9" s="50"/>
      <c r="S9" s="50"/>
      <c r="T9" s="50"/>
      <c r="U9" s="50"/>
      <c r="V9" s="50"/>
      <c r="W9" s="50"/>
      <c r="X9" s="50"/>
      <c r="Y9" s="50"/>
      <c r="Z9" s="50"/>
      <c r="AA9" s="50"/>
      <c r="AB9" s="975"/>
      <c r="AC9" s="50"/>
      <c r="AF9" s="1900" t="s">
        <v>345</v>
      </c>
      <c r="AG9" s="1901"/>
      <c r="AH9" s="1901"/>
      <c r="AI9" s="1901"/>
      <c r="AJ9" s="1901"/>
      <c r="AK9" s="1901"/>
      <c r="AL9" s="1901"/>
      <c r="AM9" s="1902"/>
      <c r="AN9" s="1900" t="s">
        <v>346</v>
      </c>
      <c r="AO9" s="1901"/>
      <c r="AP9" s="1902"/>
      <c r="AQ9" s="1910" t="s">
        <v>499</v>
      </c>
      <c r="AR9" s="1911"/>
      <c r="AS9" s="1914" t="s">
        <v>480</v>
      </c>
      <c r="AT9" s="1915"/>
      <c r="AU9" s="1916"/>
      <c r="AV9" s="1900" t="s">
        <v>347</v>
      </c>
      <c r="AW9" s="1901"/>
      <c r="AX9" s="1901"/>
      <c r="AY9" s="1901"/>
      <c r="AZ9" s="1901"/>
      <c r="BA9" s="1902"/>
    </row>
    <row r="10" spans="1:53" s="7" customFormat="1" ht="14.25" customHeight="1">
      <c r="C10" s="1920" t="s">
        <v>18</v>
      </c>
      <c r="D10" s="1923" t="s">
        <v>171</v>
      </c>
      <c r="E10" s="1924"/>
      <c r="F10" s="1924"/>
      <c r="G10" s="1924"/>
      <c r="H10" s="1924"/>
      <c r="I10" s="1924"/>
      <c r="J10" s="1924"/>
      <c r="K10" s="1925"/>
      <c r="L10" s="1931" t="s">
        <v>114</v>
      </c>
      <c r="M10" s="1932"/>
      <c r="N10" s="1937" t="s">
        <v>115</v>
      </c>
      <c r="O10" s="1940" t="s">
        <v>192</v>
      </c>
      <c r="P10" s="1880" t="s">
        <v>40</v>
      </c>
      <c r="Q10" s="1883" t="s">
        <v>116</v>
      </c>
      <c r="R10" s="1880" t="s">
        <v>44</v>
      </c>
      <c r="S10" s="1886"/>
      <c r="T10" s="1861" t="s">
        <v>117</v>
      </c>
      <c r="U10" s="1892" t="s">
        <v>118</v>
      </c>
      <c r="V10" s="1861" t="s">
        <v>349</v>
      </c>
      <c r="W10" s="1861" t="s">
        <v>120</v>
      </c>
      <c r="X10" s="1861" t="s">
        <v>729</v>
      </c>
      <c r="Y10" s="1894" t="s">
        <v>121</v>
      </c>
      <c r="Z10" s="1895"/>
      <c r="AA10" s="635"/>
      <c r="AB10" s="976"/>
      <c r="AC10" s="1898" t="s">
        <v>374</v>
      </c>
      <c r="AD10" s="89"/>
      <c r="AE10" s="89"/>
      <c r="AF10" s="1903"/>
      <c r="AG10" s="1904"/>
      <c r="AH10" s="1904"/>
      <c r="AI10" s="1904"/>
      <c r="AJ10" s="1904"/>
      <c r="AK10" s="1904"/>
      <c r="AL10" s="1904"/>
      <c r="AM10" s="1905"/>
      <c r="AN10" s="1903"/>
      <c r="AO10" s="1904"/>
      <c r="AP10" s="1905"/>
      <c r="AQ10" s="1912"/>
      <c r="AR10" s="1913"/>
      <c r="AS10" s="1917"/>
      <c r="AT10" s="1918"/>
      <c r="AU10" s="1919"/>
      <c r="AV10" s="1903"/>
      <c r="AW10" s="1904"/>
      <c r="AX10" s="1904"/>
      <c r="AY10" s="1904"/>
      <c r="AZ10" s="1904"/>
      <c r="BA10" s="1905"/>
    </row>
    <row r="11" spans="1:53" s="7" customFormat="1" ht="14.25" customHeight="1">
      <c r="C11" s="1921"/>
      <c r="D11" s="1792"/>
      <c r="E11" s="1926"/>
      <c r="F11" s="1926"/>
      <c r="G11" s="1926"/>
      <c r="H11" s="1926"/>
      <c r="I11" s="1926"/>
      <c r="J11" s="1926"/>
      <c r="K11" s="1927"/>
      <c r="L11" s="1933"/>
      <c r="M11" s="1934"/>
      <c r="N11" s="1938"/>
      <c r="O11" s="1869"/>
      <c r="P11" s="1881"/>
      <c r="Q11" s="1884"/>
      <c r="R11" s="1881"/>
      <c r="S11" s="1887"/>
      <c r="T11" s="1862"/>
      <c r="U11" s="1893"/>
      <c r="V11" s="1862"/>
      <c r="W11" s="1862"/>
      <c r="X11" s="1862"/>
      <c r="Y11" s="1896"/>
      <c r="Z11" s="1897"/>
      <c r="AA11" s="635"/>
      <c r="AB11" s="976"/>
      <c r="AC11" s="1899"/>
      <c r="AD11" s="89"/>
      <c r="AE11" s="89"/>
      <c r="AF11" s="1889" t="s">
        <v>339</v>
      </c>
      <c r="AG11" s="1890" t="s">
        <v>340</v>
      </c>
      <c r="AH11" s="1890" t="s">
        <v>848</v>
      </c>
      <c r="AI11" s="1889" t="s">
        <v>310</v>
      </c>
      <c r="AJ11" s="1889" t="s">
        <v>341</v>
      </c>
      <c r="AK11" s="1889" t="s">
        <v>475</v>
      </c>
      <c r="AL11" s="1889" t="s">
        <v>343</v>
      </c>
      <c r="AM11" s="1889" t="s">
        <v>479</v>
      </c>
      <c r="AN11" s="1889" t="s">
        <v>483</v>
      </c>
      <c r="AO11" s="1909" t="s">
        <v>500</v>
      </c>
      <c r="AP11" s="636"/>
      <c r="AQ11" s="1889" t="s">
        <v>344</v>
      </c>
      <c r="AR11" s="1889" t="s">
        <v>501</v>
      </c>
      <c r="AS11" s="1906" t="s">
        <v>481</v>
      </c>
      <c r="AT11" s="1906" t="s">
        <v>482</v>
      </c>
      <c r="AU11" s="1906" t="s">
        <v>502</v>
      </c>
      <c r="AV11" s="1889" t="s">
        <v>344</v>
      </c>
      <c r="AW11" s="1909" t="s">
        <v>500</v>
      </c>
      <c r="AX11" s="636"/>
      <c r="AY11" s="1889" t="s">
        <v>348</v>
      </c>
      <c r="AZ11" s="1906" t="s">
        <v>349</v>
      </c>
      <c r="BA11" s="1906" t="s">
        <v>120</v>
      </c>
    </row>
    <row r="12" spans="1:53" s="7" customFormat="1" ht="14.25" customHeight="1">
      <c r="C12" s="1921"/>
      <c r="D12" s="1792"/>
      <c r="E12" s="1926"/>
      <c r="F12" s="1926"/>
      <c r="G12" s="1926"/>
      <c r="H12" s="1926"/>
      <c r="I12" s="1926"/>
      <c r="J12" s="1926"/>
      <c r="K12" s="1927"/>
      <c r="L12" s="1933"/>
      <c r="M12" s="1934"/>
      <c r="N12" s="1938"/>
      <c r="O12" s="1869"/>
      <c r="P12" s="1882"/>
      <c r="Q12" s="1884"/>
      <c r="R12" s="1882"/>
      <c r="S12" s="1888"/>
      <c r="T12" s="1128" t="s">
        <v>122</v>
      </c>
      <c r="U12" s="1130" t="s">
        <v>122</v>
      </c>
      <c r="V12" s="1128" t="s">
        <v>122</v>
      </c>
      <c r="W12" s="1128" t="s">
        <v>122</v>
      </c>
      <c r="X12" s="1862"/>
      <c r="Y12" s="1874" t="s">
        <v>123</v>
      </c>
      <c r="Z12" s="1877" t="s">
        <v>124</v>
      </c>
      <c r="AA12" s="637"/>
      <c r="AB12" s="977"/>
      <c r="AC12" s="1899"/>
      <c r="AD12" s="89"/>
      <c r="AE12" s="89"/>
      <c r="AF12" s="1890"/>
      <c r="AG12" s="1890"/>
      <c r="AH12" s="1890"/>
      <c r="AI12" s="1890"/>
      <c r="AJ12" s="1890"/>
      <c r="AK12" s="1890"/>
      <c r="AL12" s="1890" t="s">
        <v>156</v>
      </c>
      <c r="AM12" s="1890"/>
      <c r="AN12" s="1890" t="s">
        <v>156</v>
      </c>
      <c r="AO12" s="1890" t="s">
        <v>156</v>
      </c>
      <c r="AP12" s="1889" t="s">
        <v>503</v>
      </c>
      <c r="AQ12" s="1890" t="s">
        <v>156</v>
      </c>
      <c r="AR12" s="1890" t="s">
        <v>156</v>
      </c>
      <c r="AS12" s="1907"/>
      <c r="AT12" s="1907"/>
      <c r="AU12" s="1907"/>
      <c r="AV12" s="1890" t="s">
        <v>156</v>
      </c>
      <c r="AW12" s="1890" t="s">
        <v>156</v>
      </c>
      <c r="AX12" s="1889" t="s">
        <v>503</v>
      </c>
      <c r="AY12" s="1890"/>
      <c r="AZ12" s="1907"/>
      <c r="BA12" s="1907"/>
    </row>
    <row r="13" spans="1:53" s="7" customFormat="1" ht="14.25" customHeight="1">
      <c r="C13" s="1921"/>
      <c r="D13" s="1792"/>
      <c r="E13" s="1926"/>
      <c r="F13" s="1926"/>
      <c r="G13" s="1926"/>
      <c r="H13" s="1926"/>
      <c r="I13" s="1926"/>
      <c r="J13" s="1926"/>
      <c r="K13" s="1927"/>
      <c r="L13" s="1933"/>
      <c r="M13" s="1934"/>
      <c r="N13" s="1938"/>
      <c r="O13" s="1869"/>
      <c r="P13" s="1868" t="s">
        <v>207</v>
      </c>
      <c r="Q13" s="1884"/>
      <c r="R13" s="1941" t="s">
        <v>169</v>
      </c>
      <c r="S13" s="1868" t="s">
        <v>34</v>
      </c>
      <c r="T13" s="638"/>
      <c r="U13" s="639"/>
      <c r="V13" s="640"/>
      <c r="W13" s="641"/>
      <c r="X13" s="1863"/>
      <c r="Y13" s="1875"/>
      <c r="Z13" s="1878"/>
      <c r="AA13" s="637"/>
      <c r="AB13" s="977"/>
      <c r="AC13" s="1899"/>
      <c r="AD13" s="89"/>
      <c r="AE13" s="89"/>
      <c r="AF13" s="1890"/>
      <c r="AG13" s="1890"/>
      <c r="AH13" s="1890"/>
      <c r="AI13" s="1890"/>
      <c r="AJ13" s="1890"/>
      <c r="AK13" s="1890"/>
      <c r="AL13" s="1890"/>
      <c r="AM13" s="1890"/>
      <c r="AN13" s="1890"/>
      <c r="AO13" s="1890"/>
      <c r="AP13" s="1890"/>
      <c r="AQ13" s="1890"/>
      <c r="AR13" s="1890"/>
      <c r="AS13" s="1907"/>
      <c r="AT13" s="1907"/>
      <c r="AU13" s="1907"/>
      <c r="AV13" s="1890"/>
      <c r="AW13" s="1890"/>
      <c r="AX13" s="1890"/>
      <c r="AY13" s="1890"/>
      <c r="AZ13" s="1907"/>
      <c r="BA13" s="1907"/>
    </row>
    <row r="14" spans="1:53" s="7" customFormat="1" ht="14.25" customHeight="1">
      <c r="C14" s="1921"/>
      <c r="D14" s="1792"/>
      <c r="E14" s="1926"/>
      <c r="F14" s="1926"/>
      <c r="G14" s="1926"/>
      <c r="H14" s="1926"/>
      <c r="I14" s="1926"/>
      <c r="J14" s="1926"/>
      <c r="K14" s="1927"/>
      <c r="L14" s="1933"/>
      <c r="M14" s="1934"/>
      <c r="N14" s="1938"/>
      <c r="O14" s="1869"/>
      <c r="P14" s="1869"/>
      <c r="Q14" s="1884"/>
      <c r="R14" s="1942"/>
      <c r="S14" s="1869"/>
      <c r="T14" s="638"/>
      <c r="U14" s="639"/>
      <c r="V14" s="640"/>
      <c r="W14" s="641"/>
      <c r="X14" s="1863"/>
      <c r="Y14" s="1875"/>
      <c r="Z14" s="1878"/>
      <c r="AA14" s="637"/>
      <c r="AB14" s="977"/>
      <c r="AC14" s="1899"/>
      <c r="AD14" s="89"/>
      <c r="AE14" s="89"/>
      <c r="AF14" s="1890"/>
      <c r="AG14" s="1890"/>
      <c r="AH14" s="1890"/>
      <c r="AI14" s="1890"/>
      <c r="AJ14" s="1890"/>
      <c r="AK14" s="1890"/>
      <c r="AL14" s="1890"/>
      <c r="AM14" s="1890"/>
      <c r="AN14" s="1890"/>
      <c r="AO14" s="1890"/>
      <c r="AP14" s="1890"/>
      <c r="AQ14" s="1890"/>
      <c r="AR14" s="1890"/>
      <c r="AS14" s="1907"/>
      <c r="AT14" s="1907"/>
      <c r="AU14" s="1907"/>
      <c r="AV14" s="1890"/>
      <c r="AW14" s="1890"/>
      <c r="AX14" s="1890"/>
      <c r="AY14" s="1890"/>
      <c r="AZ14" s="1907"/>
      <c r="BA14" s="1907"/>
    </row>
    <row r="15" spans="1:53" s="7" customFormat="1" ht="14.25" customHeight="1" thickBot="1">
      <c r="C15" s="1921"/>
      <c r="D15" s="1792"/>
      <c r="E15" s="1926"/>
      <c r="F15" s="1926"/>
      <c r="G15" s="1926"/>
      <c r="H15" s="1926"/>
      <c r="I15" s="1926"/>
      <c r="J15" s="1926"/>
      <c r="K15" s="1927"/>
      <c r="L15" s="1933"/>
      <c r="M15" s="1934"/>
      <c r="N15" s="1938"/>
      <c r="O15" s="1869"/>
      <c r="P15" s="1869"/>
      <c r="Q15" s="1884"/>
      <c r="R15" s="1942"/>
      <c r="S15" s="1869"/>
      <c r="T15" s="638"/>
      <c r="U15" s="639"/>
      <c r="V15" s="640"/>
      <c r="W15" s="641"/>
      <c r="X15" s="1863"/>
      <c r="Y15" s="1875"/>
      <c r="Z15" s="1878"/>
      <c r="AA15" s="637"/>
      <c r="AB15" s="977"/>
      <c r="AC15" s="1899"/>
      <c r="AD15" s="89"/>
      <c r="AE15" s="89"/>
      <c r="AF15" s="1891"/>
      <c r="AG15" s="1127" t="s">
        <v>342</v>
      </c>
      <c r="AH15" s="1127" t="s">
        <v>342</v>
      </c>
      <c r="AI15" s="1891"/>
      <c r="AJ15" s="1891"/>
      <c r="AK15" s="1891"/>
      <c r="AL15" s="1891"/>
      <c r="AM15" s="1891"/>
      <c r="AN15" s="1891"/>
      <c r="AO15" s="1891"/>
      <c r="AP15" s="1891"/>
      <c r="AQ15" s="1891"/>
      <c r="AR15" s="1891"/>
      <c r="AS15" s="1908"/>
      <c r="AT15" s="1908"/>
      <c r="AU15" s="1908"/>
      <c r="AV15" s="1891"/>
      <c r="AW15" s="1891"/>
      <c r="AX15" s="1891"/>
      <c r="AY15" s="1890"/>
      <c r="AZ15" s="1908"/>
      <c r="BA15" s="1908"/>
    </row>
    <row r="16" spans="1:53" s="7" customFormat="1" ht="24.75" customHeight="1" thickTop="1" thickBot="1">
      <c r="C16" s="1922"/>
      <c r="D16" s="1928"/>
      <c r="E16" s="1929"/>
      <c r="F16" s="1929"/>
      <c r="G16" s="1929"/>
      <c r="H16" s="1929"/>
      <c r="I16" s="1929"/>
      <c r="J16" s="1929"/>
      <c r="K16" s="1930"/>
      <c r="L16" s="1935"/>
      <c r="M16" s="1936"/>
      <c r="N16" s="1939"/>
      <c r="O16" s="1870"/>
      <c r="P16" s="1870"/>
      <c r="Q16" s="1885"/>
      <c r="R16" s="1943"/>
      <c r="S16" s="1870"/>
      <c r="T16" s="638"/>
      <c r="U16" s="639"/>
      <c r="V16" s="640"/>
      <c r="W16" s="641"/>
      <c r="X16" s="1864"/>
      <c r="Y16" s="1876"/>
      <c r="Z16" s="1879"/>
      <c r="AA16" s="637"/>
      <c r="AB16" s="977"/>
      <c r="AC16" s="1899"/>
      <c r="AD16" s="89"/>
      <c r="AE16" s="89"/>
      <c r="AF16" s="974"/>
      <c r="AG16" s="974"/>
      <c r="AH16" s="974"/>
      <c r="AI16" s="974"/>
      <c r="AJ16" s="974"/>
      <c r="AK16" s="974"/>
      <c r="AL16" s="974"/>
      <c r="AM16" s="974"/>
      <c r="AN16" s="1148">
        <f t="shared" ref="AN16:BA16" si="0">SUM(AN17:AN316)</f>
        <v>0</v>
      </c>
      <c r="AO16" s="1148">
        <f t="shared" si="0"/>
        <v>0</v>
      </c>
      <c r="AP16" s="1148">
        <f t="shared" si="0"/>
        <v>0</v>
      </c>
      <c r="AQ16" s="1148">
        <f t="shared" si="0"/>
        <v>0</v>
      </c>
      <c r="AR16" s="1148">
        <f t="shared" si="0"/>
        <v>0</v>
      </c>
      <c r="AS16" s="1148">
        <f t="shared" si="0"/>
        <v>0</v>
      </c>
      <c r="AT16" s="1148">
        <f t="shared" si="0"/>
        <v>0</v>
      </c>
      <c r="AU16" s="1148">
        <f t="shared" si="0"/>
        <v>0</v>
      </c>
      <c r="AV16" s="1148">
        <f t="shared" si="0"/>
        <v>0</v>
      </c>
      <c r="AW16" s="1148">
        <f t="shared" si="0"/>
        <v>0</v>
      </c>
      <c r="AX16" s="1149">
        <f t="shared" si="0"/>
        <v>0</v>
      </c>
      <c r="AY16" s="1150">
        <f t="shared" si="0"/>
        <v>0</v>
      </c>
      <c r="AZ16" s="1151">
        <f t="shared" si="0"/>
        <v>0</v>
      </c>
      <c r="BA16" s="1148">
        <f t="shared" si="0"/>
        <v>0</v>
      </c>
    </row>
    <row r="17" spans="3:53" s="7" customFormat="1" ht="28.5" customHeight="1" thickTop="1">
      <c r="C17" s="642">
        <v>1</v>
      </c>
      <c r="D17" s="1871"/>
      <c r="E17" s="1872"/>
      <c r="F17" s="1872"/>
      <c r="G17" s="1872"/>
      <c r="H17" s="1872"/>
      <c r="I17" s="1872"/>
      <c r="J17" s="1872"/>
      <c r="K17" s="1873"/>
      <c r="L17" s="643" t="str">
        <f t="shared" ref="L17:L80" si="1">IF(M17&gt;0,IF(COUNTIF(建築物種類コード,M17),"建築物","構築物"),"")</f>
        <v/>
      </c>
      <c r="M17" s="656"/>
      <c r="N17" s="657"/>
      <c r="O17" s="122"/>
      <c r="P17" s="658"/>
      <c r="Q17" s="659"/>
      <c r="R17" s="659"/>
      <c r="S17" s="1034"/>
      <c r="T17" s="660"/>
      <c r="U17" s="660"/>
      <c r="V17" s="660"/>
      <c r="W17" s="660"/>
      <c r="X17" s="661"/>
      <c r="Y17" s="662"/>
      <c r="Z17" s="663"/>
      <c r="AA17" s="644"/>
      <c r="AB17" s="978"/>
      <c r="AC17" s="991"/>
      <c r="AD17" s="89"/>
      <c r="AE17" s="89"/>
      <c r="AF17" s="645" t="str">
        <f>IF(AND(M17="",N17=""),"","["&amp;RIGHT(LEFT(M17,3),2)&amp;RIGHT(LEFT(N17,FIND("]",N17)-1),IF(FIND("]",N17)-1&gt;2,2,1))&amp;"]")</f>
        <v/>
      </c>
      <c r="AG17" s="1037" t="str">
        <f>IF(AF17="","",IF(T17+U17&lt;100000,1,0))</f>
        <v/>
      </c>
      <c r="AH17" s="1037" t="str">
        <f>IF(AF17="","",IF(AND(AG17=0,T17+U17&lt;200000),1,))</f>
        <v/>
      </c>
      <c r="AI17" s="1037" t="str">
        <f>IF(AF17="","",VLOOKUP(AF17,リスト!BD:BE,2,0))</f>
        <v/>
      </c>
      <c r="AJ17" s="1037" t="str">
        <f t="shared" ref="AJ17:AJ316" si="2">IF(AH17=1,3,IF(P17="2：中古",MIN(AI17,Q17),IF(N17="[8]その他",MIN(AI17,Q17),AI17)))</f>
        <v/>
      </c>
      <c r="AK17" s="1037" t="str">
        <f>IF(AJ17="","",VLOOKUP(AJ17,リスト!BW:BX,2,0))</f>
        <v/>
      </c>
      <c r="AL17" s="1037" t="str">
        <f t="shared" ref="AL17:AL80" si="3">IF(AF17="","",調査年-R17)</f>
        <v/>
      </c>
      <c r="AM17" s="646" t="str">
        <f t="shared" ref="AM17:AM316" si="4">IF(OR(AF17="",AG17=1),"",
IF(AND(AJ17&gt;0,AL17&lt;AJ17,AN17&lt;=ROUND((T17-1)*AK17,0)),ROUND(AN17*IF(Y17="2：部分取り壊し",IFERROR(1-(AC17/O17),1),1),0),
IF(AND(AJ17&gt;0,AL17&lt;AJ17),ROUND((T17-1)*AK17*IF(Y17="2：部分取り壊し",IFERROR(1-(AC17/O17),1),1),0),
"")))</f>
        <v/>
      </c>
      <c r="AN17" s="646" t="str">
        <f t="shared" ref="AN17:AN316" si="5">IF(OR(AF17="",AG17=1),"",
IF(AND(AJ17&gt;0,AL17&lt;AJ17),T17-ROUND((T17-1)*AK17*AL17,0),1
))</f>
        <v/>
      </c>
      <c r="AO17" s="647" t="str">
        <f t="shared" ref="AO17:AO316" si="6">IF(OR(AF17="",AG17=1),"",
IF(Y17="",AM17,
IF(Y17="1：取り壊し",SUM(AN17,Z17),
IF(Y17="3：売　却",AN17-Z17,
IF(AND(Y17="2：部分取り壊し",AN17&gt;1),SUM(ROUND(AN17*(AC17/O17),0),Z17,AM17),
IF(AND(Z17="",AM17=""),"",SUM(Z17,AM17)))))))</f>
        <v/>
      </c>
      <c r="AP17" s="647" t="str">
        <f t="shared" ref="AP17:AP316" si="7">IF(AND(AO17="",AM17=""),"",
IF(OR(Y17="1：取り壊し",Y17="2：部分取り壊し",Y17="3：売　却"),SUM(AO17)-SUM(AM17),""))</f>
        <v/>
      </c>
      <c r="AQ17" s="647" t="str">
        <f t="shared" ref="AQ17:AQ316" si="8">IF(OR(AG17=1,U17=""),"",
IF(AND(AJ17&gt;0,U17&gt;0,AL17&lt;AJ17),U17-ROUND(U17*AK17*AL17,0),""
))</f>
        <v/>
      </c>
      <c r="AR17" s="647" t="str">
        <f>IF(OR(AF17="",AG17=1),IF(AND(AG17=1,AL17=0),U17,""),
IF(AND(AJ17&gt;0,AL17&lt;AJ17,SUM(AQ17)&gt;0,AQ17&lt;=ROUND(U17*AK17,0)),ROUND(AQ17*IF(Y17="2：部分取り壊し",IFERROR(1-(AC17/O17),1),1),),
IF(AND(AJ17&gt;0,AL17&lt;AJ17,SUM(U17)&gt;0),ROUND(U17*AK17*IF(Y17="2：部分取り壊し",IFERROR(1-(AC17/O17),1),1),0),"")))</f>
        <v/>
      </c>
      <c r="AS17" s="647" t="str">
        <f t="shared" ref="AS17:AS316" si="9">IF(Y17="2：部分取り壊し",O17-AC17,"")</f>
        <v/>
      </c>
      <c r="AT17" s="647" t="str">
        <f>IF(Y17="2：部分取り壊し",ROUND(T17*(1-(AC17/O17)),0),"")</f>
        <v/>
      </c>
      <c r="AU17" s="647" t="str">
        <f>IF(Y17="2：部分取り壊し",ROUND(U17*(1-(AC17/O17)),0),"")</f>
        <v/>
      </c>
      <c r="AV17" s="647" t="str">
        <f t="shared" ref="AV17:AV80" si="10">IF(X17="","",IF(OR(R17=調査年,AN17=""),"",ROUND(AN17*X17%,0)))</f>
        <v/>
      </c>
      <c r="AW17" s="647" t="str">
        <f t="shared" ref="AW17:AW316" si="11">IF(X17="","",IF(AO17="","",ROUND(AO17*X17%,0)))</f>
        <v/>
      </c>
      <c r="AX17" s="647" t="str">
        <f t="shared" ref="AX17:AX316" si="12">IF(X17="","",IF(AP17="","",ROUND(AP17*X17%,0)))</f>
        <v/>
      </c>
      <c r="AY17" s="648" t="str">
        <f t="shared" ref="AY17:AY316" si="13">IF(X17="","",IF(AN17="","",ROUND(AN17*X17%,0)))</f>
        <v/>
      </c>
      <c r="AZ17" s="647" t="str">
        <f t="shared" ref="AZ17:AZ80" si="14">IF(OR(X17="",AND(OR(R17&lt;&gt;調査年,AG17=0),V17="",AR17="",W17="")),"",
SUM(
IF(AND(R17=調査年,AG17=1),ROUND(T17*X17%,0),),
ROUND(V17*X17%,0),
ROUND(SUM(AR17)*X17%,0),
))</f>
        <v/>
      </c>
      <c r="BA17" s="647" t="str">
        <f t="shared" ref="BA17:BA316" si="15">IF(X17="","",IF(W17="","",ROUND(W17*X17%,0)))</f>
        <v/>
      </c>
    </row>
    <row r="18" spans="3:53" s="7" customFormat="1" ht="28.5" customHeight="1">
      <c r="C18" s="649">
        <v>2</v>
      </c>
      <c r="D18" s="1855"/>
      <c r="E18" s="1856"/>
      <c r="F18" s="1856"/>
      <c r="G18" s="1856"/>
      <c r="H18" s="1856"/>
      <c r="I18" s="1856"/>
      <c r="J18" s="1856"/>
      <c r="K18" s="1857"/>
      <c r="L18" s="643" t="str">
        <f t="shared" si="1"/>
        <v/>
      </c>
      <c r="M18" s="664"/>
      <c r="N18" s="665"/>
      <c r="O18" s="267"/>
      <c r="P18" s="666"/>
      <c r="Q18" s="667"/>
      <c r="R18" s="667"/>
      <c r="S18" s="1035"/>
      <c r="T18" s="668"/>
      <c r="U18" s="668"/>
      <c r="V18" s="668"/>
      <c r="W18" s="668"/>
      <c r="X18" s="669"/>
      <c r="Y18" s="670"/>
      <c r="Z18" s="671"/>
      <c r="AA18" s="644"/>
      <c r="AB18" s="978"/>
      <c r="AC18" s="992"/>
      <c r="AD18" s="89"/>
      <c r="AE18" s="89"/>
      <c r="AF18" s="645" t="str">
        <f>IF(AND(M18="",N18=""),"","["&amp;RIGHT(LEFT(M18,3),2)&amp;RIGHT(LEFT(N18,FIND("]",N18)-1),IF(FIND("]",N18)-1&gt;2,2,1))&amp;"]")</f>
        <v/>
      </c>
      <c r="AG18" s="1037" t="str">
        <f>IF(AF18="","",IF(T18+U18&lt;100000,1,0))</f>
        <v/>
      </c>
      <c r="AH18" s="1037" t="str">
        <f>IF(AF18="","",IF(AND(AG18=0,T18+U18&lt;200000),1,))</f>
        <v/>
      </c>
      <c r="AI18" s="1037" t="str">
        <f>IF(AF18="","",VLOOKUP(AF18,リスト!BD:BE,2,0))</f>
        <v/>
      </c>
      <c r="AJ18" s="1037" t="str">
        <f t="shared" si="2"/>
        <v/>
      </c>
      <c r="AK18" s="1037" t="str">
        <f>IF(AJ18="","",VLOOKUP(AJ18,リスト!BW:BX,2,0))</f>
        <v/>
      </c>
      <c r="AL18" s="1037" t="str">
        <f t="shared" si="3"/>
        <v/>
      </c>
      <c r="AM18" s="646" t="str">
        <f t="shared" si="4"/>
        <v/>
      </c>
      <c r="AN18" s="646" t="str">
        <f t="shared" si="5"/>
        <v/>
      </c>
      <c r="AO18" s="647" t="str">
        <f t="shared" si="6"/>
        <v/>
      </c>
      <c r="AP18" s="647" t="str">
        <f t="shared" si="7"/>
        <v/>
      </c>
      <c r="AQ18" s="647" t="str">
        <f t="shared" si="8"/>
        <v/>
      </c>
      <c r="AR18" s="647" t="str">
        <f t="shared" ref="AR18:AR81" si="16">IF(OR(AF18="",AG18=1),IF(AND(AG18=1,AL18=0),U18,""),
IF(AND(AJ18&gt;0,AL18&lt;AJ18,SUM(AQ18)&gt;0,AQ18&lt;=ROUND(U18*AK18,0)),ROUND(AQ18*IF(Y18="2：部分取り壊し",IFERROR(1-(AC18/O18),1),1),),
IF(AND(AJ18&gt;0,AL18&lt;AJ18,SUM(U18)&gt;0),ROUND(U18*AK18*IF(Y18="2：部分取り壊し",IFERROR(1-(AC18/O18),1),1),0),"")))</f>
        <v/>
      </c>
      <c r="AS18" s="647" t="str">
        <f t="shared" si="9"/>
        <v/>
      </c>
      <c r="AT18" s="647" t="str">
        <f>IF(Y18="2：部分取り壊し",ROUND(T18*(1-(AC18/O18)),0),"")</f>
        <v/>
      </c>
      <c r="AU18" s="647" t="str">
        <f>IF(Y18="2：部分取り壊し",ROUND(U18*(1-(AC18/O18)),0),"")</f>
        <v/>
      </c>
      <c r="AV18" s="647" t="str">
        <f t="shared" si="10"/>
        <v/>
      </c>
      <c r="AW18" s="647" t="str">
        <f t="shared" si="11"/>
        <v/>
      </c>
      <c r="AX18" s="647" t="str">
        <f t="shared" si="12"/>
        <v/>
      </c>
      <c r="AY18" s="647" t="str">
        <f t="shared" si="13"/>
        <v/>
      </c>
      <c r="AZ18" s="647" t="str">
        <f t="shared" si="14"/>
        <v/>
      </c>
      <c r="BA18" s="647" t="str">
        <f t="shared" si="15"/>
        <v/>
      </c>
    </row>
    <row r="19" spans="3:53" s="7" customFormat="1" ht="27.75" customHeight="1">
      <c r="C19" s="649">
        <v>3</v>
      </c>
      <c r="D19" s="1865"/>
      <c r="E19" s="1866"/>
      <c r="F19" s="1866"/>
      <c r="G19" s="1866"/>
      <c r="H19" s="1866"/>
      <c r="I19" s="1866"/>
      <c r="J19" s="1866"/>
      <c r="K19" s="1867"/>
      <c r="L19" s="643" t="str">
        <f t="shared" si="1"/>
        <v/>
      </c>
      <c r="M19" s="672"/>
      <c r="N19" s="665"/>
      <c r="O19" s="267"/>
      <c r="P19" s="666"/>
      <c r="Q19" s="667"/>
      <c r="R19" s="667"/>
      <c r="S19" s="1035"/>
      <c r="T19" s="668"/>
      <c r="U19" s="668"/>
      <c r="V19" s="668"/>
      <c r="W19" s="668"/>
      <c r="X19" s="669"/>
      <c r="Y19" s="670"/>
      <c r="Z19" s="671"/>
      <c r="AA19" s="644"/>
      <c r="AB19" s="978"/>
      <c r="AC19" s="992"/>
      <c r="AD19" s="89"/>
      <c r="AE19" s="89"/>
      <c r="AF19" s="645" t="str">
        <f t="shared" ref="AF19:AF82" si="17">IF(AND(M19="",N19=""),"","["&amp;RIGHT(LEFT(M19,3),2)&amp;RIGHT(LEFT(N19,FIND("]",N19)-1),IF(FIND("]",N19)-1&gt;2,2,1))&amp;"]")</f>
        <v/>
      </c>
      <c r="AG19" s="1037" t="str">
        <f t="shared" ref="AG19:AG82" si="18">IF(AF19="","",IF(T19+U19&lt;100000,1,0))</f>
        <v/>
      </c>
      <c r="AH19" s="1037" t="str">
        <f t="shared" ref="AH19:AH82" si="19">IF(AF19="","",IF(AND(AG19=0,T19+U19&lt;200000),1,))</f>
        <v/>
      </c>
      <c r="AI19" s="1037" t="str">
        <f>IF(AF19="","",VLOOKUP(AF19,リスト!BD:BE,2,0))</f>
        <v/>
      </c>
      <c r="AJ19" s="1037" t="str">
        <f t="shared" si="2"/>
        <v/>
      </c>
      <c r="AK19" s="1037" t="str">
        <f>IF(AJ19="","",VLOOKUP(AJ19,リスト!BW:BX,2,0))</f>
        <v/>
      </c>
      <c r="AL19" s="1037" t="str">
        <f t="shared" si="3"/>
        <v/>
      </c>
      <c r="AM19" s="646" t="str">
        <f t="shared" si="4"/>
        <v/>
      </c>
      <c r="AN19" s="646" t="str">
        <f t="shared" si="5"/>
        <v/>
      </c>
      <c r="AO19" s="647" t="str">
        <f t="shared" si="6"/>
        <v/>
      </c>
      <c r="AP19" s="647" t="str">
        <f t="shared" si="7"/>
        <v/>
      </c>
      <c r="AQ19" s="647" t="str">
        <f t="shared" si="8"/>
        <v/>
      </c>
      <c r="AR19" s="647" t="str">
        <f t="shared" si="16"/>
        <v/>
      </c>
      <c r="AS19" s="647" t="str">
        <f t="shared" si="9"/>
        <v/>
      </c>
      <c r="AT19" s="647" t="str">
        <f t="shared" ref="AT19:AT82" si="20">IF(Y19="2：部分取り壊し",ROUND(T19*(1-(AC19/O19)),0),"")</f>
        <v/>
      </c>
      <c r="AU19" s="647" t="str">
        <f t="shared" ref="AU19:AU82" si="21">IF(Y19="2：部分取り壊し",ROUND(U19*(1-(AC19/O19)),0),"")</f>
        <v/>
      </c>
      <c r="AV19" s="647" t="str">
        <f t="shared" si="10"/>
        <v/>
      </c>
      <c r="AW19" s="647" t="str">
        <f t="shared" si="11"/>
        <v/>
      </c>
      <c r="AX19" s="647" t="str">
        <f t="shared" si="12"/>
        <v/>
      </c>
      <c r="AY19" s="647" t="str">
        <f t="shared" si="13"/>
        <v/>
      </c>
      <c r="AZ19" s="647" t="str">
        <f t="shared" si="14"/>
        <v/>
      </c>
      <c r="BA19" s="647" t="str">
        <f t="shared" si="15"/>
        <v/>
      </c>
    </row>
    <row r="20" spans="3:53" s="7" customFormat="1" ht="28.15" customHeight="1">
      <c r="C20" s="649">
        <v>4</v>
      </c>
      <c r="D20" s="1855"/>
      <c r="E20" s="1856"/>
      <c r="F20" s="1856"/>
      <c r="G20" s="1856"/>
      <c r="H20" s="1856"/>
      <c r="I20" s="1856"/>
      <c r="J20" s="1856"/>
      <c r="K20" s="1857"/>
      <c r="L20" s="643" t="str">
        <f t="shared" si="1"/>
        <v/>
      </c>
      <c r="M20" s="664"/>
      <c r="N20" s="665"/>
      <c r="O20" s="267"/>
      <c r="P20" s="666"/>
      <c r="Q20" s="667"/>
      <c r="R20" s="667"/>
      <c r="S20" s="1035"/>
      <c r="T20" s="668"/>
      <c r="U20" s="668"/>
      <c r="V20" s="668"/>
      <c r="W20" s="668"/>
      <c r="X20" s="669"/>
      <c r="Y20" s="670"/>
      <c r="Z20" s="671"/>
      <c r="AA20" s="644"/>
      <c r="AB20" s="978"/>
      <c r="AC20" s="992"/>
      <c r="AD20" s="89"/>
      <c r="AE20" s="89"/>
      <c r="AF20" s="645" t="str">
        <f t="shared" si="17"/>
        <v/>
      </c>
      <c r="AG20" s="1037" t="str">
        <f t="shared" si="18"/>
        <v/>
      </c>
      <c r="AH20" s="1037" t="str">
        <f t="shared" si="19"/>
        <v/>
      </c>
      <c r="AI20" s="1037" t="str">
        <f>IF(AF20="","",VLOOKUP(AF20,リスト!BD:BE,2,0))</f>
        <v/>
      </c>
      <c r="AJ20" s="1037" t="str">
        <f t="shared" si="2"/>
        <v/>
      </c>
      <c r="AK20" s="1037" t="str">
        <f>IF(AJ20="","",VLOOKUP(AJ20,リスト!BW:BX,2,0))</f>
        <v/>
      </c>
      <c r="AL20" s="1037" t="str">
        <f t="shared" si="3"/>
        <v/>
      </c>
      <c r="AM20" s="646" t="str">
        <f t="shared" si="4"/>
        <v/>
      </c>
      <c r="AN20" s="646" t="str">
        <f t="shared" si="5"/>
        <v/>
      </c>
      <c r="AO20" s="647" t="str">
        <f t="shared" si="6"/>
        <v/>
      </c>
      <c r="AP20" s="647" t="str">
        <f t="shared" si="7"/>
        <v/>
      </c>
      <c r="AQ20" s="647" t="str">
        <f t="shared" si="8"/>
        <v/>
      </c>
      <c r="AR20" s="647" t="str">
        <f t="shared" si="16"/>
        <v/>
      </c>
      <c r="AS20" s="647" t="str">
        <f t="shared" si="9"/>
        <v/>
      </c>
      <c r="AT20" s="647" t="str">
        <f t="shared" si="20"/>
        <v/>
      </c>
      <c r="AU20" s="647" t="str">
        <f t="shared" si="21"/>
        <v/>
      </c>
      <c r="AV20" s="647" t="str">
        <f t="shared" si="10"/>
        <v/>
      </c>
      <c r="AW20" s="647" t="str">
        <f t="shared" si="11"/>
        <v/>
      </c>
      <c r="AX20" s="647" t="str">
        <f t="shared" si="12"/>
        <v/>
      </c>
      <c r="AY20" s="647" t="str">
        <f t="shared" si="13"/>
        <v/>
      </c>
      <c r="AZ20" s="647" t="str">
        <f t="shared" si="14"/>
        <v/>
      </c>
      <c r="BA20" s="647" t="str">
        <f t="shared" si="15"/>
        <v/>
      </c>
    </row>
    <row r="21" spans="3:53" s="7" customFormat="1" ht="28.15" customHeight="1">
      <c r="C21" s="649">
        <v>5</v>
      </c>
      <c r="D21" s="1865"/>
      <c r="E21" s="1866"/>
      <c r="F21" s="1866"/>
      <c r="G21" s="1866"/>
      <c r="H21" s="1866"/>
      <c r="I21" s="1866"/>
      <c r="J21" s="1866"/>
      <c r="K21" s="1867"/>
      <c r="L21" s="643" t="str">
        <f t="shared" si="1"/>
        <v/>
      </c>
      <c r="M21" s="672"/>
      <c r="N21" s="665"/>
      <c r="O21" s="267"/>
      <c r="P21" s="666"/>
      <c r="Q21" s="667"/>
      <c r="R21" s="667"/>
      <c r="S21" s="1035"/>
      <c r="T21" s="668"/>
      <c r="U21" s="668"/>
      <c r="V21" s="668"/>
      <c r="W21" s="668"/>
      <c r="X21" s="669"/>
      <c r="Y21" s="670"/>
      <c r="Z21" s="671"/>
      <c r="AA21" s="644"/>
      <c r="AB21" s="978"/>
      <c r="AC21" s="992"/>
      <c r="AD21" s="89"/>
      <c r="AE21" s="89"/>
      <c r="AF21" s="645" t="str">
        <f t="shared" si="17"/>
        <v/>
      </c>
      <c r="AG21" s="1037" t="str">
        <f t="shared" si="18"/>
        <v/>
      </c>
      <c r="AH21" s="1037" t="str">
        <f t="shared" si="19"/>
        <v/>
      </c>
      <c r="AI21" s="1037" t="str">
        <f>IF(AF21="","",VLOOKUP(AF21,リスト!BD:BE,2,0))</f>
        <v/>
      </c>
      <c r="AJ21" s="1037" t="str">
        <f t="shared" si="2"/>
        <v/>
      </c>
      <c r="AK21" s="1037" t="str">
        <f>IF(AJ21="","",VLOOKUP(AJ21,リスト!BW:BX,2,0))</f>
        <v/>
      </c>
      <c r="AL21" s="1037" t="str">
        <f t="shared" si="3"/>
        <v/>
      </c>
      <c r="AM21" s="646" t="str">
        <f t="shared" si="4"/>
        <v/>
      </c>
      <c r="AN21" s="646" t="str">
        <f t="shared" si="5"/>
        <v/>
      </c>
      <c r="AO21" s="647" t="str">
        <f t="shared" si="6"/>
        <v/>
      </c>
      <c r="AP21" s="647" t="str">
        <f t="shared" si="7"/>
        <v/>
      </c>
      <c r="AQ21" s="647" t="str">
        <f t="shared" si="8"/>
        <v/>
      </c>
      <c r="AR21" s="647" t="str">
        <f t="shared" si="16"/>
        <v/>
      </c>
      <c r="AS21" s="647" t="str">
        <f t="shared" si="9"/>
        <v/>
      </c>
      <c r="AT21" s="647" t="str">
        <f t="shared" si="20"/>
        <v/>
      </c>
      <c r="AU21" s="647" t="str">
        <f t="shared" si="21"/>
        <v/>
      </c>
      <c r="AV21" s="647" t="str">
        <f t="shared" si="10"/>
        <v/>
      </c>
      <c r="AW21" s="647" t="str">
        <f t="shared" si="11"/>
        <v/>
      </c>
      <c r="AX21" s="647" t="str">
        <f t="shared" si="12"/>
        <v/>
      </c>
      <c r="AY21" s="647" t="str">
        <f t="shared" si="13"/>
        <v/>
      </c>
      <c r="AZ21" s="647" t="str">
        <f t="shared" si="14"/>
        <v/>
      </c>
      <c r="BA21" s="647" t="str">
        <f t="shared" si="15"/>
        <v/>
      </c>
    </row>
    <row r="22" spans="3:53" s="7" customFormat="1" ht="28.15" customHeight="1">
      <c r="C22" s="649">
        <v>6</v>
      </c>
      <c r="D22" s="1855"/>
      <c r="E22" s="1856"/>
      <c r="F22" s="1856"/>
      <c r="G22" s="1856"/>
      <c r="H22" s="1856"/>
      <c r="I22" s="1856"/>
      <c r="J22" s="1856"/>
      <c r="K22" s="1857"/>
      <c r="L22" s="643" t="str">
        <f t="shared" si="1"/>
        <v/>
      </c>
      <c r="M22" s="664"/>
      <c r="N22" s="665"/>
      <c r="O22" s="267"/>
      <c r="P22" s="666"/>
      <c r="Q22" s="667"/>
      <c r="R22" s="667"/>
      <c r="S22" s="1035"/>
      <c r="T22" s="668"/>
      <c r="U22" s="668"/>
      <c r="V22" s="668"/>
      <c r="W22" s="668"/>
      <c r="X22" s="669"/>
      <c r="Y22" s="670"/>
      <c r="Z22" s="671"/>
      <c r="AA22" s="644"/>
      <c r="AB22" s="978"/>
      <c r="AC22" s="992"/>
      <c r="AD22" s="89"/>
      <c r="AE22" s="89"/>
      <c r="AF22" s="645" t="str">
        <f t="shared" si="17"/>
        <v/>
      </c>
      <c r="AG22" s="1037" t="str">
        <f t="shared" si="18"/>
        <v/>
      </c>
      <c r="AH22" s="1037" t="str">
        <f t="shared" si="19"/>
        <v/>
      </c>
      <c r="AI22" s="1037" t="str">
        <f>IF(AF22="","",VLOOKUP(AF22,リスト!BD:BE,2,0))</f>
        <v/>
      </c>
      <c r="AJ22" s="1037" t="str">
        <f t="shared" si="2"/>
        <v/>
      </c>
      <c r="AK22" s="1037" t="str">
        <f>IF(AJ22="","",VLOOKUP(AJ22,リスト!BW:BX,2,0))</f>
        <v/>
      </c>
      <c r="AL22" s="1037" t="str">
        <f t="shared" si="3"/>
        <v/>
      </c>
      <c r="AM22" s="646" t="str">
        <f t="shared" si="4"/>
        <v/>
      </c>
      <c r="AN22" s="646" t="str">
        <f t="shared" si="5"/>
        <v/>
      </c>
      <c r="AO22" s="647" t="str">
        <f t="shared" si="6"/>
        <v/>
      </c>
      <c r="AP22" s="647" t="str">
        <f t="shared" si="7"/>
        <v/>
      </c>
      <c r="AQ22" s="647" t="str">
        <f t="shared" si="8"/>
        <v/>
      </c>
      <c r="AR22" s="647" t="str">
        <f t="shared" si="16"/>
        <v/>
      </c>
      <c r="AS22" s="647" t="str">
        <f t="shared" si="9"/>
        <v/>
      </c>
      <c r="AT22" s="647" t="str">
        <f t="shared" si="20"/>
        <v/>
      </c>
      <c r="AU22" s="647" t="str">
        <f t="shared" si="21"/>
        <v/>
      </c>
      <c r="AV22" s="647" t="str">
        <f t="shared" si="10"/>
        <v/>
      </c>
      <c r="AW22" s="647" t="str">
        <f t="shared" si="11"/>
        <v/>
      </c>
      <c r="AX22" s="647" t="str">
        <f t="shared" si="12"/>
        <v/>
      </c>
      <c r="AY22" s="647" t="str">
        <f t="shared" si="13"/>
        <v/>
      </c>
      <c r="AZ22" s="647" t="str">
        <f t="shared" si="14"/>
        <v/>
      </c>
      <c r="BA22" s="647" t="str">
        <f t="shared" si="15"/>
        <v/>
      </c>
    </row>
    <row r="23" spans="3:53" s="7" customFormat="1" ht="28.15" customHeight="1">
      <c r="C23" s="649">
        <v>7</v>
      </c>
      <c r="D23" s="1865"/>
      <c r="E23" s="1866"/>
      <c r="F23" s="1866"/>
      <c r="G23" s="1866"/>
      <c r="H23" s="1866"/>
      <c r="I23" s="1866"/>
      <c r="J23" s="1866"/>
      <c r="K23" s="1867"/>
      <c r="L23" s="643" t="str">
        <f t="shared" si="1"/>
        <v/>
      </c>
      <c r="M23" s="672"/>
      <c r="N23" s="665"/>
      <c r="O23" s="267"/>
      <c r="P23" s="666"/>
      <c r="Q23" s="667"/>
      <c r="R23" s="667"/>
      <c r="S23" s="1035"/>
      <c r="T23" s="668"/>
      <c r="U23" s="668"/>
      <c r="V23" s="668"/>
      <c r="W23" s="668"/>
      <c r="X23" s="669"/>
      <c r="Y23" s="670"/>
      <c r="Z23" s="671"/>
      <c r="AA23" s="644"/>
      <c r="AB23" s="978"/>
      <c r="AC23" s="992"/>
      <c r="AD23" s="89"/>
      <c r="AE23" s="89"/>
      <c r="AF23" s="645" t="str">
        <f t="shared" si="17"/>
        <v/>
      </c>
      <c r="AG23" s="1037" t="str">
        <f t="shared" si="18"/>
        <v/>
      </c>
      <c r="AH23" s="1037" t="str">
        <f t="shared" si="19"/>
        <v/>
      </c>
      <c r="AI23" s="1037" t="str">
        <f>IF(AF23="","",VLOOKUP(AF23,リスト!BD:BE,2,0))</f>
        <v/>
      </c>
      <c r="AJ23" s="1037" t="str">
        <f t="shared" si="2"/>
        <v/>
      </c>
      <c r="AK23" s="1037" t="str">
        <f>IF(AJ23="","",VLOOKUP(AJ23,リスト!BW:BX,2,0))</f>
        <v/>
      </c>
      <c r="AL23" s="1037" t="str">
        <f t="shared" si="3"/>
        <v/>
      </c>
      <c r="AM23" s="646" t="str">
        <f t="shared" si="4"/>
        <v/>
      </c>
      <c r="AN23" s="646" t="str">
        <f t="shared" si="5"/>
        <v/>
      </c>
      <c r="AO23" s="647" t="str">
        <f t="shared" si="6"/>
        <v/>
      </c>
      <c r="AP23" s="647" t="str">
        <f t="shared" si="7"/>
        <v/>
      </c>
      <c r="AQ23" s="647" t="str">
        <f t="shared" si="8"/>
        <v/>
      </c>
      <c r="AR23" s="647" t="str">
        <f t="shared" si="16"/>
        <v/>
      </c>
      <c r="AS23" s="647" t="str">
        <f t="shared" si="9"/>
        <v/>
      </c>
      <c r="AT23" s="647" t="str">
        <f t="shared" si="20"/>
        <v/>
      </c>
      <c r="AU23" s="647" t="str">
        <f t="shared" si="21"/>
        <v/>
      </c>
      <c r="AV23" s="647" t="str">
        <f t="shared" si="10"/>
        <v/>
      </c>
      <c r="AW23" s="647" t="str">
        <f t="shared" si="11"/>
        <v/>
      </c>
      <c r="AX23" s="647" t="str">
        <f t="shared" si="12"/>
        <v/>
      </c>
      <c r="AY23" s="647" t="str">
        <f t="shared" si="13"/>
        <v/>
      </c>
      <c r="AZ23" s="647" t="str">
        <f t="shared" si="14"/>
        <v/>
      </c>
      <c r="BA23" s="647" t="str">
        <f t="shared" si="15"/>
        <v/>
      </c>
    </row>
    <row r="24" spans="3:53" s="7" customFormat="1" ht="28.15" customHeight="1">
      <c r="C24" s="649">
        <v>8</v>
      </c>
      <c r="D24" s="1855"/>
      <c r="E24" s="1856"/>
      <c r="F24" s="1856"/>
      <c r="G24" s="1856"/>
      <c r="H24" s="1856"/>
      <c r="I24" s="1856"/>
      <c r="J24" s="1856"/>
      <c r="K24" s="1857"/>
      <c r="L24" s="643" t="str">
        <f t="shared" si="1"/>
        <v/>
      </c>
      <c r="M24" s="664"/>
      <c r="N24" s="665"/>
      <c r="O24" s="267"/>
      <c r="P24" s="666"/>
      <c r="Q24" s="667"/>
      <c r="R24" s="667"/>
      <c r="S24" s="1035"/>
      <c r="T24" s="668"/>
      <c r="U24" s="668"/>
      <c r="V24" s="668"/>
      <c r="W24" s="668"/>
      <c r="X24" s="669"/>
      <c r="Y24" s="670"/>
      <c r="Z24" s="671"/>
      <c r="AA24" s="644"/>
      <c r="AB24" s="978"/>
      <c r="AC24" s="992"/>
      <c r="AD24" s="89"/>
      <c r="AE24" s="89"/>
      <c r="AF24" s="645" t="str">
        <f t="shared" si="17"/>
        <v/>
      </c>
      <c r="AG24" s="1037" t="str">
        <f t="shared" si="18"/>
        <v/>
      </c>
      <c r="AH24" s="1037" t="str">
        <f t="shared" si="19"/>
        <v/>
      </c>
      <c r="AI24" s="1037" t="str">
        <f>IF(AF24="","",VLOOKUP(AF24,リスト!BD:BE,2,0))</f>
        <v/>
      </c>
      <c r="AJ24" s="1037" t="str">
        <f t="shared" si="2"/>
        <v/>
      </c>
      <c r="AK24" s="1037" t="str">
        <f>IF(AJ24="","",VLOOKUP(AJ24,リスト!BW:BX,2,0))</f>
        <v/>
      </c>
      <c r="AL24" s="1037" t="str">
        <f t="shared" si="3"/>
        <v/>
      </c>
      <c r="AM24" s="646" t="str">
        <f t="shared" si="4"/>
        <v/>
      </c>
      <c r="AN24" s="646" t="str">
        <f t="shared" si="5"/>
        <v/>
      </c>
      <c r="AO24" s="647" t="str">
        <f t="shared" si="6"/>
        <v/>
      </c>
      <c r="AP24" s="647" t="str">
        <f t="shared" si="7"/>
        <v/>
      </c>
      <c r="AQ24" s="647" t="str">
        <f t="shared" si="8"/>
        <v/>
      </c>
      <c r="AR24" s="647" t="str">
        <f t="shared" si="16"/>
        <v/>
      </c>
      <c r="AS24" s="647" t="str">
        <f t="shared" si="9"/>
        <v/>
      </c>
      <c r="AT24" s="647" t="str">
        <f t="shared" si="20"/>
        <v/>
      </c>
      <c r="AU24" s="647" t="str">
        <f t="shared" si="21"/>
        <v/>
      </c>
      <c r="AV24" s="647" t="str">
        <f t="shared" si="10"/>
        <v/>
      </c>
      <c r="AW24" s="647" t="str">
        <f t="shared" si="11"/>
        <v/>
      </c>
      <c r="AX24" s="647" t="str">
        <f t="shared" si="12"/>
        <v/>
      </c>
      <c r="AY24" s="647" t="str">
        <f t="shared" si="13"/>
        <v/>
      </c>
      <c r="AZ24" s="647" t="str">
        <f t="shared" si="14"/>
        <v/>
      </c>
      <c r="BA24" s="647" t="str">
        <f t="shared" si="15"/>
        <v/>
      </c>
    </row>
    <row r="25" spans="3:53" s="7" customFormat="1" ht="28.15" customHeight="1">
      <c r="C25" s="649">
        <v>9</v>
      </c>
      <c r="D25" s="1855"/>
      <c r="E25" s="1856"/>
      <c r="F25" s="1856"/>
      <c r="G25" s="1856"/>
      <c r="H25" s="1856"/>
      <c r="I25" s="1856"/>
      <c r="J25" s="1856"/>
      <c r="K25" s="1857"/>
      <c r="L25" s="643" t="str">
        <f t="shared" si="1"/>
        <v/>
      </c>
      <c r="M25" s="664"/>
      <c r="N25" s="665"/>
      <c r="O25" s="267"/>
      <c r="P25" s="666"/>
      <c r="Q25" s="667"/>
      <c r="R25" s="667"/>
      <c r="S25" s="1035"/>
      <c r="T25" s="668"/>
      <c r="U25" s="668"/>
      <c r="V25" s="668"/>
      <c r="W25" s="668"/>
      <c r="X25" s="669"/>
      <c r="Y25" s="670"/>
      <c r="Z25" s="671"/>
      <c r="AA25" s="644"/>
      <c r="AB25" s="978"/>
      <c r="AC25" s="992"/>
      <c r="AD25" s="89"/>
      <c r="AE25" s="89"/>
      <c r="AF25" s="645" t="str">
        <f t="shared" si="17"/>
        <v/>
      </c>
      <c r="AG25" s="1037" t="str">
        <f t="shared" si="18"/>
        <v/>
      </c>
      <c r="AH25" s="1037" t="str">
        <f t="shared" si="19"/>
        <v/>
      </c>
      <c r="AI25" s="1037" t="str">
        <f>IF(AF25="","",VLOOKUP(AF25,リスト!BD:BE,2,0))</f>
        <v/>
      </c>
      <c r="AJ25" s="1037" t="str">
        <f t="shared" si="2"/>
        <v/>
      </c>
      <c r="AK25" s="1037" t="str">
        <f>IF(AJ25="","",VLOOKUP(AJ25,リスト!BW:BX,2,0))</f>
        <v/>
      </c>
      <c r="AL25" s="1037" t="str">
        <f t="shared" si="3"/>
        <v/>
      </c>
      <c r="AM25" s="646" t="str">
        <f t="shared" si="4"/>
        <v/>
      </c>
      <c r="AN25" s="646" t="str">
        <f t="shared" si="5"/>
        <v/>
      </c>
      <c r="AO25" s="647" t="str">
        <f t="shared" si="6"/>
        <v/>
      </c>
      <c r="AP25" s="647" t="str">
        <f t="shared" si="7"/>
        <v/>
      </c>
      <c r="AQ25" s="647" t="str">
        <f t="shared" si="8"/>
        <v/>
      </c>
      <c r="AR25" s="647" t="str">
        <f t="shared" si="16"/>
        <v/>
      </c>
      <c r="AS25" s="647" t="str">
        <f t="shared" si="9"/>
        <v/>
      </c>
      <c r="AT25" s="647" t="str">
        <f t="shared" si="20"/>
        <v/>
      </c>
      <c r="AU25" s="647" t="str">
        <f t="shared" si="21"/>
        <v/>
      </c>
      <c r="AV25" s="647" t="str">
        <f t="shared" si="10"/>
        <v/>
      </c>
      <c r="AW25" s="647" t="str">
        <f t="shared" si="11"/>
        <v/>
      </c>
      <c r="AX25" s="647" t="str">
        <f t="shared" si="12"/>
        <v/>
      </c>
      <c r="AY25" s="647" t="str">
        <f t="shared" si="13"/>
        <v/>
      </c>
      <c r="AZ25" s="647" t="str">
        <f t="shared" si="14"/>
        <v/>
      </c>
      <c r="BA25" s="647" t="str">
        <f t="shared" si="15"/>
        <v/>
      </c>
    </row>
    <row r="26" spans="3:53" s="7" customFormat="1" ht="28.15" customHeight="1">
      <c r="C26" s="649">
        <v>10</v>
      </c>
      <c r="D26" s="1855"/>
      <c r="E26" s="1856"/>
      <c r="F26" s="1856"/>
      <c r="G26" s="1856"/>
      <c r="H26" s="1856"/>
      <c r="I26" s="1856"/>
      <c r="J26" s="1856"/>
      <c r="K26" s="1857"/>
      <c r="L26" s="643" t="str">
        <f t="shared" si="1"/>
        <v/>
      </c>
      <c r="M26" s="664"/>
      <c r="N26" s="665"/>
      <c r="O26" s="267"/>
      <c r="P26" s="666"/>
      <c r="Q26" s="667"/>
      <c r="R26" s="667"/>
      <c r="S26" s="1035"/>
      <c r="T26" s="668"/>
      <c r="U26" s="668"/>
      <c r="V26" s="668"/>
      <c r="W26" s="668"/>
      <c r="X26" s="669"/>
      <c r="Y26" s="670"/>
      <c r="Z26" s="671"/>
      <c r="AA26" s="644"/>
      <c r="AB26" s="978"/>
      <c r="AC26" s="992"/>
      <c r="AD26" s="89"/>
      <c r="AE26" s="89"/>
      <c r="AF26" s="645" t="str">
        <f t="shared" si="17"/>
        <v/>
      </c>
      <c r="AG26" s="1037" t="str">
        <f t="shared" si="18"/>
        <v/>
      </c>
      <c r="AH26" s="1037" t="str">
        <f t="shared" si="19"/>
        <v/>
      </c>
      <c r="AI26" s="1037" t="str">
        <f>IF(AF26="","",VLOOKUP(AF26,リスト!BD:BE,2,0))</f>
        <v/>
      </c>
      <c r="AJ26" s="1037" t="str">
        <f t="shared" si="2"/>
        <v/>
      </c>
      <c r="AK26" s="1037" t="str">
        <f>IF(AJ26="","",VLOOKUP(AJ26,リスト!BW:BX,2,0))</f>
        <v/>
      </c>
      <c r="AL26" s="1037" t="str">
        <f t="shared" si="3"/>
        <v/>
      </c>
      <c r="AM26" s="646" t="str">
        <f t="shared" si="4"/>
        <v/>
      </c>
      <c r="AN26" s="646" t="str">
        <f t="shared" si="5"/>
        <v/>
      </c>
      <c r="AO26" s="647" t="str">
        <f t="shared" si="6"/>
        <v/>
      </c>
      <c r="AP26" s="647" t="str">
        <f t="shared" si="7"/>
        <v/>
      </c>
      <c r="AQ26" s="647" t="str">
        <f t="shared" si="8"/>
        <v/>
      </c>
      <c r="AR26" s="647" t="str">
        <f t="shared" si="16"/>
        <v/>
      </c>
      <c r="AS26" s="647" t="str">
        <f t="shared" si="9"/>
        <v/>
      </c>
      <c r="AT26" s="647" t="str">
        <f t="shared" si="20"/>
        <v/>
      </c>
      <c r="AU26" s="647" t="str">
        <f t="shared" si="21"/>
        <v/>
      </c>
      <c r="AV26" s="647" t="str">
        <f t="shared" si="10"/>
        <v/>
      </c>
      <c r="AW26" s="647" t="str">
        <f t="shared" si="11"/>
        <v/>
      </c>
      <c r="AX26" s="647" t="str">
        <f t="shared" si="12"/>
        <v/>
      </c>
      <c r="AY26" s="647" t="str">
        <f t="shared" si="13"/>
        <v/>
      </c>
      <c r="AZ26" s="647" t="str">
        <f t="shared" si="14"/>
        <v/>
      </c>
      <c r="BA26" s="647" t="str">
        <f t="shared" si="15"/>
        <v/>
      </c>
    </row>
    <row r="27" spans="3:53" s="7" customFormat="1" ht="28.15" customHeight="1">
      <c r="C27" s="649">
        <v>11</v>
      </c>
      <c r="D27" s="1855"/>
      <c r="E27" s="1856"/>
      <c r="F27" s="1856"/>
      <c r="G27" s="1856"/>
      <c r="H27" s="1856"/>
      <c r="I27" s="1856"/>
      <c r="J27" s="1856"/>
      <c r="K27" s="1857"/>
      <c r="L27" s="643" t="str">
        <f t="shared" si="1"/>
        <v/>
      </c>
      <c r="M27" s="664"/>
      <c r="N27" s="665"/>
      <c r="O27" s="267"/>
      <c r="P27" s="666"/>
      <c r="Q27" s="667"/>
      <c r="R27" s="667"/>
      <c r="S27" s="1035"/>
      <c r="T27" s="668"/>
      <c r="U27" s="668"/>
      <c r="V27" s="668"/>
      <c r="W27" s="668"/>
      <c r="X27" s="669"/>
      <c r="Y27" s="670"/>
      <c r="Z27" s="671"/>
      <c r="AA27" s="644"/>
      <c r="AB27" s="978"/>
      <c r="AC27" s="992"/>
      <c r="AD27" s="89"/>
      <c r="AE27" s="89"/>
      <c r="AF27" s="645" t="str">
        <f t="shared" si="17"/>
        <v/>
      </c>
      <c r="AG27" s="1037" t="str">
        <f t="shared" si="18"/>
        <v/>
      </c>
      <c r="AH27" s="1037" t="str">
        <f t="shared" si="19"/>
        <v/>
      </c>
      <c r="AI27" s="1037" t="str">
        <f>IF(AF27="","",VLOOKUP(AF27,リスト!BD:BE,2,0))</f>
        <v/>
      </c>
      <c r="AJ27" s="1037" t="str">
        <f t="shared" si="2"/>
        <v/>
      </c>
      <c r="AK27" s="1037" t="str">
        <f>IF(AJ27="","",VLOOKUP(AJ27,リスト!BW:BX,2,0))</f>
        <v/>
      </c>
      <c r="AL27" s="1037" t="str">
        <f t="shared" si="3"/>
        <v/>
      </c>
      <c r="AM27" s="646" t="str">
        <f t="shared" si="4"/>
        <v/>
      </c>
      <c r="AN27" s="646" t="str">
        <f t="shared" si="5"/>
        <v/>
      </c>
      <c r="AO27" s="647" t="str">
        <f t="shared" si="6"/>
        <v/>
      </c>
      <c r="AP27" s="647" t="str">
        <f t="shared" si="7"/>
        <v/>
      </c>
      <c r="AQ27" s="647" t="str">
        <f t="shared" si="8"/>
        <v/>
      </c>
      <c r="AR27" s="647" t="str">
        <f t="shared" si="16"/>
        <v/>
      </c>
      <c r="AS27" s="647" t="str">
        <f t="shared" si="9"/>
        <v/>
      </c>
      <c r="AT27" s="647" t="str">
        <f t="shared" si="20"/>
        <v/>
      </c>
      <c r="AU27" s="647" t="str">
        <f t="shared" si="21"/>
        <v/>
      </c>
      <c r="AV27" s="647" t="str">
        <f t="shared" si="10"/>
        <v/>
      </c>
      <c r="AW27" s="647" t="str">
        <f t="shared" si="11"/>
        <v/>
      </c>
      <c r="AX27" s="647" t="str">
        <f t="shared" si="12"/>
        <v/>
      </c>
      <c r="AY27" s="647" t="str">
        <f t="shared" si="13"/>
        <v/>
      </c>
      <c r="AZ27" s="647" t="str">
        <f t="shared" si="14"/>
        <v/>
      </c>
      <c r="BA27" s="647" t="str">
        <f t="shared" si="15"/>
        <v/>
      </c>
    </row>
    <row r="28" spans="3:53" s="7" customFormat="1" ht="28.15" customHeight="1">
      <c r="C28" s="649">
        <v>12</v>
      </c>
      <c r="D28" s="1855"/>
      <c r="E28" s="1856"/>
      <c r="F28" s="1856"/>
      <c r="G28" s="1856"/>
      <c r="H28" s="1856"/>
      <c r="I28" s="1856"/>
      <c r="J28" s="1856"/>
      <c r="K28" s="1857"/>
      <c r="L28" s="643" t="str">
        <f t="shared" si="1"/>
        <v/>
      </c>
      <c r="M28" s="664"/>
      <c r="N28" s="665"/>
      <c r="O28" s="267"/>
      <c r="P28" s="666"/>
      <c r="Q28" s="667"/>
      <c r="R28" s="667"/>
      <c r="S28" s="1035"/>
      <c r="T28" s="668"/>
      <c r="U28" s="668"/>
      <c r="V28" s="668"/>
      <c r="W28" s="668"/>
      <c r="X28" s="669"/>
      <c r="Y28" s="670"/>
      <c r="Z28" s="671"/>
      <c r="AA28" s="644"/>
      <c r="AB28" s="978"/>
      <c r="AC28" s="992"/>
      <c r="AD28" s="89"/>
      <c r="AE28" s="89"/>
      <c r="AF28" s="645" t="str">
        <f t="shared" si="17"/>
        <v/>
      </c>
      <c r="AG28" s="1037" t="str">
        <f t="shared" si="18"/>
        <v/>
      </c>
      <c r="AH28" s="1037" t="str">
        <f t="shared" si="19"/>
        <v/>
      </c>
      <c r="AI28" s="1037" t="str">
        <f>IF(AF28="","",VLOOKUP(AF28,リスト!BD:BE,2,0))</f>
        <v/>
      </c>
      <c r="AJ28" s="1037" t="str">
        <f t="shared" si="2"/>
        <v/>
      </c>
      <c r="AK28" s="1037" t="str">
        <f>IF(AJ28="","",VLOOKUP(AJ28,リスト!BW:BX,2,0))</f>
        <v/>
      </c>
      <c r="AL28" s="1037" t="str">
        <f t="shared" si="3"/>
        <v/>
      </c>
      <c r="AM28" s="646" t="str">
        <f t="shared" si="4"/>
        <v/>
      </c>
      <c r="AN28" s="646" t="str">
        <f t="shared" si="5"/>
        <v/>
      </c>
      <c r="AO28" s="647" t="str">
        <f t="shared" si="6"/>
        <v/>
      </c>
      <c r="AP28" s="647" t="str">
        <f t="shared" si="7"/>
        <v/>
      </c>
      <c r="AQ28" s="647" t="str">
        <f t="shared" si="8"/>
        <v/>
      </c>
      <c r="AR28" s="647" t="str">
        <f t="shared" si="16"/>
        <v/>
      </c>
      <c r="AS28" s="647" t="str">
        <f t="shared" si="9"/>
        <v/>
      </c>
      <c r="AT28" s="647" t="str">
        <f t="shared" si="20"/>
        <v/>
      </c>
      <c r="AU28" s="647" t="str">
        <f t="shared" si="21"/>
        <v/>
      </c>
      <c r="AV28" s="647" t="str">
        <f t="shared" si="10"/>
        <v/>
      </c>
      <c r="AW28" s="647" t="str">
        <f t="shared" si="11"/>
        <v/>
      </c>
      <c r="AX28" s="647" t="str">
        <f t="shared" si="12"/>
        <v/>
      </c>
      <c r="AY28" s="647" t="str">
        <f t="shared" si="13"/>
        <v/>
      </c>
      <c r="AZ28" s="647" t="str">
        <f t="shared" si="14"/>
        <v/>
      </c>
      <c r="BA28" s="647" t="str">
        <f t="shared" si="15"/>
        <v/>
      </c>
    </row>
    <row r="29" spans="3:53" s="7" customFormat="1" ht="28.15" customHeight="1">
      <c r="C29" s="649">
        <v>13</v>
      </c>
      <c r="D29" s="1855"/>
      <c r="E29" s="1856"/>
      <c r="F29" s="1856"/>
      <c r="G29" s="1856"/>
      <c r="H29" s="1856"/>
      <c r="I29" s="1856"/>
      <c r="J29" s="1856"/>
      <c r="K29" s="1857"/>
      <c r="L29" s="643" t="str">
        <f t="shared" si="1"/>
        <v/>
      </c>
      <c r="M29" s="664"/>
      <c r="N29" s="665"/>
      <c r="O29" s="267"/>
      <c r="P29" s="666"/>
      <c r="Q29" s="667"/>
      <c r="R29" s="667"/>
      <c r="S29" s="1035"/>
      <c r="T29" s="668"/>
      <c r="U29" s="668"/>
      <c r="V29" s="668"/>
      <c r="W29" s="668"/>
      <c r="X29" s="669"/>
      <c r="Y29" s="670"/>
      <c r="Z29" s="671"/>
      <c r="AA29" s="644"/>
      <c r="AB29" s="978"/>
      <c r="AC29" s="992"/>
      <c r="AD29" s="89"/>
      <c r="AE29" s="89"/>
      <c r="AF29" s="645" t="str">
        <f t="shared" si="17"/>
        <v/>
      </c>
      <c r="AG29" s="1037" t="str">
        <f t="shared" si="18"/>
        <v/>
      </c>
      <c r="AH29" s="1037" t="str">
        <f t="shared" si="19"/>
        <v/>
      </c>
      <c r="AI29" s="1037" t="str">
        <f>IF(AF29="","",VLOOKUP(AF29,リスト!BD:BE,2,0))</f>
        <v/>
      </c>
      <c r="AJ29" s="1037" t="str">
        <f t="shared" si="2"/>
        <v/>
      </c>
      <c r="AK29" s="1037" t="str">
        <f>IF(AJ29="","",VLOOKUP(AJ29,リスト!BW:BX,2,0))</f>
        <v/>
      </c>
      <c r="AL29" s="1037" t="str">
        <f t="shared" si="3"/>
        <v/>
      </c>
      <c r="AM29" s="646" t="str">
        <f t="shared" si="4"/>
        <v/>
      </c>
      <c r="AN29" s="646" t="str">
        <f t="shared" si="5"/>
        <v/>
      </c>
      <c r="AO29" s="647" t="str">
        <f t="shared" si="6"/>
        <v/>
      </c>
      <c r="AP29" s="647" t="str">
        <f t="shared" si="7"/>
        <v/>
      </c>
      <c r="AQ29" s="647" t="str">
        <f t="shared" si="8"/>
        <v/>
      </c>
      <c r="AR29" s="647" t="str">
        <f t="shared" si="16"/>
        <v/>
      </c>
      <c r="AS29" s="647" t="str">
        <f t="shared" si="9"/>
        <v/>
      </c>
      <c r="AT29" s="647" t="str">
        <f t="shared" si="20"/>
        <v/>
      </c>
      <c r="AU29" s="647" t="str">
        <f t="shared" si="21"/>
        <v/>
      </c>
      <c r="AV29" s="647" t="str">
        <f t="shared" si="10"/>
        <v/>
      </c>
      <c r="AW29" s="647" t="str">
        <f t="shared" si="11"/>
        <v/>
      </c>
      <c r="AX29" s="647" t="str">
        <f t="shared" si="12"/>
        <v/>
      </c>
      <c r="AY29" s="647" t="str">
        <f t="shared" si="13"/>
        <v/>
      </c>
      <c r="AZ29" s="647" t="str">
        <f t="shared" si="14"/>
        <v/>
      </c>
      <c r="BA29" s="647" t="str">
        <f t="shared" si="15"/>
        <v/>
      </c>
    </row>
    <row r="30" spans="3:53" s="7" customFormat="1" ht="28.15" customHeight="1">
      <c r="C30" s="649">
        <v>14</v>
      </c>
      <c r="D30" s="1855"/>
      <c r="E30" s="1856"/>
      <c r="F30" s="1856"/>
      <c r="G30" s="1856"/>
      <c r="H30" s="1856"/>
      <c r="I30" s="1856"/>
      <c r="J30" s="1856"/>
      <c r="K30" s="1857"/>
      <c r="L30" s="643" t="str">
        <f t="shared" si="1"/>
        <v/>
      </c>
      <c r="M30" s="664"/>
      <c r="N30" s="665"/>
      <c r="O30" s="267"/>
      <c r="P30" s="666"/>
      <c r="Q30" s="667"/>
      <c r="R30" s="667"/>
      <c r="S30" s="1035"/>
      <c r="T30" s="668"/>
      <c r="U30" s="668"/>
      <c r="V30" s="668"/>
      <c r="W30" s="668"/>
      <c r="X30" s="669"/>
      <c r="Y30" s="670"/>
      <c r="Z30" s="671"/>
      <c r="AA30" s="644"/>
      <c r="AB30" s="978"/>
      <c r="AC30" s="992"/>
      <c r="AD30" s="89"/>
      <c r="AE30" s="89"/>
      <c r="AF30" s="645" t="str">
        <f t="shared" si="17"/>
        <v/>
      </c>
      <c r="AG30" s="1037" t="str">
        <f t="shared" si="18"/>
        <v/>
      </c>
      <c r="AH30" s="1037" t="str">
        <f t="shared" si="19"/>
        <v/>
      </c>
      <c r="AI30" s="1037" t="str">
        <f>IF(AF30="","",VLOOKUP(AF30,リスト!BD:BE,2,0))</f>
        <v/>
      </c>
      <c r="AJ30" s="1037" t="str">
        <f t="shared" si="2"/>
        <v/>
      </c>
      <c r="AK30" s="1037" t="str">
        <f>IF(AJ30="","",VLOOKUP(AJ30,リスト!BW:BX,2,0))</f>
        <v/>
      </c>
      <c r="AL30" s="1037" t="str">
        <f t="shared" si="3"/>
        <v/>
      </c>
      <c r="AM30" s="646" t="str">
        <f t="shared" si="4"/>
        <v/>
      </c>
      <c r="AN30" s="646" t="str">
        <f t="shared" si="5"/>
        <v/>
      </c>
      <c r="AO30" s="647" t="str">
        <f t="shared" si="6"/>
        <v/>
      </c>
      <c r="AP30" s="647" t="str">
        <f t="shared" si="7"/>
        <v/>
      </c>
      <c r="AQ30" s="647" t="str">
        <f t="shared" si="8"/>
        <v/>
      </c>
      <c r="AR30" s="647" t="str">
        <f t="shared" si="16"/>
        <v/>
      </c>
      <c r="AS30" s="647" t="str">
        <f t="shared" si="9"/>
        <v/>
      </c>
      <c r="AT30" s="647" t="str">
        <f t="shared" si="20"/>
        <v/>
      </c>
      <c r="AU30" s="647" t="str">
        <f t="shared" si="21"/>
        <v/>
      </c>
      <c r="AV30" s="647" t="str">
        <f t="shared" si="10"/>
        <v/>
      </c>
      <c r="AW30" s="647" t="str">
        <f t="shared" si="11"/>
        <v/>
      </c>
      <c r="AX30" s="647" t="str">
        <f t="shared" si="12"/>
        <v/>
      </c>
      <c r="AY30" s="647" t="str">
        <f t="shared" si="13"/>
        <v/>
      </c>
      <c r="AZ30" s="647" t="str">
        <f t="shared" si="14"/>
        <v/>
      </c>
      <c r="BA30" s="647" t="str">
        <f t="shared" si="15"/>
        <v/>
      </c>
    </row>
    <row r="31" spans="3:53" s="7" customFormat="1" ht="28.15" customHeight="1">
      <c r="C31" s="649">
        <v>15</v>
      </c>
      <c r="D31" s="1855"/>
      <c r="E31" s="1856"/>
      <c r="F31" s="1856"/>
      <c r="G31" s="1856"/>
      <c r="H31" s="1856"/>
      <c r="I31" s="1856"/>
      <c r="J31" s="1856"/>
      <c r="K31" s="1857"/>
      <c r="L31" s="643" t="str">
        <f t="shared" si="1"/>
        <v/>
      </c>
      <c r="M31" s="664"/>
      <c r="N31" s="665"/>
      <c r="O31" s="267"/>
      <c r="P31" s="666"/>
      <c r="Q31" s="667"/>
      <c r="R31" s="667"/>
      <c r="S31" s="1035"/>
      <c r="T31" s="668"/>
      <c r="U31" s="668"/>
      <c r="V31" s="668"/>
      <c r="W31" s="668"/>
      <c r="X31" s="669"/>
      <c r="Y31" s="670"/>
      <c r="Z31" s="671"/>
      <c r="AA31" s="644"/>
      <c r="AB31" s="978"/>
      <c r="AC31" s="992"/>
      <c r="AD31" s="89"/>
      <c r="AE31" s="89"/>
      <c r="AF31" s="645" t="str">
        <f t="shared" si="17"/>
        <v/>
      </c>
      <c r="AG31" s="1037" t="str">
        <f t="shared" si="18"/>
        <v/>
      </c>
      <c r="AH31" s="1037" t="str">
        <f t="shared" si="19"/>
        <v/>
      </c>
      <c r="AI31" s="1037" t="str">
        <f>IF(AF31="","",VLOOKUP(AF31,リスト!BD:BE,2,0))</f>
        <v/>
      </c>
      <c r="AJ31" s="1037" t="str">
        <f t="shared" si="2"/>
        <v/>
      </c>
      <c r="AK31" s="1037" t="str">
        <f>IF(AJ31="","",VLOOKUP(AJ31,リスト!BW:BX,2,0))</f>
        <v/>
      </c>
      <c r="AL31" s="1037" t="str">
        <f t="shared" si="3"/>
        <v/>
      </c>
      <c r="AM31" s="646" t="str">
        <f t="shared" si="4"/>
        <v/>
      </c>
      <c r="AN31" s="646" t="str">
        <f t="shared" si="5"/>
        <v/>
      </c>
      <c r="AO31" s="647" t="str">
        <f t="shared" si="6"/>
        <v/>
      </c>
      <c r="AP31" s="647" t="str">
        <f t="shared" si="7"/>
        <v/>
      </c>
      <c r="AQ31" s="647" t="str">
        <f t="shared" si="8"/>
        <v/>
      </c>
      <c r="AR31" s="647" t="str">
        <f t="shared" si="16"/>
        <v/>
      </c>
      <c r="AS31" s="647" t="str">
        <f t="shared" si="9"/>
        <v/>
      </c>
      <c r="AT31" s="647" t="str">
        <f t="shared" si="20"/>
        <v/>
      </c>
      <c r="AU31" s="647" t="str">
        <f t="shared" si="21"/>
        <v/>
      </c>
      <c r="AV31" s="647" t="str">
        <f t="shared" si="10"/>
        <v/>
      </c>
      <c r="AW31" s="647" t="str">
        <f t="shared" si="11"/>
        <v/>
      </c>
      <c r="AX31" s="647" t="str">
        <f t="shared" si="12"/>
        <v/>
      </c>
      <c r="AY31" s="647" t="str">
        <f t="shared" si="13"/>
        <v/>
      </c>
      <c r="AZ31" s="647" t="str">
        <f t="shared" si="14"/>
        <v/>
      </c>
      <c r="BA31" s="647" t="str">
        <f t="shared" si="15"/>
        <v/>
      </c>
    </row>
    <row r="32" spans="3:53" s="7" customFormat="1" ht="28.15" customHeight="1">
      <c r="C32" s="649">
        <v>16</v>
      </c>
      <c r="D32" s="1855"/>
      <c r="E32" s="1856"/>
      <c r="F32" s="1856"/>
      <c r="G32" s="1856"/>
      <c r="H32" s="1856"/>
      <c r="I32" s="1856"/>
      <c r="J32" s="1856"/>
      <c r="K32" s="1857"/>
      <c r="L32" s="643" t="str">
        <f t="shared" si="1"/>
        <v/>
      </c>
      <c r="M32" s="672"/>
      <c r="N32" s="665"/>
      <c r="O32" s="267"/>
      <c r="P32" s="666"/>
      <c r="Q32" s="667"/>
      <c r="R32" s="667"/>
      <c r="S32" s="1035"/>
      <c r="T32" s="668"/>
      <c r="U32" s="668"/>
      <c r="V32" s="668"/>
      <c r="W32" s="668"/>
      <c r="X32" s="669"/>
      <c r="Y32" s="670"/>
      <c r="Z32" s="671"/>
      <c r="AA32" s="644"/>
      <c r="AB32" s="978"/>
      <c r="AC32" s="992"/>
      <c r="AD32" s="89"/>
      <c r="AE32" s="89"/>
      <c r="AF32" s="645" t="str">
        <f t="shared" si="17"/>
        <v/>
      </c>
      <c r="AG32" s="1037" t="str">
        <f t="shared" si="18"/>
        <v/>
      </c>
      <c r="AH32" s="1037" t="str">
        <f t="shared" si="19"/>
        <v/>
      </c>
      <c r="AI32" s="1037" t="str">
        <f>IF(AF32="","",VLOOKUP(AF32,リスト!BD:BE,2,0))</f>
        <v/>
      </c>
      <c r="AJ32" s="1037" t="str">
        <f t="shared" si="2"/>
        <v/>
      </c>
      <c r="AK32" s="1037" t="str">
        <f>IF(AJ32="","",VLOOKUP(AJ32,リスト!BW:BX,2,0))</f>
        <v/>
      </c>
      <c r="AL32" s="1037" t="str">
        <f t="shared" si="3"/>
        <v/>
      </c>
      <c r="AM32" s="646" t="str">
        <f t="shared" si="4"/>
        <v/>
      </c>
      <c r="AN32" s="646" t="str">
        <f t="shared" si="5"/>
        <v/>
      </c>
      <c r="AO32" s="647" t="str">
        <f t="shared" si="6"/>
        <v/>
      </c>
      <c r="AP32" s="647" t="str">
        <f t="shared" si="7"/>
        <v/>
      </c>
      <c r="AQ32" s="647" t="str">
        <f t="shared" si="8"/>
        <v/>
      </c>
      <c r="AR32" s="647" t="str">
        <f t="shared" si="16"/>
        <v/>
      </c>
      <c r="AS32" s="647" t="str">
        <f t="shared" si="9"/>
        <v/>
      </c>
      <c r="AT32" s="647" t="str">
        <f t="shared" si="20"/>
        <v/>
      </c>
      <c r="AU32" s="647" t="str">
        <f t="shared" si="21"/>
        <v/>
      </c>
      <c r="AV32" s="647" t="str">
        <f t="shared" si="10"/>
        <v/>
      </c>
      <c r="AW32" s="647" t="str">
        <f t="shared" si="11"/>
        <v/>
      </c>
      <c r="AX32" s="647" t="str">
        <f t="shared" si="12"/>
        <v/>
      </c>
      <c r="AY32" s="647" t="str">
        <f t="shared" si="13"/>
        <v/>
      </c>
      <c r="AZ32" s="647" t="str">
        <f t="shared" si="14"/>
        <v/>
      </c>
      <c r="BA32" s="647" t="str">
        <f t="shared" si="15"/>
        <v/>
      </c>
    </row>
    <row r="33" spans="2:53" s="7" customFormat="1" ht="28.5" customHeight="1">
      <c r="B33" s="64"/>
      <c r="C33" s="649">
        <v>17</v>
      </c>
      <c r="D33" s="1855"/>
      <c r="E33" s="1856"/>
      <c r="F33" s="1856"/>
      <c r="G33" s="1856"/>
      <c r="H33" s="1856"/>
      <c r="I33" s="1856"/>
      <c r="J33" s="1856"/>
      <c r="K33" s="1857"/>
      <c r="L33" s="643" t="str">
        <f t="shared" si="1"/>
        <v/>
      </c>
      <c r="M33" s="664"/>
      <c r="N33" s="665"/>
      <c r="O33" s="267"/>
      <c r="P33" s="666"/>
      <c r="Q33" s="667"/>
      <c r="R33" s="667"/>
      <c r="S33" s="1035"/>
      <c r="T33" s="668"/>
      <c r="U33" s="668"/>
      <c r="V33" s="668"/>
      <c r="W33" s="668"/>
      <c r="X33" s="669"/>
      <c r="Y33" s="670"/>
      <c r="Z33" s="671"/>
      <c r="AA33" s="644"/>
      <c r="AB33" s="978"/>
      <c r="AC33" s="992"/>
      <c r="AD33" s="89"/>
      <c r="AE33" s="89"/>
      <c r="AF33" s="645" t="str">
        <f t="shared" si="17"/>
        <v/>
      </c>
      <c r="AG33" s="1037" t="str">
        <f t="shared" si="18"/>
        <v/>
      </c>
      <c r="AH33" s="1037" t="str">
        <f t="shared" si="19"/>
        <v/>
      </c>
      <c r="AI33" s="1037" t="str">
        <f>IF(AF33="","",VLOOKUP(AF33,リスト!BD:BE,2,0))</f>
        <v/>
      </c>
      <c r="AJ33" s="1037" t="str">
        <f t="shared" si="2"/>
        <v/>
      </c>
      <c r="AK33" s="1037" t="str">
        <f>IF(AJ33="","",VLOOKUP(AJ33,リスト!BW:BX,2,0))</f>
        <v/>
      </c>
      <c r="AL33" s="1037" t="str">
        <f t="shared" si="3"/>
        <v/>
      </c>
      <c r="AM33" s="646" t="str">
        <f t="shared" si="4"/>
        <v/>
      </c>
      <c r="AN33" s="646" t="str">
        <f t="shared" si="5"/>
        <v/>
      </c>
      <c r="AO33" s="647" t="str">
        <f t="shared" si="6"/>
        <v/>
      </c>
      <c r="AP33" s="647" t="str">
        <f t="shared" si="7"/>
        <v/>
      </c>
      <c r="AQ33" s="647" t="str">
        <f t="shared" si="8"/>
        <v/>
      </c>
      <c r="AR33" s="647" t="str">
        <f t="shared" si="16"/>
        <v/>
      </c>
      <c r="AS33" s="647" t="str">
        <f t="shared" si="9"/>
        <v/>
      </c>
      <c r="AT33" s="647" t="str">
        <f t="shared" si="20"/>
        <v/>
      </c>
      <c r="AU33" s="647" t="str">
        <f t="shared" si="21"/>
        <v/>
      </c>
      <c r="AV33" s="647" t="str">
        <f t="shared" si="10"/>
        <v/>
      </c>
      <c r="AW33" s="647" t="str">
        <f t="shared" si="11"/>
        <v/>
      </c>
      <c r="AX33" s="647" t="str">
        <f t="shared" si="12"/>
        <v/>
      </c>
      <c r="AY33" s="647" t="str">
        <f t="shared" si="13"/>
        <v/>
      </c>
      <c r="AZ33" s="647" t="str">
        <f t="shared" si="14"/>
        <v/>
      </c>
      <c r="BA33" s="647" t="str">
        <f t="shared" si="15"/>
        <v/>
      </c>
    </row>
    <row r="34" spans="2:53" s="7" customFormat="1" ht="28.5" customHeight="1">
      <c r="B34" s="64"/>
      <c r="C34" s="649">
        <v>18</v>
      </c>
      <c r="D34" s="1855"/>
      <c r="E34" s="1856"/>
      <c r="F34" s="1856"/>
      <c r="G34" s="1856"/>
      <c r="H34" s="1856"/>
      <c r="I34" s="1856"/>
      <c r="J34" s="1856"/>
      <c r="K34" s="1857"/>
      <c r="L34" s="643" t="str">
        <f t="shared" si="1"/>
        <v/>
      </c>
      <c r="M34" s="664"/>
      <c r="N34" s="665"/>
      <c r="O34" s="267"/>
      <c r="P34" s="666"/>
      <c r="Q34" s="667"/>
      <c r="R34" s="667"/>
      <c r="S34" s="1035"/>
      <c r="T34" s="668"/>
      <c r="U34" s="668"/>
      <c r="V34" s="668"/>
      <c r="W34" s="668"/>
      <c r="X34" s="669"/>
      <c r="Y34" s="670"/>
      <c r="Z34" s="671"/>
      <c r="AA34" s="644"/>
      <c r="AB34" s="978"/>
      <c r="AC34" s="992"/>
      <c r="AD34" s="89"/>
      <c r="AE34" s="89"/>
      <c r="AF34" s="645" t="str">
        <f t="shared" si="17"/>
        <v/>
      </c>
      <c r="AG34" s="1037" t="str">
        <f t="shared" si="18"/>
        <v/>
      </c>
      <c r="AH34" s="1037" t="str">
        <f t="shared" si="19"/>
        <v/>
      </c>
      <c r="AI34" s="1037" t="str">
        <f>IF(AF34="","",VLOOKUP(AF34,リスト!BD:BE,2,0))</f>
        <v/>
      </c>
      <c r="AJ34" s="1037" t="str">
        <f t="shared" si="2"/>
        <v/>
      </c>
      <c r="AK34" s="1037" t="str">
        <f>IF(AJ34="","",VLOOKUP(AJ34,リスト!BW:BX,2,0))</f>
        <v/>
      </c>
      <c r="AL34" s="1037" t="str">
        <f t="shared" si="3"/>
        <v/>
      </c>
      <c r="AM34" s="646" t="str">
        <f t="shared" si="4"/>
        <v/>
      </c>
      <c r="AN34" s="646" t="str">
        <f t="shared" si="5"/>
        <v/>
      </c>
      <c r="AO34" s="647" t="str">
        <f t="shared" si="6"/>
        <v/>
      </c>
      <c r="AP34" s="647" t="str">
        <f t="shared" si="7"/>
        <v/>
      </c>
      <c r="AQ34" s="647" t="str">
        <f t="shared" si="8"/>
        <v/>
      </c>
      <c r="AR34" s="647" t="str">
        <f t="shared" si="16"/>
        <v/>
      </c>
      <c r="AS34" s="647" t="str">
        <f t="shared" si="9"/>
        <v/>
      </c>
      <c r="AT34" s="647" t="str">
        <f t="shared" si="20"/>
        <v/>
      </c>
      <c r="AU34" s="647" t="str">
        <f t="shared" si="21"/>
        <v/>
      </c>
      <c r="AV34" s="647" t="str">
        <f t="shared" si="10"/>
        <v/>
      </c>
      <c r="AW34" s="647" t="str">
        <f t="shared" si="11"/>
        <v/>
      </c>
      <c r="AX34" s="647" t="str">
        <f t="shared" si="12"/>
        <v/>
      </c>
      <c r="AY34" s="647" t="str">
        <f t="shared" si="13"/>
        <v/>
      </c>
      <c r="AZ34" s="647" t="str">
        <f t="shared" si="14"/>
        <v/>
      </c>
      <c r="BA34" s="647" t="str">
        <f t="shared" si="15"/>
        <v/>
      </c>
    </row>
    <row r="35" spans="2:53" s="7" customFormat="1" ht="28.5" customHeight="1">
      <c r="B35" s="64"/>
      <c r="C35" s="649">
        <v>19</v>
      </c>
      <c r="D35" s="1855"/>
      <c r="E35" s="1856"/>
      <c r="F35" s="1856"/>
      <c r="G35" s="1856"/>
      <c r="H35" s="1856"/>
      <c r="I35" s="1856"/>
      <c r="J35" s="1856"/>
      <c r="K35" s="1857"/>
      <c r="L35" s="643" t="str">
        <f t="shared" si="1"/>
        <v/>
      </c>
      <c r="M35" s="664"/>
      <c r="N35" s="665"/>
      <c r="O35" s="267"/>
      <c r="P35" s="666"/>
      <c r="Q35" s="667"/>
      <c r="R35" s="667"/>
      <c r="S35" s="1035"/>
      <c r="T35" s="668"/>
      <c r="U35" s="668"/>
      <c r="V35" s="668"/>
      <c r="W35" s="668"/>
      <c r="X35" s="669"/>
      <c r="Y35" s="670"/>
      <c r="Z35" s="671"/>
      <c r="AA35" s="644"/>
      <c r="AB35" s="978"/>
      <c r="AC35" s="992"/>
      <c r="AD35" s="89"/>
      <c r="AE35" s="89"/>
      <c r="AF35" s="645" t="str">
        <f t="shared" si="17"/>
        <v/>
      </c>
      <c r="AG35" s="1037" t="str">
        <f t="shared" si="18"/>
        <v/>
      </c>
      <c r="AH35" s="1037" t="str">
        <f t="shared" si="19"/>
        <v/>
      </c>
      <c r="AI35" s="1037" t="str">
        <f>IF(AF35="","",VLOOKUP(AF35,リスト!BD:BE,2,0))</f>
        <v/>
      </c>
      <c r="AJ35" s="1037" t="str">
        <f t="shared" si="2"/>
        <v/>
      </c>
      <c r="AK35" s="1037" t="str">
        <f>IF(AJ35="","",VLOOKUP(AJ35,リスト!BW:BX,2,0))</f>
        <v/>
      </c>
      <c r="AL35" s="1037" t="str">
        <f t="shared" si="3"/>
        <v/>
      </c>
      <c r="AM35" s="646" t="str">
        <f t="shared" si="4"/>
        <v/>
      </c>
      <c r="AN35" s="646" t="str">
        <f t="shared" si="5"/>
        <v/>
      </c>
      <c r="AO35" s="647" t="str">
        <f t="shared" si="6"/>
        <v/>
      </c>
      <c r="AP35" s="647" t="str">
        <f t="shared" si="7"/>
        <v/>
      </c>
      <c r="AQ35" s="647" t="str">
        <f t="shared" si="8"/>
        <v/>
      </c>
      <c r="AR35" s="647" t="str">
        <f t="shared" si="16"/>
        <v/>
      </c>
      <c r="AS35" s="647" t="str">
        <f t="shared" si="9"/>
        <v/>
      </c>
      <c r="AT35" s="647" t="str">
        <f t="shared" si="20"/>
        <v/>
      </c>
      <c r="AU35" s="647" t="str">
        <f t="shared" si="21"/>
        <v/>
      </c>
      <c r="AV35" s="647" t="str">
        <f t="shared" si="10"/>
        <v/>
      </c>
      <c r="AW35" s="647" t="str">
        <f t="shared" si="11"/>
        <v/>
      </c>
      <c r="AX35" s="647" t="str">
        <f t="shared" si="12"/>
        <v/>
      </c>
      <c r="AY35" s="647" t="str">
        <f t="shared" si="13"/>
        <v/>
      </c>
      <c r="AZ35" s="647" t="str">
        <f t="shared" si="14"/>
        <v/>
      </c>
      <c r="BA35" s="647" t="str">
        <f t="shared" si="15"/>
        <v/>
      </c>
    </row>
    <row r="36" spans="2:53" s="7" customFormat="1" ht="28.5" customHeight="1" collapsed="1">
      <c r="B36" s="64"/>
      <c r="C36" s="650">
        <v>20</v>
      </c>
      <c r="D36" s="1855"/>
      <c r="E36" s="1856"/>
      <c r="F36" s="1856"/>
      <c r="G36" s="1856"/>
      <c r="H36" s="1856"/>
      <c r="I36" s="1856"/>
      <c r="J36" s="1856"/>
      <c r="K36" s="1857"/>
      <c r="L36" s="643" t="str">
        <f t="shared" si="1"/>
        <v/>
      </c>
      <c r="M36" s="664"/>
      <c r="N36" s="665"/>
      <c r="O36" s="267"/>
      <c r="P36" s="666"/>
      <c r="Q36" s="667"/>
      <c r="R36" s="667"/>
      <c r="S36" s="1035"/>
      <c r="T36" s="668"/>
      <c r="U36" s="668"/>
      <c r="V36" s="668"/>
      <c r="W36" s="668"/>
      <c r="X36" s="669"/>
      <c r="Y36" s="670"/>
      <c r="Z36" s="671"/>
      <c r="AA36" s="644"/>
      <c r="AB36" s="978"/>
      <c r="AC36" s="992"/>
      <c r="AD36" s="89"/>
      <c r="AE36" s="89"/>
      <c r="AF36" s="645" t="str">
        <f t="shared" si="17"/>
        <v/>
      </c>
      <c r="AG36" s="1037" t="str">
        <f t="shared" si="18"/>
        <v/>
      </c>
      <c r="AH36" s="1037" t="str">
        <f t="shared" si="19"/>
        <v/>
      </c>
      <c r="AI36" s="1037" t="str">
        <f>IF(AF36="","",VLOOKUP(AF36,リスト!BD:BE,2,0))</f>
        <v/>
      </c>
      <c r="AJ36" s="1037" t="str">
        <f t="shared" si="2"/>
        <v/>
      </c>
      <c r="AK36" s="1037" t="str">
        <f>IF(AJ36="","",VLOOKUP(AJ36,リスト!BW:BX,2,0))</f>
        <v/>
      </c>
      <c r="AL36" s="1037" t="str">
        <f t="shared" si="3"/>
        <v/>
      </c>
      <c r="AM36" s="646" t="str">
        <f t="shared" si="4"/>
        <v/>
      </c>
      <c r="AN36" s="646" t="str">
        <f t="shared" si="5"/>
        <v/>
      </c>
      <c r="AO36" s="647" t="str">
        <f t="shared" si="6"/>
        <v/>
      </c>
      <c r="AP36" s="647" t="str">
        <f t="shared" si="7"/>
        <v/>
      </c>
      <c r="AQ36" s="647" t="str">
        <f t="shared" si="8"/>
        <v/>
      </c>
      <c r="AR36" s="647" t="str">
        <f t="shared" si="16"/>
        <v/>
      </c>
      <c r="AS36" s="647" t="str">
        <f t="shared" si="9"/>
        <v/>
      </c>
      <c r="AT36" s="647" t="str">
        <f t="shared" si="20"/>
        <v/>
      </c>
      <c r="AU36" s="647" t="str">
        <f t="shared" si="21"/>
        <v/>
      </c>
      <c r="AV36" s="647" t="str">
        <f t="shared" si="10"/>
        <v/>
      </c>
      <c r="AW36" s="647" t="str">
        <f t="shared" si="11"/>
        <v/>
      </c>
      <c r="AX36" s="647" t="str">
        <f t="shared" si="12"/>
        <v/>
      </c>
      <c r="AY36" s="647" t="str">
        <f t="shared" si="13"/>
        <v/>
      </c>
      <c r="AZ36" s="647" t="str">
        <f t="shared" si="14"/>
        <v/>
      </c>
      <c r="BA36" s="647" t="str">
        <f t="shared" si="15"/>
        <v/>
      </c>
    </row>
    <row r="37" spans="2:53" s="7" customFormat="1" ht="28.5" hidden="1" customHeight="1" outlineLevel="1">
      <c r="B37" s="64"/>
      <c r="C37" s="649">
        <v>21</v>
      </c>
      <c r="D37" s="1855"/>
      <c r="E37" s="1856"/>
      <c r="F37" s="1856"/>
      <c r="G37" s="1856"/>
      <c r="H37" s="1856"/>
      <c r="I37" s="1856"/>
      <c r="J37" s="1856"/>
      <c r="K37" s="1857"/>
      <c r="L37" s="643" t="str">
        <f t="shared" si="1"/>
        <v/>
      </c>
      <c r="M37" s="664"/>
      <c r="N37" s="665"/>
      <c r="O37" s="267"/>
      <c r="P37" s="666"/>
      <c r="Q37" s="667"/>
      <c r="R37" s="667"/>
      <c r="S37" s="1035"/>
      <c r="T37" s="668"/>
      <c r="U37" s="668"/>
      <c r="V37" s="668"/>
      <c r="W37" s="668"/>
      <c r="X37" s="669"/>
      <c r="Y37" s="670"/>
      <c r="Z37" s="671"/>
      <c r="AA37" s="644"/>
      <c r="AB37" s="978"/>
      <c r="AC37" s="992"/>
      <c r="AD37" s="89"/>
      <c r="AE37" s="89"/>
      <c r="AF37" s="645" t="str">
        <f t="shared" si="17"/>
        <v/>
      </c>
      <c r="AG37" s="1037" t="str">
        <f t="shared" si="18"/>
        <v/>
      </c>
      <c r="AH37" s="1037" t="str">
        <f t="shared" si="19"/>
        <v/>
      </c>
      <c r="AI37" s="1037" t="str">
        <f>IF(AF37="","",VLOOKUP(AF37,リスト!BD:BE,2,0))</f>
        <v/>
      </c>
      <c r="AJ37" s="1037" t="str">
        <f t="shared" si="2"/>
        <v/>
      </c>
      <c r="AK37" s="1037" t="str">
        <f>IF(AJ37="","",VLOOKUP(AJ37,リスト!BW:BX,2,0))</f>
        <v/>
      </c>
      <c r="AL37" s="1037" t="str">
        <f t="shared" si="3"/>
        <v/>
      </c>
      <c r="AM37" s="646" t="str">
        <f t="shared" si="4"/>
        <v/>
      </c>
      <c r="AN37" s="646" t="str">
        <f t="shared" si="5"/>
        <v/>
      </c>
      <c r="AO37" s="647" t="str">
        <f t="shared" si="6"/>
        <v/>
      </c>
      <c r="AP37" s="647" t="str">
        <f t="shared" si="7"/>
        <v/>
      </c>
      <c r="AQ37" s="647" t="str">
        <f t="shared" si="8"/>
        <v/>
      </c>
      <c r="AR37" s="647" t="str">
        <f t="shared" si="16"/>
        <v/>
      </c>
      <c r="AS37" s="647" t="str">
        <f t="shared" si="9"/>
        <v/>
      </c>
      <c r="AT37" s="647" t="str">
        <f t="shared" si="20"/>
        <v/>
      </c>
      <c r="AU37" s="647" t="str">
        <f t="shared" si="21"/>
        <v/>
      </c>
      <c r="AV37" s="647" t="str">
        <f t="shared" si="10"/>
        <v/>
      </c>
      <c r="AW37" s="647" t="str">
        <f t="shared" si="11"/>
        <v/>
      </c>
      <c r="AX37" s="647" t="str">
        <f t="shared" si="12"/>
        <v/>
      </c>
      <c r="AY37" s="647" t="str">
        <f t="shared" si="13"/>
        <v/>
      </c>
      <c r="AZ37" s="647" t="str">
        <f t="shared" si="14"/>
        <v/>
      </c>
      <c r="BA37" s="647" t="str">
        <f t="shared" si="15"/>
        <v/>
      </c>
    </row>
    <row r="38" spans="2:53" s="7" customFormat="1" ht="28.5" hidden="1" customHeight="1" outlineLevel="1">
      <c r="B38" s="64"/>
      <c r="C38" s="649">
        <v>22</v>
      </c>
      <c r="D38" s="1855"/>
      <c r="E38" s="1856"/>
      <c r="F38" s="1856"/>
      <c r="G38" s="1856"/>
      <c r="H38" s="1856"/>
      <c r="I38" s="1856"/>
      <c r="J38" s="1856"/>
      <c r="K38" s="1857"/>
      <c r="L38" s="643" t="str">
        <f t="shared" si="1"/>
        <v/>
      </c>
      <c r="M38" s="664"/>
      <c r="N38" s="665"/>
      <c r="O38" s="267"/>
      <c r="P38" s="666"/>
      <c r="Q38" s="667"/>
      <c r="R38" s="667"/>
      <c r="S38" s="1035"/>
      <c r="T38" s="668"/>
      <c r="U38" s="668"/>
      <c r="V38" s="668"/>
      <c r="W38" s="668"/>
      <c r="X38" s="669"/>
      <c r="Y38" s="670"/>
      <c r="Z38" s="671"/>
      <c r="AA38" s="644"/>
      <c r="AB38" s="978"/>
      <c r="AC38" s="992"/>
      <c r="AD38" s="89"/>
      <c r="AE38" s="89"/>
      <c r="AF38" s="645" t="str">
        <f t="shared" si="17"/>
        <v/>
      </c>
      <c r="AG38" s="1037" t="str">
        <f t="shared" si="18"/>
        <v/>
      </c>
      <c r="AH38" s="1037" t="str">
        <f t="shared" si="19"/>
        <v/>
      </c>
      <c r="AI38" s="1037" t="str">
        <f>IF(AF38="","",VLOOKUP(AF38,リスト!BD:BE,2,0))</f>
        <v/>
      </c>
      <c r="AJ38" s="1037" t="str">
        <f t="shared" si="2"/>
        <v/>
      </c>
      <c r="AK38" s="1037" t="str">
        <f>IF(AJ38="","",VLOOKUP(AJ38,リスト!BW:BX,2,0))</f>
        <v/>
      </c>
      <c r="AL38" s="1037" t="str">
        <f t="shared" si="3"/>
        <v/>
      </c>
      <c r="AM38" s="646" t="str">
        <f t="shared" si="4"/>
        <v/>
      </c>
      <c r="AN38" s="646" t="str">
        <f t="shared" si="5"/>
        <v/>
      </c>
      <c r="AO38" s="647" t="str">
        <f t="shared" si="6"/>
        <v/>
      </c>
      <c r="AP38" s="647" t="str">
        <f t="shared" si="7"/>
        <v/>
      </c>
      <c r="AQ38" s="647" t="str">
        <f t="shared" si="8"/>
        <v/>
      </c>
      <c r="AR38" s="647" t="str">
        <f t="shared" si="16"/>
        <v/>
      </c>
      <c r="AS38" s="647" t="str">
        <f t="shared" si="9"/>
        <v/>
      </c>
      <c r="AT38" s="647" t="str">
        <f t="shared" si="20"/>
        <v/>
      </c>
      <c r="AU38" s="647" t="str">
        <f t="shared" si="21"/>
        <v/>
      </c>
      <c r="AV38" s="647" t="str">
        <f t="shared" si="10"/>
        <v/>
      </c>
      <c r="AW38" s="647" t="str">
        <f t="shared" si="11"/>
        <v/>
      </c>
      <c r="AX38" s="647" t="str">
        <f t="shared" si="12"/>
        <v/>
      </c>
      <c r="AY38" s="647" t="str">
        <f t="shared" si="13"/>
        <v/>
      </c>
      <c r="AZ38" s="647" t="str">
        <f t="shared" si="14"/>
        <v/>
      </c>
      <c r="BA38" s="647" t="str">
        <f t="shared" si="15"/>
        <v/>
      </c>
    </row>
    <row r="39" spans="2:53" s="7" customFormat="1" ht="28.5" hidden="1" customHeight="1" outlineLevel="1">
      <c r="B39" s="64"/>
      <c r="C39" s="649">
        <v>23</v>
      </c>
      <c r="D39" s="1855"/>
      <c r="E39" s="1856"/>
      <c r="F39" s="1856"/>
      <c r="G39" s="1856"/>
      <c r="H39" s="1856"/>
      <c r="I39" s="1856"/>
      <c r="J39" s="1856"/>
      <c r="K39" s="1857"/>
      <c r="L39" s="643" t="str">
        <f t="shared" si="1"/>
        <v/>
      </c>
      <c r="M39" s="664"/>
      <c r="N39" s="665"/>
      <c r="O39" s="267"/>
      <c r="P39" s="666"/>
      <c r="Q39" s="667"/>
      <c r="R39" s="667"/>
      <c r="S39" s="1035"/>
      <c r="T39" s="668"/>
      <c r="U39" s="668"/>
      <c r="V39" s="668"/>
      <c r="W39" s="668"/>
      <c r="X39" s="669"/>
      <c r="Y39" s="670"/>
      <c r="Z39" s="671"/>
      <c r="AA39" s="644"/>
      <c r="AB39" s="978"/>
      <c r="AC39" s="992"/>
      <c r="AD39" s="89"/>
      <c r="AE39" s="89"/>
      <c r="AF39" s="645" t="str">
        <f t="shared" si="17"/>
        <v/>
      </c>
      <c r="AG39" s="1037" t="str">
        <f t="shared" si="18"/>
        <v/>
      </c>
      <c r="AH39" s="1037" t="str">
        <f t="shared" si="19"/>
        <v/>
      </c>
      <c r="AI39" s="1037" t="str">
        <f>IF(AF39="","",VLOOKUP(AF39,リスト!BD:BE,2,0))</f>
        <v/>
      </c>
      <c r="AJ39" s="1037" t="str">
        <f t="shared" si="2"/>
        <v/>
      </c>
      <c r="AK39" s="1037" t="str">
        <f>IF(AJ39="","",VLOOKUP(AJ39,リスト!BW:BX,2,0))</f>
        <v/>
      </c>
      <c r="AL39" s="1037" t="str">
        <f t="shared" si="3"/>
        <v/>
      </c>
      <c r="AM39" s="646" t="str">
        <f t="shared" si="4"/>
        <v/>
      </c>
      <c r="AN39" s="646" t="str">
        <f t="shared" si="5"/>
        <v/>
      </c>
      <c r="AO39" s="647" t="str">
        <f t="shared" si="6"/>
        <v/>
      </c>
      <c r="AP39" s="647" t="str">
        <f t="shared" si="7"/>
        <v/>
      </c>
      <c r="AQ39" s="647" t="str">
        <f t="shared" si="8"/>
        <v/>
      </c>
      <c r="AR39" s="647" t="str">
        <f t="shared" si="16"/>
        <v/>
      </c>
      <c r="AS39" s="647" t="str">
        <f t="shared" si="9"/>
        <v/>
      </c>
      <c r="AT39" s="647" t="str">
        <f t="shared" si="20"/>
        <v/>
      </c>
      <c r="AU39" s="647" t="str">
        <f t="shared" si="21"/>
        <v/>
      </c>
      <c r="AV39" s="647" t="str">
        <f t="shared" si="10"/>
        <v/>
      </c>
      <c r="AW39" s="647" t="str">
        <f t="shared" si="11"/>
        <v/>
      </c>
      <c r="AX39" s="647" t="str">
        <f t="shared" si="12"/>
        <v/>
      </c>
      <c r="AY39" s="647" t="str">
        <f t="shared" si="13"/>
        <v/>
      </c>
      <c r="AZ39" s="647" t="str">
        <f t="shared" si="14"/>
        <v/>
      </c>
      <c r="BA39" s="647" t="str">
        <f t="shared" si="15"/>
        <v/>
      </c>
    </row>
    <row r="40" spans="2:53" s="7" customFormat="1" ht="28.5" hidden="1" customHeight="1" outlineLevel="1">
      <c r="B40" s="64"/>
      <c r="C40" s="649">
        <v>24</v>
      </c>
      <c r="D40" s="1855"/>
      <c r="E40" s="1856"/>
      <c r="F40" s="1856"/>
      <c r="G40" s="1856"/>
      <c r="H40" s="1856"/>
      <c r="I40" s="1856"/>
      <c r="J40" s="1856"/>
      <c r="K40" s="1857"/>
      <c r="L40" s="643" t="str">
        <f t="shared" si="1"/>
        <v/>
      </c>
      <c r="M40" s="664"/>
      <c r="N40" s="665"/>
      <c r="O40" s="267"/>
      <c r="P40" s="666"/>
      <c r="Q40" s="667"/>
      <c r="R40" s="667"/>
      <c r="S40" s="1035"/>
      <c r="T40" s="668"/>
      <c r="U40" s="668"/>
      <c r="V40" s="668"/>
      <c r="W40" s="668"/>
      <c r="X40" s="669"/>
      <c r="Y40" s="670"/>
      <c r="Z40" s="671"/>
      <c r="AA40" s="644"/>
      <c r="AB40" s="978"/>
      <c r="AC40" s="992"/>
      <c r="AD40" s="89"/>
      <c r="AE40" s="89"/>
      <c r="AF40" s="645" t="str">
        <f t="shared" si="17"/>
        <v/>
      </c>
      <c r="AG40" s="1037" t="str">
        <f t="shared" si="18"/>
        <v/>
      </c>
      <c r="AH40" s="1037" t="str">
        <f t="shared" si="19"/>
        <v/>
      </c>
      <c r="AI40" s="1037" t="str">
        <f>IF(AF40="","",VLOOKUP(AF40,リスト!BD:BE,2,0))</f>
        <v/>
      </c>
      <c r="AJ40" s="1037" t="str">
        <f t="shared" si="2"/>
        <v/>
      </c>
      <c r="AK40" s="1037" t="str">
        <f>IF(AJ40="","",VLOOKUP(AJ40,リスト!BW:BX,2,0))</f>
        <v/>
      </c>
      <c r="AL40" s="1037" t="str">
        <f t="shared" si="3"/>
        <v/>
      </c>
      <c r="AM40" s="646" t="str">
        <f t="shared" si="4"/>
        <v/>
      </c>
      <c r="AN40" s="646" t="str">
        <f t="shared" si="5"/>
        <v/>
      </c>
      <c r="AO40" s="647" t="str">
        <f t="shared" si="6"/>
        <v/>
      </c>
      <c r="AP40" s="647" t="str">
        <f t="shared" si="7"/>
        <v/>
      </c>
      <c r="AQ40" s="647" t="str">
        <f t="shared" si="8"/>
        <v/>
      </c>
      <c r="AR40" s="647" t="str">
        <f t="shared" si="16"/>
        <v/>
      </c>
      <c r="AS40" s="647" t="str">
        <f t="shared" si="9"/>
        <v/>
      </c>
      <c r="AT40" s="647" t="str">
        <f t="shared" si="20"/>
        <v/>
      </c>
      <c r="AU40" s="647" t="str">
        <f t="shared" si="21"/>
        <v/>
      </c>
      <c r="AV40" s="647" t="str">
        <f t="shared" si="10"/>
        <v/>
      </c>
      <c r="AW40" s="647" t="str">
        <f t="shared" si="11"/>
        <v/>
      </c>
      <c r="AX40" s="647" t="str">
        <f t="shared" si="12"/>
        <v/>
      </c>
      <c r="AY40" s="647" t="str">
        <f t="shared" si="13"/>
        <v/>
      </c>
      <c r="AZ40" s="647" t="str">
        <f t="shared" si="14"/>
        <v/>
      </c>
      <c r="BA40" s="647" t="str">
        <f t="shared" si="15"/>
        <v/>
      </c>
    </row>
    <row r="41" spans="2:53" s="7" customFormat="1" ht="28.5" hidden="1" customHeight="1" outlineLevel="1">
      <c r="B41" s="64"/>
      <c r="C41" s="649">
        <v>25</v>
      </c>
      <c r="D41" s="1855"/>
      <c r="E41" s="1856"/>
      <c r="F41" s="1856"/>
      <c r="G41" s="1856"/>
      <c r="H41" s="1856"/>
      <c r="I41" s="1856"/>
      <c r="J41" s="1856"/>
      <c r="K41" s="1857"/>
      <c r="L41" s="643" t="str">
        <f t="shared" si="1"/>
        <v/>
      </c>
      <c r="M41" s="664"/>
      <c r="N41" s="665"/>
      <c r="O41" s="267"/>
      <c r="P41" s="666"/>
      <c r="Q41" s="667"/>
      <c r="R41" s="667"/>
      <c r="S41" s="1035"/>
      <c r="T41" s="668"/>
      <c r="U41" s="668"/>
      <c r="V41" s="668"/>
      <c r="W41" s="668"/>
      <c r="X41" s="669"/>
      <c r="Y41" s="670"/>
      <c r="Z41" s="671"/>
      <c r="AA41" s="644"/>
      <c r="AB41" s="978"/>
      <c r="AC41" s="992"/>
      <c r="AD41" s="89"/>
      <c r="AE41" s="89"/>
      <c r="AF41" s="645" t="str">
        <f t="shared" si="17"/>
        <v/>
      </c>
      <c r="AG41" s="1037" t="str">
        <f t="shared" si="18"/>
        <v/>
      </c>
      <c r="AH41" s="1037" t="str">
        <f t="shared" si="19"/>
        <v/>
      </c>
      <c r="AI41" s="1037" t="str">
        <f>IF(AF41="","",VLOOKUP(AF41,リスト!BD:BE,2,0))</f>
        <v/>
      </c>
      <c r="AJ41" s="1037" t="str">
        <f t="shared" si="2"/>
        <v/>
      </c>
      <c r="AK41" s="1037" t="str">
        <f>IF(AJ41="","",VLOOKUP(AJ41,リスト!BW:BX,2,0))</f>
        <v/>
      </c>
      <c r="AL41" s="1037" t="str">
        <f t="shared" si="3"/>
        <v/>
      </c>
      <c r="AM41" s="646" t="str">
        <f t="shared" si="4"/>
        <v/>
      </c>
      <c r="AN41" s="646" t="str">
        <f t="shared" si="5"/>
        <v/>
      </c>
      <c r="AO41" s="647" t="str">
        <f t="shared" si="6"/>
        <v/>
      </c>
      <c r="AP41" s="647" t="str">
        <f t="shared" si="7"/>
        <v/>
      </c>
      <c r="AQ41" s="647" t="str">
        <f t="shared" si="8"/>
        <v/>
      </c>
      <c r="AR41" s="647" t="str">
        <f t="shared" si="16"/>
        <v/>
      </c>
      <c r="AS41" s="647" t="str">
        <f t="shared" si="9"/>
        <v/>
      </c>
      <c r="AT41" s="647" t="str">
        <f t="shared" si="20"/>
        <v/>
      </c>
      <c r="AU41" s="647" t="str">
        <f t="shared" si="21"/>
        <v/>
      </c>
      <c r="AV41" s="647" t="str">
        <f t="shared" si="10"/>
        <v/>
      </c>
      <c r="AW41" s="647" t="str">
        <f t="shared" si="11"/>
        <v/>
      </c>
      <c r="AX41" s="647" t="str">
        <f t="shared" si="12"/>
        <v/>
      </c>
      <c r="AY41" s="647" t="str">
        <f t="shared" si="13"/>
        <v/>
      </c>
      <c r="AZ41" s="647" t="str">
        <f t="shared" si="14"/>
        <v/>
      </c>
      <c r="BA41" s="647" t="str">
        <f t="shared" si="15"/>
        <v/>
      </c>
    </row>
    <row r="42" spans="2:53" s="7" customFormat="1" ht="28.5" hidden="1" customHeight="1" outlineLevel="1">
      <c r="B42" s="64"/>
      <c r="C42" s="649">
        <v>26</v>
      </c>
      <c r="D42" s="1855"/>
      <c r="E42" s="1856"/>
      <c r="F42" s="1856"/>
      <c r="G42" s="1856"/>
      <c r="H42" s="1856"/>
      <c r="I42" s="1856"/>
      <c r="J42" s="1856"/>
      <c r="K42" s="1857"/>
      <c r="L42" s="643" t="str">
        <f t="shared" si="1"/>
        <v/>
      </c>
      <c r="M42" s="664"/>
      <c r="N42" s="665"/>
      <c r="O42" s="267"/>
      <c r="P42" s="666"/>
      <c r="Q42" s="667"/>
      <c r="R42" s="667"/>
      <c r="S42" s="1035"/>
      <c r="T42" s="668"/>
      <c r="U42" s="668"/>
      <c r="V42" s="668"/>
      <c r="W42" s="668"/>
      <c r="X42" s="669"/>
      <c r="Y42" s="670"/>
      <c r="Z42" s="671"/>
      <c r="AA42" s="644"/>
      <c r="AB42" s="978"/>
      <c r="AC42" s="992"/>
      <c r="AD42" s="89"/>
      <c r="AE42" s="89"/>
      <c r="AF42" s="645" t="str">
        <f t="shared" si="17"/>
        <v/>
      </c>
      <c r="AG42" s="1037" t="str">
        <f t="shared" si="18"/>
        <v/>
      </c>
      <c r="AH42" s="1037" t="str">
        <f t="shared" si="19"/>
        <v/>
      </c>
      <c r="AI42" s="1037" t="str">
        <f>IF(AF42="","",VLOOKUP(AF42,リスト!BD:BE,2,0))</f>
        <v/>
      </c>
      <c r="AJ42" s="1037" t="str">
        <f t="shared" si="2"/>
        <v/>
      </c>
      <c r="AK42" s="1037" t="str">
        <f>IF(AJ42="","",VLOOKUP(AJ42,リスト!BW:BX,2,0))</f>
        <v/>
      </c>
      <c r="AL42" s="1037" t="str">
        <f t="shared" si="3"/>
        <v/>
      </c>
      <c r="AM42" s="646" t="str">
        <f t="shared" si="4"/>
        <v/>
      </c>
      <c r="AN42" s="646" t="str">
        <f t="shared" si="5"/>
        <v/>
      </c>
      <c r="AO42" s="647" t="str">
        <f t="shared" si="6"/>
        <v/>
      </c>
      <c r="AP42" s="647" t="str">
        <f t="shared" si="7"/>
        <v/>
      </c>
      <c r="AQ42" s="647" t="str">
        <f t="shared" si="8"/>
        <v/>
      </c>
      <c r="AR42" s="647" t="str">
        <f t="shared" si="16"/>
        <v/>
      </c>
      <c r="AS42" s="647" t="str">
        <f t="shared" si="9"/>
        <v/>
      </c>
      <c r="AT42" s="647" t="str">
        <f t="shared" si="20"/>
        <v/>
      </c>
      <c r="AU42" s="647" t="str">
        <f t="shared" si="21"/>
        <v/>
      </c>
      <c r="AV42" s="647" t="str">
        <f t="shared" si="10"/>
        <v/>
      </c>
      <c r="AW42" s="647" t="str">
        <f t="shared" si="11"/>
        <v/>
      </c>
      <c r="AX42" s="647" t="str">
        <f t="shared" si="12"/>
        <v/>
      </c>
      <c r="AY42" s="647" t="str">
        <f t="shared" si="13"/>
        <v/>
      </c>
      <c r="AZ42" s="647" t="str">
        <f t="shared" si="14"/>
        <v/>
      </c>
      <c r="BA42" s="647" t="str">
        <f t="shared" si="15"/>
        <v/>
      </c>
    </row>
    <row r="43" spans="2:53" s="7" customFormat="1" ht="28.5" hidden="1" customHeight="1" outlineLevel="1">
      <c r="B43" s="64"/>
      <c r="C43" s="649">
        <v>27</v>
      </c>
      <c r="D43" s="1855"/>
      <c r="E43" s="1856"/>
      <c r="F43" s="1856"/>
      <c r="G43" s="1856"/>
      <c r="H43" s="1856"/>
      <c r="I43" s="1856"/>
      <c r="J43" s="1856"/>
      <c r="K43" s="1857"/>
      <c r="L43" s="643" t="str">
        <f t="shared" si="1"/>
        <v/>
      </c>
      <c r="M43" s="664"/>
      <c r="N43" s="665"/>
      <c r="O43" s="267"/>
      <c r="P43" s="666"/>
      <c r="Q43" s="667"/>
      <c r="R43" s="667"/>
      <c r="S43" s="1035"/>
      <c r="T43" s="668"/>
      <c r="U43" s="668"/>
      <c r="V43" s="668"/>
      <c r="W43" s="668"/>
      <c r="X43" s="669"/>
      <c r="Y43" s="670"/>
      <c r="Z43" s="671"/>
      <c r="AA43" s="644"/>
      <c r="AB43" s="978"/>
      <c r="AC43" s="992"/>
      <c r="AD43" s="89"/>
      <c r="AE43" s="89"/>
      <c r="AF43" s="645" t="str">
        <f t="shared" si="17"/>
        <v/>
      </c>
      <c r="AG43" s="1037" t="str">
        <f t="shared" si="18"/>
        <v/>
      </c>
      <c r="AH43" s="1037" t="str">
        <f t="shared" si="19"/>
        <v/>
      </c>
      <c r="AI43" s="1037" t="str">
        <f>IF(AF43="","",VLOOKUP(AF43,リスト!BD:BE,2,0))</f>
        <v/>
      </c>
      <c r="AJ43" s="1037" t="str">
        <f t="shared" si="2"/>
        <v/>
      </c>
      <c r="AK43" s="1037" t="str">
        <f>IF(AJ43="","",VLOOKUP(AJ43,リスト!BW:BX,2,0))</f>
        <v/>
      </c>
      <c r="AL43" s="1037" t="str">
        <f t="shared" si="3"/>
        <v/>
      </c>
      <c r="AM43" s="646" t="str">
        <f t="shared" si="4"/>
        <v/>
      </c>
      <c r="AN43" s="646" t="str">
        <f t="shared" si="5"/>
        <v/>
      </c>
      <c r="AO43" s="647" t="str">
        <f t="shared" si="6"/>
        <v/>
      </c>
      <c r="AP43" s="647" t="str">
        <f t="shared" si="7"/>
        <v/>
      </c>
      <c r="AQ43" s="647" t="str">
        <f t="shared" si="8"/>
        <v/>
      </c>
      <c r="AR43" s="647" t="str">
        <f t="shared" si="16"/>
        <v/>
      </c>
      <c r="AS43" s="647" t="str">
        <f t="shared" si="9"/>
        <v/>
      </c>
      <c r="AT43" s="647" t="str">
        <f t="shared" si="20"/>
        <v/>
      </c>
      <c r="AU43" s="647" t="str">
        <f t="shared" si="21"/>
        <v/>
      </c>
      <c r="AV43" s="647" t="str">
        <f t="shared" si="10"/>
        <v/>
      </c>
      <c r="AW43" s="647" t="str">
        <f t="shared" si="11"/>
        <v/>
      </c>
      <c r="AX43" s="647" t="str">
        <f t="shared" si="12"/>
        <v/>
      </c>
      <c r="AY43" s="647" t="str">
        <f t="shared" si="13"/>
        <v/>
      </c>
      <c r="AZ43" s="647" t="str">
        <f t="shared" si="14"/>
        <v/>
      </c>
      <c r="BA43" s="647" t="str">
        <f t="shared" si="15"/>
        <v/>
      </c>
    </row>
    <row r="44" spans="2:53" s="7" customFormat="1" ht="28.5" hidden="1" customHeight="1" outlineLevel="1">
      <c r="B44" s="64"/>
      <c r="C44" s="649">
        <v>28</v>
      </c>
      <c r="D44" s="1855"/>
      <c r="E44" s="1856"/>
      <c r="F44" s="1856"/>
      <c r="G44" s="1856"/>
      <c r="H44" s="1856"/>
      <c r="I44" s="1856"/>
      <c r="J44" s="1856"/>
      <c r="K44" s="1857"/>
      <c r="L44" s="643" t="str">
        <f t="shared" si="1"/>
        <v/>
      </c>
      <c r="M44" s="664"/>
      <c r="N44" s="665"/>
      <c r="O44" s="267"/>
      <c r="P44" s="666"/>
      <c r="Q44" s="667"/>
      <c r="R44" s="667"/>
      <c r="S44" s="1035"/>
      <c r="T44" s="668"/>
      <c r="U44" s="668"/>
      <c r="V44" s="668"/>
      <c r="W44" s="668"/>
      <c r="X44" s="669"/>
      <c r="Y44" s="670"/>
      <c r="Z44" s="671"/>
      <c r="AA44" s="644"/>
      <c r="AB44" s="978"/>
      <c r="AC44" s="992"/>
      <c r="AD44" s="89"/>
      <c r="AE44" s="89"/>
      <c r="AF44" s="645" t="str">
        <f t="shared" si="17"/>
        <v/>
      </c>
      <c r="AG44" s="1037" t="str">
        <f t="shared" si="18"/>
        <v/>
      </c>
      <c r="AH44" s="1037" t="str">
        <f t="shared" si="19"/>
        <v/>
      </c>
      <c r="AI44" s="1037" t="str">
        <f>IF(AF44="","",VLOOKUP(AF44,リスト!BD:BE,2,0))</f>
        <v/>
      </c>
      <c r="AJ44" s="1037" t="str">
        <f t="shared" si="2"/>
        <v/>
      </c>
      <c r="AK44" s="1037" t="str">
        <f>IF(AJ44="","",VLOOKUP(AJ44,リスト!BW:BX,2,0))</f>
        <v/>
      </c>
      <c r="AL44" s="1037" t="str">
        <f t="shared" si="3"/>
        <v/>
      </c>
      <c r="AM44" s="646" t="str">
        <f t="shared" si="4"/>
        <v/>
      </c>
      <c r="AN44" s="646" t="str">
        <f t="shared" si="5"/>
        <v/>
      </c>
      <c r="AO44" s="647" t="str">
        <f t="shared" si="6"/>
        <v/>
      </c>
      <c r="AP44" s="647" t="str">
        <f t="shared" si="7"/>
        <v/>
      </c>
      <c r="AQ44" s="647" t="str">
        <f t="shared" si="8"/>
        <v/>
      </c>
      <c r="AR44" s="647" t="str">
        <f t="shared" si="16"/>
        <v/>
      </c>
      <c r="AS44" s="647" t="str">
        <f t="shared" si="9"/>
        <v/>
      </c>
      <c r="AT44" s="647" t="str">
        <f t="shared" si="20"/>
        <v/>
      </c>
      <c r="AU44" s="647" t="str">
        <f t="shared" si="21"/>
        <v/>
      </c>
      <c r="AV44" s="647" t="str">
        <f t="shared" si="10"/>
        <v/>
      </c>
      <c r="AW44" s="647" t="str">
        <f t="shared" si="11"/>
        <v/>
      </c>
      <c r="AX44" s="647" t="str">
        <f t="shared" si="12"/>
        <v/>
      </c>
      <c r="AY44" s="647" t="str">
        <f t="shared" si="13"/>
        <v/>
      </c>
      <c r="AZ44" s="647" t="str">
        <f t="shared" si="14"/>
        <v/>
      </c>
      <c r="BA44" s="647" t="str">
        <f t="shared" si="15"/>
        <v/>
      </c>
    </row>
    <row r="45" spans="2:53" s="7" customFormat="1" ht="28.5" hidden="1" customHeight="1" outlineLevel="1">
      <c r="B45" s="64"/>
      <c r="C45" s="649">
        <v>29</v>
      </c>
      <c r="D45" s="1855"/>
      <c r="E45" s="1856"/>
      <c r="F45" s="1856"/>
      <c r="G45" s="1856"/>
      <c r="H45" s="1856"/>
      <c r="I45" s="1856"/>
      <c r="J45" s="1856"/>
      <c r="K45" s="1857"/>
      <c r="L45" s="643" t="str">
        <f t="shared" si="1"/>
        <v/>
      </c>
      <c r="M45" s="664"/>
      <c r="N45" s="665"/>
      <c r="O45" s="267"/>
      <c r="P45" s="666"/>
      <c r="Q45" s="667"/>
      <c r="R45" s="667"/>
      <c r="S45" s="1035"/>
      <c r="T45" s="668"/>
      <c r="U45" s="668"/>
      <c r="V45" s="668"/>
      <c r="W45" s="668"/>
      <c r="X45" s="669"/>
      <c r="Y45" s="670"/>
      <c r="Z45" s="671"/>
      <c r="AA45" s="644"/>
      <c r="AB45" s="978"/>
      <c r="AC45" s="992"/>
      <c r="AD45" s="89"/>
      <c r="AE45" s="89"/>
      <c r="AF45" s="645" t="str">
        <f t="shared" si="17"/>
        <v/>
      </c>
      <c r="AG45" s="1037" t="str">
        <f t="shared" si="18"/>
        <v/>
      </c>
      <c r="AH45" s="1037" t="str">
        <f t="shared" si="19"/>
        <v/>
      </c>
      <c r="AI45" s="1037" t="str">
        <f>IF(AF45="","",VLOOKUP(AF45,リスト!BD:BE,2,0))</f>
        <v/>
      </c>
      <c r="AJ45" s="1037" t="str">
        <f t="shared" si="2"/>
        <v/>
      </c>
      <c r="AK45" s="1037" t="str">
        <f>IF(AJ45="","",VLOOKUP(AJ45,リスト!BW:BX,2,0))</f>
        <v/>
      </c>
      <c r="AL45" s="1037" t="str">
        <f t="shared" si="3"/>
        <v/>
      </c>
      <c r="AM45" s="646" t="str">
        <f t="shared" si="4"/>
        <v/>
      </c>
      <c r="AN45" s="646" t="str">
        <f t="shared" si="5"/>
        <v/>
      </c>
      <c r="AO45" s="647" t="str">
        <f t="shared" si="6"/>
        <v/>
      </c>
      <c r="AP45" s="647" t="str">
        <f t="shared" si="7"/>
        <v/>
      </c>
      <c r="AQ45" s="647" t="str">
        <f t="shared" si="8"/>
        <v/>
      </c>
      <c r="AR45" s="647" t="str">
        <f t="shared" si="16"/>
        <v/>
      </c>
      <c r="AS45" s="647" t="str">
        <f t="shared" si="9"/>
        <v/>
      </c>
      <c r="AT45" s="647" t="str">
        <f t="shared" si="20"/>
        <v/>
      </c>
      <c r="AU45" s="647" t="str">
        <f t="shared" si="21"/>
        <v/>
      </c>
      <c r="AV45" s="647" t="str">
        <f t="shared" si="10"/>
        <v/>
      </c>
      <c r="AW45" s="647" t="str">
        <f t="shared" si="11"/>
        <v/>
      </c>
      <c r="AX45" s="647" t="str">
        <f t="shared" si="12"/>
        <v/>
      </c>
      <c r="AY45" s="647" t="str">
        <f t="shared" si="13"/>
        <v/>
      </c>
      <c r="AZ45" s="647" t="str">
        <f t="shared" si="14"/>
        <v/>
      </c>
      <c r="BA45" s="647" t="str">
        <f t="shared" si="15"/>
        <v/>
      </c>
    </row>
    <row r="46" spans="2:53" s="7" customFormat="1" ht="28.5" hidden="1" customHeight="1" outlineLevel="1">
      <c r="B46" s="64"/>
      <c r="C46" s="649">
        <v>30</v>
      </c>
      <c r="D46" s="1855"/>
      <c r="E46" s="1856"/>
      <c r="F46" s="1856"/>
      <c r="G46" s="1856"/>
      <c r="H46" s="1856"/>
      <c r="I46" s="1856"/>
      <c r="J46" s="1856"/>
      <c r="K46" s="1857"/>
      <c r="L46" s="643" t="str">
        <f t="shared" si="1"/>
        <v/>
      </c>
      <c r="M46" s="664"/>
      <c r="N46" s="665"/>
      <c r="O46" s="267"/>
      <c r="P46" s="666"/>
      <c r="Q46" s="667"/>
      <c r="R46" s="667"/>
      <c r="S46" s="1035"/>
      <c r="T46" s="668"/>
      <c r="U46" s="668"/>
      <c r="V46" s="668"/>
      <c r="W46" s="668"/>
      <c r="X46" s="669"/>
      <c r="Y46" s="670"/>
      <c r="Z46" s="671"/>
      <c r="AA46" s="644"/>
      <c r="AB46" s="978"/>
      <c r="AC46" s="992"/>
      <c r="AD46" s="89"/>
      <c r="AE46" s="89"/>
      <c r="AF46" s="645" t="str">
        <f t="shared" si="17"/>
        <v/>
      </c>
      <c r="AG46" s="1037" t="str">
        <f t="shared" si="18"/>
        <v/>
      </c>
      <c r="AH46" s="1037" t="str">
        <f t="shared" si="19"/>
        <v/>
      </c>
      <c r="AI46" s="1037" t="str">
        <f>IF(AF46="","",VLOOKUP(AF46,リスト!BD:BE,2,0))</f>
        <v/>
      </c>
      <c r="AJ46" s="1037" t="str">
        <f t="shared" si="2"/>
        <v/>
      </c>
      <c r="AK46" s="1037" t="str">
        <f>IF(AJ46="","",VLOOKUP(AJ46,リスト!BW:BX,2,0))</f>
        <v/>
      </c>
      <c r="AL46" s="1037" t="str">
        <f t="shared" si="3"/>
        <v/>
      </c>
      <c r="AM46" s="646" t="str">
        <f t="shared" si="4"/>
        <v/>
      </c>
      <c r="AN46" s="646" t="str">
        <f t="shared" si="5"/>
        <v/>
      </c>
      <c r="AO46" s="647" t="str">
        <f t="shared" si="6"/>
        <v/>
      </c>
      <c r="AP46" s="647" t="str">
        <f t="shared" si="7"/>
        <v/>
      </c>
      <c r="AQ46" s="647" t="str">
        <f t="shared" si="8"/>
        <v/>
      </c>
      <c r="AR46" s="647" t="str">
        <f t="shared" si="16"/>
        <v/>
      </c>
      <c r="AS46" s="647" t="str">
        <f t="shared" si="9"/>
        <v/>
      </c>
      <c r="AT46" s="647" t="str">
        <f t="shared" si="20"/>
        <v/>
      </c>
      <c r="AU46" s="647" t="str">
        <f t="shared" si="21"/>
        <v/>
      </c>
      <c r="AV46" s="647" t="str">
        <f t="shared" si="10"/>
        <v/>
      </c>
      <c r="AW46" s="647" t="str">
        <f t="shared" si="11"/>
        <v/>
      </c>
      <c r="AX46" s="647" t="str">
        <f t="shared" si="12"/>
        <v/>
      </c>
      <c r="AY46" s="647" t="str">
        <f t="shared" si="13"/>
        <v/>
      </c>
      <c r="AZ46" s="647" t="str">
        <f t="shared" si="14"/>
        <v/>
      </c>
      <c r="BA46" s="647" t="str">
        <f t="shared" si="15"/>
        <v/>
      </c>
    </row>
    <row r="47" spans="2:53" s="7" customFormat="1" ht="28.5" hidden="1" customHeight="1" outlineLevel="1">
      <c r="B47" s="64"/>
      <c r="C47" s="649">
        <v>31</v>
      </c>
      <c r="D47" s="1855"/>
      <c r="E47" s="1856"/>
      <c r="F47" s="1856"/>
      <c r="G47" s="1856"/>
      <c r="H47" s="1856"/>
      <c r="I47" s="1856"/>
      <c r="J47" s="1856"/>
      <c r="K47" s="1857"/>
      <c r="L47" s="643" t="str">
        <f t="shared" si="1"/>
        <v/>
      </c>
      <c r="M47" s="664"/>
      <c r="N47" s="665"/>
      <c r="O47" s="267"/>
      <c r="P47" s="666"/>
      <c r="Q47" s="667"/>
      <c r="R47" s="667"/>
      <c r="S47" s="1035"/>
      <c r="T47" s="668"/>
      <c r="U47" s="668"/>
      <c r="V47" s="668"/>
      <c r="W47" s="668"/>
      <c r="X47" s="669"/>
      <c r="Y47" s="670"/>
      <c r="Z47" s="671"/>
      <c r="AA47" s="644"/>
      <c r="AB47" s="978"/>
      <c r="AC47" s="992"/>
      <c r="AD47" s="89"/>
      <c r="AE47" s="89"/>
      <c r="AF47" s="645" t="str">
        <f t="shared" si="17"/>
        <v/>
      </c>
      <c r="AG47" s="1037" t="str">
        <f t="shared" si="18"/>
        <v/>
      </c>
      <c r="AH47" s="1037" t="str">
        <f t="shared" si="19"/>
        <v/>
      </c>
      <c r="AI47" s="1037" t="str">
        <f>IF(AF47="","",VLOOKUP(AF47,リスト!BD:BE,2,0))</f>
        <v/>
      </c>
      <c r="AJ47" s="1037" t="str">
        <f t="shared" si="2"/>
        <v/>
      </c>
      <c r="AK47" s="1037" t="str">
        <f>IF(AJ47="","",VLOOKUP(AJ47,リスト!BW:BX,2,0))</f>
        <v/>
      </c>
      <c r="AL47" s="1037" t="str">
        <f t="shared" si="3"/>
        <v/>
      </c>
      <c r="AM47" s="646" t="str">
        <f t="shared" si="4"/>
        <v/>
      </c>
      <c r="AN47" s="646" t="str">
        <f t="shared" si="5"/>
        <v/>
      </c>
      <c r="AO47" s="647" t="str">
        <f t="shared" si="6"/>
        <v/>
      </c>
      <c r="AP47" s="647" t="str">
        <f t="shared" si="7"/>
        <v/>
      </c>
      <c r="AQ47" s="647" t="str">
        <f t="shared" si="8"/>
        <v/>
      </c>
      <c r="AR47" s="647" t="str">
        <f t="shared" si="16"/>
        <v/>
      </c>
      <c r="AS47" s="647" t="str">
        <f t="shared" si="9"/>
        <v/>
      </c>
      <c r="AT47" s="647" t="str">
        <f t="shared" si="20"/>
        <v/>
      </c>
      <c r="AU47" s="647" t="str">
        <f t="shared" si="21"/>
        <v/>
      </c>
      <c r="AV47" s="647" t="str">
        <f t="shared" si="10"/>
        <v/>
      </c>
      <c r="AW47" s="647" t="str">
        <f t="shared" si="11"/>
        <v/>
      </c>
      <c r="AX47" s="647" t="str">
        <f t="shared" si="12"/>
        <v/>
      </c>
      <c r="AY47" s="647" t="str">
        <f t="shared" si="13"/>
        <v/>
      </c>
      <c r="AZ47" s="647" t="str">
        <f t="shared" si="14"/>
        <v/>
      </c>
      <c r="BA47" s="647" t="str">
        <f t="shared" si="15"/>
        <v/>
      </c>
    </row>
    <row r="48" spans="2:53" s="7" customFormat="1" ht="28.5" hidden="1" customHeight="1" outlineLevel="1">
      <c r="B48" s="64"/>
      <c r="C48" s="649">
        <v>32</v>
      </c>
      <c r="D48" s="1855"/>
      <c r="E48" s="1856"/>
      <c r="F48" s="1856"/>
      <c r="G48" s="1856"/>
      <c r="H48" s="1856"/>
      <c r="I48" s="1856"/>
      <c r="J48" s="1856"/>
      <c r="K48" s="1857"/>
      <c r="L48" s="643" t="str">
        <f t="shared" si="1"/>
        <v/>
      </c>
      <c r="M48" s="664"/>
      <c r="N48" s="665"/>
      <c r="O48" s="267"/>
      <c r="P48" s="666"/>
      <c r="Q48" s="667"/>
      <c r="R48" s="667"/>
      <c r="S48" s="1035"/>
      <c r="T48" s="668"/>
      <c r="U48" s="668"/>
      <c r="V48" s="668"/>
      <c r="W48" s="668"/>
      <c r="X48" s="669"/>
      <c r="Y48" s="670"/>
      <c r="Z48" s="671"/>
      <c r="AA48" s="644"/>
      <c r="AB48" s="978"/>
      <c r="AC48" s="992"/>
      <c r="AD48" s="89"/>
      <c r="AE48" s="89"/>
      <c r="AF48" s="645" t="str">
        <f t="shared" si="17"/>
        <v/>
      </c>
      <c r="AG48" s="1037" t="str">
        <f t="shared" si="18"/>
        <v/>
      </c>
      <c r="AH48" s="1037" t="str">
        <f t="shared" si="19"/>
        <v/>
      </c>
      <c r="AI48" s="1037" t="str">
        <f>IF(AF48="","",VLOOKUP(AF48,リスト!BD:BE,2,0))</f>
        <v/>
      </c>
      <c r="AJ48" s="1037" t="str">
        <f t="shared" si="2"/>
        <v/>
      </c>
      <c r="AK48" s="1037" t="str">
        <f>IF(AJ48="","",VLOOKUP(AJ48,リスト!BW:BX,2,0))</f>
        <v/>
      </c>
      <c r="AL48" s="1037" t="str">
        <f t="shared" si="3"/>
        <v/>
      </c>
      <c r="AM48" s="646" t="str">
        <f t="shared" si="4"/>
        <v/>
      </c>
      <c r="AN48" s="646" t="str">
        <f t="shared" si="5"/>
        <v/>
      </c>
      <c r="AO48" s="647" t="str">
        <f t="shared" si="6"/>
        <v/>
      </c>
      <c r="AP48" s="647" t="str">
        <f t="shared" si="7"/>
        <v/>
      </c>
      <c r="AQ48" s="647" t="str">
        <f t="shared" si="8"/>
        <v/>
      </c>
      <c r="AR48" s="647" t="str">
        <f t="shared" si="16"/>
        <v/>
      </c>
      <c r="AS48" s="647" t="str">
        <f t="shared" si="9"/>
        <v/>
      </c>
      <c r="AT48" s="647" t="str">
        <f t="shared" si="20"/>
        <v/>
      </c>
      <c r="AU48" s="647" t="str">
        <f t="shared" si="21"/>
        <v/>
      </c>
      <c r="AV48" s="647" t="str">
        <f t="shared" si="10"/>
        <v/>
      </c>
      <c r="AW48" s="647" t="str">
        <f t="shared" si="11"/>
        <v/>
      </c>
      <c r="AX48" s="647" t="str">
        <f t="shared" si="12"/>
        <v/>
      </c>
      <c r="AY48" s="647" t="str">
        <f t="shared" si="13"/>
        <v/>
      </c>
      <c r="AZ48" s="647" t="str">
        <f t="shared" si="14"/>
        <v/>
      </c>
      <c r="BA48" s="647" t="str">
        <f t="shared" si="15"/>
        <v/>
      </c>
    </row>
    <row r="49" spans="2:53" s="7" customFormat="1" ht="28.5" hidden="1" customHeight="1" outlineLevel="1">
      <c r="B49" s="64"/>
      <c r="C49" s="649">
        <v>33</v>
      </c>
      <c r="D49" s="1855"/>
      <c r="E49" s="1856"/>
      <c r="F49" s="1856"/>
      <c r="G49" s="1856"/>
      <c r="H49" s="1856"/>
      <c r="I49" s="1856"/>
      <c r="J49" s="1856"/>
      <c r="K49" s="1857"/>
      <c r="L49" s="643" t="str">
        <f t="shared" si="1"/>
        <v/>
      </c>
      <c r="M49" s="664"/>
      <c r="N49" s="665"/>
      <c r="O49" s="267"/>
      <c r="P49" s="666"/>
      <c r="Q49" s="667"/>
      <c r="R49" s="667"/>
      <c r="S49" s="1035"/>
      <c r="T49" s="668"/>
      <c r="U49" s="668"/>
      <c r="V49" s="668"/>
      <c r="W49" s="668"/>
      <c r="X49" s="669"/>
      <c r="Y49" s="670"/>
      <c r="Z49" s="671"/>
      <c r="AA49" s="644"/>
      <c r="AB49" s="978"/>
      <c r="AC49" s="992"/>
      <c r="AD49" s="89"/>
      <c r="AE49" s="89"/>
      <c r="AF49" s="645" t="str">
        <f t="shared" si="17"/>
        <v/>
      </c>
      <c r="AG49" s="1037" t="str">
        <f t="shared" si="18"/>
        <v/>
      </c>
      <c r="AH49" s="1037" t="str">
        <f t="shared" si="19"/>
        <v/>
      </c>
      <c r="AI49" s="1037" t="str">
        <f>IF(AF49="","",VLOOKUP(AF49,リスト!BD:BE,2,0))</f>
        <v/>
      </c>
      <c r="AJ49" s="1037" t="str">
        <f t="shared" si="2"/>
        <v/>
      </c>
      <c r="AK49" s="1037" t="str">
        <f>IF(AJ49="","",VLOOKUP(AJ49,リスト!BW:BX,2,0))</f>
        <v/>
      </c>
      <c r="AL49" s="1037" t="str">
        <f t="shared" si="3"/>
        <v/>
      </c>
      <c r="AM49" s="646" t="str">
        <f t="shared" si="4"/>
        <v/>
      </c>
      <c r="AN49" s="646" t="str">
        <f t="shared" si="5"/>
        <v/>
      </c>
      <c r="AO49" s="647" t="str">
        <f t="shared" si="6"/>
        <v/>
      </c>
      <c r="AP49" s="647" t="str">
        <f t="shared" si="7"/>
        <v/>
      </c>
      <c r="AQ49" s="647" t="str">
        <f t="shared" si="8"/>
        <v/>
      </c>
      <c r="AR49" s="647" t="str">
        <f t="shared" si="16"/>
        <v/>
      </c>
      <c r="AS49" s="647" t="str">
        <f t="shared" si="9"/>
        <v/>
      </c>
      <c r="AT49" s="647" t="str">
        <f t="shared" si="20"/>
        <v/>
      </c>
      <c r="AU49" s="647" t="str">
        <f t="shared" si="21"/>
        <v/>
      </c>
      <c r="AV49" s="647" t="str">
        <f t="shared" si="10"/>
        <v/>
      </c>
      <c r="AW49" s="647" t="str">
        <f t="shared" si="11"/>
        <v/>
      </c>
      <c r="AX49" s="647" t="str">
        <f t="shared" si="12"/>
        <v/>
      </c>
      <c r="AY49" s="647" t="str">
        <f t="shared" si="13"/>
        <v/>
      </c>
      <c r="AZ49" s="647" t="str">
        <f t="shared" si="14"/>
        <v/>
      </c>
      <c r="BA49" s="647" t="str">
        <f t="shared" si="15"/>
        <v/>
      </c>
    </row>
    <row r="50" spans="2:53" s="7" customFormat="1" ht="28.5" hidden="1" customHeight="1" outlineLevel="1">
      <c r="B50" s="64"/>
      <c r="C50" s="649">
        <v>34</v>
      </c>
      <c r="D50" s="1855"/>
      <c r="E50" s="1856"/>
      <c r="F50" s="1856"/>
      <c r="G50" s="1856"/>
      <c r="H50" s="1856"/>
      <c r="I50" s="1856"/>
      <c r="J50" s="1856"/>
      <c r="K50" s="1857"/>
      <c r="L50" s="643" t="str">
        <f t="shared" si="1"/>
        <v/>
      </c>
      <c r="M50" s="664"/>
      <c r="N50" s="665"/>
      <c r="O50" s="267"/>
      <c r="P50" s="666"/>
      <c r="Q50" s="667"/>
      <c r="R50" s="667"/>
      <c r="S50" s="1035"/>
      <c r="T50" s="668"/>
      <c r="U50" s="668"/>
      <c r="V50" s="668"/>
      <c r="W50" s="668"/>
      <c r="X50" s="669"/>
      <c r="Y50" s="670"/>
      <c r="Z50" s="671"/>
      <c r="AA50" s="644"/>
      <c r="AB50" s="978"/>
      <c r="AC50" s="992"/>
      <c r="AD50" s="89"/>
      <c r="AE50" s="89"/>
      <c r="AF50" s="645" t="str">
        <f t="shared" si="17"/>
        <v/>
      </c>
      <c r="AG50" s="1037" t="str">
        <f t="shared" si="18"/>
        <v/>
      </c>
      <c r="AH50" s="1037" t="str">
        <f t="shared" si="19"/>
        <v/>
      </c>
      <c r="AI50" s="1037" t="str">
        <f>IF(AF50="","",VLOOKUP(AF50,リスト!BD:BE,2,0))</f>
        <v/>
      </c>
      <c r="AJ50" s="1037" t="str">
        <f t="shared" si="2"/>
        <v/>
      </c>
      <c r="AK50" s="1037" t="str">
        <f>IF(AJ50="","",VLOOKUP(AJ50,リスト!BW:BX,2,0))</f>
        <v/>
      </c>
      <c r="AL50" s="1037" t="str">
        <f t="shared" si="3"/>
        <v/>
      </c>
      <c r="AM50" s="646" t="str">
        <f t="shared" si="4"/>
        <v/>
      </c>
      <c r="AN50" s="646" t="str">
        <f t="shared" si="5"/>
        <v/>
      </c>
      <c r="AO50" s="647" t="str">
        <f t="shared" si="6"/>
        <v/>
      </c>
      <c r="AP50" s="647" t="str">
        <f t="shared" si="7"/>
        <v/>
      </c>
      <c r="AQ50" s="647" t="str">
        <f t="shared" si="8"/>
        <v/>
      </c>
      <c r="AR50" s="647" t="str">
        <f t="shared" si="16"/>
        <v/>
      </c>
      <c r="AS50" s="647" t="str">
        <f t="shared" si="9"/>
        <v/>
      </c>
      <c r="AT50" s="647" t="str">
        <f t="shared" si="20"/>
        <v/>
      </c>
      <c r="AU50" s="647" t="str">
        <f t="shared" si="21"/>
        <v/>
      </c>
      <c r="AV50" s="647" t="str">
        <f t="shared" si="10"/>
        <v/>
      </c>
      <c r="AW50" s="647" t="str">
        <f t="shared" si="11"/>
        <v/>
      </c>
      <c r="AX50" s="647" t="str">
        <f t="shared" si="12"/>
        <v/>
      </c>
      <c r="AY50" s="647" t="str">
        <f t="shared" si="13"/>
        <v/>
      </c>
      <c r="AZ50" s="647" t="str">
        <f t="shared" si="14"/>
        <v/>
      </c>
      <c r="BA50" s="647" t="str">
        <f t="shared" si="15"/>
        <v/>
      </c>
    </row>
    <row r="51" spans="2:53" s="7" customFormat="1" ht="28.5" hidden="1" customHeight="1" outlineLevel="1">
      <c r="B51" s="64"/>
      <c r="C51" s="649">
        <v>35</v>
      </c>
      <c r="D51" s="1855"/>
      <c r="E51" s="1856"/>
      <c r="F51" s="1856"/>
      <c r="G51" s="1856"/>
      <c r="H51" s="1856"/>
      <c r="I51" s="1856"/>
      <c r="J51" s="1856"/>
      <c r="K51" s="1857"/>
      <c r="L51" s="643" t="str">
        <f t="shared" si="1"/>
        <v/>
      </c>
      <c r="M51" s="664"/>
      <c r="N51" s="665"/>
      <c r="O51" s="267"/>
      <c r="P51" s="666"/>
      <c r="Q51" s="667"/>
      <c r="R51" s="667"/>
      <c r="S51" s="1035"/>
      <c r="T51" s="668"/>
      <c r="U51" s="668"/>
      <c r="V51" s="668"/>
      <c r="W51" s="668"/>
      <c r="X51" s="669"/>
      <c r="Y51" s="670"/>
      <c r="Z51" s="671"/>
      <c r="AA51" s="644"/>
      <c r="AB51" s="978"/>
      <c r="AC51" s="992"/>
      <c r="AD51" s="89"/>
      <c r="AE51" s="89"/>
      <c r="AF51" s="645" t="str">
        <f t="shared" si="17"/>
        <v/>
      </c>
      <c r="AG51" s="1037" t="str">
        <f t="shared" si="18"/>
        <v/>
      </c>
      <c r="AH51" s="1037" t="str">
        <f t="shared" si="19"/>
        <v/>
      </c>
      <c r="AI51" s="1037" t="str">
        <f>IF(AF51="","",VLOOKUP(AF51,リスト!BD:BE,2,0))</f>
        <v/>
      </c>
      <c r="AJ51" s="1037" t="str">
        <f t="shared" si="2"/>
        <v/>
      </c>
      <c r="AK51" s="1037" t="str">
        <f>IF(AJ51="","",VLOOKUP(AJ51,リスト!BW:BX,2,0))</f>
        <v/>
      </c>
      <c r="AL51" s="1037" t="str">
        <f t="shared" si="3"/>
        <v/>
      </c>
      <c r="AM51" s="646" t="str">
        <f t="shared" si="4"/>
        <v/>
      </c>
      <c r="AN51" s="646" t="str">
        <f t="shared" si="5"/>
        <v/>
      </c>
      <c r="AO51" s="647" t="str">
        <f t="shared" si="6"/>
        <v/>
      </c>
      <c r="AP51" s="647" t="str">
        <f t="shared" si="7"/>
        <v/>
      </c>
      <c r="AQ51" s="647" t="str">
        <f t="shared" si="8"/>
        <v/>
      </c>
      <c r="AR51" s="647" t="str">
        <f t="shared" si="16"/>
        <v/>
      </c>
      <c r="AS51" s="647" t="str">
        <f t="shared" si="9"/>
        <v/>
      </c>
      <c r="AT51" s="647" t="str">
        <f t="shared" si="20"/>
        <v/>
      </c>
      <c r="AU51" s="647" t="str">
        <f t="shared" si="21"/>
        <v/>
      </c>
      <c r="AV51" s="647" t="str">
        <f t="shared" si="10"/>
        <v/>
      </c>
      <c r="AW51" s="647" t="str">
        <f t="shared" si="11"/>
        <v/>
      </c>
      <c r="AX51" s="647" t="str">
        <f t="shared" si="12"/>
        <v/>
      </c>
      <c r="AY51" s="647" t="str">
        <f t="shared" si="13"/>
        <v/>
      </c>
      <c r="AZ51" s="647" t="str">
        <f t="shared" si="14"/>
        <v/>
      </c>
      <c r="BA51" s="647" t="str">
        <f t="shared" si="15"/>
        <v/>
      </c>
    </row>
    <row r="52" spans="2:53" s="7" customFormat="1" ht="28.5" hidden="1" customHeight="1" outlineLevel="1">
      <c r="B52" s="64"/>
      <c r="C52" s="649">
        <v>36</v>
      </c>
      <c r="D52" s="1855"/>
      <c r="E52" s="1856"/>
      <c r="F52" s="1856"/>
      <c r="G52" s="1856"/>
      <c r="H52" s="1856"/>
      <c r="I52" s="1856"/>
      <c r="J52" s="1856"/>
      <c r="K52" s="1857"/>
      <c r="L52" s="643" t="str">
        <f t="shared" si="1"/>
        <v/>
      </c>
      <c r="M52" s="664"/>
      <c r="N52" s="665"/>
      <c r="O52" s="267"/>
      <c r="P52" s="666"/>
      <c r="Q52" s="667"/>
      <c r="R52" s="667"/>
      <c r="S52" s="1035"/>
      <c r="T52" s="668"/>
      <c r="U52" s="668"/>
      <c r="V52" s="668"/>
      <c r="W52" s="668"/>
      <c r="X52" s="669"/>
      <c r="Y52" s="670"/>
      <c r="Z52" s="671"/>
      <c r="AA52" s="644"/>
      <c r="AB52" s="978"/>
      <c r="AC52" s="992"/>
      <c r="AD52" s="89"/>
      <c r="AE52" s="89"/>
      <c r="AF52" s="645" t="str">
        <f t="shared" si="17"/>
        <v/>
      </c>
      <c r="AG52" s="1037" t="str">
        <f t="shared" si="18"/>
        <v/>
      </c>
      <c r="AH52" s="1037" t="str">
        <f t="shared" si="19"/>
        <v/>
      </c>
      <c r="AI52" s="1037" t="str">
        <f>IF(AF52="","",VLOOKUP(AF52,リスト!BD:BE,2,0))</f>
        <v/>
      </c>
      <c r="AJ52" s="1037" t="str">
        <f t="shared" si="2"/>
        <v/>
      </c>
      <c r="AK52" s="1037" t="str">
        <f>IF(AJ52="","",VLOOKUP(AJ52,リスト!BW:BX,2,0))</f>
        <v/>
      </c>
      <c r="AL52" s="1037" t="str">
        <f t="shared" si="3"/>
        <v/>
      </c>
      <c r="AM52" s="646" t="str">
        <f t="shared" si="4"/>
        <v/>
      </c>
      <c r="AN52" s="646" t="str">
        <f t="shared" si="5"/>
        <v/>
      </c>
      <c r="AO52" s="647" t="str">
        <f t="shared" si="6"/>
        <v/>
      </c>
      <c r="AP52" s="647" t="str">
        <f t="shared" si="7"/>
        <v/>
      </c>
      <c r="AQ52" s="647" t="str">
        <f t="shared" si="8"/>
        <v/>
      </c>
      <c r="AR52" s="647" t="str">
        <f t="shared" si="16"/>
        <v/>
      </c>
      <c r="AS52" s="647" t="str">
        <f t="shared" si="9"/>
        <v/>
      </c>
      <c r="AT52" s="647" t="str">
        <f t="shared" si="20"/>
        <v/>
      </c>
      <c r="AU52" s="647" t="str">
        <f t="shared" si="21"/>
        <v/>
      </c>
      <c r="AV52" s="647" t="str">
        <f t="shared" si="10"/>
        <v/>
      </c>
      <c r="AW52" s="647" t="str">
        <f t="shared" si="11"/>
        <v/>
      </c>
      <c r="AX52" s="647" t="str">
        <f t="shared" si="12"/>
        <v/>
      </c>
      <c r="AY52" s="647" t="str">
        <f t="shared" si="13"/>
        <v/>
      </c>
      <c r="AZ52" s="647" t="str">
        <f t="shared" si="14"/>
        <v/>
      </c>
      <c r="BA52" s="647" t="str">
        <f t="shared" si="15"/>
        <v/>
      </c>
    </row>
    <row r="53" spans="2:53" s="7" customFormat="1" ht="28.5" hidden="1" customHeight="1" outlineLevel="1">
      <c r="B53" s="64"/>
      <c r="C53" s="649">
        <v>37</v>
      </c>
      <c r="D53" s="1855"/>
      <c r="E53" s="1856"/>
      <c r="F53" s="1856"/>
      <c r="G53" s="1856"/>
      <c r="H53" s="1856"/>
      <c r="I53" s="1856"/>
      <c r="J53" s="1856"/>
      <c r="K53" s="1857"/>
      <c r="L53" s="643" t="str">
        <f t="shared" si="1"/>
        <v/>
      </c>
      <c r="M53" s="664"/>
      <c r="N53" s="665"/>
      <c r="O53" s="267"/>
      <c r="P53" s="666"/>
      <c r="Q53" s="667"/>
      <c r="R53" s="667"/>
      <c r="S53" s="1035"/>
      <c r="T53" s="668"/>
      <c r="U53" s="668"/>
      <c r="V53" s="668"/>
      <c r="W53" s="668"/>
      <c r="X53" s="669"/>
      <c r="Y53" s="670"/>
      <c r="Z53" s="671"/>
      <c r="AA53" s="644"/>
      <c r="AB53" s="978"/>
      <c r="AC53" s="992"/>
      <c r="AD53" s="89"/>
      <c r="AE53" s="89"/>
      <c r="AF53" s="645" t="str">
        <f t="shared" si="17"/>
        <v/>
      </c>
      <c r="AG53" s="1037" t="str">
        <f t="shared" si="18"/>
        <v/>
      </c>
      <c r="AH53" s="1037" t="str">
        <f t="shared" si="19"/>
        <v/>
      </c>
      <c r="AI53" s="1037" t="str">
        <f>IF(AF53="","",VLOOKUP(AF53,リスト!BD:BE,2,0))</f>
        <v/>
      </c>
      <c r="AJ53" s="1037" t="str">
        <f t="shared" si="2"/>
        <v/>
      </c>
      <c r="AK53" s="1037" t="str">
        <f>IF(AJ53="","",VLOOKUP(AJ53,リスト!BW:BX,2,0))</f>
        <v/>
      </c>
      <c r="AL53" s="1037" t="str">
        <f t="shared" si="3"/>
        <v/>
      </c>
      <c r="AM53" s="646" t="str">
        <f t="shared" si="4"/>
        <v/>
      </c>
      <c r="AN53" s="646" t="str">
        <f t="shared" si="5"/>
        <v/>
      </c>
      <c r="AO53" s="647" t="str">
        <f t="shared" si="6"/>
        <v/>
      </c>
      <c r="AP53" s="647" t="str">
        <f t="shared" si="7"/>
        <v/>
      </c>
      <c r="AQ53" s="647" t="str">
        <f t="shared" si="8"/>
        <v/>
      </c>
      <c r="AR53" s="647" t="str">
        <f t="shared" si="16"/>
        <v/>
      </c>
      <c r="AS53" s="647" t="str">
        <f t="shared" si="9"/>
        <v/>
      </c>
      <c r="AT53" s="647" t="str">
        <f t="shared" si="20"/>
        <v/>
      </c>
      <c r="AU53" s="647" t="str">
        <f t="shared" si="21"/>
        <v/>
      </c>
      <c r="AV53" s="647" t="str">
        <f t="shared" si="10"/>
        <v/>
      </c>
      <c r="AW53" s="647" t="str">
        <f t="shared" si="11"/>
        <v/>
      </c>
      <c r="AX53" s="647" t="str">
        <f t="shared" si="12"/>
        <v/>
      </c>
      <c r="AY53" s="647" t="str">
        <f t="shared" si="13"/>
        <v/>
      </c>
      <c r="AZ53" s="647" t="str">
        <f t="shared" si="14"/>
        <v/>
      </c>
      <c r="BA53" s="647" t="str">
        <f t="shared" si="15"/>
        <v/>
      </c>
    </row>
    <row r="54" spans="2:53" s="7" customFormat="1" ht="28.5" hidden="1" customHeight="1" outlineLevel="1">
      <c r="B54" s="64"/>
      <c r="C54" s="649">
        <v>38</v>
      </c>
      <c r="D54" s="1855"/>
      <c r="E54" s="1856"/>
      <c r="F54" s="1856"/>
      <c r="G54" s="1856"/>
      <c r="H54" s="1856"/>
      <c r="I54" s="1856"/>
      <c r="J54" s="1856"/>
      <c r="K54" s="1857"/>
      <c r="L54" s="643" t="str">
        <f t="shared" si="1"/>
        <v/>
      </c>
      <c r="M54" s="664"/>
      <c r="N54" s="665"/>
      <c r="O54" s="267"/>
      <c r="P54" s="666"/>
      <c r="Q54" s="667"/>
      <c r="R54" s="667"/>
      <c r="S54" s="1035"/>
      <c r="T54" s="668"/>
      <c r="U54" s="668"/>
      <c r="V54" s="668"/>
      <c r="W54" s="668"/>
      <c r="X54" s="669"/>
      <c r="Y54" s="670"/>
      <c r="Z54" s="671"/>
      <c r="AA54" s="644"/>
      <c r="AB54" s="978"/>
      <c r="AC54" s="992"/>
      <c r="AD54" s="89"/>
      <c r="AE54" s="89"/>
      <c r="AF54" s="645" t="str">
        <f t="shared" si="17"/>
        <v/>
      </c>
      <c r="AG54" s="1037" t="str">
        <f t="shared" si="18"/>
        <v/>
      </c>
      <c r="AH54" s="1037" t="str">
        <f t="shared" si="19"/>
        <v/>
      </c>
      <c r="AI54" s="1037" t="str">
        <f>IF(AF54="","",VLOOKUP(AF54,リスト!BD:BE,2,0))</f>
        <v/>
      </c>
      <c r="AJ54" s="1037" t="str">
        <f t="shared" si="2"/>
        <v/>
      </c>
      <c r="AK54" s="1037" t="str">
        <f>IF(AJ54="","",VLOOKUP(AJ54,リスト!BW:BX,2,0))</f>
        <v/>
      </c>
      <c r="AL54" s="1037" t="str">
        <f t="shared" si="3"/>
        <v/>
      </c>
      <c r="AM54" s="646" t="str">
        <f t="shared" si="4"/>
        <v/>
      </c>
      <c r="AN54" s="646" t="str">
        <f t="shared" si="5"/>
        <v/>
      </c>
      <c r="AO54" s="647" t="str">
        <f t="shared" si="6"/>
        <v/>
      </c>
      <c r="AP54" s="647" t="str">
        <f t="shared" si="7"/>
        <v/>
      </c>
      <c r="AQ54" s="647" t="str">
        <f t="shared" si="8"/>
        <v/>
      </c>
      <c r="AR54" s="647" t="str">
        <f t="shared" si="16"/>
        <v/>
      </c>
      <c r="AS54" s="647" t="str">
        <f t="shared" si="9"/>
        <v/>
      </c>
      <c r="AT54" s="647" t="str">
        <f t="shared" si="20"/>
        <v/>
      </c>
      <c r="AU54" s="647" t="str">
        <f t="shared" si="21"/>
        <v/>
      </c>
      <c r="AV54" s="647" t="str">
        <f t="shared" si="10"/>
        <v/>
      </c>
      <c r="AW54" s="647" t="str">
        <f t="shared" si="11"/>
        <v/>
      </c>
      <c r="AX54" s="647" t="str">
        <f t="shared" si="12"/>
        <v/>
      </c>
      <c r="AY54" s="647" t="str">
        <f t="shared" si="13"/>
        <v/>
      </c>
      <c r="AZ54" s="647" t="str">
        <f t="shared" si="14"/>
        <v/>
      </c>
      <c r="BA54" s="647" t="str">
        <f t="shared" si="15"/>
        <v/>
      </c>
    </row>
    <row r="55" spans="2:53" s="7" customFormat="1" ht="28.5" hidden="1" customHeight="1" outlineLevel="1">
      <c r="B55" s="64"/>
      <c r="C55" s="649">
        <v>39</v>
      </c>
      <c r="D55" s="1855"/>
      <c r="E55" s="1856"/>
      <c r="F55" s="1856"/>
      <c r="G55" s="1856"/>
      <c r="H55" s="1856"/>
      <c r="I55" s="1856"/>
      <c r="J55" s="1856"/>
      <c r="K55" s="1857"/>
      <c r="L55" s="643" t="str">
        <f t="shared" si="1"/>
        <v/>
      </c>
      <c r="M55" s="664"/>
      <c r="N55" s="665"/>
      <c r="O55" s="267"/>
      <c r="P55" s="666"/>
      <c r="Q55" s="667"/>
      <c r="R55" s="667"/>
      <c r="S55" s="1035"/>
      <c r="T55" s="668"/>
      <c r="U55" s="668"/>
      <c r="V55" s="668"/>
      <c r="W55" s="668"/>
      <c r="X55" s="669"/>
      <c r="Y55" s="670"/>
      <c r="Z55" s="671"/>
      <c r="AA55" s="644"/>
      <c r="AB55" s="978"/>
      <c r="AC55" s="992"/>
      <c r="AD55" s="89"/>
      <c r="AE55" s="89"/>
      <c r="AF55" s="645" t="str">
        <f t="shared" si="17"/>
        <v/>
      </c>
      <c r="AG55" s="1037" t="str">
        <f t="shared" si="18"/>
        <v/>
      </c>
      <c r="AH55" s="1037" t="str">
        <f t="shared" si="19"/>
        <v/>
      </c>
      <c r="AI55" s="1037" t="str">
        <f>IF(AF55="","",VLOOKUP(AF55,リスト!BD:BE,2,0))</f>
        <v/>
      </c>
      <c r="AJ55" s="1037" t="str">
        <f t="shared" si="2"/>
        <v/>
      </c>
      <c r="AK55" s="1037" t="str">
        <f>IF(AJ55="","",VLOOKUP(AJ55,リスト!BW:BX,2,0))</f>
        <v/>
      </c>
      <c r="AL55" s="1037" t="str">
        <f t="shared" si="3"/>
        <v/>
      </c>
      <c r="AM55" s="646" t="str">
        <f t="shared" si="4"/>
        <v/>
      </c>
      <c r="AN55" s="646" t="str">
        <f t="shared" si="5"/>
        <v/>
      </c>
      <c r="AO55" s="647" t="str">
        <f t="shared" si="6"/>
        <v/>
      </c>
      <c r="AP55" s="647" t="str">
        <f t="shared" si="7"/>
        <v/>
      </c>
      <c r="AQ55" s="647" t="str">
        <f t="shared" si="8"/>
        <v/>
      </c>
      <c r="AR55" s="647" t="str">
        <f t="shared" si="16"/>
        <v/>
      </c>
      <c r="AS55" s="647" t="str">
        <f t="shared" si="9"/>
        <v/>
      </c>
      <c r="AT55" s="647" t="str">
        <f t="shared" si="20"/>
        <v/>
      </c>
      <c r="AU55" s="647" t="str">
        <f t="shared" si="21"/>
        <v/>
      </c>
      <c r="AV55" s="647" t="str">
        <f t="shared" si="10"/>
        <v/>
      </c>
      <c r="AW55" s="647" t="str">
        <f t="shared" si="11"/>
        <v/>
      </c>
      <c r="AX55" s="647" t="str">
        <f t="shared" si="12"/>
        <v/>
      </c>
      <c r="AY55" s="647" t="str">
        <f t="shared" si="13"/>
        <v/>
      </c>
      <c r="AZ55" s="647" t="str">
        <f t="shared" si="14"/>
        <v/>
      </c>
      <c r="BA55" s="647" t="str">
        <f t="shared" si="15"/>
        <v/>
      </c>
    </row>
    <row r="56" spans="2:53" s="7" customFormat="1" ht="28.5" hidden="1" customHeight="1" outlineLevel="1">
      <c r="B56" s="64"/>
      <c r="C56" s="649">
        <v>40</v>
      </c>
      <c r="D56" s="1855"/>
      <c r="E56" s="1856"/>
      <c r="F56" s="1856"/>
      <c r="G56" s="1856"/>
      <c r="H56" s="1856"/>
      <c r="I56" s="1856"/>
      <c r="J56" s="1856"/>
      <c r="K56" s="1857"/>
      <c r="L56" s="643" t="str">
        <f t="shared" si="1"/>
        <v/>
      </c>
      <c r="M56" s="664"/>
      <c r="N56" s="665"/>
      <c r="O56" s="267"/>
      <c r="P56" s="666"/>
      <c r="Q56" s="667"/>
      <c r="R56" s="667"/>
      <c r="S56" s="1035"/>
      <c r="T56" s="668"/>
      <c r="U56" s="668"/>
      <c r="V56" s="668"/>
      <c r="W56" s="668"/>
      <c r="X56" s="669"/>
      <c r="Y56" s="670"/>
      <c r="Z56" s="671"/>
      <c r="AA56" s="644"/>
      <c r="AB56" s="978"/>
      <c r="AC56" s="992"/>
      <c r="AD56" s="89"/>
      <c r="AE56" s="89"/>
      <c r="AF56" s="645" t="str">
        <f t="shared" si="17"/>
        <v/>
      </c>
      <c r="AG56" s="1037" t="str">
        <f t="shared" si="18"/>
        <v/>
      </c>
      <c r="AH56" s="1037" t="str">
        <f t="shared" si="19"/>
        <v/>
      </c>
      <c r="AI56" s="1037" t="str">
        <f>IF(AF56="","",VLOOKUP(AF56,リスト!BD:BE,2,0))</f>
        <v/>
      </c>
      <c r="AJ56" s="1037" t="str">
        <f t="shared" si="2"/>
        <v/>
      </c>
      <c r="AK56" s="1037" t="str">
        <f>IF(AJ56="","",VLOOKUP(AJ56,リスト!BW:BX,2,0))</f>
        <v/>
      </c>
      <c r="AL56" s="1037" t="str">
        <f t="shared" si="3"/>
        <v/>
      </c>
      <c r="AM56" s="646" t="str">
        <f t="shared" si="4"/>
        <v/>
      </c>
      <c r="AN56" s="646" t="str">
        <f t="shared" si="5"/>
        <v/>
      </c>
      <c r="AO56" s="647" t="str">
        <f t="shared" si="6"/>
        <v/>
      </c>
      <c r="AP56" s="647" t="str">
        <f t="shared" si="7"/>
        <v/>
      </c>
      <c r="AQ56" s="647" t="str">
        <f t="shared" si="8"/>
        <v/>
      </c>
      <c r="AR56" s="647" t="str">
        <f t="shared" si="16"/>
        <v/>
      </c>
      <c r="AS56" s="647" t="str">
        <f t="shared" si="9"/>
        <v/>
      </c>
      <c r="AT56" s="647" t="str">
        <f t="shared" si="20"/>
        <v/>
      </c>
      <c r="AU56" s="647" t="str">
        <f t="shared" si="21"/>
        <v/>
      </c>
      <c r="AV56" s="647" t="str">
        <f t="shared" si="10"/>
        <v/>
      </c>
      <c r="AW56" s="647" t="str">
        <f t="shared" si="11"/>
        <v/>
      </c>
      <c r="AX56" s="647" t="str">
        <f t="shared" si="12"/>
        <v/>
      </c>
      <c r="AY56" s="647" t="str">
        <f t="shared" si="13"/>
        <v/>
      </c>
      <c r="AZ56" s="647" t="str">
        <f t="shared" si="14"/>
        <v/>
      </c>
      <c r="BA56" s="647" t="str">
        <f t="shared" si="15"/>
        <v/>
      </c>
    </row>
    <row r="57" spans="2:53" s="7" customFormat="1" ht="28.5" hidden="1" customHeight="1" outlineLevel="1">
      <c r="B57" s="64"/>
      <c r="C57" s="649">
        <v>41</v>
      </c>
      <c r="D57" s="1855"/>
      <c r="E57" s="1856"/>
      <c r="F57" s="1856"/>
      <c r="G57" s="1856"/>
      <c r="H57" s="1856"/>
      <c r="I57" s="1856"/>
      <c r="J57" s="1856"/>
      <c r="K57" s="1857"/>
      <c r="L57" s="643" t="str">
        <f t="shared" si="1"/>
        <v/>
      </c>
      <c r="M57" s="664"/>
      <c r="N57" s="665"/>
      <c r="O57" s="267"/>
      <c r="P57" s="666"/>
      <c r="Q57" s="667"/>
      <c r="R57" s="667"/>
      <c r="S57" s="1035"/>
      <c r="T57" s="668"/>
      <c r="U57" s="668"/>
      <c r="V57" s="668"/>
      <c r="W57" s="668"/>
      <c r="X57" s="669"/>
      <c r="Y57" s="670"/>
      <c r="Z57" s="671"/>
      <c r="AA57" s="644"/>
      <c r="AB57" s="978"/>
      <c r="AC57" s="992"/>
      <c r="AD57" s="89"/>
      <c r="AE57" s="89"/>
      <c r="AF57" s="645" t="str">
        <f t="shared" si="17"/>
        <v/>
      </c>
      <c r="AG57" s="1037" t="str">
        <f t="shared" si="18"/>
        <v/>
      </c>
      <c r="AH57" s="1037" t="str">
        <f t="shared" si="19"/>
        <v/>
      </c>
      <c r="AI57" s="1037" t="str">
        <f>IF(AF57="","",VLOOKUP(AF57,リスト!BD:BE,2,0))</f>
        <v/>
      </c>
      <c r="AJ57" s="1037" t="str">
        <f t="shared" si="2"/>
        <v/>
      </c>
      <c r="AK57" s="1037" t="str">
        <f>IF(AJ57="","",VLOOKUP(AJ57,リスト!BW:BX,2,0))</f>
        <v/>
      </c>
      <c r="AL57" s="1037" t="str">
        <f t="shared" si="3"/>
        <v/>
      </c>
      <c r="AM57" s="646" t="str">
        <f t="shared" si="4"/>
        <v/>
      </c>
      <c r="AN57" s="646" t="str">
        <f t="shared" si="5"/>
        <v/>
      </c>
      <c r="AO57" s="647" t="str">
        <f t="shared" si="6"/>
        <v/>
      </c>
      <c r="AP57" s="647" t="str">
        <f t="shared" si="7"/>
        <v/>
      </c>
      <c r="AQ57" s="647" t="str">
        <f t="shared" si="8"/>
        <v/>
      </c>
      <c r="AR57" s="647" t="str">
        <f t="shared" si="16"/>
        <v/>
      </c>
      <c r="AS57" s="647" t="str">
        <f t="shared" si="9"/>
        <v/>
      </c>
      <c r="AT57" s="647" t="str">
        <f t="shared" si="20"/>
        <v/>
      </c>
      <c r="AU57" s="647" t="str">
        <f t="shared" si="21"/>
        <v/>
      </c>
      <c r="AV57" s="647" t="str">
        <f t="shared" si="10"/>
        <v/>
      </c>
      <c r="AW57" s="647" t="str">
        <f t="shared" si="11"/>
        <v/>
      </c>
      <c r="AX57" s="647" t="str">
        <f t="shared" si="12"/>
        <v/>
      </c>
      <c r="AY57" s="647" t="str">
        <f t="shared" si="13"/>
        <v/>
      </c>
      <c r="AZ57" s="647" t="str">
        <f t="shared" si="14"/>
        <v/>
      </c>
      <c r="BA57" s="647" t="str">
        <f t="shared" si="15"/>
        <v/>
      </c>
    </row>
    <row r="58" spans="2:53" s="7" customFormat="1" ht="28.5" hidden="1" customHeight="1" outlineLevel="1">
      <c r="B58" s="64"/>
      <c r="C58" s="649">
        <v>42</v>
      </c>
      <c r="D58" s="1855"/>
      <c r="E58" s="1856"/>
      <c r="F58" s="1856"/>
      <c r="G58" s="1856"/>
      <c r="H58" s="1856"/>
      <c r="I58" s="1856"/>
      <c r="J58" s="1856"/>
      <c r="K58" s="1857"/>
      <c r="L58" s="643" t="str">
        <f t="shared" si="1"/>
        <v/>
      </c>
      <c r="M58" s="664"/>
      <c r="N58" s="665"/>
      <c r="O58" s="267"/>
      <c r="P58" s="666"/>
      <c r="Q58" s="667"/>
      <c r="R58" s="667"/>
      <c r="S58" s="1035"/>
      <c r="T58" s="668"/>
      <c r="U58" s="668"/>
      <c r="V58" s="668"/>
      <c r="W58" s="668"/>
      <c r="X58" s="669"/>
      <c r="Y58" s="670"/>
      <c r="Z58" s="671"/>
      <c r="AA58" s="644"/>
      <c r="AB58" s="978"/>
      <c r="AC58" s="992"/>
      <c r="AD58" s="89"/>
      <c r="AE58" s="89"/>
      <c r="AF58" s="645" t="str">
        <f t="shared" si="17"/>
        <v/>
      </c>
      <c r="AG58" s="1037" t="str">
        <f t="shared" si="18"/>
        <v/>
      </c>
      <c r="AH58" s="1037" t="str">
        <f t="shared" si="19"/>
        <v/>
      </c>
      <c r="AI58" s="1037" t="str">
        <f>IF(AF58="","",VLOOKUP(AF58,リスト!BD:BE,2,0))</f>
        <v/>
      </c>
      <c r="AJ58" s="1037" t="str">
        <f t="shared" si="2"/>
        <v/>
      </c>
      <c r="AK58" s="1037" t="str">
        <f>IF(AJ58="","",VLOOKUP(AJ58,リスト!BW:BX,2,0))</f>
        <v/>
      </c>
      <c r="AL58" s="1037" t="str">
        <f t="shared" si="3"/>
        <v/>
      </c>
      <c r="AM58" s="646" t="str">
        <f t="shared" si="4"/>
        <v/>
      </c>
      <c r="AN58" s="646" t="str">
        <f t="shared" si="5"/>
        <v/>
      </c>
      <c r="AO58" s="647" t="str">
        <f t="shared" si="6"/>
        <v/>
      </c>
      <c r="AP58" s="647" t="str">
        <f t="shared" si="7"/>
        <v/>
      </c>
      <c r="AQ58" s="647" t="str">
        <f t="shared" si="8"/>
        <v/>
      </c>
      <c r="AR58" s="647" t="str">
        <f t="shared" si="16"/>
        <v/>
      </c>
      <c r="AS58" s="647" t="str">
        <f t="shared" si="9"/>
        <v/>
      </c>
      <c r="AT58" s="647" t="str">
        <f t="shared" si="20"/>
        <v/>
      </c>
      <c r="AU58" s="647" t="str">
        <f t="shared" si="21"/>
        <v/>
      </c>
      <c r="AV58" s="647" t="str">
        <f t="shared" si="10"/>
        <v/>
      </c>
      <c r="AW58" s="647" t="str">
        <f t="shared" si="11"/>
        <v/>
      </c>
      <c r="AX58" s="647" t="str">
        <f t="shared" si="12"/>
        <v/>
      </c>
      <c r="AY58" s="647" t="str">
        <f t="shared" si="13"/>
        <v/>
      </c>
      <c r="AZ58" s="647" t="str">
        <f t="shared" si="14"/>
        <v/>
      </c>
      <c r="BA58" s="647" t="str">
        <f t="shared" si="15"/>
        <v/>
      </c>
    </row>
    <row r="59" spans="2:53" s="7" customFormat="1" ht="28.5" hidden="1" customHeight="1" outlineLevel="1">
      <c r="B59" s="64"/>
      <c r="C59" s="649">
        <v>43</v>
      </c>
      <c r="D59" s="1855"/>
      <c r="E59" s="1856"/>
      <c r="F59" s="1856"/>
      <c r="G59" s="1856"/>
      <c r="H59" s="1856"/>
      <c r="I59" s="1856"/>
      <c r="J59" s="1856"/>
      <c r="K59" s="1857"/>
      <c r="L59" s="643" t="str">
        <f t="shared" si="1"/>
        <v/>
      </c>
      <c r="M59" s="664"/>
      <c r="N59" s="665"/>
      <c r="O59" s="267"/>
      <c r="P59" s="666"/>
      <c r="Q59" s="667"/>
      <c r="R59" s="667"/>
      <c r="S59" s="1035"/>
      <c r="T59" s="668"/>
      <c r="U59" s="668"/>
      <c r="V59" s="668"/>
      <c r="W59" s="668"/>
      <c r="X59" s="669"/>
      <c r="Y59" s="670"/>
      <c r="Z59" s="671"/>
      <c r="AA59" s="644"/>
      <c r="AB59" s="978"/>
      <c r="AC59" s="992"/>
      <c r="AD59" s="89"/>
      <c r="AE59" s="89"/>
      <c r="AF59" s="645" t="str">
        <f t="shared" si="17"/>
        <v/>
      </c>
      <c r="AG59" s="1037" t="str">
        <f t="shared" si="18"/>
        <v/>
      </c>
      <c r="AH59" s="1037" t="str">
        <f t="shared" si="19"/>
        <v/>
      </c>
      <c r="AI59" s="1037" t="str">
        <f>IF(AF59="","",VLOOKUP(AF59,リスト!BD:BE,2,0))</f>
        <v/>
      </c>
      <c r="AJ59" s="1037" t="str">
        <f t="shared" si="2"/>
        <v/>
      </c>
      <c r="AK59" s="1037" t="str">
        <f>IF(AJ59="","",VLOOKUP(AJ59,リスト!BW:BX,2,0))</f>
        <v/>
      </c>
      <c r="AL59" s="1037" t="str">
        <f t="shared" si="3"/>
        <v/>
      </c>
      <c r="AM59" s="646" t="str">
        <f t="shared" si="4"/>
        <v/>
      </c>
      <c r="AN59" s="646" t="str">
        <f t="shared" si="5"/>
        <v/>
      </c>
      <c r="AO59" s="647" t="str">
        <f t="shared" si="6"/>
        <v/>
      </c>
      <c r="AP59" s="647" t="str">
        <f t="shared" si="7"/>
        <v/>
      </c>
      <c r="AQ59" s="647" t="str">
        <f t="shared" si="8"/>
        <v/>
      </c>
      <c r="AR59" s="647" t="str">
        <f t="shared" si="16"/>
        <v/>
      </c>
      <c r="AS59" s="647" t="str">
        <f t="shared" si="9"/>
        <v/>
      </c>
      <c r="AT59" s="647" t="str">
        <f t="shared" si="20"/>
        <v/>
      </c>
      <c r="AU59" s="647" t="str">
        <f t="shared" si="21"/>
        <v/>
      </c>
      <c r="AV59" s="647" t="str">
        <f t="shared" si="10"/>
        <v/>
      </c>
      <c r="AW59" s="647" t="str">
        <f t="shared" si="11"/>
        <v/>
      </c>
      <c r="AX59" s="647" t="str">
        <f t="shared" si="12"/>
        <v/>
      </c>
      <c r="AY59" s="647" t="str">
        <f t="shared" si="13"/>
        <v/>
      </c>
      <c r="AZ59" s="647" t="str">
        <f t="shared" si="14"/>
        <v/>
      </c>
      <c r="BA59" s="647" t="str">
        <f t="shared" si="15"/>
        <v/>
      </c>
    </row>
    <row r="60" spans="2:53" s="7" customFormat="1" ht="28.5" hidden="1" customHeight="1" outlineLevel="1">
      <c r="B60" s="64"/>
      <c r="C60" s="649">
        <v>44</v>
      </c>
      <c r="D60" s="1855"/>
      <c r="E60" s="1856"/>
      <c r="F60" s="1856"/>
      <c r="G60" s="1856"/>
      <c r="H60" s="1856"/>
      <c r="I60" s="1856"/>
      <c r="J60" s="1856"/>
      <c r="K60" s="1857"/>
      <c r="L60" s="643" t="str">
        <f t="shared" si="1"/>
        <v/>
      </c>
      <c r="M60" s="664"/>
      <c r="N60" s="665"/>
      <c r="O60" s="267"/>
      <c r="P60" s="666"/>
      <c r="Q60" s="667"/>
      <c r="R60" s="667"/>
      <c r="S60" s="1035"/>
      <c r="T60" s="668"/>
      <c r="U60" s="668"/>
      <c r="V60" s="668"/>
      <c r="W60" s="668"/>
      <c r="X60" s="669"/>
      <c r="Y60" s="670"/>
      <c r="Z60" s="671"/>
      <c r="AA60" s="644"/>
      <c r="AB60" s="978"/>
      <c r="AC60" s="992"/>
      <c r="AD60" s="89"/>
      <c r="AE60" s="89"/>
      <c r="AF60" s="645" t="str">
        <f t="shared" si="17"/>
        <v/>
      </c>
      <c r="AG60" s="1037" t="str">
        <f t="shared" si="18"/>
        <v/>
      </c>
      <c r="AH60" s="1037" t="str">
        <f t="shared" si="19"/>
        <v/>
      </c>
      <c r="AI60" s="1037" t="str">
        <f>IF(AF60="","",VLOOKUP(AF60,リスト!BD:BE,2,0))</f>
        <v/>
      </c>
      <c r="AJ60" s="1037" t="str">
        <f t="shared" si="2"/>
        <v/>
      </c>
      <c r="AK60" s="1037" t="str">
        <f>IF(AJ60="","",VLOOKUP(AJ60,リスト!BW:BX,2,0))</f>
        <v/>
      </c>
      <c r="AL60" s="1037" t="str">
        <f t="shared" si="3"/>
        <v/>
      </c>
      <c r="AM60" s="646" t="str">
        <f t="shared" si="4"/>
        <v/>
      </c>
      <c r="AN60" s="646" t="str">
        <f t="shared" si="5"/>
        <v/>
      </c>
      <c r="AO60" s="647" t="str">
        <f t="shared" si="6"/>
        <v/>
      </c>
      <c r="AP60" s="647" t="str">
        <f t="shared" si="7"/>
        <v/>
      </c>
      <c r="AQ60" s="647" t="str">
        <f t="shared" si="8"/>
        <v/>
      </c>
      <c r="AR60" s="647" t="str">
        <f t="shared" si="16"/>
        <v/>
      </c>
      <c r="AS60" s="647" t="str">
        <f t="shared" si="9"/>
        <v/>
      </c>
      <c r="AT60" s="647" t="str">
        <f t="shared" si="20"/>
        <v/>
      </c>
      <c r="AU60" s="647" t="str">
        <f t="shared" si="21"/>
        <v/>
      </c>
      <c r="AV60" s="647" t="str">
        <f t="shared" si="10"/>
        <v/>
      </c>
      <c r="AW60" s="647" t="str">
        <f t="shared" si="11"/>
        <v/>
      </c>
      <c r="AX60" s="647" t="str">
        <f t="shared" si="12"/>
        <v/>
      </c>
      <c r="AY60" s="647" t="str">
        <f t="shared" si="13"/>
        <v/>
      </c>
      <c r="AZ60" s="647" t="str">
        <f t="shared" si="14"/>
        <v/>
      </c>
      <c r="BA60" s="647" t="str">
        <f t="shared" si="15"/>
        <v/>
      </c>
    </row>
    <row r="61" spans="2:53" s="7" customFormat="1" ht="28.5" hidden="1" customHeight="1" outlineLevel="1">
      <c r="B61" s="64"/>
      <c r="C61" s="649">
        <v>45</v>
      </c>
      <c r="D61" s="1855"/>
      <c r="E61" s="1856"/>
      <c r="F61" s="1856"/>
      <c r="G61" s="1856"/>
      <c r="H61" s="1856"/>
      <c r="I61" s="1856"/>
      <c r="J61" s="1856"/>
      <c r="K61" s="1857"/>
      <c r="L61" s="643" t="str">
        <f t="shared" si="1"/>
        <v/>
      </c>
      <c r="M61" s="664"/>
      <c r="N61" s="665"/>
      <c r="O61" s="267"/>
      <c r="P61" s="666"/>
      <c r="Q61" s="667"/>
      <c r="R61" s="667"/>
      <c r="S61" s="1035"/>
      <c r="T61" s="668"/>
      <c r="U61" s="668"/>
      <c r="V61" s="668"/>
      <c r="W61" s="668"/>
      <c r="X61" s="669"/>
      <c r="Y61" s="670"/>
      <c r="Z61" s="671"/>
      <c r="AA61" s="644"/>
      <c r="AB61" s="978"/>
      <c r="AC61" s="992"/>
      <c r="AD61" s="89"/>
      <c r="AE61" s="89"/>
      <c r="AF61" s="645" t="str">
        <f t="shared" si="17"/>
        <v/>
      </c>
      <c r="AG61" s="1037" t="str">
        <f t="shared" si="18"/>
        <v/>
      </c>
      <c r="AH61" s="1037" t="str">
        <f t="shared" si="19"/>
        <v/>
      </c>
      <c r="AI61" s="1037" t="str">
        <f>IF(AF61="","",VLOOKUP(AF61,リスト!BD:BE,2,0))</f>
        <v/>
      </c>
      <c r="AJ61" s="1037" t="str">
        <f t="shared" si="2"/>
        <v/>
      </c>
      <c r="AK61" s="1037" t="str">
        <f>IF(AJ61="","",VLOOKUP(AJ61,リスト!BW:BX,2,0))</f>
        <v/>
      </c>
      <c r="AL61" s="1037" t="str">
        <f t="shared" si="3"/>
        <v/>
      </c>
      <c r="AM61" s="646" t="str">
        <f t="shared" si="4"/>
        <v/>
      </c>
      <c r="AN61" s="646" t="str">
        <f t="shared" si="5"/>
        <v/>
      </c>
      <c r="AO61" s="647" t="str">
        <f t="shared" si="6"/>
        <v/>
      </c>
      <c r="AP61" s="647" t="str">
        <f t="shared" si="7"/>
        <v/>
      </c>
      <c r="AQ61" s="647" t="str">
        <f t="shared" si="8"/>
        <v/>
      </c>
      <c r="AR61" s="647" t="str">
        <f t="shared" si="16"/>
        <v/>
      </c>
      <c r="AS61" s="647" t="str">
        <f t="shared" si="9"/>
        <v/>
      </c>
      <c r="AT61" s="647" t="str">
        <f t="shared" si="20"/>
        <v/>
      </c>
      <c r="AU61" s="647" t="str">
        <f t="shared" si="21"/>
        <v/>
      </c>
      <c r="AV61" s="647" t="str">
        <f t="shared" si="10"/>
        <v/>
      </c>
      <c r="AW61" s="647" t="str">
        <f t="shared" si="11"/>
        <v/>
      </c>
      <c r="AX61" s="647" t="str">
        <f t="shared" si="12"/>
        <v/>
      </c>
      <c r="AY61" s="647" t="str">
        <f t="shared" si="13"/>
        <v/>
      </c>
      <c r="AZ61" s="647" t="str">
        <f t="shared" si="14"/>
        <v/>
      </c>
      <c r="BA61" s="647" t="str">
        <f t="shared" si="15"/>
        <v/>
      </c>
    </row>
    <row r="62" spans="2:53" s="7" customFormat="1" ht="28.5" hidden="1" customHeight="1" outlineLevel="1">
      <c r="B62" s="64"/>
      <c r="C62" s="649">
        <v>46</v>
      </c>
      <c r="D62" s="1855"/>
      <c r="E62" s="1856"/>
      <c r="F62" s="1856"/>
      <c r="G62" s="1856"/>
      <c r="H62" s="1856"/>
      <c r="I62" s="1856"/>
      <c r="J62" s="1856"/>
      <c r="K62" s="1857"/>
      <c r="L62" s="643" t="str">
        <f t="shared" si="1"/>
        <v/>
      </c>
      <c r="M62" s="664"/>
      <c r="N62" s="665"/>
      <c r="O62" s="267"/>
      <c r="P62" s="666"/>
      <c r="Q62" s="667"/>
      <c r="R62" s="667"/>
      <c r="S62" s="1035"/>
      <c r="T62" s="668"/>
      <c r="U62" s="668"/>
      <c r="V62" s="668"/>
      <c r="W62" s="668"/>
      <c r="X62" s="669"/>
      <c r="Y62" s="670"/>
      <c r="Z62" s="671"/>
      <c r="AA62" s="644"/>
      <c r="AB62" s="978"/>
      <c r="AC62" s="992"/>
      <c r="AD62" s="89"/>
      <c r="AE62" s="89"/>
      <c r="AF62" s="645" t="str">
        <f t="shared" si="17"/>
        <v/>
      </c>
      <c r="AG62" s="1037" t="str">
        <f t="shared" si="18"/>
        <v/>
      </c>
      <c r="AH62" s="1037" t="str">
        <f t="shared" si="19"/>
        <v/>
      </c>
      <c r="AI62" s="1037" t="str">
        <f>IF(AF62="","",VLOOKUP(AF62,リスト!BD:BE,2,0))</f>
        <v/>
      </c>
      <c r="AJ62" s="1037" t="str">
        <f t="shared" si="2"/>
        <v/>
      </c>
      <c r="AK62" s="1037" t="str">
        <f>IF(AJ62="","",VLOOKUP(AJ62,リスト!BW:BX,2,0))</f>
        <v/>
      </c>
      <c r="AL62" s="1037" t="str">
        <f t="shared" si="3"/>
        <v/>
      </c>
      <c r="AM62" s="646" t="str">
        <f t="shared" si="4"/>
        <v/>
      </c>
      <c r="AN62" s="646" t="str">
        <f t="shared" si="5"/>
        <v/>
      </c>
      <c r="AO62" s="647" t="str">
        <f t="shared" si="6"/>
        <v/>
      </c>
      <c r="AP62" s="647" t="str">
        <f t="shared" si="7"/>
        <v/>
      </c>
      <c r="AQ62" s="647" t="str">
        <f t="shared" si="8"/>
        <v/>
      </c>
      <c r="AR62" s="647" t="str">
        <f t="shared" si="16"/>
        <v/>
      </c>
      <c r="AS62" s="647" t="str">
        <f t="shared" si="9"/>
        <v/>
      </c>
      <c r="AT62" s="647" t="str">
        <f t="shared" si="20"/>
        <v/>
      </c>
      <c r="AU62" s="647" t="str">
        <f t="shared" si="21"/>
        <v/>
      </c>
      <c r="AV62" s="647" t="str">
        <f t="shared" si="10"/>
        <v/>
      </c>
      <c r="AW62" s="647" t="str">
        <f t="shared" si="11"/>
        <v/>
      </c>
      <c r="AX62" s="647" t="str">
        <f t="shared" si="12"/>
        <v/>
      </c>
      <c r="AY62" s="647" t="str">
        <f t="shared" si="13"/>
        <v/>
      </c>
      <c r="AZ62" s="647" t="str">
        <f t="shared" si="14"/>
        <v/>
      </c>
      <c r="BA62" s="647" t="str">
        <f t="shared" si="15"/>
        <v/>
      </c>
    </row>
    <row r="63" spans="2:53" s="7" customFormat="1" ht="28.5" hidden="1" customHeight="1" outlineLevel="1">
      <c r="B63" s="64"/>
      <c r="C63" s="649">
        <v>47</v>
      </c>
      <c r="D63" s="1855"/>
      <c r="E63" s="1856"/>
      <c r="F63" s="1856"/>
      <c r="G63" s="1856"/>
      <c r="H63" s="1856"/>
      <c r="I63" s="1856"/>
      <c r="J63" s="1856"/>
      <c r="K63" s="1857"/>
      <c r="L63" s="643" t="str">
        <f t="shared" si="1"/>
        <v/>
      </c>
      <c r="M63" s="664"/>
      <c r="N63" s="665"/>
      <c r="O63" s="267"/>
      <c r="P63" s="666"/>
      <c r="Q63" s="667"/>
      <c r="R63" s="667"/>
      <c r="S63" s="1035"/>
      <c r="T63" s="668"/>
      <c r="U63" s="668"/>
      <c r="V63" s="668"/>
      <c r="W63" s="668"/>
      <c r="X63" s="669"/>
      <c r="Y63" s="670"/>
      <c r="Z63" s="671"/>
      <c r="AA63" s="644"/>
      <c r="AB63" s="978"/>
      <c r="AC63" s="992"/>
      <c r="AD63" s="89"/>
      <c r="AE63" s="89"/>
      <c r="AF63" s="645" t="str">
        <f t="shared" si="17"/>
        <v/>
      </c>
      <c r="AG63" s="1037" t="str">
        <f t="shared" si="18"/>
        <v/>
      </c>
      <c r="AH63" s="1037" t="str">
        <f t="shared" si="19"/>
        <v/>
      </c>
      <c r="AI63" s="1037" t="str">
        <f>IF(AF63="","",VLOOKUP(AF63,リスト!BD:BE,2,0))</f>
        <v/>
      </c>
      <c r="AJ63" s="1037" t="str">
        <f t="shared" si="2"/>
        <v/>
      </c>
      <c r="AK63" s="1037" t="str">
        <f>IF(AJ63="","",VLOOKUP(AJ63,リスト!BW:BX,2,0))</f>
        <v/>
      </c>
      <c r="AL63" s="1037" t="str">
        <f t="shared" si="3"/>
        <v/>
      </c>
      <c r="AM63" s="646" t="str">
        <f t="shared" si="4"/>
        <v/>
      </c>
      <c r="AN63" s="646" t="str">
        <f t="shared" si="5"/>
        <v/>
      </c>
      <c r="AO63" s="647" t="str">
        <f t="shared" si="6"/>
        <v/>
      </c>
      <c r="AP63" s="647" t="str">
        <f t="shared" si="7"/>
        <v/>
      </c>
      <c r="AQ63" s="647" t="str">
        <f t="shared" si="8"/>
        <v/>
      </c>
      <c r="AR63" s="647" t="str">
        <f t="shared" si="16"/>
        <v/>
      </c>
      <c r="AS63" s="647" t="str">
        <f t="shared" si="9"/>
        <v/>
      </c>
      <c r="AT63" s="647" t="str">
        <f t="shared" si="20"/>
        <v/>
      </c>
      <c r="AU63" s="647" t="str">
        <f t="shared" si="21"/>
        <v/>
      </c>
      <c r="AV63" s="647" t="str">
        <f t="shared" si="10"/>
        <v/>
      </c>
      <c r="AW63" s="647" t="str">
        <f t="shared" si="11"/>
        <v/>
      </c>
      <c r="AX63" s="647" t="str">
        <f t="shared" si="12"/>
        <v/>
      </c>
      <c r="AY63" s="647" t="str">
        <f t="shared" si="13"/>
        <v/>
      </c>
      <c r="AZ63" s="647" t="str">
        <f t="shared" si="14"/>
        <v/>
      </c>
      <c r="BA63" s="647" t="str">
        <f t="shared" si="15"/>
        <v/>
      </c>
    </row>
    <row r="64" spans="2:53" s="7" customFormat="1" ht="28.5" hidden="1" customHeight="1" outlineLevel="1">
      <c r="B64" s="64"/>
      <c r="C64" s="649">
        <v>48</v>
      </c>
      <c r="D64" s="1855"/>
      <c r="E64" s="1856"/>
      <c r="F64" s="1856"/>
      <c r="G64" s="1856"/>
      <c r="H64" s="1856"/>
      <c r="I64" s="1856"/>
      <c r="J64" s="1856"/>
      <c r="K64" s="1857"/>
      <c r="L64" s="643" t="str">
        <f t="shared" si="1"/>
        <v/>
      </c>
      <c r="M64" s="664"/>
      <c r="N64" s="665"/>
      <c r="O64" s="267"/>
      <c r="P64" s="666"/>
      <c r="Q64" s="667"/>
      <c r="R64" s="667"/>
      <c r="S64" s="1035"/>
      <c r="T64" s="668"/>
      <c r="U64" s="668"/>
      <c r="V64" s="668"/>
      <c r="W64" s="668"/>
      <c r="X64" s="669"/>
      <c r="Y64" s="670"/>
      <c r="Z64" s="671"/>
      <c r="AA64" s="644"/>
      <c r="AB64" s="978"/>
      <c r="AC64" s="992"/>
      <c r="AD64" s="89"/>
      <c r="AE64" s="89"/>
      <c r="AF64" s="645" t="str">
        <f t="shared" si="17"/>
        <v/>
      </c>
      <c r="AG64" s="1037" t="str">
        <f t="shared" si="18"/>
        <v/>
      </c>
      <c r="AH64" s="1037" t="str">
        <f t="shared" si="19"/>
        <v/>
      </c>
      <c r="AI64" s="1037" t="str">
        <f>IF(AF64="","",VLOOKUP(AF64,リスト!BD:BE,2,0))</f>
        <v/>
      </c>
      <c r="AJ64" s="1037" t="str">
        <f t="shared" si="2"/>
        <v/>
      </c>
      <c r="AK64" s="1037" t="str">
        <f>IF(AJ64="","",VLOOKUP(AJ64,リスト!BW:BX,2,0))</f>
        <v/>
      </c>
      <c r="AL64" s="1037" t="str">
        <f t="shared" si="3"/>
        <v/>
      </c>
      <c r="AM64" s="646" t="str">
        <f t="shared" si="4"/>
        <v/>
      </c>
      <c r="AN64" s="646" t="str">
        <f t="shared" si="5"/>
        <v/>
      </c>
      <c r="AO64" s="647" t="str">
        <f t="shared" si="6"/>
        <v/>
      </c>
      <c r="AP64" s="647" t="str">
        <f t="shared" si="7"/>
        <v/>
      </c>
      <c r="AQ64" s="647" t="str">
        <f t="shared" si="8"/>
        <v/>
      </c>
      <c r="AR64" s="647" t="str">
        <f t="shared" si="16"/>
        <v/>
      </c>
      <c r="AS64" s="647" t="str">
        <f t="shared" si="9"/>
        <v/>
      </c>
      <c r="AT64" s="647" t="str">
        <f t="shared" si="20"/>
        <v/>
      </c>
      <c r="AU64" s="647" t="str">
        <f t="shared" si="21"/>
        <v/>
      </c>
      <c r="AV64" s="647" t="str">
        <f t="shared" si="10"/>
        <v/>
      </c>
      <c r="AW64" s="647" t="str">
        <f t="shared" si="11"/>
        <v/>
      </c>
      <c r="AX64" s="647" t="str">
        <f t="shared" si="12"/>
        <v/>
      </c>
      <c r="AY64" s="647" t="str">
        <f t="shared" si="13"/>
        <v/>
      </c>
      <c r="AZ64" s="647" t="str">
        <f t="shared" si="14"/>
        <v/>
      </c>
      <c r="BA64" s="647" t="str">
        <f t="shared" si="15"/>
        <v/>
      </c>
    </row>
    <row r="65" spans="2:53" s="7" customFormat="1" ht="28.5" hidden="1" customHeight="1" outlineLevel="1">
      <c r="B65" s="64"/>
      <c r="C65" s="649">
        <v>49</v>
      </c>
      <c r="D65" s="1855"/>
      <c r="E65" s="1856"/>
      <c r="F65" s="1856"/>
      <c r="G65" s="1856"/>
      <c r="H65" s="1856"/>
      <c r="I65" s="1856"/>
      <c r="J65" s="1856"/>
      <c r="K65" s="1857"/>
      <c r="L65" s="643" t="str">
        <f t="shared" si="1"/>
        <v/>
      </c>
      <c r="M65" s="664"/>
      <c r="N65" s="665"/>
      <c r="O65" s="267"/>
      <c r="P65" s="666"/>
      <c r="Q65" s="667"/>
      <c r="R65" s="667"/>
      <c r="S65" s="1035"/>
      <c r="T65" s="668"/>
      <c r="U65" s="668"/>
      <c r="V65" s="668"/>
      <c r="W65" s="668"/>
      <c r="X65" s="669"/>
      <c r="Y65" s="670"/>
      <c r="Z65" s="671"/>
      <c r="AA65" s="644"/>
      <c r="AB65" s="978"/>
      <c r="AC65" s="992"/>
      <c r="AD65" s="89"/>
      <c r="AE65" s="89"/>
      <c r="AF65" s="645" t="str">
        <f t="shared" si="17"/>
        <v/>
      </c>
      <c r="AG65" s="1037" t="str">
        <f t="shared" si="18"/>
        <v/>
      </c>
      <c r="AH65" s="1037" t="str">
        <f t="shared" si="19"/>
        <v/>
      </c>
      <c r="AI65" s="1037" t="str">
        <f>IF(AF65="","",VLOOKUP(AF65,リスト!BD:BE,2,0))</f>
        <v/>
      </c>
      <c r="AJ65" s="1037" t="str">
        <f t="shared" si="2"/>
        <v/>
      </c>
      <c r="AK65" s="1037" t="str">
        <f>IF(AJ65="","",VLOOKUP(AJ65,リスト!BW:BX,2,0))</f>
        <v/>
      </c>
      <c r="AL65" s="1037" t="str">
        <f t="shared" si="3"/>
        <v/>
      </c>
      <c r="AM65" s="646" t="str">
        <f t="shared" si="4"/>
        <v/>
      </c>
      <c r="AN65" s="646" t="str">
        <f t="shared" si="5"/>
        <v/>
      </c>
      <c r="AO65" s="647" t="str">
        <f t="shared" si="6"/>
        <v/>
      </c>
      <c r="AP65" s="647" t="str">
        <f t="shared" si="7"/>
        <v/>
      </c>
      <c r="AQ65" s="647" t="str">
        <f t="shared" si="8"/>
        <v/>
      </c>
      <c r="AR65" s="647" t="str">
        <f t="shared" si="16"/>
        <v/>
      </c>
      <c r="AS65" s="647" t="str">
        <f t="shared" si="9"/>
        <v/>
      </c>
      <c r="AT65" s="647" t="str">
        <f t="shared" si="20"/>
        <v/>
      </c>
      <c r="AU65" s="647" t="str">
        <f t="shared" si="21"/>
        <v/>
      </c>
      <c r="AV65" s="647" t="str">
        <f t="shared" si="10"/>
        <v/>
      </c>
      <c r="AW65" s="647" t="str">
        <f t="shared" si="11"/>
        <v/>
      </c>
      <c r="AX65" s="647" t="str">
        <f t="shared" si="12"/>
        <v/>
      </c>
      <c r="AY65" s="647" t="str">
        <f t="shared" si="13"/>
        <v/>
      </c>
      <c r="AZ65" s="647" t="str">
        <f t="shared" si="14"/>
        <v/>
      </c>
      <c r="BA65" s="647" t="str">
        <f t="shared" si="15"/>
        <v/>
      </c>
    </row>
    <row r="66" spans="2:53" s="7" customFormat="1" ht="28.5" hidden="1" customHeight="1" outlineLevel="1">
      <c r="B66" s="64"/>
      <c r="C66" s="649">
        <v>50</v>
      </c>
      <c r="D66" s="1855"/>
      <c r="E66" s="1856"/>
      <c r="F66" s="1856"/>
      <c r="G66" s="1856"/>
      <c r="H66" s="1856"/>
      <c r="I66" s="1856"/>
      <c r="J66" s="1856"/>
      <c r="K66" s="1857"/>
      <c r="L66" s="643" t="str">
        <f t="shared" si="1"/>
        <v/>
      </c>
      <c r="M66" s="664"/>
      <c r="N66" s="665"/>
      <c r="O66" s="267"/>
      <c r="P66" s="666"/>
      <c r="Q66" s="667"/>
      <c r="R66" s="667"/>
      <c r="S66" s="1035"/>
      <c r="T66" s="668"/>
      <c r="U66" s="668"/>
      <c r="V66" s="668"/>
      <c r="W66" s="668"/>
      <c r="X66" s="669"/>
      <c r="Y66" s="670"/>
      <c r="Z66" s="671"/>
      <c r="AA66" s="644"/>
      <c r="AB66" s="978"/>
      <c r="AC66" s="992"/>
      <c r="AD66" s="89"/>
      <c r="AE66" s="89"/>
      <c r="AF66" s="645" t="str">
        <f t="shared" si="17"/>
        <v/>
      </c>
      <c r="AG66" s="1037" t="str">
        <f t="shared" si="18"/>
        <v/>
      </c>
      <c r="AH66" s="1037" t="str">
        <f t="shared" si="19"/>
        <v/>
      </c>
      <c r="AI66" s="1037" t="str">
        <f>IF(AF66="","",VLOOKUP(AF66,リスト!BD:BE,2,0))</f>
        <v/>
      </c>
      <c r="AJ66" s="1037" t="str">
        <f t="shared" si="2"/>
        <v/>
      </c>
      <c r="AK66" s="1037" t="str">
        <f>IF(AJ66="","",VLOOKUP(AJ66,リスト!BW:BX,2,0))</f>
        <v/>
      </c>
      <c r="AL66" s="1037" t="str">
        <f t="shared" si="3"/>
        <v/>
      </c>
      <c r="AM66" s="646" t="str">
        <f t="shared" si="4"/>
        <v/>
      </c>
      <c r="AN66" s="646" t="str">
        <f t="shared" si="5"/>
        <v/>
      </c>
      <c r="AO66" s="647" t="str">
        <f t="shared" si="6"/>
        <v/>
      </c>
      <c r="AP66" s="647" t="str">
        <f t="shared" si="7"/>
        <v/>
      </c>
      <c r="AQ66" s="647" t="str">
        <f t="shared" si="8"/>
        <v/>
      </c>
      <c r="AR66" s="647" t="str">
        <f t="shared" si="16"/>
        <v/>
      </c>
      <c r="AS66" s="647" t="str">
        <f t="shared" si="9"/>
        <v/>
      </c>
      <c r="AT66" s="647" t="str">
        <f t="shared" si="20"/>
        <v/>
      </c>
      <c r="AU66" s="647" t="str">
        <f t="shared" si="21"/>
        <v/>
      </c>
      <c r="AV66" s="647" t="str">
        <f t="shared" si="10"/>
        <v/>
      </c>
      <c r="AW66" s="647" t="str">
        <f t="shared" si="11"/>
        <v/>
      </c>
      <c r="AX66" s="647" t="str">
        <f t="shared" si="12"/>
        <v/>
      </c>
      <c r="AY66" s="647" t="str">
        <f t="shared" si="13"/>
        <v/>
      </c>
      <c r="AZ66" s="647" t="str">
        <f t="shared" si="14"/>
        <v/>
      </c>
      <c r="BA66" s="647" t="str">
        <f t="shared" si="15"/>
        <v/>
      </c>
    </row>
    <row r="67" spans="2:53" s="7" customFormat="1" ht="28.5" hidden="1" customHeight="1" outlineLevel="1">
      <c r="B67" s="64"/>
      <c r="C67" s="649">
        <v>51</v>
      </c>
      <c r="D67" s="1855"/>
      <c r="E67" s="1856"/>
      <c r="F67" s="1856"/>
      <c r="G67" s="1856"/>
      <c r="H67" s="1856"/>
      <c r="I67" s="1856"/>
      <c r="J67" s="1856"/>
      <c r="K67" s="1857"/>
      <c r="L67" s="643" t="str">
        <f t="shared" si="1"/>
        <v/>
      </c>
      <c r="M67" s="664"/>
      <c r="N67" s="665"/>
      <c r="O67" s="267"/>
      <c r="P67" s="666"/>
      <c r="Q67" s="667"/>
      <c r="R67" s="667"/>
      <c r="S67" s="1035"/>
      <c r="T67" s="668"/>
      <c r="U67" s="668"/>
      <c r="V67" s="668"/>
      <c r="W67" s="668"/>
      <c r="X67" s="669"/>
      <c r="Y67" s="670"/>
      <c r="Z67" s="671"/>
      <c r="AA67" s="644"/>
      <c r="AB67" s="978"/>
      <c r="AC67" s="992"/>
      <c r="AD67" s="89"/>
      <c r="AE67" s="89"/>
      <c r="AF67" s="645" t="str">
        <f t="shared" si="17"/>
        <v/>
      </c>
      <c r="AG67" s="1037" t="str">
        <f t="shared" si="18"/>
        <v/>
      </c>
      <c r="AH67" s="1037" t="str">
        <f t="shared" si="19"/>
        <v/>
      </c>
      <c r="AI67" s="1037" t="str">
        <f>IF(AF67="","",VLOOKUP(AF67,リスト!BD:BE,2,0))</f>
        <v/>
      </c>
      <c r="AJ67" s="1037" t="str">
        <f t="shared" si="2"/>
        <v/>
      </c>
      <c r="AK67" s="1037" t="str">
        <f>IF(AJ67="","",VLOOKUP(AJ67,リスト!BW:BX,2,0))</f>
        <v/>
      </c>
      <c r="AL67" s="1037" t="str">
        <f t="shared" si="3"/>
        <v/>
      </c>
      <c r="AM67" s="646" t="str">
        <f t="shared" si="4"/>
        <v/>
      </c>
      <c r="AN67" s="646" t="str">
        <f t="shared" si="5"/>
        <v/>
      </c>
      <c r="AO67" s="647" t="str">
        <f t="shared" si="6"/>
        <v/>
      </c>
      <c r="AP67" s="647" t="str">
        <f t="shared" si="7"/>
        <v/>
      </c>
      <c r="AQ67" s="647" t="str">
        <f t="shared" si="8"/>
        <v/>
      </c>
      <c r="AR67" s="647" t="str">
        <f t="shared" si="16"/>
        <v/>
      </c>
      <c r="AS67" s="647" t="str">
        <f t="shared" si="9"/>
        <v/>
      </c>
      <c r="AT67" s="647" t="str">
        <f t="shared" si="20"/>
        <v/>
      </c>
      <c r="AU67" s="647" t="str">
        <f t="shared" si="21"/>
        <v/>
      </c>
      <c r="AV67" s="647" t="str">
        <f t="shared" si="10"/>
        <v/>
      </c>
      <c r="AW67" s="647" t="str">
        <f t="shared" si="11"/>
        <v/>
      </c>
      <c r="AX67" s="647" t="str">
        <f t="shared" si="12"/>
        <v/>
      </c>
      <c r="AY67" s="647" t="str">
        <f t="shared" si="13"/>
        <v/>
      </c>
      <c r="AZ67" s="647" t="str">
        <f t="shared" si="14"/>
        <v/>
      </c>
      <c r="BA67" s="647" t="str">
        <f t="shared" si="15"/>
        <v/>
      </c>
    </row>
    <row r="68" spans="2:53" s="7" customFormat="1" ht="28.5" hidden="1" customHeight="1" outlineLevel="1">
      <c r="B68" s="64"/>
      <c r="C68" s="649">
        <v>52</v>
      </c>
      <c r="D68" s="1855"/>
      <c r="E68" s="1856"/>
      <c r="F68" s="1856"/>
      <c r="G68" s="1856"/>
      <c r="H68" s="1856"/>
      <c r="I68" s="1856"/>
      <c r="J68" s="1856"/>
      <c r="K68" s="1857"/>
      <c r="L68" s="643" t="str">
        <f t="shared" si="1"/>
        <v/>
      </c>
      <c r="M68" s="664"/>
      <c r="N68" s="665"/>
      <c r="O68" s="267"/>
      <c r="P68" s="666"/>
      <c r="Q68" s="667"/>
      <c r="R68" s="667"/>
      <c r="S68" s="1035"/>
      <c r="T68" s="668"/>
      <c r="U68" s="668"/>
      <c r="V68" s="668"/>
      <c r="W68" s="668"/>
      <c r="X68" s="669"/>
      <c r="Y68" s="670"/>
      <c r="Z68" s="671"/>
      <c r="AA68" s="644"/>
      <c r="AB68" s="978"/>
      <c r="AC68" s="992"/>
      <c r="AD68" s="89"/>
      <c r="AE68" s="89"/>
      <c r="AF68" s="645" t="str">
        <f t="shared" si="17"/>
        <v/>
      </c>
      <c r="AG68" s="1037" t="str">
        <f t="shared" si="18"/>
        <v/>
      </c>
      <c r="AH68" s="1037" t="str">
        <f t="shared" si="19"/>
        <v/>
      </c>
      <c r="AI68" s="1037" t="str">
        <f>IF(AF68="","",VLOOKUP(AF68,リスト!BD:BE,2,0))</f>
        <v/>
      </c>
      <c r="AJ68" s="1037" t="str">
        <f t="shared" si="2"/>
        <v/>
      </c>
      <c r="AK68" s="1037" t="str">
        <f>IF(AJ68="","",VLOOKUP(AJ68,リスト!BW:BX,2,0))</f>
        <v/>
      </c>
      <c r="AL68" s="1037" t="str">
        <f t="shared" si="3"/>
        <v/>
      </c>
      <c r="AM68" s="646" t="str">
        <f t="shared" si="4"/>
        <v/>
      </c>
      <c r="AN68" s="646" t="str">
        <f t="shared" si="5"/>
        <v/>
      </c>
      <c r="AO68" s="647" t="str">
        <f t="shared" si="6"/>
        <v/>
      </c>
      <c r="AP68" s="647" t="str">
        <f t="shared" si="7"/>
        <v/>
      </c>
      <c r="AQ68" s="647" t="str">
        <f t="shared" si="8"/>
        <v/>
      </c>
      <c r="AR68" s="647" t="str">
        <f t="shared" si="16"/>
        <v/>
      </c>
      <c r="AS68" s="647" t="str">
        <f t="shared" si="9"/>
        <v/>
      </c>
      <c r="AT68" s="647" t="str">
        <f t="shared" si="20"/>
        <v/>
      </c>
      <c r="AU68" s="647" t="str">
        <f t="shared" si="21"/>
        <v/>
      </c>
      <c r="AV68" s="647" t="str">
        <f t="shared" si="10"/>
        <v/>
      </c>
      <c r="AW68" s="647" t="str">
        <f t="shared" si="11"/>
        <v/>
      </c>
      <c r="AX68" s="647" t="str">
        <f t="shared" si="12"/>
        <v/>
      </c>
      <c r="AY68" s="647" t="str">
        <f t="shared" si="13"/>
        <v/>
      </c>
      <c r="AZ68" s="647" t="str">
        <f t="shared" si="14"/>
        <v/>
      </c>
      <c r="BA68" s="647" t="str">
        <f t="shared" si="15"/>
        <v/>
      </c>
    </row>
    <row r="69" spans="2:53" s="7" customFormat="1" ht="28.5" hidden="1" customHeight="1" outlineLevel="1">
      <c r="B69" s="64"/>
      <c r="C69" s="649">
        <v>53</v>
      </c>
      <c r="D69" s="1855"/>
      <c r="E69" s="1856"/>
      <c r="F69" s="1856"/>
      <c r="G69" s="1856"/>
      <c r="H69" s="1856"/>
      <c r="I69" s="1856"/>
      <c r="J69" s="1856"/>
      <c r="K69" s="1857"/>
      <c r="L69" s="643" t="str">
        <f t="shared" si="1"/>
        <v/>
      </c>
      <c r="M69" s="664"/>
      <c r="N69" s="665"/>
      <c r="O69" s="267"/>
      <c r="P69" s="666"/>
      <c r="Q69" s="667"/>
      <c r="R69" s="667"/>
      <c r="S69" s="1035"/>
      <c r="T69" s="668"/>
      <c r="U69" s="668"/>
      <c r="V69" s="668"/>
      <c r="W69" s="668"/>
      <c r="X69" s="669"/>
      <c r="Y69" s="670"/>
      <c r="Z69" s="671"/>
      <c r="AA69" s="644"/>
      <c r="AB69" s="978"/>
      <c r="AC69" s="992"/>
      <c r="AD69" s="89"/>
      <c r="AE69" s="89"/>
      <c r="AF69" s="645" t="str">
        <f t="shared" si="17"/>
        <v/>
      </c>
      <c r="AG69" s="1037" t="str">
        <f t="shared" si="18"/>
        <v/>
      </c>
      <c r="AH69" s="1037" t="str">
        <f t="shared" si="19"/>
        <v/>
      </c>
      <c r="AI69" s="1037" t="str">
        <f>IF(AF69="","",VLOOKUP(AF69,リスト!BD:BE,2,0))</f>
        <v/>
      </c>
      <c r="AJ69" s="1037" t="str">
        <f t="shared" si="2"/>
        <v/>
      </c>
      <c r="AK69" s="1037" t="str">
        <f>IF(AJ69="","",VLOOKUP(AJ69,リスト!BW:BX,2,0))</f>
        <v/>
      </c>
      <c r="AL69" s="1037" t="str">
        <f t="shared" si="3"/>
        <v/>
      </c>
      <c r="AM69" s="646" t="str">
        <f t="shared" si="4"/>
        <v/>
      </c>
      <c r="AN69" s="646" t="str">
        <f t="shared" si="5"/>
        <v/>
      </c>
      <c r="AO69" s="647" t="str">
        <f t="shared" si="6"/>
        <v/>
      </c>
      <c r="AP69" s="647" t="str">
        <f t="shared" si="7"/>
        <v/>
      </c>
      <c r="AQ69" s="647" t="str">
        <f t="shared" si="8"/>
        <v/>
      </c>
      <c r="AR69" s="647" t="str">
        <f t="shared" si="16"/>
        <v/>
      </c>
      <c r="AS69" s="647" t="str">
        <f t="shared" si="9"/>
        <v/>
      </c>
      <c r="AT69" s="647" t="str">
        <f t="shared" si="20"/>
        <v/>
      </c>
      <c r="AU69" s="647" t="str">
        <f t="shared" si="21"/>
        <v/>
      </c>
      <c r="AV69" s="647" t="str">
        <f t="shared" si="10"/>
        <v/>
      </c>
      <c r="AW69" s="647" t="str">
        <f t="shared" si="11"/>
        <v/>
      </c>
      <c r="AX69" s="647" t="str">
        <f t="shared" si="12"/>
        <v/>
      </c>
      <c r="AY69" s="647" t="str">
        <f t="shared" si="13"/>
        <v/>
      </c>
      <c r="AZ69" s="647" t="str">
        <f t="shared" si="14"/>
        <v/>
      </c>
      <c r="BA69" s="647" t="str">
        <f t="shared" si="15"/>
        <v/>
      </c>
    </row>
    <row r="70" spans="2:53" s="7" customFormat="1" ht="28.5" hidden="1" customHeight="1" outlineLevel="1">
      <c r="B70" s="64"/>
      <c r="C70" s="649">
        <v>54</v>
      </c>
      <c r="D70" s="1855"/>
      <c r="E70" s="1856"/>
      <c r="F70" s="1856"/>
      <c r="G70" s="1856"/>
      <c r="H70" s="1856"/>
      <c r="I70" s="1856"/>
      <c r="J70" s="1856"/>
      <c r="K70" s="1857"/>
      <c r="L70" s="643" t="str">
        <f t="shared" si="1"/>
        <v/>
      </c>
      <c r="M70" s="664"/>
      <c r="N70" s="665"/>
      <c r="O70" s="267"/>
      <c r="P70" s="666"/>
      <c r="Q70" s="667"/>
      <c r="R70" s="667"/>
      <c r="S70" s="1035"/>
      <c r="T70" s="668"/>
      <c r="U70" s="668"/>
      <c r="V70" s="668"/>
      <c r="W70" s="668"/>
      <c r="X70" s="669"/>
      <c r="Y70" s="670"/>
      <c r="Z70" s="671"/>
      <c r="AA70" s="644"/>
      <c r="AB70" s="978"/>
      <c r="AC70" s="992"/>
      <c r="AD70" s="89"/>
      <c r="AE70" s="89"/>
      <c r="AF70" s="645" t="str">
        <f t="shared" si="17"/>
        <v/>
      </c>
      <c r="AG70" s="1037" t="str">
        <f t="shared" si="18"/>
        <v/>
      </c>
      <c r="AH70" s="1037" t="str">
        <f t="shared" si="19"/>
        <v/>
      </c>
      <c r="AI70" s="1037" t="str">
        <f>IF(AF70="","",VLOOKUP(AF70,リスト!BD:BE,2,0))</f>
        <v/>
      </c>
      <c r="AJ70" s="1037" t="str">
        <f t="shared" si="2"/>
        <v/>
      </c>
      <c r="AK70" s="1037" t="str">
        <f>IF(AJ70="","",VLOOKUP(AJ70,リスト!BW:BX,2,0))</f>
        <v/>
      </c>
      <c r="AL70" s="1037" t="str">
        <f t="shared" si="3"/>
        <v/>
      </c>
      <c r="AM70" s="646" t="str">
        <f t="shared" si="4"/>
        <v/>
      </c>
      <c r="AN70" s="646" t="str">
        <f t="shared" si="5"/>
        <v/>
      </c>
      <c r="AO70" s="647" t="str">
        <f t="shared" si="6"/>
        <v/>
      </c>
      <c r="AP70" s="647" t="str">
        <f t="shared" si="7"/>
        <v/>
      </c>
      <c r="AQ70" s="647" t="str">
        <f t="shared" si="8"/>
        <v/>
      </c>
      <c r="AR70" s="647" t="str">
        <f t="shared" si="16"/>
        <v/>
      </c>
      <c r="AS70" s="647" t="str">
        <f t="shared" si="9"/>
        <v/>
      </c>
      <c r="AT70" s="647" t="str">
        <f t="shared" si="20"/>
        <v/>
      </c>
      <c r="AU70" s="647" t="str">
        <f t="shared" si="21"/>
        <v/>
      </c>
      <c r="AV70" s="647" t="str">
        <f t="shared" si="10"/>
        <v/>
      </c>
      <c r="AW70" s="647" t="str">
        <f t="shared" si="11"/>
        <v/>
      </c>
      <c r="AX70" s="647" t="str">
        <f t="shared" si="12"/>
        <v/>
      </c>
      <c r="AY70" s="647" t="str">
        <f t="shared" si="13"/>
        <v/>
      </c>
      <c r="AZ70" s="647" t="str">
        <f t="shared" si="14"/>
        <v/>
      </c>
      <c r="BA70" s="647" t="str">
        <f t="shared" si="15"/>
        <v/>
      </c>
    </row>
    <row r="71" spans="2:53" s="7" customFormat="1" ht="28.5" hidden="1" customHeight="1" outlineLevel="1">
      <c r="B71" s="64"/>
      <c r="C71" s="649">
        <v>55</v>
      </c>
      <c r="D71" s="1855"/>
      <c r="E71" s="1856"/>
      <c r="F71" s="1856"/>
      <c r="G71" s="1856"/>
      <c r="H71" s="1856"/>
      <c r="I71" s="1856"/>
      <c r="J71" s="1856"/>
      <c r="K71" s="1857"/>
      <c r="L71" s="643" t="str">
        <f t="shared" si="1"/>
        <v/>
      </c>
      <c r="M71" s="664"/>
      <c r="N71" s="665"/>
      <c r="O71" s="267"/>
      <c r="P71" s="666"/>
      <c r="Q71" s="667"/>
      <c r="R71" s="667"/>
      <c r="S71" s="1035"/>
      <c r="T71" s="668"/>
      <c r="U71" s="668"/>
      <c r="V71" s="668"/>
      <c r="W71" s="668"/>
      <c r="X71" s="669"/>
      <c r="Y71" s="670"/>
      <c r="Z71" s="671"/>
      <c r="AA71" s="644"/>
      <c r="AB71" s="978"/>
      <c r="AC71" s="992"/>
      <c r="AD71" s="89"/>
      <c r="AE71" s="89"/>
      <c r="AF71" s="645" t="str">
        <f t="shared" si="17"/>
        <v/>
      </c>
      <c r="AG71" s="1037" t="str">
        <f t="shared" si="18"/>
        <v/>
      </c>
      <c r="AH71" s="1037" t="str">
        <f t="shared" si="19"/>
        <v/>
      </c>
      <c r="AI71" s="1037" t="str">
        <f>IF(AF71="","",VLOOKUP(AF71,リスト!BD:BE,2,0))</f>
        <v/>
      </c>
      <c r="AJ71" s="1037" t="str">
        <f t="shared" si="2"/>
        <v/>
      </c>
      <c r="AK71" s="1037" t="str">
        <f>IF(AJ71="","",VLOOKUP(AJ71,リスト!BW:BX,2,0))</f>
        <v/>
      </c>
      <c r="AL71" s="1037" t="str">
        <f t="shared" si="3"/>
        <v/>
      </c>
      <c r="AM71" s="646" t="str">
        <f t="shared" si="4"/>
        <v/>
      </c>
      <c r="AN71" s="646" t="str">
        <f t="shared" si="5"/>
        <v/>
      </c>
      <c r="AO71" s="647" t="str">
        <f t="shared" si="6"/>
        <v/>
      </c>
      <c r="AP71" s="647" t="str">
        <f t="shared" si="7"/>
        <v/>
      </c>
      <c r="AQ71" s="647" t="str">
        <f t="shared" si="8"/>
        <v/>
      </c>
      <c r="AR71" s="647" t="str">
        <f t="shared" si="16"/>
        <v/>
      </c>
      <c r="AS71" s="647" t="str">
        <f t="shared" si="9"/>
        <v/>
      </c>
      <c r="AT71" s="647" t="str">
        <f t="shared" si="20"/>
        <v/>
      </c>
      <c r="AU71" s="647" t="str">
        <f t="shared" si="21"/>
        <v/>
      </c>
      <c r="AV71" s="647" t="str">
        <f t="shared" si="10"/>
        <v/>
      </c>
      <c r="AW71" s="647" t="str">
        <f t="shared" si="11"/>
        <v/>
      </c>
      <c r="AX71" s="647" t="str">
        <f t="shared" si="12"/>
        <v/>
      </c>
      <c r="AY71" s="647" t="str">
        <f t="shared" si="13"/>
        <v/>
      </c>
      <c r="AZ71" s="647" t="str">
        <f t="shared" si="14"/>
        <v/>
      </c>
      <c r="BA71" s="647" t="str">
        <f t="shared" si="15"/>
        <v/>
      </c>
    </row>
    <row r="72" spans="2:53" s="7" customFormat="1" ht="28.5" hidden="1" customHeight="1" outlineLevel="1">
      <c r="B72" s="64"/>
      <c r="C72" s="649">
        <v>56</v>
      </c>
      <c r="D72" s="1855"/>
      <c r="E72" s="1856"/>
      <c r="F72" s="1856"/>
      <c r="G72" s="1856"/>
      <c r="H72" s="1856"/>
      <c r="I72" s="1856"/>
      <c r="J72" s="1856"/>
      <c r="K72" s="1857"/>
      <c r="L72" s="643" t="str">
        <f t="shared" si="1"/>
        <v/>
      </c>
      <c r="M72" s="664"/>
      <c r="N72" s="665"/>
      <c r="O72" s="267"/>
      <c r="P72" s="666"/>
      <c r="Q72" s="667"/>
      <c r="R72" s="667"/>
      <c r="S72" s="1035"/>
      <c r="T72" s="668"/>
      <c r="U72" s="668"/>
      <c r="V72" s="668"/>
      <c r="W72" s="668"/>
      <c r="X72" s="669"/>
      <c r="Y72" s="670"/>
      <c r="Z72" s="671"/>
      <c r="AA72" s="644"/>
      <c r="AB72" s="978"/>
      <c r="AC72" s="992"/>
      <c r="AD72" s="89"/>
      <c r="AE72" s="89"/>
      <c r="AF72" s="645" t="str">
        <f t="shared" si="17"/>
        <v/>
      </c>
      <c r="AG72" s="1037" t="str">
        <f t="shared" si="18"/>
        <v/>
      </c>
      <c r="AH72" s="1037" t="str">
        <f t="shared" si="19"/>
        <v/>
      </c>
      <c r="AI72" s="1037" t="str">
        <f>IF(AF72="","",VLOOKUP(AF72,リスト!BD:BE,2,0))</f>
        <v/>
      </c>
      <c r="AJ72" s="1037" t="str">
        <f t="shared" si="2"/>
        <v/>
      </c>
      <c r="AK72" s="1037" t="str">
        <f>IF(AJ72="","",VLOOKUP(AJ72,リスト!BW:BX,2,0))</f>
        <v/>
      </c>
      <c r="AL72" s="1037" t="str">
        <f t="shared" si="3"/>
        <v/>
      </c>
      <c r="AM72" s="646" t="str">
        <f t="shared" si="4"/>
        <v/>
      </c>
      <c r="AN72" s="646" t="str">
        <f t="shared" si="5"/>
        <v/>
      </c>
      <c r="AO72" s="647" t="str">
        <f t="shared" si="6"/>
        <v/>
      </c>
      <c r="AP72" s="647" t="str">
        <f t="shared" si="7"/>
        <v/>
      </c>
      <c r="AQ72" s="647" t="str">
        <f t="shared" si="8"/>
        <v/>
      </c>
      <c r="AR72" s="647" t="str">
        <f t="shared" si="16"/>
        <v/>
      </c>
      <c r="AS72" s="647" t="str">
        <f t="shared" si="9"/>
        <v/>
      </c>
      <c r="AT72" s="647" t="str">
        <f t="shared" si="20"/>
        <v/>
      </c>
      <c r="AU72" s="647" t="str">
        <f t="shared" si="21"/>
        <v/>
      </c>
      <c r="AV72" s="647" t="str">
        <f t="shared" si="10"/>
        <v/>
      </c>
      <c r="AW72" s="647" t="str">
        <f t="shared" si="11"/>
        <v/>
      </c>
      <c r="AX72" s="647" t="str">
        <f t="shared" si="12"/>
        <v/>
      </c>
      <c r="AY72" s="647" t="str">
        <f t="shared" si="13"/>
        <v/>
      </c>
      <c r="AZ72" s="647" t="str">
        <f t="shared" si="14"/>
        <v/>
      </c>
      <c r="BA72" s="647" t="str">
        <f t="shared" si="15"/>
        <v/>
      </c>
    </row>
    <row r="73" spans="2:53" s="7" customFormat="1" ht="28.5" hidden="1" customHeight="1" outlineLevel="1">
      <c r="B73" s="64"/>
      <c r="C73" s="649">
        <v>57</v>
      </c>
      <c r="D73" s="1855"/>
      <c r="E73" s="1856"/>
      <c r="F73" s="1856"/>
      <c r="G73" s="1856"/>
      <c r="H73" s="1856"/>
      <c r="I73" s="1856"/>
      <c r="J73" s="1856"/>
      <c r="K73" s="1857"/>
      <c r="L73" s="643" t="str">
        <f t="shared" si="1"/>
        <v/>
      </c>
      <c r="M73" s="664"/>
      <c r="N73" s="665"/>
      <c r="O73" s="267"/>
      <c r="P73" s="666"/>
      <c r="Q73" s="667"/>
      <c r="R73" s="667"/>
      <c r="S73" s="1035"/>
      <c r="T73" s="668"/>
      <c r="U73" s="668"/>
      <c r="V73" s="668"/>
      <c r="W73" s="668"/>
      <c r="X73" s="669"/>
      <c r="Y73" s="670"/>
      <c r="Z73" s="671"/>
      <c r="AA73" s="644"/>
      <c r="AB73" s="978"/>
      <c r="AC73" s="992"/>
      <c r="AD73" s="89"/>
      <c r="AE73" s="89"/>
      <c r="AF73" s="645" t="str">
        <f t="shared" si="17"/>
        <v/>
      </c>
      <c r="AG73" s="1037" t="str">
        <f t="shared" si="18"/>
        <v/>
      </c>
      <c r="AH73" s="1037" t="str">
        <f t="shared" si="19"/>
        <v/>
      </c>
      <c r="AI73" s="1037" t="str">
        <f>IF(AF73="","",VLOOKUP(AF73,リスト!BD:BE,2,0))</f>
        <v/>
      </c>
      <c r="AJ73" s="1037" t="str">
        <f t="shared" si="2"/>
        <v/>
      </c>
      <c r="AK73" s="1037" t="str">
        <f>IF(AJ73="","",VLOOKUP(AJ73,リスト!BW:BX,2,0))</f>
        <v/>
      </c>
      <c r="AL73" s="1037" t="str">
        <f t="shared" si="3"/>
        <v/>
      </c>
      <c r="AM73" s="646" t="str">
        <f t="shared" si="4"/>
        <v/>
      </c>
      <c r="AN73" s="646" t="str">
        <f t="shared" si="5"/>
        <v/>
      </c>
      <c r="AO73" s="647" t="str">
        <f t="shared" si="6"/>
        <v/>
      </c>
      <c r="AP73" s="647" t="str">
        <f t="shared" si="7"/>
        <v/>
      </c>
      <c r="AQ73" s="647" t="str">
        <f t="shared" si="8"/>
        <v/>
      </c>
      <c r="AR73" s="647" t="str">
        <f t="shared" si="16"/>
        <v/>
      </c>
      <c r="AS73" s="647" t="str">
        <f t="shared" si="9"/>
        <v/>
      </c>
      <c r="AT73" s="647" t="str">
        <f t="shared" si="20"/>
        <v/>
      </c>
      <c r="AU73" s="647" t="str">
        <f t="shared" si="21"/>
        <v/>
      </c>
      <c r="AV73" s="647" t="str">
        <f t="shared" si="10"/>
        <v/>
      </c>
      <c r="AW73" s="647" t="str">
        <f t="shared" si="11"/>
        <v/>
      </c>
      <c r="AX73" s="647" t="str">
        <f t="shared" si="12"/>
        <v/>
      </c>
      <c r="AY73" s="647" t="str">
        <f t="shared" si="13"/>
        <v/>
      </c>
      <c r="AZ73" s="647" t="str">
        <f t="shared" si="14"/>
        <v/>
      </c>
      <c r="BA73" s="647" t="str">
        <f t="shared" si="15"/>
        <v/>
      </c>
    </row>
    <row r="74" spans="2:53" s="7" customFormat="1" ht="28.5" hidden="1" customHeight="1" outlineLevel="1">
      <c r="B74" s="64"/>
      <c r="C74" s="649">
        <v>58</v>
      </c>
      <c r="D74" s="1855"/>
      <c r="E74" s="1856"/>
      <c r="F74" s="1856"/>
      <c r="G74" s="1856"/>
      <c r="H74" s="1856"/>
      <c r="I74" s="1856"/>
      <c r="J74" s="1856"/>
      <c r="K74" s="1857"/>
      <c r="L74" s="643" t="str">
        <f t="shared" si="1"/>
        <v/>
      </c>
      <c r="M74" s="664"/>
      <c r="N74" s="665"/>
      <c r="O74" s="267"/>
      <c r="P74" s="666"/>
      <c r="Q74" s="667"/>
      <c r="R74" s="667"/>
      <c r="S74" s="1035"/>
      <c r="T74" s="668"/>
      <c r="U74" s="668"/>
      <c r="V74" s="668"/>
      <c r="W74" s="668"/>
      <c r="X74" s="669"/>
      <c r="Y74" s="670"/>
      <c r="Z74" s="671"/>
      <c r="AA74" s="644"/>
      <c r="AB74" s="978"/>
      <c r="AC74" s="992"/>
      <c r="AD74" s="89"/>
      <c r="AE74" s="89"/>
      <c r="AF74" s="645" t="str">
        <f t="shared" si="17"/>
        <v/>
      </c>
      <c r="AG74" s="1037" t="str">
        <f t="shared" si="18"/>
        <v/>
      </c>
      <c r="AH74" s="1037" t="str">
        <f t="shared" si="19"/>
        <v/>
      </c>
      <c r="AI74" s="1037" t="str">
        <f>IF(AF74="","",VLOOKUP(AF74,リスト!BD:BE,2,0))</f>
        <v/>
      </c>
      <c r="AJ74" s="1037" t="str">
        <f t="shared" si="2"/>
        <v/>
      </c>
      <c r="AK74" s="1037" t="str">
        <f>IF(AJ74="","",VLOOKUP(AJ74,リスト!BW:BX,2,0))</f>
        <v/>
      </c>
      <c r="AL74" s="1037" t="str">
        <f t="shared" si="3"/>
        <v/>
      </c>
      <c r="AM74" s="646" t="str">
        <f t="shared" si="4"/>
        <v/>
      </c>
      <c r="AN74" s="646" t="str">
        <f t="shared" si="5"/>
        <v/>
      </c>
      <c r="AO74" s="647" t="str">
        <f t="shared" si="6"/>
        <v/>
      </c>
      <c r="AP74" s="647" t="str">
        <f t="shared" si="7"/>
        <v/>
      </c>
      <c r="AQ74" s="647" t="str">
        <f t="shared" si="8"/>
        <v/>
      </c>
      <c r="AR74" s="647" t="str">
        <f t="shared" si="16"/>
        <v/>
      </c>
      <c r="AS74" s="647" t="str">
        <f t="shared" si="9"/>
        <v/>
      </c>
      <c r="AT74" s="647" t="str">
        <f t="shared" si="20"/>
        <v/>
      </c>
      <c r="AU74" s="647" t="str">
        <f t="shared" si="21"/>
        <v/>
      </c>
      <c r="AV74" s="647" t="str">
        <f t="shared" si="10"/>
        <v/>
      </c>
      <c r="AW74" s="647" t="str">
        <f t="shared" si="11"/>
        <v/>
      </c>
      <c r="AX74" s="647" t="str">
        <f t="shared" si="12"/>
        <v/>
      </c>
      <c r="AY74" s="647" t="str">
        <f t="shared" si="13"/>
        <v/>
      </c>
      <c r="AZ74" s="647" t="str">
        <f t="shared" si="14"/>
        <v/>
      </c>
      <c r="BA74" s="647" t="str">
        <f t="shared" si="15"/>
        <v/>
      </c>
    </row>
    <row r="75" spans="2:53" s="7" customFormat="1" ht="28.5" hidden="1" customHeight="1" outlineLevel="1">
      <c r="B75" s="64"/>
      <c r="C75" s="649">
        <v>59</v>
      </c>
      <c r="D75" s="1855"/>
      <c r="E75" s="1856"/>
      <c r="F75" s="1856"/>
      <c r="G75" s="1856"/>
      <c r="H75" s="1856"/>
      <c r="I75" s="1856"/>
      <c r="J75" s="1856"/>
      <c r="K75" s="1857"/>
      <c r="L75" s="643" t="str">
        <f t="shared" si="1"/>
        <v/>
      </c>
      <c r="M75" s="664"/>
      <c r="N75" s="665"/>
      <c r="O75" s="267"/>
      <c r="P75" s="666"/>
      <c r="Q75" s="667"/>
      <c r="R75" s="667"/>
      <c r="S75" s="1035"/>
      <c r="T75" s="668"/>
      <c r="U75" s="668"/>
      <c r="V75" s="668"/>
      <c r="W75" s="668"/>
      <c r="X75" s="669"/>
      <c r="Y75" s="670"/>
      <c r="Z75" s="671"/>
      <c r="AA75" s="644"/>
      <c r="AB75" s="978"/>
      <c r="AC75" s="992"/>
      <c r="AD75" s="89"/>
      <c r="AE75" s="89"/>
      <c r="AF75" s="645" t="str">
        <f t="shared" si="17"/>
        <v/>
      </c>
      <c r="AG75" s="1037" t="str">
        <f t="shared" si="18"/>
        <v/>
      </c>
      <c r="AH75" s="1037" t="str">
        <f t="shared" si="19"/>
        <v/>
      </c>
      <c r="AI75" s="1037" t="str">
        <f>IF(AF75="","",VLOOKUP(AF75,リスト!BD:BE,2,0))</f>
        <v/>
      </c>
      <c r="AJ75" s="1037" t="str">
        <f t="shared" si="2"/>
        <v/>
      </c>
      <c r="AK75" s="1037" t="str">
        <f>IF(AJ75="","",VLOOKUP(AJ75,リスト!BW:BX,2,0))</f>
        <v/>
      </c>
      <c r="AL75" s="1037" t="str">
        <f t="shared" si="3"/>
        <v/>
      </c>
      <c r="AM75" s="646" t="str">
        <f t="shared" si="4"/>
        <v/>
      </c>
      <c r="AN75" s="646" t="str">
        <f t="shared" si="5"/>
        <v/>
      </c>
      <c r="AO75" s="647" t="str">
        <f t="shared" si="6"/>
        <v/>
      </c>
      <c r="AP75" s="647" t="str">
        <f t="shared" si="7"/>
        <v/>
      </c>
      <c r="AQ75" s="647" t="str">
        <f t="shared" si="8"/>
        <v/>
      </c>
      <c r="AR75" s="647" t="str">
        <f t="shared" si="16"/>
        <v/>
      </c>
      <c r="AS75" s="647" t="str">
        <f t="shared" si="9"/>
        <v/>
      </c>
      <c r="AT75" s="647" t="str">
        <f t="shared" si="20"/>
        <v/>
      </c>
      <c r="AU75" s="647" t="str">
        <f t="shared" si="21"/>
        <v/>
      </c>
      <c r="AV75" s="647" t="str">
        <f t="shared" si="10"/>
        <v/>
      </c>
      <c r="AW75" s="647" t="str">
        <f t="shared" si="11"/>
        <v/>
      </c>
      <c r="AX75" s="647" t="str">
        <f t="shared" si="12"/>
        <v/>
      </c>
      <c r="AY75" s="647" t="str">
        <f t="shared" si="13"/>
        <v/>
      </c>
      <c r="AZ75" s="647" t="str">
        <f t="shared" si="14"/>
        <v/>
      </c>
      <c r="BA75" s="647" t="str">
        <f t="shared" si="15"/>
        <v/>
      </c>
    </row>
    <row r="76" spans="2:53" s="7" customFormat="1" ht="28.5" hidden="1" customHeight="1" outlineLevel="1">
      <c r="B76" s="64"/>
      <c r="C76" s="649">
        <v>60</v>
      </c>
      <c r="D76" s="1855"/>
      <c r="E76" s="1856"/>
      <c r="F76" s="1856"/>
      <c r="G76" s="1856"/>
      <c r="H76" s="1856"/>
      <c r="I76" s="1856"/>
      <c r="J76" s="1856"/>
      <c r="K76" s="1857"/>
      <c r="L76" s="643" t="str">
        <f t="shared" si="1"/>
        <v/>
      </c>
      <c r="M76" s="664"/>
      <c r="N76" s="665"/>
      <c r="O76" s="267"/>
      <c r="P76" s="666"/>
      <c r="Q76" s="667"/>
      <c r="R76" s="667"/>
      <c r="S76" s="1035"/>
      <c r="T76" s="668"/>
      <c r="U76" s="668"/>
      <c r="V76" s="668"/>
      <c r="W76" s="668"/>
      <c r="X76" s="669"/>
      <c r="Y76" s="670"/>
      <c r="Z76" s="671"/>
      <c r="AA76" s="644"/>
      <c r="AB76" s="978"/>
      <c r="AC76" s="992"/>
      <c r="AD76" s="89"/>
      <c r="AE76" s="89"/>
      <c r="AF76" s="645" t="str">
        <f t="shared" si="17"/>
        <v/>
      </c>
      <c r="AG76" s="1037" t="str">
        <f t="shared" si="18"/>
        <v/>
      </c>
      <c r="AH76" s="1037" t="str">
        <f t="shared" si="19"/>
        <v/>
      </c>
      <c r="AI76" s="1037" t="str">
        <f>IF(AF76="","",VLOOKUP(AF76,リスト!BD:BE,2,0))</f>
        <v/>
      </c>
      <c r="AJ76" s="1037" t="str">
        <f t="shared" si="2"/>
        <v/>
      </c>
      <c r="AK76" s="1037" t="str">
        <f>IF(AJ76="","",VLOOKUP(AJ76,リスト!BW:BX,2,0))</f>
        <v/>
      </c>
      <c r="AL76" s="1037" t="str">
        <f t="shared" si="3"/>
        <v/>
      </c>
      <c r="AM76" s="646" t="str">
        <f t="shared" si="4"/>
        <v/>
      </c>
      <c r="AN76" s="646" t="str">
        <f t="shared" si="5"/>
        <v/>
      </c>
      <c r="AO76" s="647" t="str">
        <f t="shared" si="6"/>
        <v/>
      </c>
      <c r="AP76" s="647" t="str">
        <f t="shared" si="7"/>
        <v/>
      </c>
      <c r="AQ76" s="647" t="str">
        <f t="shared" si="8"/>
        <v/>
      </c>
      <c r="AR76" s="647" t="str">
        <f t="shared" si="16"/>
        <v/>
      </c>
      <c r="AS76" s="647" t="str">
        <f t="shared" si="9"/>
        <v/>
      </c>
      <c r="AT76" s="647" t="str">
        <f t="shared" si="20"/>
        <v/>
      </c>
      <c r="AU76" s="647" t="str">
        <f t="shared" si="21"/>
        <v/>
      </c>
      <c r="AV76" s="647" t="str">
        <f t="shared" si="10"/>
        <v/>
      </c>
      <c r="AW76" s="647" t="str">
        <f t="shared" si="11"/>
        <v/>
      </c>
      <c r="AX76" s="647" t="str">
        <f t="shared" si="12"/>
        <v/>
      </c>
      <c r="AY76" s="647" t="str">
        <f t="shared" si="13"/>
        <v/>
      </c>
      <c r="AZ76" s="647" t="str">
        <f t="shared" si="14"/>
        <v/>
      </c>
      <c r="BA76" s="647" t="str">
        <f t="shared" si="15"/>
        <v/>
      </c>
    </row>
    <row r="77" spans="2:53" s="7" customFormat="1" ht="28.5" hidden="1" customHeight="1" outlineLevel="1">
      <c r="B77" s="64"/>
      <c r="C77" s="649">
        <v>61</v>
      </c>
      <c r="D77" s="1855"/>
      <c r="E77" s="1856"/>
      <c r="F77" s="1856"/>
      <c r="G77" s="1856"/>
      <c r="H77" s="1856"/>
      <c r="I77" s="1856"/>
      <c r="J77" s="1856"/>
      <c r="K77" s="1857"/>
      <c r="L77" s="643" t="str">
        <f t="shared" si="1"/>
        <v/>
      </c>
      <c r="M77" s="664"/>
      <c r="N77" s="665"/>
      <c r="O77" s="267"/>
      <c r="P77" s="666"/>
      <c r="Q77" s="667"/>
      <c r="R77" s="667"/>
      <c r="S77" s="1035"/>
      <c r="T77" s="668"/>
      <c r="U77" s="668"/>
      <c r="V77" s="668"/>
      <c r="W77" s="668"/>
      <c r="X77" s="669"/>
      <c r="Y77" s="670"/>
      <c r="Z77" s="671"/>
      <c r="AA77" s="644"/>
      <c r="AB77" s="978"/>
      <c r="AC77" s="992"/>
      <c r="AD77" s="89"/>
      <c r="AE77" s="89"/>
      <c r="AF77" s="645" t="str">
        <f t="shared" si="17"/>
        <v/>
      </c>
      <c r="AG77" s="1037" t="str">
        <f t="shared" si="18"/>
        <v/>
      </c>
      <c r="AH77" s="1037" t="str">
        <f t="shared" si="19"/>
        <v/>
      </c>
      <c r="AI77" s="1037" t="str">
        <f>IF(AF77="","",VLOOKUP(AF77,リスト!BD:BE,2,0))</f>
        <v/>
      </c>
      <c r="AJ77" s="1037" t="str">
        <f t="shared" si="2"/>
        <v/>
      </c>
      <c r="AK77" s="1037" t="str">
        <f>IF(AJ77="","",VLOOKUP(AJ77,リスト!BW:BX,2,0))</f>
        <v/>
      </c>
      <c r="AL77" s="1037" t="str">
        <f t="shared" si="3"/>
        <v/>
      </c>
      <c r="AM77" s="646" t="str">
        <f t="shared" si="4"/>
        <v/>
      </c>
      <c r="AN77" s="646" t="str">
        <f t="shared" si="5"/>
        <v/>
      </c>
      <c r="AO77" s="647" t="str">
        <f t="shared" si="6"/>
        <v/>
      </c>
      <c r="AP77" s="647" t="str">
        <f t="shared" si="7"/>
        <v/>
      </c>
      <c r="AQ77" s="647" t="str">
        <f t="shared" si="8"/>
        <v/>
      </c>
      <c r="AR77" s="647" t="str">
        <f t="shared" si="16"/>
        <v/>
      </c>
      <c r="AS77" s="647" t="str">
        <f t="shared" si="9"/>
        <v/>
      </c>
      <c r="AT77" s="647" t="str">
        <f t="shared" si="20"/>
        <v/>
      </c>
      <c r="AU77" s="647" t="str">
        <f t="shared" si="21"/>
        <v/>
      </c>
      <c r="AV77" s="647" t="str">
        <f t="shared" si="10"/>
        <v/>
      </c>
      <c r="AW77" s="647" t="str">
        <f t="shared" si="11"/>
        <v/>
      </c>
      <c r="AX77" s="647" t="str">
        <f t="shared" si="12"/>
        <v/>
      </c>
      <c r="AY77" s="647" t="str">
        <f t="shared" si="13"/>
        <v/>
      </c>
      <c r="AZ77" s="647" t="str">
        <f t="shared" si="14"/>
        <v/>
      </c>
      <c r="BA77" s="647" t="str">
        <f t="shared" si="15"/>
        <v/>
      </c>
    </row>
    <row r="78" spans="2:53" s="7" customFormat="1" ht="28.5" hidden="1" customHeight="1" outlineLevel="1">
      <c r="B78" s="64"/>
      <c r="C78" s="649">
        <v>62</v>
      </c>
      <c r="D78" s="1855"/>
      <c r="E78" s="1856"/>
      <c r="F78" s="1856"/>
      <c r="G78" s="1856"/>
      <c r="H78" s="1856"/>
      <c r="I78" s="1856"/>
      <c r="J78" s="1856"/>
      <c r="K78" s="1857"/>
      <c r="L78" s="643" t="str">
        <f t="shared" si="1"/>
        <v/>
      </c>
      <c r="M78" s="664"/>
      <c r="N78" s="665"/>
      <c r="O78" s="267"/>
      <c r="P78" s="666"/>
      <c r="Q78" s="667"/>
      <c r="R78" s="667"/>
      <c r="S78" s="1035"/>
      <c r="T78" s="668"/>
      <c r="U78" s="668"/>
      <c r="V78" s="668"/>
      <c r="W78" s="668"/>
      <c r="X78" s="669"/>
      <c r="Y78" s="670"/>
      <c r="Z78" s="671"/>
      <c r="AA78" s="644"/>
      <c r="AB78" s="978"/>
      <c r="AC78" s="992"/>
      <c r="AD78" s="89"/>
      <c r="AE78" s="89"/>
      <c r="AF78" s="645" t="str">
        <f t="shared" si="17"/>
        <v/>
      </c>
      <c r="AG78" s="1037" t="str">
        <f t="shared" si="18"/>
        <v/>
      </c>
      <c r="AH78" s="1037" t="str">
        <f t="shared" si="19"/>
        <v/>
      </c>
      <c r="AI78" s="1037" t="str">
        <f>IF(AF78="","",VLOOKUP(AF78,リスト!BD:BE,2,0))</f>
        <v/>
      </c>
      <c r="AJ78" s="1037" t="str">
        <f t="shared" si="2"/>
        <v/>
      </c>
      <c r="AK78" s="1037" t="str">
        <f>IF(AJ78="","",VLOOKUP(AJ78,リスト!BW:BX,2,0))</f>
        <v/>
      </c>
      <c r="AL78" s="1037" t="str">
        <f t="shared" si="3"/>
        <v/>
      </c>
      <c r="AM78" s="646" t="str">
        <f t="shared" si="4"/>
        <v/>
      </c>
      <c r="AN78" s="646" t="str">
        <f t="shared" si="5"/>
        <v/>
      </c>
      <c r="AO78" s="647" t="str">
        <f t="shared" si="6"/>
        <v/>
      </c>
      <c r="AP78" s="647" t="str">
        <f t="shared" si="7"/>
        <v/>
      </c>
      <c r="AQ78" s="647" t="str">
        <f t="shared" si="8"/>
        <v/>
      </c>
      <c r="AR78" s="647" t="str">
        <f t="shared" si="16"/>
        <v/>
      </c>
      <c r="AS78" s="647" t="str">
        <f t="shared" si="9"/>
        <v/>
      </c>
      <c r="AT78" s="647" t="str">
        <f t="shared" si="20"/>
        <v/>
      </c>
      <c r="AU78" s="647" t="str">
        <f t="shared" si="21"/>
        <v/>
      </c>
      <c r="AV78" s="647" t="str">
        <f t="shared" si="10"/>
        <v/>
      </c>
      <c r="AW78" s="647" t="str">
        <f t="shared" si="11"/>
        <v/>
      </c>
      <c r="AX78" s="647" t="str">
        <f t="shared" si="12"/>
        <v/>
      </c>
      <c r="AY78" s="647" t="str">
        <f t="shared" si="13"/>
        <v/>
      </c>
      <c r="AZ78" s="647" t="str">
        <f t="shared" si="14"/>
        <v/>
      </c>
      <c r="BA78" s="647" t="str">
        <f t="shared" si="15"/>
        <v/>
      </c>
    </row>
    <row r="79" spans="2:53" s="7" customFormat="1" ht="28.5" hidden="1" customHeight="1" outlineLevel="1">
      <c r="B79" s="64"/>
      <c r="C79" s="649">
        <v>63</v>
      </c>
      <c r="D79" s="1855"/>
      <c r="E79" s="1856"/>
      <c r="F79" s="1856"/>
      <c r="G79" s="1856"/>
      <c r="H79" s="1856"/>
      <c r="I79" s="1856"/>
      <c r="J79" s="1856"/>
      <c r="K79" s="1857"/>
      <c r="L79" s="643" t="str">
        <f t="shared" si="1"/>
        <v/>
      </c>
      <c r="M79" s="664"/>
      <c r="N79" s="665"/>
      <c r="O79" s="267"/>
      <c r="P79" s="666"/>
      <c r="Q79" s="667"/>
      <c r="R79" s="667"/>
      <c r="S79" s="1035"/>
      <c r="T79" s="668"/>
      <c r="U79" s="668"/>
      <c r="V79" s="668"/>
      <c r="W79" s="668"/>
      <c r="X79" s="669"/>
      <c r="Y79" s="670"/>
      <c r="Z79" s="671"/>
      <c r="AA79" s="644"/>
      <c r="AB79" s="978"/>
      <c r="AC79" s="992"/>
      <c r="AD79" s="89"/>
      <c r="AE79" s="89"/>
      <c r="AF79" s="645" t="str">
        <f t="shared" si="17"/>
        <v/>
      </c>
      <c r="AG79" s="1037" t="str">
        <f t="shared" si="18"/>
        <v/>
      </c>
      <c r="AH79" s="1037" t="str">
        <f t="shared" si="19"/>
        <v/>
      </c>
      <c r="AI79" s="1037" t="str">
        <f>IF(AF79="","",VLOOKUP(AF79,リスト!BD:BE,2,0))</f>
        <v/>
      </c>
      <c r="AJ79" s="1037" t="str">
        <f t="shared" si="2"/>
        <v/>
      </c>
      <c r="AK79" s="1037" t="str">
        <f>IF(AJ79="","",VLOOKUP(AJ79,リスト!BW:BX,2,0))</f>
        <v/>
      </c>
      <c r="AL79" s="1037" t="str">
        <f t="shared" si="3"/>
        <v/>
      </c>
      <c r="AM79" s="646" t="str">
        <f t="shared" si="4"/>
        <v/>
      </c>
      <c r="AN79" s="646" t="str">
        <f t="shared" si="5"/>
        <v/>
      </c>
      <c r="AO79" s="647" t="str">
        <f t="shared" si="6"/>
        <v/>
      </c>
      <c r="AP79" s="647" t="str">
        <f t="shared" si="7"/>
        <v/>
      </c>
      <c r="AQ79" s="647" t="str">
        <f t="shared" si="8"/>
        <v/>
      </c>
      <c r="AR79" s="647" t="str">
        <f t="shared" si="16"/>
        <v/>
      </c>
      <c r="AS79" s="647" t="str">
        <f t="shared" si="9"/>
        <v/>
      </c>
      <c r="AT79" s="647" t="str">
        <f t="shared" si="20"/>
        <v/>
      </c>
      <c r="AU79" s="647" t="str">
        <f t="shared" si="21"/>
        <v/>
      </c>
      <c r="AV79" s="647" t="str">
        <f t="shared" si="10"/>
        <v/>
      </c>
      <c r="AW79" s="647" t="str">
        <f t="shared" si="11"/>
        <v/>
      </c>
      <c r="AX79" s="647" t="str">
        <f t="shared" si="12"/>
        <v/>
      </c>
      <c r="AY79" s="647" t="str">
        <f t="shared" si="13"/>
        <v/>
      </c>
      <c r="AZ79" s="647" t="str">
        <f t="shared" si="14"/>
        <v/>
      </c>
      <c r="BA79" s="647" t="str">
        <f t="shared" si="15"/>
        <v/>
      </c>
    </row>
    <row r="80" spans="2:53" s="7" customFormat="1" ht="28.5" hidden="1" customHeight="1" outlineLevel="1">
      <c r="B80" s="64"/>
      <c r="C80" s="649">
        <v>64</v>
      </c>
      <c r="D80" s="1855"/>
      <c r="E80" s="1856"/>
      <c r="F80" s="1856"/>
      <c r="G80" s="1856"/>
      <c r="H80" s="1856"/>
      <c r="I80" s="1856"/>
      <c r="J80" s="1856"/>
      <c r="K80" s="1857"/>
      <c r="L80" s="643" t="str">
        <f t="shared" si="1"/>
        <v/>
      </c>
      <c r="M80" s="664"/>
      <c r="N80" s="665"/>
      <c r="O80" s="267"/>
      <c r="P80" s="666"/>
      <c r="Q80" s="667"/>
      <c r="R80" s="667"/>
      <c r="S80" s="1035"/>
      <c r="T80" s="668"/>
      <c r="U80" s="668"/>
      <c r="V80" s="668"/>
      <c r="W80" s="668"/>
      <c r="X80" s="669"/>
      <c r="Y80" s="670"/>
      <c r="Z80" s="671"/>
      <c r="AA80" s="644"/>
      <c r="AB80" s="978"/>
      <c r="AC80" s="992"/>
      <c r="AD80" s="89"/>
      <c r="AE80" s="89"/>
      <c r="AF80" s="645" t="str">
        <f t="shared" si="17"/>
        <v/>
      </c>
      <c r="AG80" s="1037" t="str">
        <f t="shared" si="18"/>
        <v/>
      </c>
      <c r="AH80" s="1037" t="str">
        <f t="shared" si="19"/>
        <v/>
      </c>
      <c r="AI80" s="1037" t="str">
        <f>IF(AF80="","",VLOOKUP(AF80,リスト!BD:BE,2,0))</f>
        <v/>
      </c>
      <c r="AJ80" s="1037" t="str">
        <f t="shared" si="2"/>
        <v/>
      </c>
      <c r="AK80" s="1037" t="str">
        <f>IF(AJ80="","",VLOOKUP(AJ80,リスト!BW:BX,2,0))</f>
        <v/>
      </c>
      <c r="AL80" s="1037" t="str">
        <f t="shared" si="3"/>
        <v/>
      </c>
      <c r="AM80" s="646" t="str">
        <f t="shared" si="4"/>
        <v/>
      </c>
      <c r="AN80" s="646" t="str">
        <f t="shared" si="5"/>
        <v/>
      </c>
      <c r="AO80" s="647" t="str">
        <f t="shared" si="6"/>
        <v/>
      </c>
      <c r="AP80" s="647" t="str">
        <f t="shared" si="7"/>
        <v/>
      </c>
      <c r="AQ80" s="647" t="str">
        <f t="shared" si="8"/>
        <v/>
      </c>
      <c r="AR80" s="647" t="str">
        <f t="shared" si="16"/>
        <v/>
      </c>
      <c r="AS80" s="647" t="str">
        <f t="shared" si="9"/>
        <v/>
      </c>
      <c r="AT80" s="647" t="str">
        <f t="shared" si="20"/>
        <v/>
      </c>
      <c r="AU80" s="647" t="str">
        <f t="shared" si="21"/>
        <v/>
      </c>
      <c r="AV80" s="647" t="str">
        <f t="shared" si="10"/>
        <v/>
      </c>
      <c r="AW80" s="647" t="str">
        <f t="shared" si="11"/>
        <v/>
      </c>
      <c r="AX80" s="647" t="str">
        <f t="shared" si="12"/>
        <v/>
      </c>
      <c r="AY80" s="647" t="str">
        <f t="shared" si="13"/>
        <v/>
      </c>
      <c r="AZ80" s="647" t="str">
        <f t="shared" si="14"/>
        <v/>
      </c>
      <c r="BA80" s="647" t="str">
        <f t="shared" si="15"/>
        <v/>
      </c>
    </row>
    <row r="81" spans="2:53" s="7" customFormat="1" ht="28.5" hidden="1" customHeight="1" outlineLevel="1">
      <c r="B81" s="64"/>
      <c r="C81" s="649">
        <v>65</v>
      </c>
      <c r="D81" s="1855"/>
      <c r="E81" s="1856"/>
      <c r="F81" s="1856"/>
      <c r="G81" s="1856"/>
      <c r="H81" s="1856"/>
      <c r="I81" s="1856"/>
      <c r="J81" s="1856"/>
      <c r="K81" s="1857"/>
      <c r="L81" s="643" t="str">
        <f t="shared" ref="L81:L144" si="22">IF(M81&gt;0,IF(COUNTIF(建築物種類コード,M81),"建築物","構築物"),"")</f>
        <v/>
      </c>
      <c r="M81" s="664"/>
      <c r="N81" s="665"/>
      <c r="O81" s="267"/>
      <c r="P81" s="666"/>
      <c r="Q81" s="667"/>
      <c r="R81" s="667"/>
      <c r="S81" s="1035"/>
      <c r="T81" s="668"/>
      <c r="U81" s="668"/>
      <c r="V81" s="668"/>
      <c r="W81" s="668"/>
      <c r="X81" s="669"/>
      <c r="Y81" s="670"/>
      <c r="Z81" s="671"/>
      <c r="AA81" s="644"/>
      <c r="AB81" s="978"/>
      <c r="AC81" s="992"/>
      <c r="AD81" s="89"/>
      <c r="AE81" s="89"/>
      <c r="AF81" s="645" t="str">
        <f t="shared" si="17"/>
        <v/>
      </c>
      <c r="AG81" s="1037" t="str">
        <f t="shared" si="18"/>
        <v/>
      </c>
      <c r="AH81" s="1037" t="str">
        <f t="shared" si="19"/>
        <v/>
      </c>
      <c r="AI81" s="1037" t="str">
        <f>IF(AF81="","",VLOOKUP(AF81,リスト!BD:BE,2,0))</f>
        <v/>
      </c>
      <c r="AJ81" s="1037" t="str">
        <f t="shared" si="2"/>
        <v/>
      </c>
      <c r="AK81" s="1037" t="str">
        <f>IF(AJ81="","",VLOOKUP(AJ81,リスト!BW:BX,2,0))</f>
        <v/>
      </c>
      <c r="AL81" s="1037" t="str">
        <f t="shared" ref="AL81:AL144" si="23">IF(AF81="","",調査年-R81)</f>
        <v/>
      </c>
      <c r="AM81" s="646" t="str">
        <f t="shared" si="4"/>
        <v/>
      </c>
      <c r="AN81" s="646" t="str">
        <f t="shared" si="5"/>
        <v/>
      </c>
      <c r="AO81" s="647" t="str">
        <f t="shared" si="6"/>
        <v/>
      </c>
      <c r="AP81" s="647" t="str">
        <f t="shared" si="7"/>
        <v/>
      </c>
      <c r="AQ81" s="647" t="str">
        <f t="shared" si="8"/>
        <v/>
      </c>
      <c r="AR81" s="647" t="str">
        <f t="shared" si="16"/>
        <v/>
      </c>
      <c r="AS81" s="647" t="str">
        <f t="shared" si="9"/>
        <v/>
      </c>
      <c r="AT81" s="647" t="str">
        <f t="shared" si="20"/>
        <v/>
      </c>
      <c r="AU81" s="647" t="str">
        <f t="shared" si="21"/>
        <v/>
      </c>
      <c r="AV81" s="647" t="str">
        <f t="shared" ref="AV81:AV144" si="24">IF(X81="","",IF(OR(R81=調査年,AN81=""),"",ROUND(AN81*X81%,0)))</f>
        <v/>
      </c>
      <c r="AW81" s="647" t="str">
        <f t="shared" si="11"/>
        <v/>
      </c>
      <c r="AX81" s="647" t="str">
        <f t="shared" si="12"/>
        <v/>
      </c>
      <c r="AY81" s="647" t="str">
        <f t="shared" si="13"/>
        <v/>
      </c>
      <c r="AZ81" s="647" t="str">
        <f t="shared" ref="AZ81:AZ144" si="25">IF(OR(X81="",AND(OR(R81&lt;&gt;調査年,AG81=0),V81="",AR81="",W81="")),"",
SUM(
IF(AND(R81=調査年,AG81=1),ROUND(T81*X81%,0),),
ROUND(V81*X81%,0),
ROUND(SUM(AR81)*X81%,0),
))</f>
        <v/>
      </c>
      <c r="BA81" s="647" t="str">
        <f t="shared" si="15"/>
        <v/>
      </c>
    </row>
    <row r="82" spans="2:53" s="7" customFormat="1" ht="28.5" hidden="1" customHeight="1" outlineLevel="1">
      <c r="B82" s="64"/>
      <c r="C82" s="649">
        <v>66</v>
      </c>
      <c r="D82" s="1855"/>
      <c r="E82" s="1856"/>
      <c r="F82" s="1856"/>
      <c r="G82" s="1856"/>
      <c r="H82" s="1856"/>
      <c r="I82" s="1856"/>
      <c r="J82" s="1856"/>
      <c r="K82" s="1857"/>
      <c r="L82" s="643" t="str">
        <f t="shared" si="22"/>
        <v/>
      </c>
      <c r="M82" s="664"/>
      <c r="N82" s="665"/>
      <c r="O82" s="267"/>
      <c r="P82" s="666"/>
      <c r="Q82" s="667"/>
      <c r="R82" s="667"/>
      <c r="S82" s="1035"/>
      <c r="T82" s="668"/>
      <c r="U82" s="668"/>
      <c r="V82" s="668"/>
      <c r="W82" s="668"/>
      <c r="X82" s="669"/>
      <c r="Y82" s="670"/>
      <c r="Z82" s="671"/>
      <c r="AA82" s="644"/>
      <c r="AB82" s="978"/>
      <c r="AC82" s="992"/>
      <c r="AD82" s="89"/>
      <c r="AE82" s="89"/>
      <c r="AF82" s="645" t="str">
        <f t="shared" si="17"/>
        <v/>
      </c>
      <c r="AG82" s="1037" t="str">
        <f t="shared" si="18"/>
        <v/>
      </c>
      <c r="AH82" s="1037" t="str">
        <f t="shared" si="19"/>
        <v/>
      </c>
      <c r="AI82" s="1037" t="str">
        <f>IF(AF82="","",VLOOKUP(AF82,リスト!BD:BE,2,0))</f>
        <v/>
      </c>
      <c r="AJ82" s="1037" t="str">
        <f t="shared" si="2"/>
        <v/>
      </c>
      <c r="AK82" s="1037" t="str">
        <f>IF(AJ82="","",VLOOKUP(AJ82,リスト!BW:BX,2,0))</f>
        <v/>
      </c>
      <c r="AL82" s="1037" t="str">
        <f t="shared" si="23"/>
        <v/>
      </c>
      <c r="AM82" s="646" t="str">
        <f t="shared" si="4"/>
        <v/>
      </c>
      <c r="AN82" s="646" t="str">
        <f t="shared" si="5"/>
        <v/>
      </c>
      <c r="AO82" s="647" t="str">
        <f t="shared" si="6"/>
        <v/>
      </c>
      <c r="AP82" s="647" t="str">
        <f t="shared" si="7"/>
        <v/>
      </c>
      <c r="AQ82" s="647" t="str">
        <f t="shared" si="8"/>
        <v/>
      </c>
      <c r="AR82" s="647" t="str">
        <f t="shared" ref="AR82:AR145" si="26">IF(OR(AF82="",AG82=1),IF(AND(AG82=1,AL82=0),U82,""),
IF(AND(AJ82&gt;0,AL82&lt;AJ82,SUM(AQ82)&gt;0,AQ82&lt;=ROUND(U82*AK82,0)),ROUND(AQ82*IF(Y82="2：部分取り壊し",IFERROR(1-(AC82/O82),1),1),),
IF(AND(AJ82&gt;0,AL82&lt;AJ82,SUM(U82)&gt;0),ROUND(U82*AK82*IF(Y82="2：部分取り壊し",IFERROR(1-(AC82/O82),1),1),0),"")))</f>
        <v/>
      </c>
      <c r="AS82" s="647" t="str">
        <f t="shared" si="9"/>
        <v/>
      </c>
      <c r="AT82" s="647" t="str">
        <f t="shared" si="20"/>
        <v/>
      </c>
      <c r="AU82" s="647" t="str">
        <f t="shared" si="21"/>
        <v/>
      </c>
      <c r="AV82" s="647" t="str">
        <f t="shared" si="24"/>
        <v/>
      </c>
      <c r="AW82" s="647" t="str">
        <f t="shared" si="11"/>
        <v/>
      </c>
      <c r="AX82" s="647" t="str">
        <f t="shared" si="12"/>
        <v/>
      </c>
      <c r="AY82" s="647" t="str">
        <f t="shared" si="13"/>
        <v/>
      </c>
      <c r="AZ82" s="647" t="str">
        <f t="shared" si="25"/>
        <v/>
      </c>
      <c r="BA82" s="647" t="str">
        <f t="shared" si="15"/>
        <v/>
      </c>
    </row>
    <row r="83" spans="2:53" s="7" customFormat="1" ht="28.5" hidden="1" customHeight="1" outlineLevel="1">
      <c r="B83" s="64"/>
      <c r="C83" s="649">
        <v>67</v>
      </c>
      <c r="D83" s="1855"/>
      <c r="E83" s="1856"/>
      <c r="F83" s="1856"/>
      <c r="G83" s="1856"/>
      <c r="H83" s="1856"/>
      <c r="I83" s="1856"/>
      <c r="J83" s="1856"/>
      <c r="K83" s="1857"/>
      <c r="L83" s="643" t="str">
        <f t="shared" si="22"/>
        <v/>
      </c>
      <c r="M83" s="664"/>
      <c r="N83" s="665"/>
      <c r="O83" s="267"/>
      <c r="P83" s="666"/>
      <c r="Q83" s="667"/>
      <c r="R83" s="667"/>
      <c r="S83" s="1035"/>
      <c r="T83" s="668"/>
      <c r="U83" s="668"/>
      <c r="V83" s="668"/>
      <c r="W83" s="668"/>
      <c r="X83" s="669"/>
      <c r="Y83" s="670"/>
      <c r="Z83" s="671"/>
      <c r="AA83" s="644"/>
      <c r="AB83" s="978"/>
      <c r="AC83" s="992"/>
      <c r="AD83" s="89"/>
      <c r="AE83" s="89"/>
      <c r="AF83" s="645" t="str">
        <f t="shared" ref="AF83:AF146" si="27">IF(AND(M83="",N83=""),"","["&amp;RIGHT(LEFT(M83,3),2)&amp;RIGHT(LEFT(N83,FIND("]",N83)-1),IF(FIND("]",N83)-1&gt;2,2,1))&amp;"]")</f>
        <v/>
      </c>
      <c r="AG83" s="1037" t="str">
        <f t="shared" ref="AG83:AG146" si="28">IF(AF83="","",IF(T83+U83&lt;100000,1,0))</f>
        <v/>
      </c>
      <c r="AH83" s="1037" t="str">
        <f t="shared" ref="AH83:AH146" si="29">IF(AF83="","",IF(AND(AG83=0,T83+U83&lt;200000),1,))</f>
        <v/>
      </c>
      <c r="AI83" s="1037" t="str">
        <f>IF(AF83="","",VLOOKUP(AF83,リスト!BD:BE,2,0))</f>
        <v/>
      </c>
      <c r="AJ83" s="1037" t="str">
        <f t="shared" si="2"/>
        <v/>
      </c>
      <c r="AK83" s="1037" t="str">
        <f>IF(AJ83="","",VLOOKUP(AJ83,リスト!BW:BX,2,0))</f>
        <v/>
      </c>
      <c r="AL83" s="1037" t="str">
        <f t="shared" si="23"/>
        <v/>
      </c>
      <c r="AM83" s="646" t="str">
        <f t="shared" si="4"/>
        <v/>
      </c>
      <c r="AN83" s="646" t="str">
        <f t="shared" si="5"/>
        <v/>
      </c>
      <c r="AO83" s="647" t="str">
        <f t="shared" si="6"/>
        <v/>
      </c>
      <c r="AP83" s="647" t="str">
        <f t="shared" si="7"/>
        <v/>
      </c>
      <c r="AQ83" s="647" t="str">
        <f t="shared" si="8"/>
        <v/>
      </c>
      <c r="AR83" s="647" t="str">
        <f t="shared" si="26"/>
        <v/>
      </c>
      <c r="AS83" s="647" t="str">
        <f t="shared" si="9"/>
        <v/>
      </c>
      <c r="AT83" s="647" t="str">
        <f t="shared" ref="AT83:AT146" si="30">IF(Y83="2：部分取り壊し",ROUND(T83*(1-(AC83/O83)),0),"")</f>
        <v/>
      </c>
      <c r="AU83" s="647" t="str">
        <f t="shared" ref="AU83:AU146" si="31">IF(Y83="2：部分取り壊し",ROUND(U83*(1-(AC83/O83)),0),"")</f>
        <v/>
      </c>
      <c r="AV83" s="647" t="str">
        <f t="shared" si="24"/>
        <v/>
      </c>
      <c r="AW83" s="647" t="str">
        <f t="shared" si="11"/>
        <v/>
      </c>
      <c r="AX83" s="647" t="str">
        <f t="shared" si="12"/>
        <v/>
      </c>
      <c r="AY83" s="647" t="str">
        <f t="shared" si="13"/>
        <v/>
      </c>
      <c r="AZ83" s="647" t="str">
        <f t="shared" si="25"/>
        <v/>
      </c>
      <c r="BA83" s="647" t="str">
        <f t="shared" si="15"/>
        <v/>
      </c>
    </row>
    <row r="84" spans="2:53" s="7" customFormat="1" ht="28.5" hidden="1" customHeight="1" outlineLevel="1">
      <c r="B84" s="64"/>
      <c r="C84" s="649">
        <v>68</v>
      </c>
      <c r="D84" s="1855"/>
      <c r="E84" s="1856"/>
      <c r="F84" s="1856"/>
      <c r="G84" s="1856"/>
      <c r="H84" s="1856"/>
      <c r="I84" s="1856"/>
      <c r="J84" s="1856"/>
      <c r="K84" s="1857"/>
      <c r="L84" s="643" t="str">
        <f t="shared" si="22"/>
        <v/>
      </c>
      <c r="M84" s="664"/>
      <c r="N84" s="665"/>
      <c r="O84" s="267"/>
      <c r="P84" s="666"/>
      <c r="Q84" s="667"/>
      <c r="R84" s="667"/>
      <c r="S84" s="1035"/>
      <c r="T84" s="668"/>
      <c r="U84" s="668"/>
      <c r="V84" s="668"/>
      <c r="W84" s="668"/>
      <c r="X84" s="669"/>
      <c r="Y84" s="670"/>
      <c r="Z84" s="671"/>
      <c r="AA84" s="644"/>
      <c r="AB84" s="978"/>
      <c r="AC84" s="992"/>
      <c r="AD84" s="89"/>
      <c r="AE84" s="89"/>
      <c r="AF84" s="645" t="str">
        <f t="shared" si="27"/>
        <v/>
      </c>
      <c r="AG84" s="1037" t="str">
        <f t="shared" si="28"/>
        <v/>
      </c>
      <c r="AH84" s="1037" t="str">
        <f t="shared" si="29"/>
        <v/>
      </c>
      <c r="AI84" s="1037" t="str">
        <f>IF(AF84="","",VLOOKUP(AF84,リスト!BD:BE,2,0))</f>
        <v/>
      </c>
      <c r="AJ84" s="1037" t="str">
        <f t="shared" si="2"/>
        <v/>
      </c>
      <c r="AK84" s="1037" t="str">
        <f>IF(AJ84="","",VLOOKUP(AJ84,リスト!BW:BX,2,0))</f>
        <v/>
      </c>
      <c r="AL84" s="1037" t="str">
        <f t="shared" si="23"/>
        <v/>
      </c>
      <c r="AM84" s="646" t="str">
        <f t="shared" si="4"/>
        <v/>
      </c>
      <c r="AN84" s="646" t="str">
        <f t="shared" si="5"/>
        <v/>
      </c>
      <c r="AO84" s="647" t="str">
        <f t="shared" si="6"/>
        <v/>
      </c>
      <c r="AP84" s="647" t="str">
        <f t="shared" si="7"/>
        <v/>
      </c>
      <c r="AQ84" s="647" t="str">
        <f t="shared" si="8"/>
        <v/>
      </c>
      <c r="AR84" s="647" t="str">
        <f t="shared" si="26"/>
        <v/>
      </c>
      <c r="AS84" s="647" t="str">
        <f t="shared" si="9"/>
        <v/>
      </c>
      <c r="AT84" s="647" t="str">
        <f t="shared" si="30"/>
        <v/>
      </c>
      <c r="AU84" s="647" t="str">
        <f t="shared" si="31"/>
        <v/>
      </c>
      <c r="AV84" s="647" t="str">
        <f t="shared" si="24"/>
        <v/>
      </c>
      <c r="AW84" s="647" t="str">
        <f t="shared" si="11"/>
        <v/>
      </c>
      <c r="AX84" s="647" t="str">
        <f t="shared" si="12"/>
        <v/>
      </c>
      <c r="AY84" s="647" t="str">
        <f t="shared" si="13"/>
        <v/>
      </c>
      <c r="AZ84" s="647" t="str">
        <f t="shared" si="25"/>
        <v/>
      </c>
      <c r="BA84" s="647" t="str">
        <f t="shared" si="15"/>
        <v/>
      </c>
    </row>
    <row r="85" spans="2:53" s="7" customFormat="1" ht="28.5" hidden="1" customHeight="1" outlineLevel="1">
      <c r="B85" s="64"/>
      <c r="C85" s="649">
        <v>69</v>
      </c>
      <c r="D85" s="1855"/>
      <c r="E85" s="1856"/>
      <c r="F85" s="1856"/>
      <c r="G85" s="1856"/>
      <c r="H85" s="1856"/>
      <c r="I85" s="1856"/>
      <c r="J85" s="1856"/>
      <c r="K85" s="1857"/>
      <c r="L85" s="643" t="str">
        <f t="shared" si="22"/>
        <v/>
      </c>
      <c r="M85" s="664"/>
      <c r="N85" s="665"/>
      <c r="O85" s="267"/>
      <c r="P85" s="666"/>
      <c r="Q85" s="667"/>
      <c r="R85" s="667"/>
      <c r="S85" s="1035"/>
      <c r="T85" s="668"/>
      <c r="U85" s="668"/>
      <c r="V85" s="668"/>
      <c r="W85" s="668"/>
      <c r="X85" s="669"/>
      <c r="Y85" s="670"/>
      <c r="Z85" s="671"/>
      <c r="AA85" s="644"/>
      <c r="AB85" s="978"/>
      <c r="AC85" s="992"/>
      <c r="AD85" s="89"/>
      <c r="AE85" s="89"/>
      <c r="AF85" s="645" t="str">
        <f t="shared" si="27"/>
        <v/>
      </c>
      <c r="AG85" s="1037" t="str">
        <f t="shared" si="28"/>
        <v/>
      </c>
      <c r="AH85" s="1037" t="str">
        <f t="shared" si="29"/>
        <v/>
      </c>
      <c r="AI85" s="1037" t="str">
        <f>IF(AF85="","",VLOOKUP(AF85,リスト!BD:BE,2,0))</f>
        <v/>
      </c>
      <c r="AJ85" s="1037" t="str">
        <f t="shared" si="2"/>
        <v/>
      </c>
      <c r="AK85" s="1037" t="str">
        <f>IF(AJ85="","",VLOOKUP(AJ85,リスト!BW:BX,2,0))</f>
        <v/>
      </c>
      <c r="AL85" s="1037" t="str">
        <f t="shared" si="23"/>
        <v/>
      </c>
      <c r="AM85" s="646" t="str">
        <f t="shared" si="4"/>
        <v/>
      </c>
      <c r="AN85" s="646" t="str">
        <f t="shared" si="5"/>
        <v/>
      </c>
      <c r="AO85" s="647" t="str">
        <f t="shared" si="6"/>
        <v/>
      </c>
      <c r="AP85" s="647" t="str">
        <f t="shared" si="7"/>
        <v/>
      </c>
      <c r="AQ85" s="647" t="str">
        <f t="shared" si="8"/>
        <v/>
      </c>
      <c r="AR85" s="647" t="str">
        <f t="shared" si="26"/>
        <v/>
      </c>
      <c r="AS85" s="647" t="str">
        <f t="shared" si="9"/>
        <v/>
      </c>
      <c r="AT85" s="647" t="str">
        <f t="shared" si="30"/>
        <v/>
      </c>
      <c r="AU85" s="647" t="str">
        <f t="shared" si="31"/>
        <v/>
      </c>
      <c r="AV85" s="647" t="str">
        <f t="shared" si="24"/>
        <v/>
      </c>
      <c r="AW85" s="647" t="str">
        <f t="shared" si="11"/>
        <v/>
      </c>
      <c r="AX85" s="647" t="str">
        <f t="shared" si="12"/>
        <v/>
      </c>
      <c r="AY85" s="647" t="str">
        <f t="shared" si="13"/>
        <v/>
      </c>
      <c r="AZ85" s="647" t="str">
        <f t="shared" si="25"/>
        <v/>
      </c>
      <c r="BA85" s="647" t="str">
        <f t="shared" si="15"/>
        <v/>
      </c>
    </row>
    <row r="86" spans="2:53" s="7" customFormat="1" ht="28.5" hidden="1" customHeight="1" outlineLevel="1">
      <c r="B86" s="64"/>
      <c r="C86" s="649">
        <v>70</v>
      </c>
      <c r="D86" s="1855"/>
      <c r="E86" s="1856"/>
      <c r="F86" s="1856"/>
      <c r="G86" s="1856"/>
      <c r="H86" s="1856"/>
      <c r="I86" s="1856"/>
      <c r="J86" s="1856"/>
      <c r="K86" s="1857"/>
      <c r="L86" s="643" t="str">
        <f t="shared" si="22"/>
        <v/>
      </c>
      <c r="M86" s="664"/>
      <c r="N86" s="665"/>
      <c r="O86" s="267"/>
      <c r="P86" s="666"/>
      <c r="Q86" s="667"/>
      <c r="R86" s="667"/>
      <c r="S86" s="1035"/>
      <c r="T86" s="668"/>
      <c r="U86" s="668"/>
      <c r="V86" s="668"/>
      <c r="W86" s="668"/>
      <c r="X86" s="669"/>
      <c r="Y86" s="670"/>
      <c r="Z86" s="671"/>
      <c r="AA86" s="644"/>
      <c r="AB86" s="978"/>
      <c r="AC86" s="992"/>
      <c r="AD86" s="89"/>
      <c r="AE86" s="89"/>
      <c r="AF86" s="645" t="str">
        <f t="shared" si="27"/>
        <v/>
      </c>
      <c r="AG86" s="1037" t="str">
        <f t="shared" si="28"/>
        <v/>
      </c>
      <c r="AH86" s="1037" t="str">
        <f t="shared" si="29"/>
        <v/>
      </c>
      <c r="AI86" s="1037" t="str">
        <f>IF(AF86="","",VLOOKUP(AF86,リスト!BD:BE,2,0))</f>
        <v/>
      </c>
      <c r="AJ86" s="1037" t="str">
        <f t="shared" si="2"/>
        <v/>
      </c>
      <c r="AK86" s="1037" t="str">
        <f>IF(AJ86="","",VLOOKUP(AJ86,リスト!BW:BX,2,0))</f>
        <v/>
      </c>
      <c r="AL86" s="1037" t="str">
        <f t="shared" si="23"/>
        <v/>
      </c>
      <c r="AM86" s="646" t="str">
        <f t="shared" si="4"/>
        <v/>
      </c>
      <c r="AN86" s="646" t="str">
        <f t="shared" si="5"/>
        <v/>
      </c>
      <c r="AO86" s="647" t="str">
        <f t="shared" si="6"/>
        <v/>
      </c>
      <c r="AP86" s="647" t="str">
        <f t="shared" si="7"/>
        <v/>
      </c>
      <c r="AQ86" s="647" t="str">
        <f t="shared" si="8"/>
        <v/>
      </c>
      <c r="AR86" s="647" t="str">
        <f t="shared" si="26"/>
        <v/>
      </c>
      <c r="AS86" s="647" t="str">
        <f t="shared" si="9"/>
        <v/>
      </c>
      <c r="AT86" s="647" t="str">
        <f t="shared" si="30"/>
        <v/>
      </c>
      <c r="AU86" s="647" t="str">
        <f t="shared" si="31"/>
        <v/>
      </c>
      <c r="AV86" s="647" t="str">
        <f t="shared" si="24"/>
        <v/>
      </c>
      <c r="AW86" s="647" t="str">
        <f t="shared" si="11"/>
        <v/>
      </c>
      <c r="AX86" s="647" t="str">
        <f t="shared" si="12"/>
        <v/>
      </c>
      <c r="AY86" s="647" t="str">
        <f t="shared" si="13"/>
        <v/>
      </c>
      <c r="AZ86" s="647" t="str">
        <f t="shared" si="25"/>
        <v/>
      </c>
      <c r="BA86" s="647" t="str">
        <f t="shared" si="15"/>
        <v/>
      </c>
    </row>
    <row r="87" spans="2:53" s="7" customFormat="1" ht="28.5" hidden="1" customHeight="1" outlineLevel="1">
      <c r="B87" s="64"/>
      <c r="C87" s="649">
        <v>71</v>
      </c>
      <c r="D87" s="1855"/>
      <c r="E87" s="1856"/>
      <c r="F87" s="1856"/>
      <c r="G87" s="1856"/>
      <c r="H87" s="1856"/>
      <c r="I87" s="1856"/>
      <c r="J87" s="1856"/>
      <c r="K87" s="1857"/>
      <c r="L87" s="643" t="str">
        <f t="shared" si="22"/>
        <v/>
      </c>
      <c r="M87" s="664"/>
      <c r="N87" s="665"/>
      <c r="O87" s="267"/>
      <c r="P87" s="666"/>
      <c r="Q87" s="667"/>
      <c r="R87" s="667"/>
      <c r="S87" s="1035"/>
      <c r="T87" s="668"/>
      <c r="U87" s="668"/>
      <c r="V87" s="668"/>
      <c r="W87" s="668"/>
      <c r="X87" s="669"/>
      <c r="Y87" s="670"/>
      <c r="Z87" s="671"/>
      <c r="AA87" s="644"/>
      <c r="AB87" s="978"/>
      <c r="AC87" s="992"/>
      <c r="AD87" s="89"/>
      <c r="AE87" s="89"/>
      <c r="AF87" s="645" t="str">
        <f t="shared" si="27"/>
        <v/>
      </c>
      <c r="AG87" s="1037" t="str">
        <f t="shared" si="28"/>
        <v/>
      </c>
      <c r="AH87" s="1037" t="str">
        <f t="shared" si="29"/>
        <v/>
      </c>
      <c r="AI87" s="1037" t="str">
        <f>IF(AF87="","",VLOOKUP(AF87,リスト!BD:BE,2,0))</f>
        <v/>
      </c>
      <c r="AJ87" s="1037" t="str">
        <f t="shared" si="2"/>
        <v/>
      </c>
      <c r="AK87" s="1037" t="str">
        <f>IF(AJ87="","",VLOOKUP(AJ87,リスト!BW:BX,2,0))</f>
        <v/>
      </c>
      <c r="AL87" s="1037" t="str">
        <f t="shared" si="23"/>
        <v/>
      </c>
      <c r="AM87" s="646" t="str">
        <f t="shared" si="4"/>
        <v/>
      </c>
      <c r="AN87" s="646" t="str">
        <f t="shared" si="5"/>
        <v/>
      </c>
      <c r="AO87" s="647" t="str">
        <f t="shared" si="6"/>
        <v/>
      </c>
      <c r="AP87" s="647" t="str">
        <f t="shared" si="7"/>
        <v/>
      </c>
      <c r="AQ87" s="647" t="str">
        <f t="shared" si="8"/>
        <v/>
      </c>
      <c r="AR87" s="647" t="str">
        <f t="shared" si="26"/>
        <v/>
      </c>
      <c r="AS87" s="647" t="str">
        <f t="shared" si="9"/>
        <v/>
      </c>
      <c r="AT87" s="647" t="str">
        <f t="shared" si="30"/>
        <v/>
      </c>
      <c r="AU87" s="647" t="str">
        <f t="shared" si="31"/>
        <v/>
      </c>
      <c r="AV87" s="647" t="str">
        <f t="shared" si="24"/>
        <v/>
      </c>
      <c r="AW87" s="647" t="str">
        <f t="shared" si="11"/>
        <v/>
      </c>
      <c r="AX87" s="647" t="str">
        <f t="shared" si="12"/>
        <v/>
      </c>
      <c r="AY87" s="647" t="str">
        <f t="shared" si="13"/>
        <v/>
      </c>
      <c r="AZ87" s="647" t="str">
        <f t="shared" si="25"/>
        <v/>
      </c>
      <c r="BA87" s="647" t="str">
        <f t="shared" si="15"/>
        <v/>
      </c>
    </row>
    <row r="88" spans="2:53" s="7" customFormat="1" ht="28.5" hidden="1" customHeight="1" outlineLevel="1">
      <c r="B88" s="64"/>
      <c r="C88" s="649">
        <v>72</v>
      </c>
      <c r="D88" s="1855"/>
      <c r="E88" s="1856"/>
      <c r="F88" s="1856"/>
      <c r="G88" s="1856"/>
      <c r="H88" s="1856"/>
      <c r="I88" s="1856"/>
      <c r="J88" s="1856"/>
      <c r="K88" s="1857"/>
      <c r="L88" s="643" t="str">
        <f t="shared" si="22"/>
        <v/>
      </c>
      <c r="M88" s="664"/>
      <c r="N88" s="665"/>
      <c r="O88" s="267"/>
      <c r="P88" s="666"/>
      <c r="Q88" s="667"/>
      <c r="R88" s="667"/>
      <c r="S88" s="1035"/>
      <c r="T88" s="668"/>
      <c r="U88" s="668"/>
      <c r="V88" s="668"/>
      <c r="W88" s="668"/>
      <c r="X88" s="669"/>
      <c r="Y88" s="670"/>
      <c r="Z88" s="671"/>
      <c r="AA88" s="644"/>
      <c r="AB88" s="978"/>
      <c r="AC88" s="992"/>
      <c r="AD88" s="89"/>
      <c r="AE88" s="89"/>
      <c r="AF88" s="645" t="str">
        <f t="shared" si="27"/>
        <v/>
      </c>
      <c r="AG88" s="1037" t="str">
        <f t="shared" si="28"/>
        <v/>
      </c>
      <c r="AH88" s="1037" t="str">
        <f t="shared" si="29"/>
        <v/>
      </c>
      <c r="AI88" s="1037" t="str">
        <f>IF(AF88="","",VLOOKUP(AF88,リスト!BD:BE,2,0))</f>
        <v/>
      </c>
      <c r="AJ88" s="1037" t="str">
        <f t="shared" si="2"/>
        <v/>
      </c>
      <c r="AK88" s="1037" t="str">
        <f>IF(AJ88="","",VLOOKUP(AJ88,リスト!BW:BX,2,0))</f>
        <v/>
      </c>
      <c r="AL88" s="1037" t="str">
        <f t="shared" si="23"/>
        <v/>
      </c>
      <c r="AM88" s="646" t="str">
        <f t="shared" si="4"/>
        <v/>
      </c>
      <c r="AN88" s="646" t="str">
        <f t="shared" si="5"/>
        <v/>
      </c>
      <c r="AO88" s="647" t="str">
        <f t="shared" si="6"/>
        <v/>
      </c>
      <c r="AP88" s="647" t="str">
        <f t="shared" si="7"/>
        <v/>
      </c>
      <c r="AQ88" s="647" t="str">
        <f t="shared" si="8"/>
        <v/>
      </c>
      <c r="AR88" s="647" t="str">
        <f t="shared" si="26"/>
        <v/>
      </c>
      <c r="AS88" s="647" t="str">
        <f t="shared" si="9"/>
        <v/>
      </c>
      <c r="AT88" s="647" t="str">
        <f t="shared" si="30"/>
        <v/>
      </c>
      <c r="AU88" s="647" t="str">
        <f t="shared" si="31"/>
        <v/>
      </c>
      <c r="AV88" s="647" t="str">
        <f t="shared" si="24"/>
        <v/>
      </c>
      <c r="AW88" s="647" t="str">
        <f t="shared" si="11"/>
        <v/>
      </c>
      <c r="AX88" s="647" t="str">
        <f t="shared" si="12"/>
        <v/>
      </c>
      <c r="AY88" s="647" t="str">
        <f t="shared" si="13"/>
        <v/>
      </c>
      <c r="AZ88" s="647" t="str">
        <f t="shared" si="25"/>
        <v/>
      </c>
      <c r="BA88" s="647" t="str">
        <f t="shared" si="15"/>
        <v/>
      </c>
    </row>
    <row r="89" spans="2:53" s="7" customFormat="1" ht="28.5" hidden="1" customHeight="1" outlineLevel="1">
      <c r="B89" s="64"/>
      <c r="C89" s="649">
        <v>73</v>
      </c>
      <c r="D89" s="1855"/>
      <c r="E89" s="1856"/>
      <c r="F89" s="1856"/>
      <c r="G89" s="1856"/>
      <c r="H89" s="1856"/>
      <c r="I89" s="1856"/>
      <c r="J89" s="1856"/>
      <c r="K89" s="1857"/>
      <c r="L89" s="643" t="str">
        <f t="shared" si="22"/>
        <v/>
      </c>
      <c r="M89" s="664"/>
      <c r="N89" s="665"/>
      <c r="O89" s="267"/>
      <c r="P89" s="666"/>
      <c r="Q89" s="667"/>
      <c r="R89" s="667"/>
      <c r="S89" s="1035"/>
      <c r="T89" s="668"/>
      <c r="U89" s="668"/>
      <c r="V89" s="668"/>
      <c r="W89" s="668"/>
      <c r="X89" s="669"/>
      <c r="Y89" s="670"/>
      <c r="Z89" s="671"/>
      <c r="AA89" s="644"/>
      <c r="AB89" s="978"/>
      <c r="AC89" s="992"/>
      <c r="AD89" s="89"/>
      <c r="AE89" s="89"/>
      <c r="AF89" s="645" t="str">
        <f t="shared" si="27"/>
        <v/>
      </c>
      <c r="AG89" s="1037" t="str">
        <f t="shared" si="28"/>
        <v/>
      </c>
      <c r="AH89" s="1037" t="str">
        <f t="shared" si="29"/>
        <v/>
      </c>
      <c r="AI89" s="1037" t="str">
        <f>IF(AF89="","",VLOOKUP(AF89,リスト!BD:BE,2,0))</f>
        <v/>
      </c>
      <c r="AJ89" s="1037" t="str">
        <f t="shared" si="2"/>
        <v/>
      </c>
      <c r="AK89" s="1037" t="str">
        <f>IF(AJ89="","",VLOOKUP(AJ89,リスト!BW:BX,2,0))</f>
        <v/>
      </c>
      <c r="AL89" s="1037" t="str">
        <f t="shared" si="23"/>
        <v/>
      </c>
      <c r="AM89" s="646" t="str">
        <f t="shared" si="4"/>
        <v/>
      </c>
      <c r="AN89" s="646" t="str">
        <f t="shared" si="5"/>
        <v/>
      </c>
      <c r="AO89" s="647" t="str">
        <f t="shared" si="6"/>
        <v/>
      </c>
      <c r="AP89" s="647" t="str">
        <f t="shared" si="7"/>
        <v/>
      </c>
      <c r="AQ89" s="647" t="str">
        <f t="shared" si="8"/>
        <v/>
      </c>
      <c r="AR89" s="647" t="str">
        <f t="shared" si="26"/>
        <v/>
      </c>
      <c r="AS89" s="647" t="str">
        <f t="shared" si="9"/>
        <v/>
      </c>
      <c r="AT89" s="647" t="str">
        <f t="shared" si="30"/>
        <v/>
      </c>
      <c r="AU89" s="647" t="str">
        <f t="shared" si="31"/>
        <v/>
      </c>
      <c r="AV89" s="647" t="str">
        <f t="shared" si="24"/>
        <v/>
      </c>
      <c r="AW89" s="647" t="str">
        <f t="shared" si="11"/>
        <v/>
      </c>
      <c r="AX89" s="647" t="str">
        <f t="shared" si="12"/>
        <v/>
      </c>
      <c r="AY89" s="647" t="str">
        <f t="shared" si="13"/>
        <v/>
      </c>
      <c r="AZ89" s="647" t="str">
        <f t="shared" si="25"/>
        <v/>
      </c>
      <c r="BA89" s="647" t="str">
        <f t="shared" si="15"/>
        <v/>
      </c>
    </row>
    <row r="90" spans="2:53" s="7" customFormat="1" ht="28.5" hidden="1" customHeight="1" outlineLevel="1">
      <c r="B90" s="64"/>
      <c r="C90" s="649">
        <v>74</v>
      </c>
      <c r="D90" s="1855"/>
      <c r="E90" s="1856"/>
      <c r="F90" s="1856"/>
      <c r="G90" s="1856"/>
      <c r="H90" s="1856"/>
      <c r="I90" s="1856"/>
      <c r="J90" s="1856"/>
      <c r="K90" s="1857"/>
      <c r="L90" s="643" t="str">
        <f t="shared" si="22"/>
        <v/>
      </c>
      <c r="M90" s="664"/>
      <c r="N90" s="665"/>
      <c r="O90" s="267"/>
      <c r="P90" s="666"/>
      <c r="Q90" s="667"/>
      <c r="R90" s="667"/>
      <c r="S90" s="1035"/>
      <c r="T90" s="668"/>
      <c r="U90" s="668"/>
      <c r="V90" s="668"/>
      <c r="W90" s="668"/>
      <c r="X90" s="669"/>
      <c r="Y90" s="670"/>
      <c r="Z90" s="671"/>
      <c r="AA90" s="644"/>
      <c r="AB90" s="978"/>
      <c r="AC90" s="992"/>
      <c r="AD90" s="89"/>
      <c r="AE90" s="89"/>
      <c r="AF90" s="645" t="str">
        <f t="shared" si="27"/>
        <v/>
      </c>
      <c r="AG90" s="1037" t="str">
        <f t="shared" si="28"/>
        <v/>
      </c>
      <c r="AH90" s="1037" t="str">
        <f t="shared" si="29"/>
        <v/>
      </c>
      <c r="AI90" s="1037" t="str">
        <f>IF(AF90="","",VLOOKUP(AF90,リスト!BD:BE,2,0))</f>
        <v/>
      </c>
      <c r="AJ90" s="1037" t="str">
        <f t="shared" si="2"/>
        <v/>
      </c>
      <c r="AK90" s="1037" t="str">
        <f>IF(AJ90="","",VLOOKUP(AJ90,リスト!BW:BX,2,0))</f>
        <v/>
      </c>
      <c r="AL90" s="1037" t="str">
        <f t="shared" si="23"/>
        <v/>
      </c>
      <c r="AM90" s="646" t="str">
        <f t="shared" si="4"/>
        <v/>
      </c>
      <c r="AN90" s="646" t="str">
        <f t="shared" si="5"/>
        <v/>
      </c>
      <c r="AO90" s="647" t="str">
        <f t="shared" si="6"/>
        <v/>
      </c>
      <c r="AP90" s="647" t="str">
        <f t="shared" si="7"/>
        <v/>
      </c>
      <c r="AQ90" s="647" t="str">
        <f t="shared" si="8"/>
        <v/>
      </c>
      <c r="AR90" s="647" t="str">
        <f t="shared" si="26"/>
        <v/>
      </c>
      <c r="AS90" s="647" t="str">
        <f t="shared" si="9"/>
        <v/>
      </c>
      <c r="AT90" s="647" t="str">
        <f t="shared" si="30"/>
        <v/>
      </c>
      <c r="AU90" s="647" t="str">
        <f t="shared" si="31"/>
        <v/>
      </c>
      <c r="AV90" s="647" t="str">
        <f t="shared" si="24"/>
        <v/>
      </c>
      <c r="AW90" s="647" t="str">
        <f t="shared" si="11"/>
        <v/>
      </c>
      <c r="AX90" s="647" t="str">
        <f t="shared" si="12"/>
        <v/>
      </c>
      <c r="AY90" s="647" t="str">
        <f t="shared" si="13"/>
        <v/>
      </c>
      <c r="AZ90" s="647" t="str">
        <f t="shared" si="25"/>
        <v/>
      </c>
      <c r="BA90" s="647" t="str">
        <f t="shared" si="15"/>
        <v/>
      </c>
    </row>
    <row r="91" spans="2:53" s="7" customFormat="1" ht="28.5" hidden="1" customHeight="1" outlineLevel="1">
      <c r="B91" s="64"/>
      <c r="C91" s="649">
        <v>75</v>
      </c>
      <c r="D91" s="1855"/>
      <c r="E91" s="1856"/>
      <c r="F91" s="1856"/>
      <c r="G91" s="1856"/>
      <c r="H91" s="1856"/>
      <c r="I91" s="1856"/>
      <c r="J91" s="1856"/>
      <c r="K91" s="1857"/>
      <c r="L91" s="643" t="str">
        <f t="shared" si="22"/>
        <v/>
      </c>
      <c r="M91" s="664"/>
      <c r="N91" s="665"/>
      <c r="O91" s="267"/>
      <c r="P91" s="666"/>
      <c r="Q91" s="667"/>
      <c r="R91" s="667"/>
      <c r="S91" s="1035"/>
      <c r="T91" s="668"/>
      <c r="U91" s="668"/>
      <c r="V91" s="668"/>
      <c r="W91" s="668"/>
      <c r="X91" s="669"/>
      <c r="Y91" s="670"/>
      <c r="Z91" s="671"/>
      <c r="AA91" s="644"/>
      <c r="AB91" s="978"/>
      <c r="AC91" s="992"/>
      <c r="AD91" s="89"/>
      <c r="AE91" s="89"/>
      <c r="AF91" s="645" t="str">
        <f t="shared" si="27"/>
        <v/>
      </c>
      <c r="AG91" s="1037" t="str">
        <f t="shared" si="28"/>
        <v/>
      </c>
      <c r="AH91" s="1037" t="str">
        <f t="shared" si="29"/>
        <v/>
      </c>
      <c r="AI91" s="1037" t="str">
        <f>IF(AF91="","",VLOOKUP(AF91,リスト!BD:BE,2,0))</f>
        <v/>
      </c>
      <c r="AJ91" s="1037" t="str">
        <f t="shared" si="2"/>
        <v/>
      </c>
      <c r="AK91" s="1037" t="str">
        <f>IF(AJ91="","",VLOOKUP(AJ91,リスト!BW:BX,2,0))</f>
        <v/>
      </c>
      <c r="AL91" s="1037" t="str">
        <f t="shared" si="23"/>
        <v/>
      </c>
      <c r="AM91" s="646" t="str">
        <f t="shared" si="4"/>
        <v/>
      </c>
      <c r="AN91" s="646" t="str">
        <f t="shared" si="5"/>
        <v/>
      </c>
      <c r="AO91" s="647" t="str">
        <f t="shared" si="6"/>
        <v/>
      </c>
      <c r="AP91" s="647" t="str">
        <f t="shared" si="7"/>
        <v/>
      </c>
      <c r="AQ91" s="647" t="str">
        <f t="shared" si="8"/>
        <v/>
      </c>
      <c r="AR91" s="647" t="str">
        <f t="shared" si="26"/>
        <v/>
      </c>
      <c r="AS91" s="647" t="str">
        <f t="shared" si="9"/>
        <v/>
      </c>
      <c r="AT91" s="647" t="str">
        <f t="shared" si="30"/>
        <v/>
      </c>
      <c r="AU91" s="647" t="str">
        <f t="shared" si="31"/>
        <v/>
      </c>
      <c r="AV91" s="647" t="str">
        <f t="shared" si="24"/>
        <v/>
      </c>
      <c r="AW91" s="647" t="str">
        <f t="shared" si="11"/>
        <v/>
      </c>
      <c r="AX91" s="647" t="str">
        <f t="shared" si="12"/>
        <v/>
      </c>
      <c r="AY91" s="647" t="str">
        <f t="shared" si="13"/>
        <v/>
      </c>
      <c r="AZ91" s="647" t="str">
        <f t="shared" si="25"/>
        <v/>
      </c>
      <c r="BA91" s="647" t="str">
        <f t="shared" si="15"/>
        <v/>
      </c>
    </row>
    <row r="92" spans="2:53" s="7" customFormat="1" ht="28.5" hidden="1" customHeight="1" outlineLevel="1">
      <c r="B92" s="64"/>
      <c r="C92" s="649">
        <v>76</v>
      </c>
      <c r="D92" s="1855"/>
      <c r="E92" s="1856"/>
      <c r="F92" s="1856"/>
      <c r="G92" s="1856"/>
      <c r="H92" s="1856"/>
      <c r="I92" s="1856"/>
      <c r="J92" s="1856"/>
      <c r="K92" s="1857"/>
      <c r="L92" s="643" t="str">
        <f t="shared" si="22"/>
        <v/>
      </c>
      <c r="M92" s="664"/>
      <c r="N92" s="665"/>
      <c r="O92" s="267"/>
      <c r="P92" s="666"/>
      <c r="Q92" s="667"/>
      <c r="R92" s="667"/>
      <c r="S92" s="1035"/>
      <c r="T92" s="668"/>
      <c r="U92" s="668"/>
      <c r="V92" s="668"/>
      <c r="W92" s="668"/>
      <c r="X92" s="669"/>
      <c r="Y92" s="670"/>
      <c r="Z92" s="671"/>
      <c r="AA92" s="644"/>
      <c r="AB92" s="978"/>
      <c r="AC92" s="992"/>
      <c r="AD92" s="89"/>
      <c r="AE92" s="89"/>
      <c r="AF92" s="645" t="str">
        <f t="shared" si="27"/>
        <v/>
      </c>
      <c r="AG92" s="1037" t="str">
        <f t="shared" si="28"/>
        <v/>
      </c>
      <c r="AH92" s="1037" t="str">
        <f t="shared" si="29"/>
        <v/>
      </c>
      <c r="AI92" s="1037" t="str">
        <f>IF(AF92="","",VLOOKUP(AF92,リスト!BD:BE,2,0))</f>
        <v/>
      </c>
      <c r="AJ92" s="1037" t="str">
        <f t="shared" si="2"/>
        <v/>
      </c>
      <c r="AK92" s="1037" t="str">
        <f>IF(AJ92="","",VLOOKUP(AJ92,リスト!BW:BX,2,0))</f>
        <v/>
      </c>
      <c r="AL92" s="1037" t="str">
        <f t="shared" si="23"/>
        <v/>
      </c>
      <c r="AM92" s="646" t="str">
        <f t="shared" si="4"/>
        <v/>
      </c>
      <c r="AN92" s="646" t="str">
        <f t="shared" si="5"/>
        <v/>
      </c>
      <c r="AO92" s="647" t="str">
        <f t="shared" si="6"/>
        <v/>
      </c>
      <c r="AP92" s="647" t="str">
        <f t="shared" si="7"/>
        <v/>
      </c>
      <c r="AQ92" s="647" t="str">
        <f t="shared" si="8"/>
        <v/>
      </c>
      <c r="AR92" s="647" t="str">
        <f t="shared" si="26"/>
        <v/>
      </c>
      <c r="AS92" s="647" t="str">
        <f t="shared" si="9"/>
        <v/>
      </c>
      <c r="AT92" s="647" t="str">
        <f t="shared" si="30"/>
        <v/>
      </c>
      <c r="AU92" s="647" t="str">
        <f t="shared" si="31"/>
        <v/>
      </c>
      <c r="AV92" s="647" t="str">
        <f t="shared" si="24"/>
        <v/>
      </c>
      <c r="AW92" s="647" t="str">
        <f t="shared" si="11"/>
        <v/>
      </c>
      <c r="AX92" s="647" t="str">
        <f t="shared" si="12"/>
        <v/>
      </c>
      <c r="AY92" s="647" t="str">
        <f t="shared" si="13"/>
        <v/>
      </c>
      <c r="AZ92" s="647" t="str">
        <f t="shared" si="25"/>
        <v/>
      </c>
      <c r="BA92" s="647" t="str">
        <f t="shared" si="15"/>
        <v/>
      </c>
    </row>
    <row r="93" spans="2:53" s="7" customFormat="1" ht="28.5" hidden="1" customHeight="1" outlineLevel="1">
      <c r="B93" s="64"/>
      <c r="C93" s="649">
        <v>77</v>
      </c>
      <c r="D93" s="1855"/>
      <c r="E93" s="1856"/>
      <c r="F93" s="1856"/>
      <c r="G93" s="1856"/>
      <c r="H93" s="1856"/>
      <c r="I93" s="1856"/>
      <c r="J93" s="1856"/>
      <c r="K93" s="1857"/>
      <c r="L93" s="643" t="str">
        <f t="shared" si="22"/>
        <v/>
      </c>
      <c r="M93" s="664"/>
      <c r="N93" s="665"/>
      <c r="O93" s="267"/>
      <c r="P93" s="666"/>
      <c r="Q93" s="667"/>
      <c r="R93" s="667"/>
      <c r="S93" s="1035"/>
      <c r="T93" s="668"/>
      <c r="U93" s="668"/>
      <c r="V93" s="668"/>
      <c r="W93" s="668"/>
      <c r="X93" s="669"/>
      <c r="Y93" s="670"/>
      <c r="Z93" s="671"/>
      <c r="AA93" s="644"/>
      <c r="AB93" s="978"/>
      <c r="AC93" s="992"/>
      <c r="AD93" s="89"/>
      <c r="AE93" s="89"/>
      <c r="AF93" s="645" t="str">
        <f t="shared" si="27"/>
        <v/>
      </c>
      <c r="AG93" s="1037" t="str">
        <f t="shared" si="28"/>
        <v/>
      </c>
      <c r="AH93" s="1037" t="str">
        <f t="shared" si="29"/>
        <v/>
      </c>
      <c r="AI93" s="1037" t="str">
        <f>IF(AF93="","",VLOOKUP(AF93,リスト!BD:BE,2,0))</f>
        <v/>
      </c>
      <c r="AJ93" s="1037" t="str">
        <f t="shared" si="2"/>
        <v/>
      </c>
      <c r="AK93" s="1037" t="str">
        <f>IF(AJ93="","",VLOOKUP(AJ93,リスト!BW:BX,2,0))</f>
        <v/>
      </c>
      <c r="AL93" s="1037" t="str">
        <f t="shared" si="23"/>
        <v/>
      </c>
      <c r="AM93" s="646" t="str">
        <f t="shared" si="4"/>
        <v/>
      </c>
      <c r="AN93" s="646" t="str">
        <f t="shared" si="5"/>
        <v/>
      </c>
      <c r="AO93" s="647" t="str">
        <f t="shared" si="6"/>
        <v/>
      </c>
      <c r="AP93" s="647" t="str">
        <f t="shared" si="7"/>
        <v/>
      </c>
      <c r="AQ93" s="647" t="str">
        <f t="shared" si="8"/>
        <v/>
      </c>
      <c r="AR93" s="647" t="str">
        <f t="shared" si="26"/>
        <v/>
      </c>
      <c r="AS93" s="647" t="str">
        <f t="shared" si="9"/>
        <v/>
      </c>
      <c r="AT93" s="647" t="str">
        <f t="shared" si="30"/>
        <v/>
      </c>
      <c r="AU93" s="647" t="str">
        <f t="shared" si="31"/>
        <v/>
      </c>
      <c r="AV93" s="647" t="str">
        <f t="shared" si="24"/>
        <v/>
      </c>
      <c r="AW93" s="647" t="str">
        <f t="shared" si="11"/>
        <v/>
      </c>
      <c r="AX93" s="647" t="str">
        <f t="shared" si="12"/>
        <v/>
      </c>
      <c r="AY93" s="647" t="str">
        <f t="shared" si="13"/>
        <v/>
      </c>
      <c r="AZ93" s="647" t="str">
        <f t="shared" si="25"/>
        <v/>
      </c>
      <c r="BA93" s="647" t="str">
        <f t="shared" si="15"/>
        <v/>
      </c>
    </row>
    <row r="94" spans="2:53" s="7" customFormat="1" ht="28.5" hidden="1" customHeight="1" outlineLevel="1">
      <c r="B94" s="64"/>
      <c r="C94" s="649">
        <v>78</v>
      </c>
      <c r="D94" s="1855"/>
      <c r="E94" s="1856"/>
      <c r="F94" s="1856"/>
      <c r="G94" s="1856"/>
      <c r="H94" s="1856"/>
      <c r="I94" s="1856"/>
      <c r="J94" s="1856"/>
      <c r="K94" s="1857"/>
      <c r="L94" s="643" t="str">
        <f t="shared" si="22"/>
        <v/>
      </c>
      <c r="M94" s="664"/>
      <c r="N94" s="665"/>
      <c r="O94" s="267"/>
      <c r="P94" s="666"/>
      <c r="Q94" s="667"/>
      <c r="R94" s="667"/>
      <c r="S94" s="1035"/>
      <c r="T94" s="668"/>
      <c r="U94" s="668"/>
      <c r="V94" s="668"/>
      <c r="W94" s="668"/>
      <c r="X94" s="669"/>
      <c r="Y94" s="670"/>
      <c r="Z94" s="671"/>
      <c r="AA94" s="644"/>
      <c r="AB94" s="978"/>
      <c r="AC94" s="992"/>
      <c r="AD94" s="89"/>
      <c r="AE94" s="89"/>
      <c r="AF94" s="645" t="str">
        <f t="shared" si="27"/>
        <v/>
      </c>
      <c r="AG94" s="1037" t="str">
        <f t="shared" si="28"/>
        <v/>
      </c>
      <c r="AH94" s="1037" t="str">
        <f t="shared" si="29"/>
        <v/>
      </c>
      <c r="AI94" s="1037" t="str">
        <f>IF(AF94="","",VLOOKUP(AF94,リスト!BD:BE,2,0))</f>
        <v/>
      </c>
      <c r="AJ94" s="1037" t="str">
        <f t="shared" si="2"/>
        <v/>
      </c>
      <c r="AK94" s="1037" t="str">
        <f>IF(AJ94="","",VLOOKUP(AJ94,リスト!BW:BX,2,0))</f>
        <v/>
      </c>
      <c r="AL94" s="1037" t="str">
        <f t="shared" si="23"/>
        <v/>
      </c>
      <c r="AM94" s="646" t="str">
        <f t="shared" si="4"/>
        <v/>
      </c>
      <c r="AN94" s="646" t="str">
        <f t="shared" si="5"/>
        <v/>
      </c>
      <c r="AO94" s="647" t="str">
        <f t="shared" si="6"/>
        <v/>
      </c>
      <c r="AP94" s="647" t="str">
        <f t="shared" si="7"/>
        <v/>
      </c>
      <c r="AQ94" s="647" t="str">
        <f t="shared" si="8"/>
        <v/>
      </c>
      <c r="AR94" s="647" t="str">
        <f t="shared" si="26"/>
        <v/>
      </c>
      <c r="AS94" s="647" t="str">
        <f t="shared" si="9"/>
        <v/>
      </c>
      <c r="AT94" s="647" t="str">
        <f t="shared" si="30"/>
        <v/>
      </c>
      <c r="AU94" s="647" t="str">
        <f t="shared" si="31"/>
        <v/>
      </c>
      <c r="AV94" s="647" t="str">
        <f t="shared" si="24"/>
        <v/>
      </c>
      <c r="AW94" s="647" t="str">
        <f t="shared" si="11"/>
        <v/>
      </c>
      <c r="AX94" s="647" t="str">
        <f t="shared" si="12"/>
        <v/>
      </c>
      <c r="AY94" s="647" t="str">
        <f t="shared" si="13"/>
        <v/>
      </c>
      <c r="AZ94" s="647" t="str">
        <f t="shared" si="25"/>
        <v/>
      </c>
      <c r="BA94" s="647" t="str">
        <f t="shared" si="15"/>
        <v/>
      </c>
    </row>
    <row r="95" spans="2:53" s="7" customFormat="1" ht="28.5" hidden="1" customHeight="1" outlineLevel="1">
      <c r="B95" s="64"/>
      <c r="C95" s="649">
        <v>79</v>
      </c>
      <c r="D95" s="1855"/>
      <c r="E95" s="1856"/>
      <c r="F95" s="1856"/>
      <c r="G95" s="1856"/>
      <c r="H95" s="1856"/>
      <c r="I95" s="1856"/>
      <c r="J95" s="1856"/>
      <c r="K95" s="1857"/>
      <c r="L95" s="643" t="str">
        <f t="shared" si="22"/>
        <v/>
      </c>
      <c r="M95" s="664"/>
      <c r="N95" s="665"/>
      <c r="O95" s="267"/>
      <c r="P95" s="666"/>
      <c r="Q95" s="667"/>
      <c r="R95" s="667"/>
      <c r="S95" s="1035"/>
      <c r="T95" s="668"/>
      <c r="U95" s="668"/>
      <c r="V95" s="668"/>
      <c r="W95" s="668"/>
      <c r="X95" s="669"/>
      <c r="Y95" s="670"/>
      <c r="Z95" s="671"/>
      <c r="AA95" s="644"/>
      <c r="AB95" s="978"/>
      <c r="AC95" s="992"/>
      <c r="AD95" s="89"/>
      <c r="AE95" s="89"/>
      <c r="AF95" s="645" t="str">
        <f t="shared" si="27"/>
        <v/>
      </c>
      <c r="AG95" s="1037" t="str">
        <f t="shared" si="28"/>
        <v/>
      </c>
      <c r="AH95" s="1037" t="str">
        <f t="shared" si="29"/>
        <v/>
      </c>
      <c r="AI95" s="1037" t="str">
        <f>IF(AF95="","",VLOOKUP(AF95,リスト!BD:BE,2,0))</f>
        <v/>
      </c>
      <c r="AJ95" s="1037" t="str">
        <f t="shared" si="2"/>
        <v/>
      </c>
      <c r="AK95" s="1037" t="str">
        <f>IF(AJ95="","",VLOOKUP(AJ95,リスト!BW:BX,2,0))</f>
        <v/>
      </c>
      <c r="AL95" s="1037" t="str">
        <f t="shared" si="23"/>
        <v/>
      </c>
      <c r="AM95" s="646" t="str">
        <f t="shared" si="4"/>
        <v/>
      </c>
      <c r="AN95" s="646" t="str">
        <f t="shared" si="5"/>
        <v/>
      </c>
      <c r="AO95" s="647" t="str">
        <f t="shared" si="6"/>
        <v/>
      </c>
      <c r="AP95" s="647" t="str">
        <f t="shared" si="7"/>
        <v/>
      </c>
      <c r="AQ95" s="647" t="str">
        <f t="shared" si="8"/>
        <v/>
      </c>
      <c r="AR95" s="647" t="str">
        <f t="shared" si="26"/>
        <v/>
      </c>
      <c r="AS95" s="647" t="str">
        <f t="shared" si="9"/>
        <v/>
      </c>
      <c r="AT95" s="647" t="str">
        <f t="shared" si="30"/>
        <v/>
      </c>
      <c r="AU95" s="647" t="str">
        <f t="shared" si="31"/>
        <v/>
      </c>
      <c r="AV95" s="647" t="str">
        <f t="shared" si="24"/>
        <v/>
      </c>
      <c r="AW95" s="647" t="str">
        <f t="shared" si="11"/>
        <v/>
      </c>
      <c r="AX95" s="647" t="str">
        <f t="shared" si="12"/>
        <v/>
      </c>
      <c r="AY95" s="647" t="str">
        <f t="shared" si="13"/>
        <v/>
      </c>
      <c r="AZ95" s="647" t="str">
        <f t="shared" si="25"/>
        <v/>
      </c>
      <c r="BA95" s="647" t="str">
        <f t="shared" si="15"/>
        <v/>
      </c>
    </row>
    <row r="96" spans="2:53" s="7" customFormat="1" ht="28.5" hidden="1" customHeight="1" outlineLevel="1">
      <c r="B96" s="64"/>
      <c r="C96" s="649">
        <v>80</v>
      </c>
      <c r="D96" s="1855"/>
      <c r="E96" s="1856"/>
      <c r="F96" s="1856"/>
      <c r="G96" s="1856"/>
      <c r="H96" s="1856"/>
      <c r="I96" s="1856"/>
      <c r="J96" s="1856"/>
      <c r="K96" s="1857"/>
      <c r="L96" s="643" t="str">
        <f t="shared" si="22"/>
        <v/>
      </c>
      <c r="M96" s="664"/>
      <c r="N96" s="665"/>
      <c r="O96" s="267"/>
      <c r="P96" s="666"/>
      <c r="Q96" s="667"/>
      <c r="R96" s="667"/>
      <c r="S96" s="1035"/>
      <c r="T96" s="668"/>
      <c r="U96" s="668"/>
      <c r="V96" s="668"/>
      <c r="W96" s="668"/>
      <c r="X96" s="669"/>
      <c r="Y96" s="670"/>
      <c r="Z96" s="671"/>
      <c r="AA96" s="644"/>
      <c r="AB96" s="978"/>
      <c r="AC96" s="992"/>
      <c r="AD96" s="89"/>
      <c r="AE96" s="89"/>
      <c r="AF96" s="645" t="str">
        <f t="shared" si="27"/>
        <v/>
      </c>
      <c r="AG96" s="1037" t="str">
        <f t="shared" si="28"/>
        <v/>
      </c>
      <c r="AH96" s="1037" t="str">
        <f t="shared" si="29"/>
        <v/>
      </c>
      <c r="AI96" s="1037" t="str">
        <f>IF(AF96="","",VLOOKUP(AF96,リスト!BD:BE,2,0))</f>
        <v/>
      </c>
      <c r="AJ96" s="1037" t="str">
        <f t="shared" si="2"/>
        <v/>
      </c>
      <c r="AK96" s="1037" t="str">
        <f>IF(AJ96="","",VLOOKUP(AJ96,リスト!BW:BX,2,0))</f>
        <v/>
      </c>
      <c r="AL96" s="1037" t="str">
        <f t="shared" si="23"/>
        <v/>
      </c>
      <c r="AM96" s="646" t="str">
        <f t="shared" si="4"/>
        <v/>
      </c>
      <c r="AN96" s="646" t="str">
        <f t="shared" si="5"/>
        <v/>
      </c>
      <c r="AO96" s="647" t="str">
        <f t="shared" si="6"/>
        <v/>
      </c>
      <c r="AP96" s="647" t="str">
        <f t="shared" si="7"/>
        <v/>
      </c>
      <c r="AQ96" s="647" t="str">
        <f t="shared" si="8"/>
        <v/>
      </c>
      <c r="AR96" s="647" t="str">
        <f t="shared" si="26"/>
        <v/>
      </c>
      <c r="AS96" s="647" t="str">
        <f t="shared" si="9"/>
        <v/>
      </c>
      <c r="AT96" s="647" t="str">
        <f t="shared" si="30"/>
        <v/>
      </c>
      <c r="AU96" s="647" t="str">
        <f t="shared" si="31"/>
        <v/>
      </c>
      <c r="AV96" s="647" t="str">
        <f t="shared" si="24"/>
        <v/>
      </c>
      <c r="AW96" s="647" t="str">
        <f t="shared" si="11"/>
        <v/>
      </c>
      <c r="AX96" s="647" t="str">
        <f t="shared" si="12"/>
        <v/>
      </c>
      <c r="AY96" s="647" t="str">
        <f t="shared" si="13"/>
        <v/>
      </c>
      <c r="AZ96" s="647" t="str">
        <f t="shared" si="25"/>
        <v/>
      </c>
      <c r="BA96" s="647" t="str">
        <f t="shared" si="15"/>
        <v/>
      </c>
    </row>
    <row r="97" spans="2:53" s="7" customFormat="1" ht="28.5" hidden="1" customHeight="1" outlineLevel="1">
      <c r="B97" s="64"/>
      <c r="C97" s="649">
        <v>81</v>
      </c>
      <c r="D97" s="1855"/>
      <c r="E97" s="1856"/>
      <c r="F97" s="1856"/>
      <c r="G97" s="1856"/>
      <c r="H97" s="1856"/>
      <c r="I97" s="1856"/>
      <c r="J97" s="1856"/>
      <c r="K97" s="1857"/>
      <c r="L97" s="643" t="str">
        <f t="shared" si="22"/>
        <v/>
      </c>
      <c r="M97" s="664"/>
      <c r="N97" s="665"/>
      <c r="O97" s="267"/>
      <c r="P97" s="666"/>
      <c r="Q97" s="667"/>
      <c r="R97" s="667"/>
      <c r="S97" s="1035"/>
      <c r="T97" s="668"/>
      <c r="U97" s="668"/>
      <c r="V97" s="668"/>
      <c r="W97" s="668"/>
      <c r="X97" s="669"/>
      <c r="Y97" s="670"/>
      <c r="Z97" s="671"/>
      <c r="AA97" s="644"/>
      <c r="AB97" s="978"/>
      <c r="AC97" s="992"/>
      <c r="AD97" s="89"/>
      <c r="AE97" s="89"/>
      <c r="AF97" s="645" t="str">
        <f t="shared" si="27"/>
        <v/>
      </c>
      <c r="AG97" s="1037" t="str">
        <f t="shared" si="28"/>
        <v/>
      </c>
      <c r="AH97" s="1037" t="str">
        <f t="shared" si="29"/>
        <v/>
      </c>
      <c r="AI97" s="1037" t="str">
        <f>IF(AF97="","",VLOOKUP(AF97,リスト!BD:BE,2,0))</f>
        <v/>
      </c>
      <c r="AJ97" s="1037" t="str">
        <f t="shared" si="2"/>
        <v/>
      </c>
      <c r="AK97" s="1037" t="str">
        <f>IF(AJ97="","",VLOOKUP(AJ97,リスト!BW:BX,2,0))</f>
        <v/>
      </c>
      <c r="AL97" s="1037" t="str">
        <f t="shared" si="23"/>
        <v/>
      </c>
      <c r="AM97" s="646" t="str">
        <f t="shared" si="4"/>
        <v/>
      </c>
      <c r="AN97" s="646" t="str">
        <f t="shared" si="5"/>
        <v/>
      </c>
      <c r="AO97" s="647" t="str">
        <f t="shared" si="6"/>
        <v/>
      </c>
      <c r="AP97" s="647" t="str">
        <f t="shared" si="7"/>
        <v/>
      </c>
      <c r="AQ97" s="647" t="str">
        <f t="shared" si="8"/>
        <v/>
      </c>
      <c r="AR97" s="647" t="str">
        <f t="shared" si="26"/>
        <v/>
      </c>
      <c r="AS97" s="647" t="str">
        <f t="shared" si="9"/>
        <v/>
      </c>
      <c r="AT97" s="647" t="str">
        <f t="shared" si="30"/>
        <v/>
      </c>
      <c r="AU97" s="647" t="str">
        <f t="shared" si="31"/>
        <v/>
      </c>
      <c r="AV97" s="647" t="str">
        <f t="shared" si="24"/>
        <v/>
      </c>
      <c r="AW97" s="647" t="str">
        <f t="shared" si="11"/>
        <v/>
      </c>
      <c r="AX97" s="647" t="str">
        <f t="shared" si="12"/>
        <v/>
      </c>
      <c r="AY97" s="647" t="str">
        <f t="shared" si="13"/>
        <v/>
      </c>
      <c r="AZ97" s="647" t="str">
        <f t="shared" si="25"/>
        <v/>
      </c>
      <c r="BA97" s="647" t="str">
        <f t="shared" si="15"/>
        <v/>
      </c>
    </row>
    <row r="98" spans="2:53" s="7" customFormat="1" ht="28.5" hidden="1" customHeight="1" outlineLevel="1">
      <c r="B98" s="64"/>
      <c r="C98" s="649">
        <v>82</v>
      </c>
      <c r="D98" s="1855"/>
      <c r="E98" s="1856"/>
      <c r="F98" s="1856"/>
      <c r="G98" s="1856"/>
      <c r="H98" s="1856"/>
      <c r="I98" s="1856"/>
      <c r="J98" s="1856"/>
      <c r="K98" s="1857"/>
      <c r="L98" s="643" t="str">
        <f t="shared" si="22"/>
        <v/>
      </c>
      <c r="M98" s="664"/>
      <c r="N98" s="665"/>
      <c r="O98" s="267"/>
      <c r="P98" s="666"/>
      <c r="Q98" s="667"/>
      <c r="R98" s="667"/>
      <c r="S98" s="1035"/>
      <c r="T98" s="668"/>
      <c r="U98" s="668"/>
      <c r="V98" s="668"/>
      <c r="W98" s="668"/>
      <c r="X98" s="669"/>
      <c r="Y98" s="670"/>
      <c r="Z98" s="671"/>
      <c r="AA98" s="644"/>
      <c r="AB98" s="978"/>
      <c r="AC98" s="992"/>
      <c r="AD98" s="89"/>
      <c r="AE98" s="89"/>
      <c r="AF98" s="645" t="str">
        <f t="shared" si="27"/>
        <v/>
      </c>
      <c r="AG98" s="1037" t="str">
        <f t="shared" si="28"/>
        <v/>
      </c>
      <c r="AH98" s="1037" t="str">
        <f t="shared" si="29"/>
        <v/>
      </c>
      <c r="AI98" s="1037" t="str">
        <f>IF(AF98="","",VLOOKUP(AF98,リスト!BD:BE,2,0))</f>
        <v/>
      </c>
      <c r="AJ98" s="1037" t="str">
        <f t="shared" si="2"/>
        <v/>
      </c>
      <c r="AK98" s="1037" t="str">
        <f>IF(AJ98="","",VLOOKUP(AJ98,リスト!BW:BX,2,0))</f>
        <v/>
      </c>
      <c r="AL98" s="1037" t="str">
        <f t="shared" si="23"/>
        <v/>
      </c>
      <c r="AM98" s="646" t="str">
        <f t="shared" si="4"/>
        <v/>
      </c>
      <c r="AN98" s="646" t="str">
        <f t="shared" si="5"/>
        <v/>
      </c>
      <c r="AO98" s="647" t="str">
        <f t="shared" si="6"/>
        <v/>
      </c>
      <c r="AP98" s="647" t="str">
        <f t="shared" si="7"/>
        <v/>
      </c>
      <c r="AQ98" s="647" t="str">
        <f t="shared" si="8"/>
        <v/>
      </c>
      <c r="AR98" s="647" t="str">
        <f t="shared" si="26"/>
        <v/>
      </c>
      <c r="AS98" s="647" t="str">
        <f t="shared" si="9"/>
        <v/>
      </c>
      <c r="AT98" s="647" t="str">
        <f t="shared" si="30"/>
        <v/>
      </c>
      <c r="AU98" s="647" t="str">
        <f t="shared" si="31"/>
        <v/>
      </c>
      <c r="AV98" s="647" t="str">
        <f t="shared" si="24"/>
        <v/>
      </c>
      <c r="AW98" s="647" t="str">
        <f t="shared" si="11"/>
        <v/>
      </c>
      <c r="AX98" s="647" t="str">
        <f t="shared" si="12"/>
        <v/>
      </c>
      <c r="AY98" s="647" t="str">
        <f t="shared" si="13"/>
        <v/>
      </c>
      <c r="AZ98" s="647" t="str">
        <f t="shared" si="25"/>
        <v/>
      </c>
      <c r="BA98" s="647" t="str">
        <f t="shared" si="15"/>
        <v/>
      </c>
    </row>
    <row r="99" spans="2:53" s="7" customFormat="1" ht="28.5" hidden="1" customHeight="1" outlineLevel="1">
      <c r="B99" s="64"/>
      <c r="C99" s="649">
        <v>83</v>
      </c>
      <c r="D99" s="1855"/>
      <c r="E99" s="1856"/>
      <c r="F99" s="1856"/>
      <c r="G99" s="1856"/>
      <c r="H99" s="1856"/>
      <c r="I99" s="1856"/>
      <c r="J99" s="1856"/>
      <c r="K99" s="1857"/>
      <c r="L99" s="643" t="str">
        <f t="shared" si="22"/>
        <v/>
      </c>
      <c r="M99" s="664"/>
      <c r="N99" s="665"/>
      <c r="O99" s="267"/>
      <c r="P99" s="666"/>
      <c r="Q99" s="667"/>
      <c r="R99" s="667"/>
      <c r="S99" s="1035"/>
      <c r="T99" s="668"/>
      <c r="U99" s="668"/>
      <c r="V99" s="668"/>
      <c r="W99" s="668"/>
      <c r="X99" s="669"/>
      <c r="Y99" s="670"/>
      <c r="Z99" s="671"/>
      <c r="AA99" s="644"/>
      <c r="AB99" s="978"/>
      <c r="AC99" s="992"/>
      <c r="AD99" s="89"/>
      <c r="AE99" s="89"/>
      <c r="AF99" s="645" t="str">
        <f t="shared" si="27"/>
        <v/>
      </c>
      <c r="AG99" s="1037" t="str">
        <f t="shared" si="28"/>
        <v/>
      </c>
      <c r="AH99" s="1037" t="str">
        <f t="shared" si="29"/>
        <v/>
      </c>
      <c r="AI99" s="1037" t="str">
        <f>IF(AF99="","",VLOOKUP(AF99,リスト!BD:BE,2,0))</f>
        <v/>
      </c>
      <c r="AJ99" s="1037" t="str">
        <f t="shared" si="2"/>
        <v/>
      </c>
      <c r="AK99" s="1037" t="str">
        <f>IF(AJ99="","",VLOOKUP(AJ99,リスト!BW:BX,2,0))</f>
        <v/>
      </c>
      <c r="AL99" s="1037" t="str">
        <f t="shared" si="23"/>
        <v/>
      </c>
      <c r="AM99" s="646" t="str">
        <f t="shared" si="4"/>
        <v/>
      </c>
      <c r="AN99" s="646" t="str">
        <f t="shared" si="5"/>
        <v/>
      </c>
      <c r="AO99" s="647" t="str">
        <f t="shared" si="6"/>
        <v/>
      </c>
      <c r="AP99" s="647" t="str">
        <f t="shared" si="7"/>
        <v/>
      </c>
      <c r="AQ99" s="647" t="str">
        <f t="shared" si="8"/>
        <v/>
      </c>
      <c r="AR99" s="647" t="str">
        <f t="shared" si="26"/>
        <v/>
      </c>
      <c r="AS99" s="647" t="str">
        <f t="shared" si="9"/>
        <v/>
      </c>
      <c r="AT99" s="647" t="str">
        <f t="shared" si="30"/>
        <v/>
      </c>
      <c r="AU99" s="647" t="str">
        <f t="shared" si="31"/>
        <v/>
      </c>
      <c r="AV99" s="647" t="str">
        <f t="shared" si="24"/>
        <v/>
      </c>
      <c r="AW99" s="647" t="str">
        <f t="shared" si="11"/>
        <v/>
      </c>
      <c r="AX99" s="647" t="str">
        <f t="shared" si="12"/>
        <v/>
      </c>
      <c r="AY99" s="647" t="str">
        <f t="shared" si="13"/>
        <v/>
      </c>
      <c r="AZ99" s="647" t="str">
        <f t="shared" si="25"/>
        <v/>
      </c>
      <c r="BA99" s="647" t="str">
        <f t="shared" si="15"/>
        <v/>
      </c>
    </row>
    <row r="100" spans="2:53" s="7" customFormat="1" ht="28.5" hidden="1" customHeight="1" outlineLevel="1">
      <c r="B100" s="64"/>
      <c r="C100" s="649">
        <v>84</v>
      </c>
      <c r="D100" s="1855"/>
      <c r="E100" s="1856"/>
      <c r="F100" s="1856"/>
      <c r="G100" s="1856"/>
      <c r="H100" s="1856"/>
      <c r="I100" s="1856"/>
      <c r="J100" s="1856"/>
      <c r="K100" s="1857"/>
      <c r="L100" s="643" t="str">
        <f t="shared" si="22"/>
        <v/>
      </c>
      <c r="M100" s="664"/>
      <c r="N100" s="665"/>
      <c r="O100" s="267"/>
      <c r="P100" s="666"/>
      <c r="Q100" s="667"/>
      <c r="R100" s="667"/>
      <c r="S100" s="1035"/>
      <c r="T100" s="668"/>
      <c r="U100" s="668"/>
      <c r="V100" s="668"/>
      <c r="W100" s="668"/>
      <c r="X100" s="669"/>
      <c r="Y100" s="670"/>
      <c r="Z100" s="671"/>
      <c r="AA100" s="644"/>
      <c r="AB100" s="978"/>
      <c r="AC100" s="992"/>
      <c r="AD100" s="89"/>
      <c r="AE100" s="89"/>
      <c r="AF100" s="645" t="str">
        <f t="shared" si="27"/>
        <v/>
      </c>
      <c r="AG100" s="1037" t="str">
        <f t="shared" si="28"/>
        <v/>
      </c>
      <c r="AH100" s="1037" t="str">
        <f t="shared" si="29"/>
        <v/>
      </c>
      <c r="AI100" s="1037" t="str">
        <f>IF(AF100="","",VLOOKUP(AF100,リスト!BD:BE,2,0))</f>
        <v/>
      </c>
      <c r="AJ100" s="1037" t="str">
        <f t="shared" si="2"/>
        <v/>
      </c>
      <c r="AK100" s="1037" t="str">
        <f>IF(AJ100="","",VLOOKUP(AJ100,リスト!BW:BX,2,0))</f>
        <v/>
      </c>
      <c r="AL100" s="1037" t="str">
        <f t="shared" si="23"/>
        <v/>
      </c>
      <c r="AM100" s="646" t="str">
        <f t="shared" si="4"/>
        <v/>
      </c>
      <c r="AN100" s="646" t="str">
        <f t="shared" si="5"/>
        <v/>
      </c>
      <c r="AO100" s="647" t="str">
        <f t="shared" si="6"/>
        <v/>
      </c>
      <c r="AP100" s="647" t="str">
        <f t="shared" si="7"/>
        <v/>
      </c>
      <c r="AQ100" s="647" t="str">
        <f t="shared" si="8"/>
        <v/>
      </c>
      <c r="AR100" s="647" t="str">
        <f t="shared" si="26"/>
        <v/>
      </c>
      <c r="AS100" s="647" t="str">
        <f t="shared" si="9"/>
        <v/>
      </c>
      <c r="AT100" s="647" t="str">
        <f t="shared" si="30"/>
        <v/>
      </c>
      <c r="AU100" s="647" t="str">
        <f t="shared" si="31"/>
        <v/>
      </c>
      <c r="AV100" s="647" t="str">
        <f t="shared" si="24"/>
        <v/>
      </c>
      <c r="AW100" s="647" t="str">
        <f t="shared" si="11"/>
        <v/>
      </c>
      <c r="AX100" s="647" t="str">
        <f t="shared" si="12"/>
        <v/>
      </c>
      <c r="AY100" s="647" t="str">
        <f t="shared" si="13"/>
        <v/>
      </c>
      <c r="AZ100" s="647" t="str">
        <f t="shared" si="25"/>
        <v/>
      </c>
      <c r="BA100" s="647" t="str">
        <f t="shared" si="15"/>
        <v/>
      </c>
    </row>
    <row r="101" spans="2:53" s="7" customFormat="1" ht="28.5" hidden="1" customHeight="1" outlineLevel="1">
      <c r="B101" s="64"/>
      <c r="C101" s="649">
        <v>85</v>
      </c>
      <c r="D101" s="1855"/>
      <c r="E101" s="1856"/>
      <c r="F101" s="1856"/>
      <c r="G101" s="1856"/>
      <c r="H101" s="1856"/>
      <c r="I101" s="1856"/>
      <c r="J101" s="1856"/>
      <c r="K101" s="1857"/>
      <c r="L101" s="643" t="str">
        <f t="shared" si="22"/>
        <v/>
      </c>
      <c r="M101" s="664"/>
      <c r="N101" s="665"/>
      <c r="O101" s="267"/>
      <c r="P101" s="666"/>
      <c r="Q101" s="667"/>
      <c r="R101" s="667"/>
      <c r="S101" s="1035"/>
      <c r="T101" s="668"/>
      <c r="U101" s="668"/>
      <c r="V101" s="668"/>
      <c r="W101" s="668"/>
      <c r="X101" s="669"/>
      <c r="Y101" s="670"/>
      <c r="Z101" s="671"/>
      <c r="AA101" s="644"/>
      <c r="AB101" s="978"/>
      <c r="AC101" s="992"/>
      <c r="AD101" s="89"/>
      <c r="AE101" s="89"/>
      <c r="AF101" s="645" t="str">
        <f t="shared" si="27"/>
        <v/>
      </c>
      <c r="AG101" s="1037" t="str">
        <f t="shared" si="28"/>
        <v/>
      </c>
      <c r="AH101" s="1037" t="str">
        <f t="shared" si="29"/>
        <v/>
      </c>
      <c r="AI101" s="1037" t="str">
        <f>IF(AF101="","",VLOOKUP(AF101,リスト!BD:BE,2,0))</f>
        <v/>
      </c>
      <c r="AJ101" s="1037" t="str">
        <f t="shared" si="2"/>
        <v/>
      </c>
      <c r="AK101" s="1037" t="str">
        <f>IF(AJ101="","",VLOOKUP(AJ101,リスト!BW:BX,2,0))</f>
        <v/>
      </c>
      <c r="AL101" s="1037" t="str">
        <f t="shared" si="23"/>
        <v/>
      </c>
      <c r="AM101" s="646" t="str">
        <f t="shared" si="4"/>
        <v/>
      </c>
      <c r="AN101" s="646" t="str">
        <f t="shared" si="5"/>
        <v/>
      </c>
      <c r="AO101" s="647" t="str">
        <f t="shared" si="6"/>
        <v/>
      </c>
      <c r="AP101" s="647" t="str">
        <f t="shared" si="7"/>
        <v/>
      </c>
      <c r="AQ101" s="647" t="str">
        <f t="shared" si="8"/>
        <v/>
      </c>
      <c r="AR101" s="647" t="str">
        <f t="shared" si="26"/>
        <v/>
      </c>
      <c r="AS101" s="647" t="str">
        <f t="shared" si="9"/>
        <v/>
      </c>
      <c r="AT101" s="647" t="str">
        <f t="shared" si="30"/>
        <v/>
      </c>
      <c r="AU101" s="647" t="str">
        <f t="shared" si="31"/>
        <v/>
      </c>
      <c r="AV101" s="647" t="str">
        <f t="shared" si="24"/>
        <v/>
      </c>
      <c r="AW101" s="647" t="str">
        <f t="shared" si="11"/>
        <v/>
      </c>
      <c r="AX101" s="647" t="str">
        <f t="shared" si="12"/>
        <v/>
      </c>
      <c r="AY101" s="647" t="str">
        <f t="shared" si="13"/>
        <v/>
      </c>
      <c r="AZ101" s="647" t="str">
        <f t="shared" si="25"/>
        <v/>
      </c>
      <c r="BA101" s="647" t="str">
        <f t="shared" si="15"/>
        <v/>
      </c>
    </row>
    <row r="102" spans="2:53" s="7" customFormat="1" ht="28.5" hidden="1" customHeight="1" outlineLevel="1">
      <c r="B102" s="64"/>
      <c r="C102" s="649">
        <v>86</v>
      </c>
      <c r="D102" s="1855"/>
      <c r="E102" s="1856"/>
      <c r="F102" s="1856"/>
      <c r="G102" s="1856"/>
      <c r="H102" s="1856"/>
      <c r="I102" s="1856"/>
      <c r="J102" s="1856"/>
      <c r="K102" s="1857"/>
      <c r="L102" s="643" t="str">
        <f t="shared" si="22"/>
        <v/>
      </c>
      <c r="M102" s="664"/>
      <c r="N102" s="665"/>
      <c r="O102" s="267"/>
      <c r="P102" s="666"/>
      <c r="Q102" s="667"/>
      <c r="R102" s="667"/>
      <c r="S102" s="1035"/>
      <c r="T102" s="668"/>
      <c r="U102" s="668"/>
      <c r="V102" s="668"/>
      <c r="W102" s="668"/>
      <c r="X102" s="669"/>
      <c r="Y102" s="670"/>
      <c r="Z102" s="671"/>
      <c r="AA102" s="644"/>
      <c r="AB102" s="978"/>
      <c r="AC102" s="992"/>
      <c r="AD102" s="89"/>
      <c r="AE102" s="89"/>
      <c r="AF102" s="645" t="str">
        <f t="shared" si="27"/>
        <v/>
      </c>
      <c r="AG102" s="1037" t="str">
        <f t="shared" si="28"/>
        <v/>
      </c>
      <c r="AH102" s="1037" t="str">
        <f t="shared" si="29"/>
        <v/>
      </c>
      <c r="AI102" s="1037" t="str">
        <f>IF(AF102="","",VLOOKUP(AF102,リスト!BD:BE,2,0))</f>
        <v/>
      </c>
      <c r="AJ102" s="1037" t="str">
        <f t="shared" si="2"/>
        <v/>
      </c>
      <c r="AK102" s="1037" t="str">
        <f>IF(AJ102="","",VLOOKUP(AJ102,リスト!BW:BX,2,0))</f>
        <v/>
      </c>
      <c r="AL102" s="1037" t="str">
        <f t="shared" si="23"/>
        <v/>
      </c>
      <c r="AM102" s="646" t="str">
        <f t="shared" si="4"/>
        <v/>
      </c>
      <c r="AN102" s="646" t="str">
        <f t="shared" si="5"/>
        <v/>
      </c>
      <c r="AO102" s="647" t="str">
        <f t="shared" si="6"/>
        <v/>
      </c>
      <c r="AP102" s="647" t="str">
        <f t="shared" si="7"/>
        <v/>
      </c>
      <c r="AQ102" s="647" t="str">
        <f t="shared" si="8"/>
        <v/>
      </c>
      <c r="AR102" s="647" t="str">
        <f t="shared" si="26"/>
        <v/>
      </c>
      <c r="AS102" s="647" t="str">
        <f t="shared" si="9"/>
        <v/>
      </c>
      <c r="AT102" s="647" t="str">
        <f t="shared" si="30"/>
        <v/>
      </c>
      <c r="AU102" s="647" t="str">
        <f t="shared" si="31"/>
        <v/>
      </c>
      <c r="AV102" s="647" t="str">
        <f t="shared" si="24"/>
        <v/>
      </c>
      <c r="AW102" s="647" t="str">
        <f t="shared" si="11"/>
        <v/>
      </c>
      <c r="AX102" s="647" t="str">
        <f t="shared" si="12"/>
        <v/>
      </c>
      <c r="AY102" s="647" t="str">
        <f t="shared" si="13"/>
        <v/>
      </c>
      <c r="AZ102" s="647" t="str">
        <f t="shared" si="25"/>
        <v/>
      </c>
      <c r="BA102" s="647" t="str">
        <f t="shared" si="15"/>
        <v/>
      </c>
    </row>
    <row r="103" spans="2:53" s="7" customFormat="1" ht="28.5" hidden="1" customHeight="1" outlineLevel="1">
      <c r="B103" s="64"/>
      <c r="C103" s="649">
        <v>87</v>
      </c>
      <c r="D103" s="1855"/>
      <c r="E103" s="1856"/>
      <c r="F103" s="1856"/>
      <c r="G103" s="1856"/>
      <c r="H103" s="1856"/>
      <c r="I103" s="1856"/>
      <c r="J103" s="1856"/>
      <c r="K103" s="1857"/>
      <c r="L103" s="643" t="str">
        <f t="shared" si="22"/>
        <v/>
      </c>
      <c r="M103" s="664"/>
      <c r="N103" s="665"/>
      <c r="O103" s="267"/>
      <c r="P103" s="666"/>
      <c r="Q103" s="667"/>
      <c r="R103" s="667"/>
      <c r="S103" s="1035"/>
      <c r="T103" s="668"/>
      <c r="U103" s="668"/>
      <c r="V103" s="668"/>
      <c r="W103" s="668"/>
      <c r="X103" s="669"/>
      <c r="Y103" s="670"/>
      <c r="Z103" s="671"/>
      <c r="AA103" s="644"/>
      <c r="AB103" s="978"/>
      <c r="AC103" s="992"/>
      <c r="AD103" s="89"/>
      <c r="AE103" s="89"/>
      <c r="AF103" s="645" t="str">
        <f t="shared" si="27"/>
        <v/>
      </c>
      <c r="AG103" s="1037" t="str">
        <f t="shared" si="28"/>
        <v/>
      </c>
      <c r="AH103" s="1037" t="str">
        <f t="shared" si="29"/>
        <v/>
      </c>
      <c r="AI103" s="1037" t="str">
        <f>IF(AF103="","",VLOOKUP(AF103,リスト!BD:BE,2,0))</f>
        <v/>
      </c>
      <c r="AJ103" s="1037" t="str">
        <f t="shared" si="2"/>
        <v/>
      </c>
      <c r="AK103" s="1037" t="str">
        <f>IF(AJ103="","",VLOOKUP(AJ103,リスト!BW:BX,2,0))</f>
        <v/>
      </c>
      <c r="AL103" s="1037" t="str">
        <f t="shared" si="23"/>
        <v/>
      </c>
      <c r="AM103" s="646" t="str">
        <f t="shared" si="4"/>
        <v/>
      </c>
      <c r="AN103" s="646" t="str">
        <f t="shared" si="5"/>
        <v/>
      </c>
      <c r="AO103" s="647" t="str">
        <f t="shared" si="6"/>
        <v/>
      </c>
      <c r="AP103" s="647" t="str">
        <f t="shared" si="7"/>
        <v/>
      </c>
      <c r="AQ103" s="647" t="str">
        <f t="shared" si="8"/>
        <v/>
      </c>
      <c r="AR103" s="647" t="str">
        <f t="shared" si="26"/>
        <v/>
      </c>
      <c r="AS103" s="647" t="str">
        <f t="shared" si="9"/>
        <v/>
      </c>
      <c r="AT103" s="647" t="str">
        <f t="shared" si="30"/>
        <v/>
      </c>
      <c r="AU103" s="647" t="str">
        <f t="shared" si="31"/>
        <v/>
      </c>
      <c r="AV103" s="647" t="str">
        <f t="shared" si="24"/>
        <v/>
      </c>
      <c r="AW103" s="647" t="str">
        <f t="shared" si="11"/>
        <v/>
      </c>
      <c r="AX103" s="647" t="str">
        <f t="shared" si="12"/>
        <v/>
      </c>
      <c r="AY103" s="647" t="str">
        <f t="shared" si="13"/>
        <v/>
      </c>
      <c r="AZ103" s="647" t="str">
        <f t="shared" si="25"/>
        <v/>
      </c>
      <c r="BA103" s="647" t="str">
        <f t="shared" si="15"/>
        <v/>
      </c>
    </row>
    <row r="104" spans="2:53" s="7" customFormat="1" ht="28.5" hidden="1" customHeight="1" outlineLevel="1">
      <c r="B104" s="64"/>
      <c r="C104" s="649">
        <v>88</v>
      </c>
      <c r="D104" s="1855"/>
      <c r="E104" s="1856"/>
      <c r="F104" s="1856"/>
      <c r="G104" s="1856"/>
      <c r="H104" s="1856"/>
      <c r="I104" s="1856"/>
      <c r="J104" s="1856"/>
      <c r="K104" s="1857"/>
      <c r="L104" s="643" t="str">
        <f t="shared" si="22"/>
        <v/>
      </c>
      <c r="M104" s="664"/>
      <c r="N104" s="665"/>
      <c r="O104" s="267"/>
      <c r="P104" s="666"/>
      <c r="Q104" s="667"/>
      <c r="R104" s="667"/>
      <c r="S104" s="1035"/>
      <c r="T104" s="668"/>
      <c r="U104" s="668"/>
      <c r="V104" s="668"/>
      <c r="W104" s="668"/>
      <c r="X104" s="669"/>
      <c r="Y104" s="670"/>
      <c r="Z104" s="671"/>
      <c r="AA104" s="644"/>
      <c r="AB104" s="978"/>
      <c r="AC104" s="992"/>
      <c r="AD104" s="89"/>
      <c r="AE104" s="89"/>
      <c r="AF104" s="645" t="str">
        <f t="shared" si="27"/>
        <v/>
      </c>
      <c r="AG104" s="1037" t="str">
        <f t="shared" si="28"/>
        <v/>
      </c>
      <c r="AH104" s="1037" t="str">
        <f t="shared" si="29"/>
        <v/>
      </c>
      <c r="AI104" s="1037" t="str">
        <f>IF(AF104="","",VLOOKUP(AF104,リスト!BD:BE,2,0))</f>
        <v/>
      </c>
      <c r="AJ104" s="1037" t="str">
        <f t="shared" si="2"/>
        <v/>
      </c>
      <c r="AK104" s="1037" t="str">
        <f>IF(AJ104="","",VLOOKUP(AJ104,リスト!BW:BX,2,0))</f>
        <v/>
      </c>
      <c r="AL104" s="1037" t="str">
        <f t="shared" si="23"/>
        <v/>
      </c>
      <c r="AM104" s="646" t="str">
        <f t="shared" si="4"/>
        <v/>
      </c>
      <c r="AN104" s="646" t="str">
        <f t="shared" si="5"/>
        <v/>
      </c>
      <c r="AO104" s="647" t="str">
        <f t="shared" si="6"/>
        <v/>
      </c>
      <c r="AP104" s="647" t="str">
        <f t="shared" si="7"/>
        <v/>
      </c>
      <c r="AQ104" s="647" t="str">
        <f t="shared" si="8"/>
        <v/>
      </c>
      <c r="AR104" s="647" t="str">
        <f t="shared" si="26"/>
        <v/>
      </c>
      <c r="AS104" s="647" t="str">
        <f t="shared" si="9"/>
        <v/>
      </c>
      <c r="AT104" s="647" t="str">
        <f t="shared" si="30"/>
        <v/>
      </c>
      <c r="AU104" s="647" t="str">
        <f t="shared" si="31"/>
        <v/>
      </c>
      <c r="AV104" s="647" t="str">
        <f t="shared" si="24"/>
        <v/>
      </c>
      <c r="AW104" s="647" t="str">
        <f t="shared" si="11"/>
        <v/>
      </c>
      <c r="AX104" s="647" t="str">
        <f t="shared" si="12"/>
        <v/>
      </c>
      <c r="AY104" s="647" t="str">
        <f t="shared" si="13"/>
        <v/>
      </c>
      <c r="AZ104" s="647" t="str">
        <f t="shared" si="25"/>
        <v/>
      </c>
      <c r="BA104" s="647" t="str">
        <f t="shared" si="15"/>
        <v/>
      </c>
    </row>
    <row r="105" spans="2:53" s="7" customFormat="1" ht="28.5" hidden="1" customHeight="1" outlineLevel="1">
      <c r="B105" s="64"/>
      <c r="C105" s="649">
        <v>89</v>
      </c>
      <c r="D105" s="1855"/>
      <c r="E105" s="1856"/>
      <c r="F105" s="1856"/>
      <c r="G105" s="1856"/>
      <c r="H105" s="1856"/>
      <c r="I105" s="1856"/>
      <c r="J105" s="1856"/>
      <c r="K105" s="1857"/>
      <c r="L105" s="643" t="str">
        <f t="shared" si="22"/>
        <v/>
      </c>
      <c r="M105" s="664"/>
      <c r="N105" s="665"/>
      <c r="O105" s="267"/>
      <c r="P105" s="666"/>
      <c r="Q105" s="667"/>
      <c r="R105" s="667"/>
      <c r="S105" s="1035"/>
      <c r="T105" s="668"/>
      <c r="U105" s="668"/>
      <c r="V105" s="668"/>
      <c r="W105" s="668"/>
      <c r="X105" s="669"/>
      <c r="Y105" s="670"/>
      <c r="Z105" s="671"/>
      <c r="AA105" s="644"/>
      <c r="AB105" s="978"/>
      <c r="AC105" s="992"/>
      <c r="AD105" s="89"/>
      <c r="AE105" s="89"/>
      <c r="AF105" s="645" t="str">
        <f t="shared" si="27"/>
        <v/>
      </c>
      <c r="AG105" s="1037" t="str">
        <f t="shared" si="28"/>
        <v/>
      </c>
      <c r="AH105" s="1037" t="str">
        <f t="shared" si="29"/>
        <v/>
      </c>
      <c r="AI105" s="1037" t="str">
        <f>IF(AF105="","",VLOOKUP(AF105,リスト!BD:BE,2,0))</f>
        <v/>
      </c>
      <c r="AJ105" s="1037" t="str">
        <f t="shared" si="2"/>
        <v/>
      </c>
      <c r="AK105" s="1037" t="str">
        <f>IF(AJ105="","",VLOOKUP(AJ105,リスト!BW:BX,2,0))</f>
        <v/>
      </c>
      <c r="AL105" s="1037" t="str">
        <f t="shared" si="23"/>
        <v/>
      </c>
      <c r="AM105" s="646" t="str">
        <f t="shared" si="4"/>
        <v/>
      </c>
      <c r="AN105" s="646" t="str">
        <f t="shared" si="5"/>
        <v/>
      </c>
      <c r="AO105" s="647" t="str">
        <f t="shared" si="6"/>
        <v/>
      </c>
      <c r="AP105" s="647" t="str">
        <f t="shared" si="7"/>
        <v/>
      </c>
      <c r="AQ105" s="647" t="str">
        <f t="shared" si="8"/>
        <v/>
      </c>
      <c r="AR105" s="647" t="str">
        <f t="shared" si="26"/>
        <v/>
      </c>
      <c r="AS105" s="647" t="str">
        <f t="shared" si="9"/>
        <v/>
      </c>
      <c r="AT105" s="647" t="str">
        <f t="shared" si="30"/>
        <v/>
      </c>
      <c r="AU105" s="647" t="str">
        <f t="shared" si="31"/>
        <v/>
      </c>
      <c r="AV105" s="647" t="str">
        <f t="shared" si="24"/>
        <v/>
      </c>
      <c r="AW105" s="647" t="str">
        <f t="shared" si="11"/>
        <v/>
      </c>
      <c r="AX105" s="647" t="str">
        <f t="shared" si="12"/>
        <v/>
      </c>
      <c r="AY105" s="647" t="str">
        <f t="shared" si="13"/>
        <v/>
      </c>
      <c r="AZ105" s="647" t="str">
        <f t="shared" si="25"/>
        <v/>
      </c>
      <c r="BA105" s="647" t="str">
        <f t="shared" si="15"/>
        <v/>
      </c>
    </row>
    <row r="106" spans="2:53" s="7" customFormat="1" ht="28.5" hidden="1" customHeight="1" outlineLevel="1">
      <c r="B106" s="64"/>
      <c r="C106" s="649">
        <v>90</v>
      </c>
      <c r="D106" s="1855"/>
      <c r="E106" s="1856"/>
      <c r="F106" s="1856"/>
      <c r="G106" s="1856"/>
      <c r="H106" s="1856"/>
      <c r="I106" s="1856"/>
      <c r="J106" s="1856"/>
      <c r="K106" s="1857"/>
      <c r="L106" s="643" t="str">
        <f t="shared" si="22"/>
        <v/>
      </c>
      <c r="M106" s="664"/>
      <c r="N106" s="665"/>
      <c r="O106" s="267"/>
      <c r="P106" s="666"/>
      <c r="Q106" s="667"/>
      <c r="R106" s="667"/>
      <c r="S106" s="1035"/>
      <c r="T106" s="668"/>
      <c r="U106" s="668"/>
      <c r="V106" s="668"/>
      <c r="W106" s="668"/>
      <c r="X106" s="669"/>
      <c r="Y106" s="670"/>
      <c r="Z106" s="671"/>
      <c r="AA106" s="644"/>
      <c r="AB106" s="978"/>
      <c r="AC106" s="992"/>
      <c r="AD106" s="89"/>
      <c r="AE106" s="89"/>
      <c r="AF106" s="645" t="str">
        <f t="shared" si="27"/>
        <v/>
      </c>
      <c r="AG106" s="1037" t="str">
        <f t="shared" si="28"/>
        <v/>
      </c>
      <c r="AH106" s="1037" t="str">
        <f t="shared" si="29"/>
        <v/>
      </c>
      <c r="AI106" s="1037" t="str">
        <f>IF(AF106="","",VLOOKUP(AF106,リスト!BD:BE,2,0))</f>
        <v/>
      </c>
      <c r="AJ106" s="1037" t="str">
        <f t="shared" si="2"/>
        <v/>
      </c>
      <c r="AK106" s="1037" t="str">
        <f>IF(AJ106="","",VLOOKUP(AJ106,リスト!BW:BX,2,0))</f>
        <v/>
      </c>
      <c r="AL106" s="1037" t="str">
        <f t="shared" si="23"/>
        <v/>
      </c>
      <c r="AM106" s="646" t="str">
        <f t="shared" si="4"/>
        <v/>
      </c>
      <c r="AN106" s="646" t="str">
        <f t="shared" si="5"/>
        <v/>
      </c>
      <c r="AO106" s="647" t="str">
        <f t="shared" si="6"/>
        <v/>
      </c>
      <c r="AP106" s="647" t="str">
        <f t="shared" si="7"/>
        <v/>
      </c>
      <c r="AQ106" s="647" t="str">
        <f t="shared" si="8"/>
        <v/>
      </c>
      <c r="AR106" s="647" t="str">
        <f t="shared" si="26"/>
        <v/>
      </c>
      <c r="AS106" s="647" t="str">
        <f t="shared" si="9"/>
        <v/>
      </c>
      <c r="AT106" s="647" t="str">
        <f t="shared" si="30"/>
        <v/>
      </c>
      <c r="AU106" s="647" t="str">
        <f t="shared" si="31"/>
        <v/>
      </c>
      <c r="AV106" s="647" t="str">
        <f t="shared" si="24"/>
        <v/>
      </c>
      <c r="AW106" s="647" t="str">
        <f t="shared" si="11"/>
        <v/>
      </c>
      <c r="AX106" s="647" t="str">
        <f t="shared" si="12"/>
        <v/>
      </c>
      <c r="AY106" s="647" t="str">
        <f t="shared" si="13"/>
        <v/>
      </c>
      <c r="AZ106" s="647" t="str">
        <f t="shared" si="25"/>
        <v/>
      </c>
      <c r="BA106" s="647" t="str">
        <f t="shared" si="15"/>
        <v/>
      </c>
    </row>
    <row r="107" spans="2:53" s="7" customFormat="1" ht="28.5" hidden="1" customHeight="1" outlineLevel="1">
      <c r="B107" s="64"/>
      <c r="C107" s="649">
        <v>91</v>
      </c>
      <c r="D107" s="1855"/>
      <c r="E107" s="1856"/>
      <c r="F107" s="1856"/>
      <c r="G107" s="1856"/>
      <c r="H107" s="1856"/>
      <c r="I107" s="1856"/>
      <c r="J107" s="1856"/>
      <c r="K107" s="1857"/>
      <c r="L107" s="643" t="str">
        <f t="shared" si="22"/>
        <v/>
      </c>
      <c r="M107" s="664"/>
      <c r="N107" s="665"/>
      <c r="O107" s="267"/>
      <c r="P107" s="666"/>
      <c r="Q107" s="667"/>
      <c r="R107" s="667"/>
      <c r="S107" s="1035"/>
      <c r="T107" s="668"/>
      <c r="U107" s="668"/>
      <c r="V107" s="668"/>
      <c r="W107" s="668"/>
      <c r="X107" s="669"/>
      <c r="Y107" s="670"/>
      <c r="Z107" s="671"/>
      <c r="AA107" s="644"/>
      <c r="AB107" s="978"/>
      <c r="AC107" s="992"/>
      <c r="AD107" s="89"/>
      <c r="AE107" s="89"/>
      <c r="AF107" s="645" t="str">
        <f t="shared" si="27"/>
        <v/>
      </c>
      <c r="AG107" s="1037" t="str">
        <f t="shared" si="28"/>
        <v/>
      </c>
      <c r="AH107" s="1037" t="str">
        <f t="shared" si="29"/>
        <v/>
      </c>
      <c r="AI107" s="1037" t="str">
        <f>IF(AF107="","",VLOOKUP(AF107,リスト!BD:BE,2,0))</f>
        <v/>
      </c>
      <c r="AJ107" s="1037" t="str">
        <f t="shared" si="2"/>
        <v/>
      </c>
      <c r="AK107" s="1037" t="str">
        <f>IF(AJ107="","",VLOOKUP(AJ107,リスト!BW:BX,2,0))</f>
        <v/>
      </c>
      <c r="AL107" s="1037" t="str">
        <f t="shared" si="23"/>
        <v/>
      </c>
      <c r="AM107" s="646" t="str">
        <f t="shared" si="4"/>
        <v/>
      </c>
      <c r="AN107" s="646" t="str">
        <f t="shared" si="5"/>
        <v/>
      </c>
      <c r="AO107" s="647" t="str">
        <f t="shared" si="6"/>
        <v/>
      </c>
      <c r="AP107" s="647" t="str">
        <f t="shared" si="7"/>
        <v/>
      </c>
      <c r="AQ107" s="647" t="str">
        <f t="shared" si="8"/>
        <v/>
      </c>
      <c r="AR107" s="647" t="str">
        <f t="shared" si="26"/>
        <v/>
      </c>
      <c r="AS107" s="647" t="str">
        <f t="shared" si="9"/>
        <v/>
      </c>
      <c r="AT107" s="647" t="str">
        <f t="shared" si="30"/>
        <v/>
      </c>
      <c r="AU107" s="647" t="str">
        <f t="shared" si="31"/>
        <v/>
      </c>
      <c r="AV107" s="647" t="str">
        <f t="shared" si="24"/>
        <v/>
      </c>
      <c r="AW107" s="647" t="str">
        <f t="shared" si="11"/>
        <v/>
      </c>
      <c r="AX107" s="647" t="str">
        <f t="shared" si="12"/>
        <v/>
      </c>
      <c r="AY107" s="647" t="str">
        <f t="shared" si="13"/>
        <v/>
      </c>
      <c r="AZ107" s="647" t="str">
        <f t="shared" si="25"/>
        <v/>
      </c>
      <c r="BA107" s="647" t="str">
        <f t="shared" si="15"/>
        <v/>
      </c>
    </row>
    <row r="108" spans="2:53" s="7" customFormat="1" ht="28.5" hidden="1" customHeight="1" outlineLevel="1">
      <c r="B108" s="64"/>
      <c r="C108" s="649">
        <v>92</v>
      </c>
      <c r="D108" s="1855"/>
      <c r="E108" s="1856"/>
      <c r="F108" s="1856"/>
      <c r="G108" s="1856"/>
      <c r="H108" s="1856"/>
      <c r="I108" s="1856"/>
      <c r="J108" s="1856"/>
      <c r="K108" s="1857"/>
      <c r="L108" s="643" t="str">
        <f t="shared" si="22"/>
        <v/>
      </c>
      <c r="M108" s="664"/>
      <c r="N108" s="665"/>
      <c r="O108" s="267"/>
      <c r="P108" s="666"/>
      <c r="Q108" s="667"/>
      <c r="R108" s="667"/>
      <c r="S108" s="1035"/>
      <c r="T108" s="668"/>
      <c r="U108" s="668"/>
      <c r="V108" s="668"/>
      <c r="W108" s="668"/>
      <c r="X108" s="669"/>
      <c r="Y108" s="670"/>
      <c r="Z108" s="671"/>
      <c r="AA108" s="644"/>
      <c r="AB108" s="978"/>
      <c r="AC108" s="992"/>
      <c r="AD108" s="89"/>
      <c r="AE108" s="89"/>
      <c r="AF108" s="645" t="str">
        <f t="shared" si="27"/>
        <v/>
      </c>
      <c r="AG108" s="1037" t="str">
        <f t="shared" si="28"/>
        <v/>
      </c>
      <c r="AH108" s="1037" t="str">
        <f t="shared" si="29"/>
        <v/>
      </c>
      <c r="AI108" s="1037" t="str">
        <f>IF(AF108="","",VLOOKUP(AF108,リスト!BD:BE,2,0))</f>
        <v/>
      </c>
      <c r="AJ108" s="1037" t="str">
        <f t="shared" si="2"/>
        <v/>
      </c>
      <c r="AK108" s="1037" t="str">
        <f>IF(AJ108="","",VLOOKUP(AJ108,リスト!BW:BX,2,0))</f>
        <v/>
      </c>
      <c r="AL108" s="1037" t="str">
        <f t="shared" si="23"/>
        <v/>
      </c>
      <c r="AM108" s="646" t="str">
        <f t="shared" si="4"/>
        <v/>
      </c>
      <c r="AN108" s="646" t="str">
        <f t="shared" si="5"/>
        <v/>
      </c>
      <c r="AO108" s="647" t="str">
        <f t="shared" si="6"/>
        <v/>
      </c>
      <c r="AP108" s="647" t="str">
        <f t="shared" si="7"/>
        <v/>
      </c>
      <c r="AQ108" s="647" t="str">
        <f t="shared" si="8"/>
        <v/>
      </c>
      <c r="AR108" s="647" t="str">
        <f t="shared" si="26"/>
        <v/>
      </c>
      <c r="AS108" s="647" t="str">
        <f t="shared" si="9"/>
        <v/>
      </c>
      <c r="AT108" s="647" t="str">
        <f t="shared" si="30"/>
        <v/>
      </c>
      <c r="AU108" s="647" t="str">
        <f t="shared" si="31"/>
        <v/>
      </c>
      <c r="AV108" s="647" t="str">
        <f t="shared" si="24"/>
        <v/>
      </c>
      <c r="AW108" s="647" t="str">
        <f t="shared" si="11"/>
        <v/>
      </c>
      <c r="AX108" s="647" t="str">
        <f t="shared" si="12"/>
        <v/>
      </c>
      <c r="AY108" s="647" t="str">
        <f t="shared" si="13"/>
        <v/>
      </c>
      <c r="AZ108" s="647" t="str">
        <f t="shared" si="25"/>
        <v/>
      </c>
      <c r="BA108" s="647" t="str">
        <f t="shared" si="15"/>
        <v/>
      </c>
    </row>
    <row r="109" spans="2:53" s="7" customFormat="1" ht="28.5" hidden="1" customHeight="1" outlineLevel="1">
      <c r="B109" s="64"/>
      <c r="C109" s="649">
        <v>93</v>
      </c>
      <c r="D109" s="1855"/>
      <c r="E109" s="1856"/>
      <c r="F109" s="1856"/>
      <c r="G109" s="1856"/>
      <c r="H109" s="1856"/>
      <c r="I109" s="1856"/>
      <c r="J109" s="1856"/>
      <c r="K109" s="1857"/>
      <c r="L109" s="643" t="str">
        <f t="shared" si="22"/>
        <v/>
      </c>
      <c r="M109" s="664"/>
      <c r="N109" s="665"/>
      <c r="O109" s="267"/>
      <c r="P109" s="666"/>
      <c r="Q109" s="667"/>
      <c r="R109" s="667"/>
      <c r="S109" s="1035"/>
      <c r="T109" s="668"/>
      <c r="U109" s="668"/>
      <c r="V109" s="668"/>
      <c r="W109" s="668"/>
      <c r="X109" s="669"/>
      <c r="Y109" s="670"/>
      <c r="Z109" s="671"/>
      <c r="AA109" s="644"/>
      <c r="AB109" s="978"/>
      <c r="AC109" s="992"/>
      <c r="AD109" s="89"/>
      <c r="AE109" s="89"/>
      <c r="AF109" s="645" t="str">
        <f t="shared" si="27"/>
        <v/>
      </c>
      <c r="AG109" s="1037" t="str">
        <f t="shared" si="28"/>
        <v/>
      </c>
      <c r="AH109" s="1037" t="str">
        <f t="shared" si="29"/>
        <v/>
      </c>
      <c r="AI109" s="1037" t="str">
        <f>IF(AF109="","",VLOOKUP(AF109,リスト!BD:BE,2,0))</f>
        <v/>
      </c>
      <c r="AJ109" s="1037" t="str">
        <f t="shared" si="2"/>
        <v/>
      </c>
      <c r="AK109" s="1037" t="str">
        <f>IF(AJ109="","",VLOOKUP(AJ109,リスト!BW:BX,2,0))</f>
        <v/>
      </c>
      <c r="AL109" s="1037" t="str">
        <f t="shared" si="23"/>
        <v/>
      </c>
      <c r="AM109" s="646" t="str">
        <f t="shared" si="4"/>
        <v/>
      </c>
      <c r="AN109" s="646" t="str">
        <f t="shared" si="5"/>
        <v/>
      </c>
      <c r="AO109" s="647" t="str">
        <f t="shared" si="6"/>
        <v/>
      </c>
      <c r="AP109" s="647" t="str">
        <f t="shared" si="7"/>
        <v/>
      </c>
      <c r="AQ109" s="647" t="str">
        <f t="shared" si="8"/>
        <v/>
      </c>
      <c r="AR109" s="647" t="str">
        <f t="shared" si="26"/>
        <v/>
      </c>
      <c r="AS109" s="647" t="str">
        <f t="shared" si="9"/>
        <v/>
      </c>
      <c r="AT109" s="647" t="str">
        <f t="shared" si="30"/>
        <v/>
      </c>
      <c r="AU109" s="647" t="str">
        <f t="shared" si="31"/>
        <v/>
      </c>
      <c r="AV109" s="647" t="str">
        <f t="shared" si="24"/>
        <v/>
      </c>
      <c r="AW109" s="647" t="str">
        <f t="shared" si="11"/>
        <v/>
      </c>
      <c r="AX109" s="647" t="str">
        <f t="shared" si="12"/>
        <v/>
      </c>
      <c r="AY109" s="647" t="str">
        <f t="shared" si="13"/>
        <v/>
      </c>
      <c r="AZ109" s="647" t="str">
        <f t="shared" si="25"/>
        <v/>
      </c>
      <c r="BA109" s="647" t="str">
        <f t="shared" si="15"/>
        <v/>
      </c>
    </row>
    <row r="110" spans="2:53" s="7" customFormat="1" ht="28.5" hidden="1" customHeight="1" outlineLevel="1">
      <c r="B110" s="64"/>
      <c r="C110" s="649">
        <v>94</v>
      </c>
      <c r="D110" s="1855"/>
      <c r="E110" s="1856"/>
      <c r="F110" s="1856"/>
      <c r="G110" s="1856"/>
      <c r="H110" s="1856"/>
      <c r="I110" s="1856"/>
      <c r="J110" s="1856"/>
      <c r="K110" s="1857"/>
      <c r="L110" s="643" t="str">
        <f t="shared" si="22"/>
        <v/>
      </c>
      <c r="M110" s="664"/>
      <c r="N110" s="665"/>
      <c r="O110" s="267"/>
      <c r="P110" s="666"/>
      <c r="Q110" s="667"/>
      <c r="R110" s="667"/>
      <c r="S110" s="1035"/>
      <c r="T110" s="668"/>
      <c r="U110" s="668"/>
      <c r="V110" s="668"/>
      <c r="W110" s="668"/>
      <c r="X110" s="669"/>
      <c r="Y110" s="670"/>
      <c r="Z110" s="671"/>
      <c r="AA110" s="644"/>
      <c r="AB110" s="978"/>
      <c r="AC110" s="992"/>
      <c r="AD110" s="89"/>
      <c r="AE110" s="89"/>
      <c r="AF110" s="645" t="str">
        <f t="shared" si="27"/>
        <v/>
      </c>
      <c r="AG110" s="1037" t="str">
        <f t="shared" si="28"/>
        <v/>
      </c>
      <c r="AH110" s="1037" t="str">
        <f t="shared" si="29"/>
        <v/>
      </c>
      <c r="AI110" s="1037" t="str">
        <f>IF(AF110="","",VLOOKUP(AF110,リスト!BD:BE,2,0))</f>
        <v/>
      </c>
      <c r="AJ110" s="1037" t="str">
        <f t="shared" si="2"/>
        <v/>
      </c>
      <c r="AK110" s="1037" t="str">
        <f>IF(AJ110="","",VLOOKUP(AJ110,リスト!BW:BX,2,0))</f>
        <v/>
      </c>
      <c r="AL110" s="1037" t="str">
        <f t="shared" si="23"/>
        <v/>
      </c>
      <c r="AM110" s="646" t="str">
        <f t="shared" si="4"/>
        <v/>
      </c>
      <c r="AN110" s="646" t="str">
        <f t="shared" si="5"/>
        <v/>
      </c>
      <c r="AO110" s="647" t="str">
        <f t="shared" si="6"/>
        <v/>
      </c>
      <c r="AP110" s="647" t="str">
        <f t="shared" si="7"/>
        <v/>
      </c>
      <c r="AQ110" s="647" t="str">
        <f t="shared" si="8"/>
        <v/>
      </c>
      <c r="AR110" s="647" t="str">
        <f t="shared" si="26"/>
        <v/>
      </c>
      <c r="AS110" s="647" t="str">
        <f t="shared" si="9"/>
        <v/>
      </c>
      <c r="AT110" s="647" t="str">
        <f t="shared" si="30"/>
        <v/>
      </c>
      <c r="AU110" s="647" t="str">
        <f t="shared" si="31"/>
        <v/>
      </c>
      <c r="AV110" s="647" t="str">
        <f t="shared" si="24"/>
        <v/>
      </c>
      <c r="AW110" s="647" t="str">
        <f t="shared" si="11"/>
        <v/>
      </c>
      <c r="AX110" s="647" t="str">
        <f t="shared" si="12"/>
        <v/>
      </c>
      <c r="AY110" s="647" t="str">
        <f t="shared" si="13"/>
        <v/>
      </c>
      <c r="AZ110" s="647" t="str">
        <f t="shared" si="25"/>
        <v/>
      </c>
      <c r="BA110" s="647" t="str">
        <f t="shared" si="15"/>
        <v/>
      </c>
    </row>
    <row r="111" spans="2:53" s="7" customFormat="1" ht="28.5" hidden="1" customHeight="1" outlineLevel="1">
      <c r="B111" s="64"/>
      <c r="C111" s="649">
        <v>95</v>
      </c>
      <c r="D111" s="1855"/>
      <c r="E111" s="1856"/>
      <c r="F111" s="1856"/>
      <c r="G111" s="1856"/>
      <c r="H111" s="1856"/>
      <c r="I111" s="1856"/>
      <c r="J111" s="1856"/>
      <c r="K111" s="1857"/>
      <c r="L111" s="643" t="str">
        <f t="shared" si="22"/>
        <v/>
      </c>
      <c r="M111" s="664"/>
      <c r="N111" s="665"/>
      <c r="O111" s="267"/>
      <c r="P111" s="666"/>
      <c r="Q111" s="667"/>
      <c r="R111" s="667"/>
      <c r="S111" s="1035"/>
      <c r="T111" s="668"/>
      <c r="U111" s="668"/>
      <c r="V111" s="668"/>
      <c r="W111" s="668"/>
      <c r="X111" s="669"/>
      <c r="Y111" s="670"/>
      <c r="Z111" s="671"/>
      <c r="AA111" s="644"/>
      <c r="AB111" s="978"/>
      <c r="AC111" s="992"/>
      <c r="AD111" s="89"/>
      <c r="AE111" s="89"/>
      <c r="AF111" s="645" t="str">
        <f t="shared" si="27"/>
        <v/>
      </c>
      <c r="AG111" s="1037" t="str">
        <f t="shared" si="28"/>
        <v/>
      </c>
      <c r="AH111" s="1037" t="str">
        <f t="shared" si="29"/>
        <v/>
      </c>
      <c r="AI111" s="1037" t="str">
        <f>IF(AF111="","",VLOOKUP(AF111,リスト!BD:BE,2,0))</f>
        <v/>
      </c>
      <c r="AJ111" s="1037" t="str">
        <f t="shared" si="2"/>
        <v/>
      </c>
      <c r="AK111" s="1037" t="str">
        <f>IF(AJ111="","",VLOOKUP(AJ111,リスト!BW:BX,2,0))</f>
        <v/>
      </c>
      <c r="AL111" s="1037" t="str">
        <f t="shared" si="23"/>
        <v/>
      </c>
      <c r="AM111" s="646" t="str">
        <f t="shared" si="4"/>
        <v/>
      </c>
      <c r="AN111" s="646" t="str">
        <f t="shared" si="5"/>
        <v/>
      </c>
      <c r="AO111" s="647" t="str">
        <f t="shared" si="6"/>
        <v/>
      </c>
      <c r="AP111" s="647" t="str">
        <f t="shared" si="7"/>
        <v/>
      </c>
      <c r="AQ111" s="647" t="str">
        <f t="shared" si="8"/>
        <v/>
      </c>
      <c r="AR111" s="647" t="str">
        <f t="shared" si="26"/>
        <v/>
      </c>
      <c r="AS111" s="647" t="str">
        <f t="shared" si="9"/>
        <v/>
      </c>
      <c r="AT111" s="647" t="str">
        <f t="shared" si="30"/>
        <v/>
      </c>
      <c r="AU111" s="647" t="str">
        <f t="shared" si="31"/>
        <v/>
      </c>
      <c r="AV111" s="647" t="str">
        <f t="shared" si="24"/>
        <v/>
      </c>
      <c r="AW111" s="647" t="str">
        <f t="shared" si="11"/>
        <v/>
      </c>
      <c r="AX111" s="647" t="str">
        <f t="shared" si="12"/>
        <v/>
      </c>
      <c r="AY111" s="647" t="str">
        <f t="shared" si="13"/>
        <v/>
      </c>
      <c r="AZ111" s="647" t="str">
        <f t="shared" si="25"/>
        <v/>
      </c>
      <c r="BA111" s="647" t="str">
        <f t="shared" si="15"/>
        <v/>
      </c>
    </row>
    <row r="112" spans="2:53" s="7" customFormat="1" ht="28.5" hidden="1" customHeight="1" outlineLevel="1">
      <c r="B112" s="64"/>
      <c r="C112" s="649">
        <v>96</v>
      </c>
      <c r="D112" s="1855"/>
      <c r="E112" s="1856"/>
      <c r="F112" s="1856"/>
      <c r="G112" s="1856"/>
      <c r="H112" s="1856"/>
      <c r="I112" s="1856"/>
      <c r="J112" s="1856"/>
      <c r="K112" s="1857"/>
      <c r="L112" s="643" t="str">
        <f t="shared" si="22"/>
        <v/>
      </c>
      <c r="M112" s="664"/>
      <c r="N112" s="665"/>
      <c r="O112" s="267"/>
      <c r="P112" s="666"/>
      <c r="Q112" s="667"/>
      <c r="R112" s="667"/>
      <c r="S112" s="1035"/>
      <c r="T112" s="668"/>
      <c r="U112" s="668"/>
      <c r="V112" s="668"/>
      <c r="W112" s="668"/>
      <c r="X112" s="669"/>
      <c r="Y112" s="670"/>
      <c r="Z112" s="671"/>
      <c r="AA112" s="644"/>
      <c r="AB112" s="978"/>
      <c r="AC112" s="992"/>
      <c r="AD112" s="89"/>
      <c r="AE112" s="89"/>
      <c r="AF112" s="645" t="str">
        <f t="shared" si="27"/>
        <v/>
      </c>
      <c r="AG112" s="1037" t="str">
        <f t="shared" si="28"/>
        <v/>
      </c>
      <c r="AH112" s="1037" t="str">
        <f t="shared" si="29"/>
        <v/>
      </c>
      <c r="AI112" s="1037" t="str">
        <f>IF(AF112="","",VLOOKUP(AF112,リスト!BD:BE,2,0))</f>
        <v/>
      </c>
      <c r="AJ112" s="1037" t="str">
        <f t="shared" si="2"/>
        <v/>
      </c>
      <c r="AK112" s="1037" t="str">
        <f>IF(AJ112="","",VLOOKUP(AJ112,リスト!BW:BX,2,0))</f>
        <v/>
      </c>
      <c r="AL112" s="1037" t="str">
        <f t="shared" si="23"/>
        <v/>
      </c>
      <c r="AM112" s="646" t="str">
        <f t="shared" si="4"/>
        <v/>
      </c>
      <c r="AN112" s="646" t="str">
        <f t="shared" si="5"/>
        <v/>
      </c>
      <c r="AO112" s="647" t="str">
        <f t="shared" si="6"/>
        <v/>
      </c>
      <c r="AP112" s="647" t="str">
        <f t="shared" si="7"/>
        <v/>
      </c>
      <c r="AQ112" s="647" t="str">
        <f t="shared" si="8"/>
        <v/>
      </c>
      <c r="AR112" s="647" t="str">
        <f t="shared" si="26"/>
        <v/>
      </c>
      <c r="AS112" s="647" t="str">
        <f t="shared" si="9"/>
        <v/>
      </c>
      <c r="AT112" s="647" t="str">
        <f t="shared" si="30"/>
        <v/>
      </c>
      <c r="AU112" s="647" t="str">
        <f t="shared" si="31"/>
        <v/>
      </c>
      <c r="AV112" s="647" t="str">
        <f t="shared" si="24"/>
        <v/>
      </c>
      <c r="AW112" s="647" t="str">
        <f t="shared" si="11"/>
        <v/>
      </c>
      <c r="AX112" s="647" t="str">
        <f t="shared" si="12"/>
        <v/>
      </c>
      <c r="AY112" s="647" t="str">
        <f t="shared" si="13"/>
        <v/>
      </c>
      <c r="AZ112" s="647" t="str">
        <f t="shared" si="25"/>
        <v/>
      </c>
      <c r="BA112" s="647" t="str">
        <f t="shared" si="15"/>
        <v/>
      </c>
    </row>
    <row r="113" spans="2:53" s="7" customFormat="1" ht="28.5" hidden="1" customHeight="1" outlineLevel="1">
      <c r="B113" s="64"/>
      <c r="C113" s="649">
        <v>97</v>
      </c>
      <c r="D113" s="1855"/>
      <c r="E113" s="1856"/>
      <c r="F113" s="1856"/>
      <c r="G113" s="1856"/>
      <c r="H113" s="1856"/>
      <c r="I113" s="1856"/>
      <c r="J113" s="1856"/>
      <c r="K113" s="1857"/>
      <c r="L113" s="643" t="str">
        <f t="shared" si="22"/>
        <v/>
      </c>
      <c r="M113" s="664"/>
      <c r="N113" s="665"/>
      <c r="O113" s="267"/>
      <c r="P113" s="666"/>
      <c r="Q113" s="667"/>
      <c r="R113" s="667"/>
      <c r="S113" s="1035"/>
      <c r="T113" s="668"/>
      <c r="U113" s="668"/>
      <c r="V113" s="668"/>
      <c r="W113" s="668"/>
      <c r="X113" s="669"/>
      <c r="Y113" s="670"/>
      <c r="Z113" s="671"/>
      <c r="AA113" s="644"/>
      <c r="AB113" s="978"/>
      <c r="AC113" s="992"/>
      <c r="AD113" s="89"/>
      <c r="AE113" s="89"/>
      <c r="AF113" s="645" t="str">
        <f t="shared" si="27"/>
        <v/>
      </c>
      <c r="AG113" s="1037" t="str">
        <f t="shared" si="28"/>
        <v/>
      </c>
      <c r="AH113" s="1037" t="str">
        <f t="shared" si="29"/>
        <v/>
      </c>
      <c r="AI113" s="1037" t="str">
        <f>IF(AF113="","",VLOOKUP(AF113,リスト!BD:BE,2,0))</f>
        <v/>
      </c>
      <c r="AJ113" s="1037" t="str">
        <f t="shared" ref="AJ113:AJ192" si="32">IF(AH113=1,3,IF(P113="2：中古",MIN(AI113,Q113),IF(N113="[8]その他",MIN(AI113,Q113),AI113)))</f>
        <v/>
      </c>
      <c r="AK113" s="1037" t="str">
        <f>IF(AJ113="","",VLOOKUP(AJ113,リスト!BW:BX,2,0))</f>
        <v/>
      </c>
      <c r="AL113" s="1037" t="str">
        <f t="shared" si="23"/>
        <v/>
      </c>
      <c r="AM113" s="646" t="str">
        <f t="shared" ref="AM113:AM192" si="33">IF(OR(AF113="",AG113=1),"",
IF(AND(AJ113&gt;0,AL113&lt;AJ113,AN113&lt;=ROUND((T113-1)*AK113,0)),ROUND(AN113*IF(Y113="2：部分取り壊し",IFERROR(1-(AC113/O113),1),1),0),
IF(AND(AJ113&gt;0,AL113&lt;AJ113),ROUND((T113-1)*AK113*IF(Y113="2：部分取り壊し",IFERROR(1-(AC113/O113),1),1),0),
"")))</f>
        <v/>
      </c>
      <c r="AN113" s="646" t="str">
        <f t="shared" ref="AN113:AN192" si="34">IF(OR(AF113="",AG113=1),"",
IF(AND(AJ113&gt;0,AL113&lt;AJ113),T113-ROUND((T113-1)*AK113*AL113,0),1
))</f>
        <v/>
      </c>
      <c r="AO113" s="647" t="str">
        <f t="shared" ref="AO113:AO192" si="35">IF(OR(AF113="",AG113=1),"",
IF(Y113="",AM113,
IF(Y113="1：取り壊し",SUM(AN113,Z113),
IF(Y113="3：売　却",AN113-Z113,
IF(AND(Y113="2：部分取り壊し",AN113&gt;1),SUM(ROUND(AN113*(AC113/O113),0),Z113,AM113),
IF(AND(Z113="",AM113=""),"",SUM(Z113,AM113)))))))</f>
        <v/>
      </c>
      <c r="AP113" s="647" t="str">
        <f t="shared" ref="AP113:AP192" si="36">IF(AND(AO113="",AM113=""),"",
IF(OR(Y113="1：取り壊し",Y113="2：部分取り壊し",Y113="3：売　却"),SUM(AO113)-SUM(AM113),""))</f>
        <v/>
      </c>
      <c r="AQ113" s="647" t="str">
        <f t="shared" ref="AQ113:AQ192" si="37">IF(OR(AG113=1,U113=""),"",
IF(AND(AJ113&gt;0,U113&gt;0,AL113&lt;AJ113),U113-ROUND(U113*AK113*AL113,0),""
))</f>
        <v/>
      </c>
      <c r="AR113" s="647" t="str">
        <f t="shared" si="26"/>
        <v/>
      </c>
      <c r="AS113" s="647" t="str">
        <f t="shared" ref="AS113:AS192" si="38">IF(Y113="2：部分取り壊し",O113-AC113,"")</f>
        <v/>
      </c>
      <c r="AT113" s="647" t="str">
        <f t="shared" si="30"/>
        <v/>
      </c>
      <c r="AU113" s="647" t="str">
        <f t="shared" si="31"/>
        <v/>
      </c>
      <c r="AV113" s="647" t="str">
        <f t="shared" si="24"/>
        <v/>
      </c>
      <c r="AW113" s="647" t="str">
        <f t="shared" ref="AW113:AW192" si="39">IF(X113="","",IF(AO113="","",ROUND(AO113*X113%,0)))</f>
        <v/>
      </c>
      <c r="AX113" s="647" t="str">
        <f t="shared" ref="AX113:AX192" si="40">IF(X113="","",IF(AP113="","",ROUND(AP113*X113%,0)))</f>
        <v/>
      </c>
      <c r="AY113" s="647" t="str">
        <f t="shared" ref="AY113:AY192" si="41">IF(X113="","",IF(AN113="","",ROUND(AN113*X113%,0)))</f>
        <v/>
      </c>
      <c r="AZ113" s="647" t="str">
        <f t="shared" si="25"/>
        <v/>
      </c>
      <c r="BA113" s="647" t="str">
        <f t="shared" ref="BA113:BA192" si="42">IF(X113="","",IF(W113="","",ROUND(W113*X113%,0)))</f>
        <v/>
      </c>
    </row>
    <row r="114" spans="2:53" s="7" customFormat="1" ht="28.5" hidden="1" customHeight="1" outlineLevel="1">
      <c r="B114" s="64"/>
      <c r="C114" s="649">
        <v>98</v>
      </c>
      <c r="D114" s="1855"/>
      <c r="E114" s="1856"/>
      <c r="F114" s="1856"/>
      <c r="G114" s="1856"/>
      <c r="H114" s="1856"/>
      <c r="I114" s="1856"/>
      <c r="J114" s="1856"/>
      <c r="K114" s="1857"/>
      <c r="L114" s="643" t="str">
        <f t="shared" si="22"/>
        <v/>
      </c>
      <c r="M114" s="664"/>
      <c r="N114" s="665"/>
      <c r="O114" s="267"/>
      <c r="P114" s="666"/>
      <c r="Q114" s="667"/>
      <c r="R114" s="667"/>
      <c r="S114" s="1035"/>
      <c r="T114" s="668"/>
      <c r="U114" s="668"/>
      <c r="V114" s="668"/>
      <c r="W114" s="668"/>
      <c r="X114" s="669"/>
      <c r="Y114" s="670"/>
      <c r="Z114" s="671"/>
      <c r="AA114" s="644"/>
      <c r="AB114" s="978"/>
      <c r="AC114" s="992"/>
      <c r="AD114" s="89"/>
      <c r="AE114" s="89"/>
      <c r="AF114" s="645" t="str">
        <f t="shared" si="27"/>
        <v/>
      </c>
      <c r="AG114" s="1037" t="str">
        <f t="shared" si="28"/>
        <v/>
      </c>
      <c r="AH114" s="1037" t="str">
        <f t="shared" si="29"/>
        <v/>
      </c>
      <c r="AI114" s="1037" t="str">
        <f>IF(AF114="","",VLOOKUP(AF114,リスト!BD:BE,2,0))</f>
        <v/>
      </c>
      <c r="AJ114" s="1037" t="str">
        <f t="shared" si="32"/>
        <v/>
      </c>
      <c r="AK114" s="1037" t="str">
        <f>IF(AJ114="","",VLOOKUP(AJ114,リスト!BW:BX,2,0))</f>
        <v/>
      </c>
      <c r="AL114" s="1037" t="str">
        <f t="shared" si="23"/>
        <v/>
      </c>
      <c r="AM114" s="646" t="str">
        <f t="shared" si="33"/>
        <v/>
      </c>
      <c r="AN114" s="646" t="str">
        <f t="shared" si="34"/>
        <v/>
      </c>
      <c r="AO114" s="647" t="str">
        <f t="shared" si="35"/>
        <v/>
      </c>
      <c r="AP114" s="647" t="str">
        <f t="shared" si="36"/>
        <v/>
      </c>
      <c r="AQ114" s="647" t="str">
        <f t="shared" si="37"/>
        <v/>
      </c>
      <c r="AR114" s="647" t="str">
        <f t="shared" si="26"/>
        <v/>
      </c>
      <c r="AS114" s="647" t="str">
        <f t="shared" si="38"/>
        <v/>
      </c>
      <c r="AT114" s="647" t="str">
        <f t="shared" si="30"/>
        <v/>
      </c>
      <c r="AU114" s="647" t="str">
        <f t="shared" si="31"/>
        <v/>
      </c>
      <c r="AV114" s="647" t="str">
        <f t="shared" si="24"/>
        <v/>
      </c>
      <c r="AW114" s="647" t="str">
        <f t="shared" si="39"/>
        <v/>
      </c>
      <c r="AX114" s="647" t="str">
        <f t="shared" si="40"/>
        <v/>
      </c>
      <c r="AY114" s="647" t="str">
        <f t="shared" si="41"/>
        <v/>
      </c>
      <c r="AZ114" s="647" t="str">
        <f t="shared" si="25"/>
        <v/>
      </c>
      <c r="BA114" s="647" t="str">
        <f t="shared" si="42"/>
        <v/>
      </c>
    </row>
    <row r="115" spans="2:53" s="7" customFormat="1" ht="28.5" hidden="1" customHeight="1" outlineLevel="1">
      <c r="B115" s="64"/>
      <c r="C115" s="649">
        <v>99</v>
      </c>
      <c r="D115" s="1855"/>
      <c r="E115" s="1856"/>
      <c r="F115" s="1856"/>
      <c r="G115" s="1856"/>
      <c r="H115" s="1856"/>
      <c r="I115" s="1856"/>
      <c r="J115" s="1856"/>
      <c r="K115" s="1857"/>
      <c r="L115" s="643" t="str">
        <f t="shared" si="22"/>
        <v/>
      </c>
      <c r="M115" s="664"/>
      <c r="N115" s="665"/>
      <c r="O115" s="267"/>
      <c r="P115" s="666"/>
      <c r="Q115" s="667"/>
      <c r="R115" s="667"/>
      <c r="S115" s="1035"/>
      <c r="T115" s="668"/>
      <c r="U115" s="668"/>
      <c r="V115" s="668"/>
      <c r="W115" s="668"/>
      <c r="X115" s="669"/>
      <c r="Y115" s="670"/>
      <c r="Z115" s="671"/>
      <c r="AA115" s="644"/>
      <c r="AB115" s="978"/>
      <c r="AC115" s="992"/>
      <c r="AD115" s="89"/>
      <c r="AE115" s="89"/>
      <c r="AF115" s="645" t="str">
        <f t="shared" si="27"/>
        <v/>
      </c>
      <c r="AG115" s="1037" t="str">
        <f t="shared" si="28"/>
        <v/>
      </c>
      <c r="AH115" s="1037" t="str">
        <f t="shared" si="29"/>
        <v/>
      </c>
      <c r="AI115" s="1037" t="str">
        <f>IF(AF115="","",VLOOKUP(AF115,リスト!BD:BE,2,0))</f>
        <v/>
      </c>
      <c r="AJ115" s="1037" t="str">
        <f t="shared" si="32"/>
        <v/>
      </c>
      <c r="AK115" s="1037" t="str">
        <f>IF(AJ115="","",VLOOKUP(AJ115,リスト!BW:BX,2,0))</f>
        <v/>
      </c>
      <c r="AL115" s="1037" t="str">
        <f t="shared" si="23"/>
        <v/>
      </c>
      <c r="AM115" s="646" t="str">
        <f t="shared" si="33"/>
        <v/>
      </c>
      <c r="AN115" s="646" t="str">
        <f t="shared" si="34"/>
        <v/>
      </c>
      <c r="AO115" s="647" t="str">
        <f t="shared" si="35"/>
        <v/>
      </c>
      <c r="AP115" s="647" t="str">
        <f t="shared" si="36"/>
        <v/>
      </c>
      <c r="AQ115" s="647" t="str">
        <f t="shared" si="37"/>
        <v/>
      </c>
      <c r="AR115" s="647" t="str">
        <f t="shared" si="26"/>
        <v/>
      </c>
      <c r="AS115" s="647" t="str">
        <f t="shared" si="38"/>
        <v/>
      </c>
      <c r="AT115" s="647" t="str">
        <f t="shared" si="30"/>
        <v/>
      </c>
      <c r="AU115" s="647" t="str">
        <f t="shared" si="31"/>
        <v/>
      </c>
      <c r="AV115" s="647" t="str">
        <f t="shared" si="24"/>
        <v/>
      </c>
      <c r="AW115" s="647" t="str">
        <f t="shared" si="39"/>
        <v/>
      </c>
      <c r="AX115" s="647" t="str">
        <f t="shared" si="40"/>
        <v/>
      </c>
      <c r="AY115" s="647" t="str">
        <f t="shared" si="41"/>
        <v/>
      </c>
      <c r="AZ115" s="647" t="str">
        <f t="shared" si="25"/>
        <v/>
      </c>
      <c r="BA115" s="647" t="str">
        <f t="shared" si="42"/>
        <v/>
      </c>
    </row>
    <row r="116" spans="2:53" s="7" customFormat="1" ht="28.5" hidden="1" customHeight="1" outlineLevel="1">
      <c r="B116" s="64"/>
      <c r="C116" s="649">
        <v>100</v>
      </c>
      <c r="D116" s="1855"/>
      <c r="E116" s="1856"/>
      <c r="F116" s="1856"/>
      <c r="G116" s="1856"/>
      <c r="H116" s="1856"/>
      <c r="I116" s="1856"/>
      <c r="J116" s="1856"/>
      <c r="K116" s="1857"/>
      <c r="L116" s="643" t="str">
        <f t="shared" si="22"/>
        <v/>
      </c>
      <c r="M116" s="664"/>
      <c r="N116" s="665"/>
      <c r="O116" s="267"/>
      <c r="P116" s="666"/>
      <c r="Q116" s="667"/>
      <c r="R116" s="667"/>
      <c r="S116" s="1035"/>
      <c r="T116" s="668"/>
      <c r="U116" s="668"/>
      <c r="V116" s="668"/>
      <c r="W116" s="668"/>
      <c r="X116" s="669"/>
      <c r="Y116" s="670"/>
      <c r="Z116" s="671"/>
      <c r="AA116" s="644"/>
      <c r="AB116" s="978"/>
      <c r="AC116" s="992"/>
      <c r="AD116" s="89"/>
      <c r="AE116" s="89"/>
      <c r="AF116" s="645" t="str">
        <f t="shared" si="27"/>
        <v/>
      </c>
      <c r="AG116" s="1037" t="str">
        <f t="shared" si="28"/>
        <v/>
      </c>
      <c r="AH116" s="1037" t="str">
        <f t="shared" si="29"/>
        <v/>
      </c>
      <c r="AI116" s="1037" t="str">
        <f>IF(AF116="","",VLOOKUP(AF116,リスト!BD:BE,2,0))</f>
        <v/>
      </c>
      <c r="AJ116" s="1037" t="str">
        <f t="shared" si="32"/>
        <v/>
      </c>
      <c r="AK116" s="1037" t="str">
        <f>IF(AJ116="","",VLOOKUP(AJ116,リスト!BW:BX,2,0))</f>
        <v/>
      </c>
      <c r="AL116" s="1037" t="str">
        <f t="shared" si="23"/>
        <v/>
      </c>
      <c r="AM116" s="646" t="str">
        <f t="shared" si="33"/>
        <v/>
      </c>
      <c r="AN116" s="646" t="str">
        <f t="shared" si="34"/>
        <v/>
      </c>
      <c r="AO116" s="647" t="str">
        <f t="shared" si="35"/>
        <v/>
      </c>
      <c r="AP116" s="647" t="str">
        <f t="shared" si="36"/>
        <v/>
      </c>
      <c r="AQ116" s="647" t="str">
        <f t="shared" si="37"/>
        <v/>
      </c>
      <c r="AR116" s="647" t="str">
        <f t="shared" si="26"/>
        <v/>
      </c>
      <c r="AS116" s="647" t="str">
        <f t="shared" si="38"/>
        <v/>
      </c>
      <c r="AT116" s="647" t="str">
        <f t="shared" si="30"/>
        <v/>
      </c>
      <c r="AU116" s="647" t="str">
        <f t="shared" si="31"/>
        <v/>
      </c>
      <c r="AV116" s="647" t="str">
        <f t="shared" si="24"/>
        <v/>
      </c>
      <c r="AW116" s="647" t="str">
        <f t="shared" si="39"/>
        <v/>
      </c>
      <c r="AX116" s="647" t="str">
        <f t="shared" si="40"/>
        <v/>
      </c>
      <c r="AY116" s="647" t="str">
        <f t="shared" si="41"/>
        <v/>
      </c>
      <c r="AZ116" s="647" t="str">
        <f t="shared" si="25"/>
        <v/>
      </c>
      <c r="BA116" s="647" t="str">
        <f t="shared" si="42"/>
        <v/>
      </c>
    </row>
    <row r="117" spans="2:53" s="7" customFormat="1" ht="28.5" hidden="1" customHeight="1" outlineLevel="1">
      <c r="B117" s="64"/>
      <c r="C117" s="649">
        <v>101</v>
      </c>
      <c r="D117" s="1855"/>
      <c r="E117" s="1856"/>
      <c r="F117" s="1856"/>
      <c r="G117" s="1856"/>
      <c r="H117" s="1856"/>
      <c r="I117" s="1856"/>
      <c r="J117" s="1856"/>
      <c r="K117" s="1857"/>
      <c r="L117" s="643" t="str">
        <f t="shared" si="22"/>
        <v/>
      </c>
      <c r="M117" s="664"/>
      <c r="N117" s="665"/>
      <c r="O117" s="267"/>
      <c r="P117" s="666"/>
      <c r="Q117" s="667"/>
      <c r="R117" s="667"/>
      <c r="S117" s="1035"/>
      <c r="T117" s="668"/>
      <c r="U117" s="668"/>
      <c r="V117" s="668"/>
      <c r="W117" s="668"/>
      <c r="X117" s="669"/>
      <c r="Y117" s="670"/>
      <c r="Z117" s="671"/>
      <c r="AA117" s="644"/>
      <c r="AB117" s="978"/>
      <c r="AC117" s="992"/>
      <c r="AD117" s="89"/>
      <c r="AE117" s="89"/>
      <c r="AF117" s="645" t="str">
        <f t="shared" si="27"/>
        <v/>
      </c>
      <c r="AG117" s="1037" t="str">
        <f t="shared" si="28"/>
        <v/>
      </c>
      <c r="AH117" s="1037" t="str">
        <f t="shared" si="29"/>
        <v/>
      </c>
      <c r="AI117" s="1037" t="str">
        <f>IF(AF117="","",VLOOKUP(AF117,リスト!BD:BE,2,0))</f>
        <v/>
      </c>
      <c r="AJ117" s="1037" t="str">
        <f t="shared" si="32"/>
        <v/>
      </c>
      <c r="AK117" s="1037" t="str">
        <f>IF(AJ117="","",VLOOKUP(AJ117,リスト!BW:BX,2,0))</f>
        <v/>
      </c>
      <c r="AL117" s="1037" t="str">
        <f t="shared" si="23"/>
        <v/>
      </c>
      <c r="AM117" s="646" t="str">
        <f t="shared" si="33"/>
        <v/>
      </c>
      <c r="AN117" s="646" t="str">
        <f t="shared" si="34"/>
        <v/>
      </c>
      <c r="AO117" s="647" t="str">
        <f t="shared" si="35"/>
        <v/>
      </c>
      <c r="AP117" s="647" t="str">
        <f t="shared" si="36"/>
        <v/>
      </c>
      <c r="AQ117" s="647" t="str">
        <f t="shared" si="37"/>
        <v/>
      </c>
      <c r="AR117" s="647" t="str">
        <f t="shared" si="26"/>
        <v/>
      </c>
      <c r="AS117" s="647" t="str">
        <f t="shared" si="38"/>
        <v/>
      </c>
      <c r="AT117" s="647" t="str">
        <f t="shared" si="30"/>
        <v/>
      </c>
      <c r="AU117" s="647" t="str">
        <f t="shared" si="31"/>
        <v/>
      </c>
      <c r="AV117" s="647" t="str">
        <f t="shared" si="24"/>
        <v/>
      </c>
      <c r="AW117" s="647" t="str">
        <f t="shared" si="39"/>
        <v/>
      </c>
      <c r="AX117" s="647" t="str">
        <f t="shared" si="40"/>
        <v/>
      </c>
      <c r="AY117" s="647" t="str">
        <f t="shared" si="41"/>
        <v/>
      </c>
      <c r="AZ117" s="647" t="str">
        <f t="shared" si="25"/>
        <v/>
      </c>
      <c r="BA117" s="647" t="str">
        <f t="shared" si="42"/>
        <v/>
      </c>
    </row>
    <row r="118" spans="2:53" s="7" customFormat="1" ht="28.5" hidden="1" customHeight="1" outlineLevel="1">
      <c r="B118" s="64"/>
      <c r="C118" s="649">
        <v>102</v>
      </c>
      <c r="D118" s="1855"/>
      <c r="E118" s="1856"/>
      <c r="F118" s="1856"/>
      <c r="G118" s="1856"/>
      <c r="H118" s="1856"/>
      <c r="I118" s="1856"/>
      <c r="J118" s="1856"/>
      <c r="K118" s="1857"/>
      <c r="L118" s="643" t="str">
        <f t="shared" si="22"/>
        <v/>
      </c>
      <c r="M118" s="664"/>
      <c r="N118" s="665"/>
      <c r="O118" s="267"/>
      <c r="P118" s="666"/>
      <c r="Q118" s="667"/>
      <c r="R118" s="667"/>
      <c r="S118" s="1035"/>
      <c r="T118" s="668"/>
      <c r="U118" s="668"/>
      <c r="V118" s="668"/>
      <c r="W118" s="668"/>
      <c r="X118" s="669"/>
      <c r="Y118" s="670"/>
      <c r="Z118" s="671"/>
      <c r="AA118" s="644"/>
      <c r="AB118" s="978"/>
      <c r="AC118" s="992"/>
      <c r="AD118" s="89"/>
      <c r="AE118" s="89"/>
      <c r="AF118" s="645" t="str">
        <f t="shared" si="27"/>
        <v/>
      </c>
      <c r="AG118" s="1037" t="str">
        <f t="shared" si="28"/>
        <v/>
      </c>
      <c r="AH118" s="1037" t="str">
        <f t="shared" si="29"/>
        <v/>
      </c>
      <c r="AI118" s="1037" t="str">
        <f>IF(AF118="","",VLOOKUP(AF118,リスト!BD:BE,2,0))</f>
        <v/>
      </c>
      <c r="AJ118" s="1037" t="str">
        <f t="shared" si="32"/>
        <v/>
      </c>
      <c r="AK118" s="1037" t="str">
        <f>IF(AJ118="","",VLOOKUP(AJ118,リスト!BW:BX,2,0))</f>
        <v/>
      </c>
      <c r="AL118" s="1037" t="str">
        <f t="shared" si="23"/>
        <v/>
      </c>
      <c r="AM118" s="646" t="str">
        <f t="shared" si="33"/>
        <v/>
      </c>
      <c r="AN118" s="646" t="str">
        <f t="shared" si="34"/>
        <v/>
      </c>
      <c r="AO118" s="647" t="str">
        <f t="shared" si="35"/>
        <v/>
      </c>
      <c r="AP118" s="647" t="str">
        <f t="shared" si="36"/>
        <v/>
      </c>
      <c r="AQ118" s="647" t="str">
        <f t="shared" si="37"/>
        <v/>
      </c>
      <c r="AR118" s="647" t="str">
        <f t="shared" si="26"/>
        <v/>
      </c>
      <c r="AS118" s="647" t="str">
        <f t="shared" si="38"/>
        <v/>
      </c>
      <c r="AT118" s="647" t="str">
        <f t="shared" si="30"/>
        <v/>
      </c>
      <c r="AU118" s="647" t="str">
        <f t="shared" si="31"/>
        <v/>
      </c>
      <c r="AV118" s="647" t="str">
        <f t="shared" si="24"/>
        <v/>
      </c>
      <c r="AW118" s="647" t="str">
        <f t="shared" si="39"/>
        <v/>
      </c>
      <c r="AX118" s="647" t="str">
        <f t="shared" si="40"/>
        <v/>
      </c>
      <c r="AY118" s="647" t="str">
        <f t="shared" si="41"/>
        <v/>
      </c>
      <c r="AZ118" s="647" t="str">
        <f t="shared" si="25"/>
        <v/>
      </c>
      <c r="BA118" s="647" t="str">
        <f t="shared" si="42"/>
        <v/>
      </c>
    </row>
    <row r="119" spans="2:53" s="7" customFormat="1" ht="28.5" hidden="1" customHeight="1" outlineLevel="1">
      <c r="B119" s="64"/>
      <c r="C119" s="649">
        <v>103</v>
      </c>
      <c r="D119" s="1855"/>
      <c r="E119" s="1856"/>
      <c r="F119" s="1856"/>
      <c r="G119" s="1856"/>
      <c r="H119" s="1856"/>
      <c r="I119" s="1856"/>
      <c r="J119" s="1856"/>
      <c r="K119" s="1857"/>
      <c r="L119" s="643" t="str">
        <f t="shared" si="22"/>
        <v/>
      </c>
      <c r="M119" s="664"/>
      <c r="N119" s="665"/>
      <c r="O119" s="267"/>
      <c r="P119" s="666"/>
      <c r="Q119" s="667"/>
      <c r="R119" s="667"/>
      <c r="S119" s="1035"/>
      <c r="T119" s="668"/>
      <c r="U119" s="668"/>
      <c r="V119" s="668"/>
      <c r="W119" s="668"/>
      <c r="X119" s="669"/>
      <c r="Y119" s="670"/>
      <c r="Z119" s="671"/>
      <c r="AA119" s="644"/>
      <c r="AB119" s="978"/>
      <c r="AC119" s="992"/>
      <c r="AD119" s="89"/>
      <c r="AE119" s="89"/>
      <c r="AF119" s="645" t="str">
        <f t="shared" si="27"/>
        <v/>
      </c>
      <c r="AG119" s="1037" t="str">
        <f t="shared" si="28"/>
        <v/>
      </c>
      <c r="AH119" s="1037" t="str">
        <f t="shared" si="29"/>
        <v/>
      </c>
      <c r="AI119" s="1037" t="str">
        <f>IF(AF119="","",VLOOKUP(AF119,リスト!BD:BE,2,0))</f>
        <v/>
      </c>
      <c r="AJ119" s="1037" t="str">
        <f t="shared" si="32"/>
        <v/>
      </c>
      <c r="AK119" s="1037" t="str">
        <f>IF(AJ119="","",VLOOKUP(AJ119,リスト!BW:BX,2,0))</f>
        <v/>
      </c>
      <c r="AL119" s="1037" t="str">
        <f t="shared" si="23"/>
        <v/>
      </c>
      <c r="AM119" s="646" t="str">
        <f t="shared" si="33"/>
        <v/>
      </c>
      <c r="AN119" s="646" t="str">
        <f t="shared" si="34"/>
        <v/>
      </c>
      <c r="AO119" s="647" t="str">
        <f t="shared" si="35"/>
        <v/>
      </c>
      <c r="AP119" s="647" t="str">
        <f t="shared" si="36"/>
        <v/>
      </c>
      <c r="AQ119" s="647" t="str">
        <f t="shared" si="37"/>
        <v/>
      </c>
      <c r="AR119" s="647" t="str">
        <f t="shared" si="26"/>
        <v/>
      </c>
      <c r="AS119" s="647" t="str">
        <f t="shared" si="38"/>
        <v/>
      </c>
      <c r="AT119" s="647" t="str">
        <f t="shared" si="30"/>
        <v/>
      </c>
      <c r="AU119" s="647" t="str">
        <f t="shared" si="31"/>
        <v/>
      </c>
      <c r="AV119" s="647" t="str">
        <f t="shared" si="24"/>
        <v/>
      </c>
      <c r="AW119" s="647" t="str">
        <f t="shared" si="39"/>
        <v/>
      </c>
      <c r="AX119" s="647" t="str">
        <f t="shared" si="40"/>
        <v/>
      </c>
      <c r="AY119" s="647" t="str">
        <f t="shared" si="41"/>
        <v/>
      </c>
      <c r="AZ119" s="647" t="str">
        <f t="shared" si="25"/>
        <v/>
      </c>
      <c r="BA119" s="647" t="str">
        <f t="shared" si="42"/>
        <v/>
      </c>
    </row>
    <row r="120" spans="2:53" s="7" customFormat="1" ht="28.5" hidden="1" customHeight="1" outlineLevel="1">
      <c r="B120" s="64"/>
      <c r="C120" s="649">
        <v>104</v>
      </c>
      <c r="D120" s="1855"/>
      <c r="E120" s="1856"/>
      <c r="F120" s="1856"/>
      <c r="G120" s="1856"/>
      <c r="H120" s="1856"/>
      <c r="I120" s="1856"/>
      <c r="J120" s="1856"/>
      <c r="K120" s="1857"/>
      <c r="L120" s="643" t="str">
        <f t="shared" si="22"/>
        <v/>
      </c>
      <c r="M120" s="664"/>
      <c r="N120" s="665"/>
      <c r="O120" s="267"/>
      <c r="P120" s="666"/>
      <c r="Q120" s="667"/>
      <c r="R120" s="667"/>
      <c r="S120" s="1035"/>
      <c r="T120" s="668"/>
      <c r="U120" s="668"/>
      <c r="V120" s="668"/>
      <c r="W120" s="668"/>
      <c r="X120" s="669"/>
      <c r="Y120" s="670"/>
      <c r="Z120" s="671"/>
      <c r="AA120" s="644"/>
      <c r="AB120" s="978"/>
      <c r="AC120" s="992"/>
      <c r="AD120" s="89"/>
      <c r="AE120" s="89"/>
      <c r="AF120" s="645" t="str">
        <f t="shared" si="27"/>
        <v/>
      </c>
      <c r="AG120" s="1037" t="str">
        <f t="shared" si="28"/>
        <v/>
      </c>
      <c r="AH120" s="1037" t="str">
        <f t="shared" si="29"/>
        <v/>
      </c>
      <c r="AI120" s="1037" t="str">
        <f>IF(AF120="","",VLOOKUP(AF120,リスト!BD:BE,2,0))</f>
        <v/>
      </c>
      <c r="AJ120" s="1037" t="str">
        <f t="shared" si="32"/>
        <v/>
      </c>
      <c r="AK120" s="1037" t="str">
        <f>IF(AJ120="","",VLOOKUP(AJ120,リスト!BW:BX,2,0))</f>
        <v/>
      </c>
      <c r="AL120" s="1037" t="str">
        <f t="shared" si="23"/>
        <v/>
      </c>
      <c r="AM120" s="646" t="str">
        <f t="shared" si="33"/>
        <v/>
      </c>
      <c r="AN120" s="646" t="str">
        <f t="shared" si="34"/>
        <v/>
      </c>
      <c r="AO120" s="647" t="str">
        <f t="shared" si="35"/>
        <v/>
      </c>
      <c r="AP120" s="647" t="str">
        <f t="shared" si="36"/>
        <v/>
      </c>
      <c r="AQ120" s="647" t="str">
        <f t="shared" si="37"/>
        <v/>
      </c>
      <c r="AR120" s="647" t="str">
        <f t="shared" si="26"/>
        <v/>
      </c>
      <c r="AS120" s="647" t="str">
        <f t="shared" si="38"/>
        <v/>
      </c>
      <c r="AT120" s="647" t="str">
        <f t="shared" si="30"/>
        <v/>
      </c>
      <c r="AU120" s="647" t="str">
        <f t="shared" si="31"/>
        <v/>
      </c>
      <c r="AV120" s="647" t="str">
        <f t="shared" si="24"/>
        <v/>
      </c>
      <c r="AW120" s="647" t="str">
        <f t="shared" si="39"/>
        <v/>
      </c>
      <c r="AX120" s="647" t="str">
        <f t="shared" si="40"/>
        <v/>
      </c>
      <c r="AY120" s="647" t="str">
        <f t="shared" si="41"/>
        <v/>
      </c>
      <c r="AZ120" s="647" t="str">
        <f t="shared" si="25"/>
        <v/>
      </c>
      <c r="BA120" s="647" t="str">
        <f t="shared" si="42"/>
        <v/>
      </c>
    </row>
    <row r="121" spans="2:53" s="7" customFormat="1" ht="28.5" hidden="1" customHeight="1" outlineLevel="1">
      <c r="B121" s="64"/>
      <c r="C121" s="649">
        <v>105</v>
      </c>
      <c r="D121" s="1855"/>
      <c r="E121" s="1856"/>
      <c r="F121" s="1856"/>
      <c r="G121" s="1856"/>
      <c r="H121" s="1856"/>
      <c r="I121" s="1856"/>
      <c r="J121" s="1856"/>
      <c r="K121" s="1857"/>
      <c r="L121" s="643" t="str">
        <f t="shared" si="22"/>
        <v/>
      </c>
      <c r="M121" s="664"/>
      <c r="N121" s="665"/>
      <c r="O121" s="267"/>
      <c r="P121" s="666"/>
      <c r="Q121" s="667"/>
      <c r="R121" s="667"/>
      <c r="S121" s="1035"/>
      <c r="T121" s="668"/>
      <c r="U121" s="668"/>
      <c r="V121" s="668"/>
      <c r="W121" s="668"/>
      <c r="X121" s="669"/>
      <c r="Y121" s="670"/>
      <c r="Z121" s="671"/>
      <c r="AA121" s="644"/>
      <c r="AB121" s="978"/>
      <c r="AC121" s="992"/>
      <c r="AD121" s="89"/>
      <c r="AE121" s="89"/>
      <c r="AF121" s="645" t="str">
        <f t="shared" si="27"/>
        <v/>
      </c>
      <c r="AG121" s="1037" t="str">
        <f t="shared" si="28"/>
        <v/>
      </c>
      <c r="AH121" s="1037" t="str">
        <f t="shared" si="29"/>
        <v/>
      </c>
      <c r="AI121" s="1037" t="str">
        <f>IF(AF121="","",VLOOKUP(AF121,リスト!BD:BE,2,0))</f>
        <v/>
      </c>
      <c r="AJ121" s="1037" t="str">
        <f t="shared" si="32"/>
        <v/>
      </c>
      <c r="AK121" s="1037" t="str">
        <f>IF(AJ121="","",VLOOKUP(AJ121,リスト!BW:BX,2,0))</f>
        <v/>
      </c>
      <c r="AL121" s="1037" t="str">
        <f t="shared" si="23"/>
        <v/>
      </c>
      <c r="AM121" s="646" t="str">
        <f t="shared" si="33"/>
        <v/>
      </c>
      <c r="AN121" s="646" t="str">
        <f t="shared" si="34"/>
        <v/>
      </c>
      <c r="AO121" s="647" t="str">
        <f t="shared" si="35"/>
        <v/>
      </c>
      <c r="AP121" s="647" t="str">
        <f t="shared" si="36"/>
        <v/>
      </c>
      <c r="AQ121" s="647" t="str">
        <f t="shared" si="37"/>
        <v/>
      </c>
      <c r="AR121" s="647" t="str">
        <f t="shared" si="26"/>
        <v/>
      </c>
      <c r="AS121" s="647" t="str">
        <f t="shared" si="38"/>
        <v/>
      </c>
      <c r="AT121" s="647" t="str">
        <f t="shared" si="30"/>
        <v/>
      </c>
      <c r="AU121" s="647" t="str">
        <f t="shared" si="31"/>
        <v/>
      </c>
      <c r="AV121" s="647" t="str">
        <f t="shared" si="24"/>
        <v/>
      </c>
      <c r="AW121" s="647" t="str">
        <f t="shared" si="39"/>
        <v/>
      </c>
      <c r="AX121" s="647" t="str">
        <f t="shared" si="40"/>
        <v/>
      </c>
      <c r="AY121" s="647" t="str">
        <f t="shared" si="41"/>
        <v/>
      </c>
      <c r="AZ121" s="647" t="str">
        <f t="shared" si="25"/>
        <v/>
      </c>
      <c r="BA121" s="647" t="str">
        <f t="shared" si="42"/>
        <v/>
      </c>
    </row>
    <row r="122" spans="2:53" s="7" customFormat="1" ht="28.5" hidden="1" customHeight="1" outlineLevel="1">
      <c r="B122" s="64"/>
      <c r="C122" s="649">
        <v>106</v>
      </c>
      <c r="D122" s="1855"/>
      <c r="E122" s="1856"/>
      <c r="F122" s="1856"/>
      <c r="G122" s="1856"/>
      <c r="H122" s="1856"/>
      <c r="I122" s="1856"/>
      <c r="J122" s="1856"/>
      <c r="K122" s="1857"/>
      <c r="L122" s="643" t="str">
        <f t="shared" si="22"/>
        <v/>
      </c>
      <c r="M122" s="664"/>
      <c r="N122" s="665"/>
      <c r="O122" s="267"/>
      <c r="P122" s="666"/>
      <c r="Q122" s="667"/>
      <c r="R122" s="667"/>
      <c r="S122" s="1035"/>
      <c r="T122" s="668"/>
      <c r="U122" s="668"/>
      <c r="V122" s="668"/>
      <c r="W122" s="668"/>
      <c r="X122" s="669"/>
      <c r="Y122" s="670"/>
      <c r="Z122" s="671"/>
      <c r="AA122" s="644"/>
      <c r="AB122" s="978"/>
      <c r="AC122" s="992"/>
      <c r="AD122" s="89"/>
      <c r="AE122" s="89"/>
      <c r="AF122" s="645" t="str">
        <f t="shared" si="27"/>
        <v/>
      </c>
      <c r="AG122" s="1037" t="str">
        <f t="shared" si="28"/>
        <v/>
      </c>
      <c r="AH122" s="1037" t="str">
        <f t="shared" si="29"/>
        <v/>
      </c>
      <c r="AI122" s="1037" t="str">
        <f>IF(AF122="","",VLOOKUP(AF122,リスト!BD:BE,2,0))</f>
        <v/>
      </c>
      <c r="AJ122" s="1037" t="str">
        <f t="shared" si="32"/>
        <v/>
      </c>
      <c r="AK122" s="1037" t="str">
        <f>IF(AJ122="","",VLOOKUP(AJ122,リスト!BW:BX,2,0))</f>
        <v/>
      </c>
      <c r="AL122" s="1037" t="str">
        <f t="shared" si="23"/>
        <v/>
      </c>
      <c r="AM122" s="646" t="str">
        <f t="shared" si="33"/>
        <v/>
      </c>
      <c r="AN122" s="646" t="str">
        <f t="shared" si="34"/>
        <v/>
      </c>
      <c r="AO122" s="647" t="str">
        <f t="shared" si="35"/>
        <v/>
      </c>
      <c r="AP122" s="647" t="str">
        <f t="shared" si="36"/>
        <v/>
      </c>
      <c r="AQ122" s="647" t="str">
        <f t="shared" si="37"/>
        <v/>
      </c>
      <c r="AR122" s="647" t="str">
        <f t="shared" si="26"/>
        <v/>
      </c>
      <c r="AS122" s="647" t="str">
        <f t="shared" si="38"/>
        <v/>
      </c>
      <c r="AT122" s="647" t="str">
        <f t="shared" si="30"/>
        <v/>
      </c>
      <c r="AU122" s="647" t="str">
        <f t="shared" si="31"/>
        <v/>
      </c>
      <c r="AV122" s="647" t="str">
        <f t="shared" si="24"/>
        <v/>
      </c>
      <c r="AW122" s="647" t="str">
        <f t="shared" si="39"/>
        <v/>
      </c>
      <c r="AX122" s="647" t="str">
        <f t="shared" si="40"/>
        <v/>
      </c>
      <c r="AY122" s="647" t="str">
        <f t="shared" si="41"/>
        <v/>
      </c>
      <c r="AZ122" s="647" t="str">
        <f t="shared" si="25"/>
        <v/>
      </c>
      <c r="BA122" s="647" t="str">
        <f t="shared" si="42"/>
        <v/>
      </c>
    </row>
    <row r="123" spans="2:53" s="7" customFormat="1" ht="28.5" hidden="1" customHeight="1" outlineLevel="1">
      <c r="B123" s="64"/>
      <c r="C123" s="649">
        <v>107</v>
      </c>
      <c r="D123" s="1855"/>
      <c r="E123" s="1856"/>
      <c r="F123" s="1856"/>
      <c r="G123" s="1856"/>
      <c r="H123" s="1856"/>
      <c r="I123" s="1856"/>
      <c r="J123" s="1856"/>
      <c r="K123" s="1857"/>
      <c r="L123" s="643" t="str">
        <f t="shared" si="22"/>
        <v/>
      </c>
      <c r="M123" s="664"/>
      <c r="N123" s="665"/>
      <c r="O123" s="267"/>
      <c r="P123" s="666"/>
      <c r="Q123" s="667"/>
      <c r="R123" s="667"/>
      <c r="S123" s="1035"/>
      <c r="T123" s="668"/>
      <c r="U123" s="668"/>
      <c r="V123" s="668"/>
      <c r="W123" s="668"/>
      <c r="X123" s="669"/>
      <c r="Y123" s="670"/>
      <c r="Z123" s="671"/>
      <c r="AA123" s="644"/>
      <c r="AB123" s="978"/>
      <c r="AC123" s="992"/>
      <c r="AD123" s="89"/>
      <c r="AE123" s="89"/>
      <c r="AF123" s="645" t="str">
        <f t="shared" si="27"/>
        <v/>
      </c>
      <c r="AG123" s="1037" t="str">
        <f t="shared" si="28"/>
        <v/>
      </c>
      <c r="AH123" s="1037" t="str">
        <f t="shared" si="29"/>
        <v/>
      </c>
      <c r="AI123" s="1037" t="str">
        <f>IF(AF123="","",VLOOKUP(AF123,リスト!BD:BE,2,0))</f>
        <v/>
      </c>
      <c r="AJ123" s="1037" t="str">
        <f t="shared" si="32"/>
        <v/>
      </c>
      <c r="AK123" s="1037" t="str">
        <f>IF(AJ123="","",VLOOKUP(AJ123,リスト!BW:BX,2,0))</f>
        <v/>
      </c>
      <c r="AL123" s="1037" t="str">
        <f t="shared" si="23"/>
        <v/>
      </c>
      <c r="AM123" s="646" t="str">
        <f t="shared" si="33"/>
        <v/>
      </c>
      <c r="AN123" s="646" t="str">
        <f t="shared" si="34"/>
        <v/>
      </c>
      <c r="AO123" s="647" t="str">
        <f t="shared" si="35"/>
        <v/>
      </c>
      <c r="AP123" s="647" t="str">
        <f t="shared" si="36"/>
        <v/>
      </c>
      <c r="AQ123" s="647" t="str">
        <f t="shared" si="37"/>
        <v/>
      </c>
      <c r="AR123" s="647" t="str">
        <f t="shared" si="26"/>
        <v/>
      </c>
      <c r="AS123" s="647" t="str">
        <f t="shared" si="38"/>
        <v/>
      </c>
      <c r="AT123" s="647" t="str">
        <f t="shared" si="30"/>
        <v/>
      </c>
      <c r="AU123" s="647" t="str">
        <f t="shared" si="31"/>
        <v/>
      </c>
      <c r="AV123" s="647" t="str">
        <f t="shared" si="24"/>
        <v/>
      </c>
      <c r="AW123" s="647" t="str">
        <f t="shared" si="39"/>
        <v/>
      </c>
      <c r="AX123" s="647" t="str">
        <f t="shared" si="40"/>
        <v/>
      </c>
      <c r="AY123" s="647" t="str">
        <f t="shared" si="41"/>
        <v/>
      </c>
      <c r="AZ123" s="647" t="str">
        <f t="shared" si="25"/>
        <v/>
      </c>
      <c r="BA123" s="647" t="str">
        <f t="shared" si="42"/>
        <v/>
      </c>
    </row>
    <row r="124" spans="2:53" s="7" customFormat="1" ht="28.5" hidden="1" customHeight="1" outlineLevel="1">
      <c r="B124" s="64"/>
      <c r="C124" s="649">
        <v>108</v>
      </c>
      <c r="D124" s="1855"/>
      <c r="E124" s="1856"/>
      <c r="F124" s="1856"/>
      <c r="G124" s="1856"/>
      <c r="H124" s="1856"/>
      <c r="I124" s="1856"/>
      <c r="J124" s="1856"/>
      <c r="K124" s="1857"/>
      <c r="L124" s="643" t="str">
        <f t="shared" si="22"/>
        <v/>
      </c>
      <c r="M124" s="664"/>
      <c r="N124" s="665"/>
      <c r="O124" s="267"/>
      <c r="P124" s="666"/>
      <c r="Q124" s="667"/>
      <c r="R124" s="667"/>
      <c r="S124" s="1035"/>
      <c r="T124" s="668"/>
      <c r="U124" s="668"/>
      <c r="V124" s="668"/>
      <c r="W124" s="668"/>
      <c r="X124" s="669"/>
      <c r="Y124" s="670"/>
      <c r="Z124" s="671"/>
      <c r="AA124" s="644"/>
      <c r="AB124" s="978"/>
      <c r="AC124" s="992"/>
      <c r="AD124" s="89"/>
      <c r="AE124" s="89"/>
      <c r="AF124" s="645" t="str">
        <f t="shared" si="27"/>
        <v/>
      </c>
      <c r="AG124" s="1037" t="str">
        <f t="shared" si="28"/>
        <v/>
      </c>
      <c r="AH124" s="1037" t="str">
        <f t="shared" si="29"/>
        <v/>
      </c>
      <c r="AI124" s="1037" t="str">
        <f>IF(AF124="","",VLOOKUP(AF124,リスト!BD:BE,2,0))</f>
        <v/>
      </c>
      <c r="AJ124" s="1037" t="str">
        <f t="shared" si="32"/>
        <v/>
      </c>
      <c r="AK124" s="1037" t="str">
        <f>IF(AJ124="","",VLOOKUP(AJ124,リスト!BW:BX,2,0))</f>
        <v/>
      </c>
      <c r="AL124" s="1037" t="str">
        <f t="shared" si="23"/>
        <v/>
      </c>
      <c r="AM124" s="646" t="str">
        <f t="shared" si="33"/>
        <v/>
      </c>
      <c r="AN124" s="646" t="str">
        <f t="shared" si="34"/>
        <v/>
      </c>
      <c r="AO124" s="647" t="str">
        <f t="shared" si="35"/>
        <v/>
      </c>
      <c r="AP124" s="647" t="str">
        <f t="shared" si="36"/>
        <v/>
      </c>
      <c r="AQ124" s="647" t="str">
        <f t="shared" si="37"/>
        <v/>
      </c>
      <c r="AR124" s="647" t="str">
        <f t="shared" si="26"/>
        <v/>
      </c>
      <c r="AS124" s="647" t="str">
        <f t="shared" si="38"/>
        <v/>
      </c>
      <c r="AT124" s="647" t="str">
        <f t="shared" si="30"/>
        <v/>
      </c>
      <c r="AU124" s="647" t="str">
        <f t="shared" si="31"/>
        <v/>
      </c>
      <c r="AV124" s="647" t="str">
        <f t="shared" si="24"/>
        <v/>
      </c>
      <c r="AW124" s="647" t="str">
        <f t="shared" si="39"/>
        <v/>
      </c>
      <c r="AX124" s="647" t="str">
        <f t="shared" si="40"/>
        <v/>
      </c>
      <c r="AY124" s="647" t="str">
        <f t="shared" si="41"/>
        <v/>
      </c>
      <c r="AZ124" s="647" t="str">
        <f t="shared" si="25"/>
        <v/>
      </c>
      <c r="BA124" s="647" t="str">
        <f t="shared" si="42"/>
        <v/>
      </c>
    </row>
    <row r="125" spans="2:53" s="7" customFormat="1" ht="28.5" hidden="1" customHeight="1" outlineLevel="1">
      <c r="B125" s="64"/>
      <c r="C125" s="649">
        <v>109</v>
      </c>
      <c r="D125" s="1855"/>
      <c r="E125" s="1856"/>
      <c r="F125" s="1856"/>
      <c r="G125" s="1856"/>
      <c r="H125" s="1856"/>
      <c r="I125" s="1856"/>
      <c r="J125" s="1856"/>
      <c r="K125" s="1857"/>
      <c r="L125" s="643" t="str">
        <f t="shared" si="22"/>
        <v/>
      </c>
      <c r="M125" s="664"/>
      <c r="N125" s="665"/>
      <c r="O125" s="267"/>
      <c r="P125" s="666"/>
      <c r="Q125" s="667"/>
      <c r="R125" s="667"/>
      <c r="S125" s="1035"/>
      <c r="T125" s="668"/>
      <c r="U125" s="668"/>
      <c r="V125" s="668"/>
      <c r="W125" s="668"/>
      <c r="X125" s="669"/>
      <c r="Y125" s="670"/>
      <c r="Z125" s="671"/>
      <c r="AA125" s="644"/>
      <c r="AB125" s="978"/>
      <c r="AC125" s="992"/>
      <c r="AD125" s="89"/>
      <c r="AE125" s="89"/>
      <c r="AF125" s="645" t="str">
        <f t="shared" si="27"/>
        <v/>
      </c>
      <c r="AG125" s="1037" t="str">
        <f t="shared" si="28"/>
        <v/>
      </c>
      <c r="AH125" s="1037" t="str">
        <f t="shared" si="29"/>
        <v/>
      </c>
      <c r="AI125" s="1037" t="str">
        <f>IF(AF125="","",VLOOKUP(AF125,リスト!BD:BE,2,0))</f>
        <v/>
      </c>
      <c r="AJ125" s="1037" t="str">
        <f t="shared" si="32"/>
        <v/>
      </c>
      <c r="AK125" s="1037" t="str">
        <f>IF(AJ125="","",VLOOKUP(AJ125,リスト!BW:BX,2,0))</f>
        <v/>
      </c>
      <c r="AL125" s="1037" t="str">
        <f t="shared" si="23"/>
        <v/>
      </c>
      <c r="AM125" s="646" t="str">
        <f t="shared" si="33"/>
        <v/>
      </c>
      <c r="AN125" s="646" t="str">
        <f t="shared" si="34"/>
        <v/>
      </c>
      <c r="AO125" s="647" t="str">
        <f t="shared" si="35"/>
        <v/>
      </c>
      <c r="AP125" s="647" t="str">
        <f t="shared" si="36"/>
        <v/>
      </c>
      <c r="AQ125" s="647" t="str">
        <f t="shared" si="37"/>
        <v/>
      </c>
      <c r="AR125" s="647" t="str">
        <f t="shared" si="26"/>
        <v/>
      </c>
      <c r="AS125" s="647" t="str">
        <f t="shared" si="38"/>
        <v/>
      </c>
      <c r="AT125" s="647" t="str">
        <f t="shared" si="30"/>
        <v/>
      </c>
      <c r="AU125" s="647" t="str">
        <f t="shared" si="31"/>
        <v/>
      </c>
      <c r="AV125" s="647" t="str">
        <f t="shared" si="24"/>
        <v/>
      </c>
      <c r="AW125" s="647" t="str">
        <f t="shared" si="39"/>
        <v/>
      </c>
      <c r="AX125" s="647" t="str">
        <f t="shared" si="40"/>
        <v/>
      </c>
      <c r="AY125" s="647" t="str">
        <f t="shared" si="41"/>
        <v/>
      </c>
      <c r="AZ125" s="647" t="str">
        <f t="shared" si="25"/>
        <v/>
      </c>
      <c r="BA125" s="647" t="str">
        <f t="shared" si="42"/>
        <v/>
      </c>
    </row>
    <row r="126" spans="2:53" s="7" customFormat="1" ht="28.5" hidden="1" customHeight="1" outlineLevel="1">
      <c r="B126" s="64"/>
      <c r="C126" s="649">
        <v>110</v>
      </c>
      <c r="D126" s="1855"/>
      <c r="E126" s="1856"/>
      <c r="F126" s="1856"/>
      <c r="G126" s="1856"/>
      <c r="H126" s="1856"/>
      <c r="I126" s="1856"/>
      <c r="J126" s="1856"/>
      <c r="K126" s="1857"/>
      <c r="L126" s="643" t="str">
        <f t="shared" si="22"/>
        <v/>
      </c>
      <c r="M126" s="664"/>
      <c r="N126" s="665"/>
      <c r="O126" s="267"/>
      <c r="P126" s="666"/>
      <c r="Q126" s="667"/>
      <c r="R126" s="667"/>
      <c r="S126" s="1035"/>
      <c r="T126" s="668"/>
      <c r="U126" s="668"/>
      <c r="V126" s="668"/>
      <c r="W126" s="668"/>
      <c r="X126" s="669"/>
      <c r="Y126" s="670"/>
      <c r="Z126" s="671"/>
      <c r="AA126" s="644"/>
      <c r="AB126" s="978"/>
      <c r="AC126" s="992"/>
      <c r="AD126" s="89"/>
      <c r="AE126" s="89"/>
      <c r="AF126" s="645" t="str">
        <f t="shared" si="27"/>
        <v/>
      </c>
      <c r="AG126" s="1037" t="str">
        <f t="shared" si="28"/>
        <v/>
      </c>
      <c r="AH126" s="1037" t="str">
        <f t="shared" si="29"/>
        <v/>
      </c>
      <c r="AI126" s="1037" t="str">
        <f>IF(AF126="","",VLOOKUP(AF126,リスト!BD:BE,2,0))</f>
        <v/>
      </c>
      <c r="AJ126" s="1037" t="str">
        <f t="shared" si="32"/>
        <v/>
      </c>
      <c r="AK126" s="1037" t="str">
        <f>IF(AJ126="","",VLOOKUP(AJ126,リスト!BW:BX,2,0))</f>
        <v/>
      </c>
      <c r="AL126" s="1037" t="str">
        <f t="shared" si="23"/>
        <v/>
      </c>
      <c r="AM126" s="646" t="str">
        <f t="shared" si="33"/>
        <v/>
      </c>
      <c r="AN126" s="646" t="str">
        <f t="shared" si="34"/>
        <v/>
      </c>
      <c r="AO126" s="647" t="str">
        <f t="shared" si="35"/>
        <v/>
      </c>
      <c r="AP126" s="647" t="str">
        <f t="shared" si="36"/>
        <v/>
      </c>
      <c r="AQ126" s="647" t="str">
        <f t="shared" si="37"/>
        <v/>
      </c>
      <c r="AR126" s="647" t="str">
        <f t="shared" si="26"/>
        <v/>
      </c>
      <c r="AS126" s="647" t="str">
        <f t="shared" si="38"/>
        <v/>
      </c>
      <c r="AT126" s="647" t="str">
        <f t="shared" si="30"/>
        <v/>
      </c>
      <c r="AU126" s="647" t="str">
        <f t="shared" si="31"/>
        <v/>
      </c>
      <c r="AV126" s="647" t="str">
        <f t="shared" si="24"/>
        <v/>
      </c>
      <c r="AW126" s="647" t="str">
        <f t="shared" si="39"/>
        <v/>
      </c>
      <c r="AX126" s="647" t="str">
        <f t="shared" si="40"/>
        <v/>
      </c>
      <c r="AY126" s="647" t="str">
        <f t="shared" si="41"/>
        <v/>
      </c>
      <c r="AZ126" s="647" t="str">
        <f t="shared" si="25"/>
        <v/>
      </c>
      <c r="BA126" s="647" t="str">
        <f t="shared" si="42"/>
        <v/>
      </c>
    </row>
    <row r="127" spans="2:53" s="7" customFormat="1" ht="28.5" hidden="1" customHeight="1" outlineLevel="1">
      <c r="B127" s="64"/>
      <c r="C127" s="649">
        <v>111</v>
      </c>
      <c r="D127" s="1855"/>
      <c r="E127" s="1856"/>
      <c r="F127" s="1856"/>
      <c r="G127" s="1856"/>
      <c r="H127" s="1856"/>
      <c r="I127" s="1856"/>
      <c r="J127" s="1856"/>
      <c r="K127" s="1857"/>
      <c r="L127" s="643" t="str">
        <f t="shared" si="22"/>
        <v/>
      </c>
      <c r="M127" s="664"/>
      <c r="N127" s="665"/>
      <c r="O127" s="267"/>
      <c r="P127" s="666"/>
      <c r="Q127" s="667"/>
      <c r="R127" s="667"/>
      <c r="S127" s="1035"/>
      <c r="T127" s="668"/>
      <c r="U127" s="668"/>
      <c r="V127" s="668"/>
      <c r="W127" s="668"/>
      <c r="X127" s="669"/>
      <c r="Y127" s="670"/>
      <c r="Z127" s="671"/>
      <c r="AA127" s="644"/>
      <c r="AB127" s="978"/>
      <c r="AC127" s="992"/>
      <c r="AD127" s="89"/>
      <c r="AE127" s="89"/>
      <c r="AF127" s="645" t="str">
        <f t="shared" si="27"/>
        <v/>
      </c>
      <c r="AG127" s="1037" t="str">
        <f t="shared" si="28"/>
        <v/>
      </c>
      <c r="AH127" s="1037" t="str">
        <f t="shared" si="29"/>
        <v/>
      </c>
      <c r="AI127" s="1037" t="str">
        <f>IF(AF127="","",VLOOKUP(AF127,リスト!BD:BE,2,0))</f>
        <v/>
      </c>
      <c r="AJ127" s="1037" t="str">
        <f t="shared" si="32"/>
        <v/>
      </c>
      <c r="AK127" s="1037" t="str">
        <f>IF(AJ127="","",VLOOKUP(AJ127,リスト!BW:BX,2,0))</f>
        <v/>
      </c>
      <c r="AL127" s="1037" t="str">
        <f t="shared" si="23"/>
        <v/>
      </c>
      <c r="AM127" s="646" t="str">
        <f t="shared" si="33"/>
        <v/>
      </c>
      <c r="AN127" s="646" t="str">
        <f t="shared" si="34"/>
        <v/>
      </c>
      <c r="AO127" s="647" t="str">
        <f t="shared" si="35"/>
        <v/>
      </c>
      <c r="AP127" s="647" t="str">
        <f t="shared" si="36"/>
        <v/>
      </c>
      <c r="AQ127" s="647" t="str">
        <f t="shared" si="37"/>
        <v/>
      </c>
      <c r="AR127" s="647" t="str">
        <f t="shared" si="26"/>
        <v/>
      </c>
      <c r="AS127" s="647" t="str">
        <f t="shared" si="38"/>
        <v/>
      </c>
      <c r="AT127" s="647" t="str">
        <f t="shared" si="30"/>
        <v/>
      </c>
      <c r="AU127" s="647" t="str">
        <f t="shared" si="31"/>
        <v/>
      </c>
      <c r="AV127" s="647" t="str">
        <f t="shared" si="24"/>
        <v/>
      </c>
      <c r="AW127" s="647" t="str">
        <f t="shared" si="39"/>
        <v/>
      </c>
      <c r="AX127" s="647" t="str">
        <f t="shared" si="40"/>
        <v/>
      </c>
      <c r="AY127" s="647" t="str">
        <f t="shared" si="41"/>
        <v/>
      </c>
      <c r="AZ127" s="647" t="str">
        <f t="shared" si="25"/>
        <v/>
      </c>
      <c r="BA127" s="647" t="str">
        <f t="shared" si="42"/>
        <v/>
      </c>
    </row>
    <row r="128" spans="2:53" s="7" customFormat="1" ht="28.5" hidden="1" customHeight="1" outlineLevel="1">
      <c r="B128" s="64"/>
      <c r="C128" s="649">
        <v>112</v>
      </c>
      <c r="D128" s="1855"/>
      <c r="E128" s="1856"/>
      <c r="F128" s="1856"/>
      <c r="G128" s="1856"/>
      <c r="H128" s="1856"/>
      <c r="I128" s="1856"/>
      <c r="J128" s="1856"/>
      <c r="K128" s="1857"/>
      <c r="L128" s="643" t="str">
        <f t="shared" si="22"/>
        <v/>
      </c>
      <c r="M128" s="664"/>
      <c r="N128" s="665"/>
      <c r="O128" s="267"/>
      <c r="P128" s="666"/>
      <c r="Q128" s="667"/>
      <c r="R128" s="667"/>
      <c r="S128" s="1035"/>
      <c r="T128" s="668"/>
      <c r="U128" s="668"/>
      <c r="V128" s="668"/>
      <c r="W128" s="668"/>
      <c r="X128" s="669"/>
      <c r="Y128" s="670"/>
      <c r="Z128" s="671"/>
      <c r="AA128" s="644"/>
      <c r="AB128" s="978"/>
      <c r="AC128" s="992"/>
      <c r="AD128" s="89"/>
      <c r="AE128" s="89"/>
      <c r="AF128" s="645" t="str">
        <f t="shared" si="27"/>
        <v/>
      </c>
      <c r="AG128" s="1037" t="str">
        <f t="shared" si="28"/>
        <v/>
      </c>
      <c r="AH128" s="1037" t="str">
        <f t="shared" si="29"/>
        <v/>
      </c>
      <c r="AI128" s="1037" t="str">
        <f>IF(AF128="","",VLOOKUP(AF128,リスト!BD:BE,2,0))</f>
        <v/>
      </c>
      <c r="AJ128" s="1037" t="str">
        <f t="shared" si="32"/>
        <v/>
      </c>
      <c r="AK128" s="1037" t="str">
        <f>IF(AJ128="","",VLOOKUP(AJ128,リスト!BW:BX,2,0))</f>
        <v/>
      </c>
      <c r="AL128" s="1037" t="str">
        <f t="shared" si="23"/>
        <v/>
      </c>
      <c r="AM128" s="646" t="str">
        <f t="shared" si="33"/>
        <v/>
      </c>
      <c r="AN128" s="646" t="str">
        <f t="shared" si="34"/>
        <v/>
      </c>
      <c r="AO128" s="647" t="str">
        <f t="shared" si="35"/>
        <v/>
      </c>
      <c r="AP128" s="647" t="str">
        <f t="shared" si="36"/>
        <v/>
      </c>
      <c r="AQ128" s="647" t="str">
        <f t="shared" si="37"/>
        <v/>
      </c>
      <c r="AR128" s="647" t="str">
        <f t="shared" si="26"/>
        <v/>
      </c>
      <c r="AS128" s="647" t="str">
        <f t="shared" si="38"/>
        <v/>
      </c>
      <c r="AT128" s="647" t="str">
        <f t="shared" si="30"/>
        <v/>
      </c>
      <c r="AU128" s="647" t="str">
        <f t="shared" si="31"/>
        <v/>
      </c>
      <c r="AV128" s="647" t="str">
        <f t="shared" si="24"/>
        <v/>
      </c>
      <c r="AW128" s="647" t="str">
        <f t="shared" si="39"/>
        <v/>
      </c>
      <c r="AX128" s="647" t="str">
        <f t="shared" si="40"/>
        <v/>
      </c>
      <c r="AY128" s="647" t="str">
        <f t="shared" si="41"/>
        <v/>
      </c>
      <c r="AZ128" s="647" t="str">
        <f t="shared" si="25"/>
        <v/>
      </c>
      <c r="BA128" s="647" t="str">
        <f t="shared" si="42"/>
        <v/>
      </c>
    </row>
    <row r="129" spans="2:53" s="7" customFormat="1" ht="28.5" hidden="1" customHeight="1" outlineLevel="1">
      <c r="B129" s="64"/>
      <c r="C129" s="649">
        <v>113</v>
      </c>
      <c r="D129" s="1855"/>
      <c r="E129" s="1856"/>
      <c r="F129" s="1856"/>
      <c r="G129" s="1856"/>
      <c r="H129" s="1856"/>
      <c r="I129" s="1856"/>
      <c r="J129" s="1856"/>
      <c r="K129" s="1857"/>
      <c r="L129" s="643" t="str">
        <f t="shared" si="22"/>
        <v/>
      </c>
      <c r="M129" s="664"/>
      <c r="N129" s="665"/>
      <c r="O129" s="267"/>
      <c r="P129" s="666"/>
      <c r="Q129" s="667"/>
      <c r="R129" s="667"/>
      <c r="S129" s="1035"/>
      <c r="T129" s="668"/>
      <c r="U129" s="668"/>
      <c r="V129" s="668"/>
      <c r="W129" s="668"/>
      <c r="X129" s="669"/>
      <c r="Y129" s="670"/>
      <c r="Z129" s="671"/>
      <c r="AA129" s="644"/>
      <c r="AB129" s="978"/>
      <c r="AC129" s="992"/>
      <c r="AD129" s="89"/>
      <c r="AE129" s="89"/>
      <c r="AF129" s="645" t="str">
        <f t="shared" si="27"/>
        <v/>
      </c>
      <c r="AG129" s="1037" t="str">
        <f t="shared" si="28"/>
        <v/>
      </c>
      <c r="AH129" s="1037" t="str">
        <f t="shared" si="29"/>
        <v/>
      </c>
      <c r="AI129" s="1037" t="str">
        <f>IF(AF129="","",VLOOKUP(AF129,リスト!BD:BE,2,0))</f>
        <v/>
      </c>
      <c r="AJ129" s="1037" t="str">
        <f t="shared" si="32"/>
        <v/>
      </c>
      <c r="AK129" s="1037" t="str">
        <f>IF(AJ129="","",VLOOKUP(AJ129,リスト!BW:BX,2,0))</f>
        <v/>
      </c>
      <c r="AL129" s="1037" t="str">
        <f t="shared" si="23"/>
        <v/>
      </c>
      <c r="AM129" s="646" t="str">
        <f t="shared" si="33"/>
        <v/>
      </c>
      <c r="AN129" s="646" t="str">
        <f t="shared" si="34"/>
        <v/>
      </c>
      <c r="AO129" s="647" t="str">
        <f t="shared" si="35"/>
        <v/>
      </c>
      <c r="AP129" s="647" t="str">
        <f t="shared" si="36"/>
        <v/>
      </c>
      <c r="AQ129" s="647" t="str">
        <f t="shared" si="37"/>
        <v/>
      </c>
      <c r="AR129" s="647" t="str">
        <f t="shared" si="26"/>
        <v/>
      </c>
      <c r="AS129" s="647" t="str">
        <f t="shared" si="38"/>
        <v/>
      </c>
      <c r="AT129" s="647" t="str">
        <f t="shared" si="30"/>
        <v/>
      </c>
      <c r="AU129" s="647" t="str">
        <f t="shared" si="31"/>
        <v/>
      </c>
      <c r="AV129" s="647" t="str">
        <f t="shared" si="24"/>
        <v/>
      </c>
      <c r="AW129" s="647" t="str">
        <f t="shared" si="39"/>
        <v/>
      </c>
      <c r="AX129" s="647" t="str">
        <f t="shared" si="40"/>
        <v/>
      </c>
      <c r="AY129" s="647" t="str">
        <f t="shared" si="41"/>
        <v/>
      </c>
      <c r="AZ129" s="647" t="str">
        <f t="shared" si="25"/>
        <v/>
      </c>
      <c r="BA129" s="647" t="str">
        <f t="shared" si="42"/>
        <v/>
      </c>
    </row>
    <row r="130" spans="2:53" s="7" customFormat="1" ht="28.5" hidden="1" customHeight="1" outlineLevel="1">
      <c r="B130" s="64"/>
      <c r="C130" s="649">
        <v>114</v>
      </c>
      <c r="D130" s="1855"/>
      <c r="E130" s="1856"/>
      <c r="F130" s="1856"/>
      <c r="G130" s="1856"/>
      <c r="H130" s="1856"/>
      <c r="I130" s="1856"/>
      <c r="J130" s="1856"/>
      <c r="K130" s="1857"/>
      <c r="L130" s="643" t="str">
        <f t="shared" si="22"/>
        <v/>
      </c>
      <c r="M130" s="664"/>
      <c r="N130" s="665"/>
      <c r="O130" s="267"/>
      <c r="P130" s="666"/>
      <c r="Q130" s="667"/>
      <c r="R130" s="667"/>
      <c r="S130" s="1035"/>
      <c r="T130" s="668"/>
      <c r="U130" s="668"/>
      <c r="V130" s="668"/>
      <c r="W130" s="668"/>
      <c r="X130" s="669"/>
      <c r="Y130" s="670"/>
      <c r="Z130" s="671"/>
      <c r="AA130" s="644"/>
      <c r="AB130" s="978"/>
      <c r="AC130" s="992"/>
      <c r="AD130" s="89"/>
      <c r="AE130" s="89"/>
      <c r="AF130" s="645" t="str">
        <f t="shared" si="27"/>
        <v/>
      </c>
      <c r="AG130" s="1037" t="str">
        <f t="shared" si="28"/>
        <v/>
      </c>
      <c r="AH130" s="1037" t="str">
        <f t="shared" si="29"/>
        <v/>
      </c>
      <c r="AI130" s="1037" t="str">
        <f>IF(AF130="","",VLOOKUP(AF130,リスト!BD:BE,2,0))</f>
        <v/>
      </c>
      <c r="AJ130" s="1037" t="str">
        <f t="shared" si="32"/>
        <v/>
      </c>
      <c r="AK130" s="1037" t="str">
        <f>IF(AJ130="","",VLOOKUP(AJ130,リスト!BW:BX,2,0))</f>
        <v/>
      </c>
      <c r="AL130" s="1037" t="str">
        <f t="shared" si="23"/>
        <v/>
      </c>
      <c r="AM130" s="646" t="str">
        <f t="shared" si="33"/>
        <v/>
      </c>
      <c r="AN130" s="646" t="str">
        <f t="shared" si="34"/>
        <v/>
      </c>
      <c r="AO130" s="647" t="str">
        <f t="shared" si="35"/>
        <v/>
      </c>
      <c r="AP130" s="647" t="str">
        <f t="shared" si="36"/>
        <v/>
      </c>
      <c r="AQ130" s="647" t="str">
        <f t="shared" si="37"/>
        <v/>
      </c>
      <c r="AR130" s="647" t="str">
        <f t="shared" si="26"/>
        <v/>
      </c>
      <c r="AS130" s="647" t="str">
        <f t="shared" si="38"/>
        <v/>
      </c>
      <c r="AT130" s="647" t="str">
        <f t="shared" si="30"/>
        <v/>
      </c>
      <c r="AU130" s="647" t="str">
        <f t="shared" si="31"/>
        <v/>
      </c>
      <c r="AV130" s="647" t="str">
        <f t="shared" si="24"/>
        <v/>
      </c>
      <c r="AW130" s="647" t="str">
        <f t="shared" si="39"/>
        <v/>
      </c>
      <c r="AX130" s="647" t="str">
        <f t="shared" si="40"/>
        <v/>
      </c>
      <c r="AY130" s="647" t="str">
        <f t="shared" si="41"/>
        <v/>
      </c>
      <c r="AZ130" s="647" t="str">
        <f t="shared" si="25"/>
        <v/>
      </c>
      <c r="BA130" s="647" t="str">
        <f t="shared" si="42"/>
        <v/>
      </c>
    </row>
    <row r="131" spans="2:53" s="7" customFormat="1" ht="28.5" hidden="1" customHeight="1" outlineLevel="1">
      <c r="B131" s="64"/>
      <c r="C131" s="649">
        <v>115</v>
      </c>
      <c r="D131" s="1855"/>
      <c r="E131" s="1856"/>
      <c r="F131" s="1856"/>
      <c r="G131" s="1856"/>
      <c r="H131" s="1856"/>
      <c r="I131" s="1856"/>
      <c r="J131" s="1856"/>
      <c r="K131" s="1857"/>
      <c r="L131" s="643" t="str">
        <f t="shared" si="22"/>
        <v/>
      </c>
      <c r="M131" s="664"/>
      <c r="N131" s="665"/>
      <c r="O131" s="267"/>
      <c r="P131" s="666"/>
      <c r="Q131" s="667"/>
      <c r="R131" s="667"/>
      <c r="S131" s="1035"/>
      <c r="T131" s="668"/>
      <c r="U131" s="668"/>
      <c r="V131" s="668"/>
      <c r="W131" s="668"/>
      <c r="X131" s="669"/>
      <c r="Y131" s="670"/>
      <c r="Z131" s="671"/>
      <c r="AA131" s="644"/>
      <c r="AB131" s="978"/>
      <c r="AC131" s="992"/>
      <c r="AD131" s="89"/>
      <c r="AE131" s="89"/>
      <c r="AF131" s="645" t="str">
        <f t="shared" si="27"/>
        <v/>
      </c>
      <c r="AG131" s="1037" t="str">
        <f t="shared" si="28"/>
        <v/>
      </c>
      <c r="AH131" s="1037" t="str">
        <f t="shared" si="29"/>
        <v/>
      </c>
      <c r="AI131" s="1037" t="str">
        <f>IF(AF131="","",VLOOKUP(AF131,リスト!BD:BE,2,0))</f>
        <v/>
      </c>
      <c r="AJ131" s="1037" t="str">
        <f t="shared" si="32"/>
        <v/>
      </c>
      <c r="AK131" s="1037" t="str">
        <f>IF(AJ131="","",VLOOKUP(AJ131,リスト!BW:BX,2,0))</f>
        <v/>
      </c>
      <c r="AL131" s="1037" t="str">
        <f t="shared" si="23"/>
        <v/>
      </c>
      <c r="AM131" s="646" t="str">
        <f t="shared" si="33"/>
        <v/>
      </c>
      <c r="AN131" s="646" t="str">
        <f t="shared" si="34"/>
        <v/>
      </c>
      <c r="AO131" s="647" t="str">
        <f t="shared" si="35"/>
        <v/>
      </c>
      <c r="AP131" s="647" t="str">
        <f t="shared" si="36"/>
        <v/>
      </c>
      <c r="AQ131" s="647" t="str">
        <f t="shared" si="37"/>
        <v/>
      </c>
      <c r="AR131" s="647" t="str">
        <f t="shared" si="26"/>
        <v/>
      </c>
      <c r="AS131" s="647" t="str">
        <f t="shared" si="38"/>
        <v/>
      </c>
      <c r="AT131" s="647" t="str">
        <f t="shared" si="30"/>
        <v/>
      </c>
      <c r="AU131" s="647" t="str">
        <f t="shared" si="31"/>
        <v/>
      </c>
      <c r="AV131" s="647" t="str">
        <f t="shared" si="24"/>
        <v/>
      </c>
      <c r="AW131" s="647" t="str">
        <f t="shared" si="39"/>
        <v/>
      </c>
      <c r="AX131" s="647" t="str">
        <f t="shared" si="40"/>
        <v/>
      </c>
      <c r="AY131" s="647" t="str">
        <f t="shared" si="41"/>
        <v/>
      </c>
      <c r="AZ131" s="647" t="str">
        <f t="shared" si="25"/>
        <v/>
      </c>
      <c r="BA131" s="647" t="str">
        <f t="shared" si="42"/>
        <v/>
      </c>
    </row>
    <row r="132" spans="2:53" s="7" customFormat="1" ht="28.5" hidden="1" customHeight="1" outlineLevel="1">
      <c r="B132" s="64"/>
      <c r="C132" s="649">
        <v>116</v>
      </c>
      <c r="D132" s="1855"/>
      <c r="E132" s="1856"/>
      <c r="F132" s="1856"/>
      <c r="G132" s="1856"/>
      <c r="H132" s="1856"/>
      <c r="I132" s="1856"/>
      <c r="J132" s="1856"/>
      <c r="K132" s="1857"/>
      <c r="L132" s="643" t="str">
        <f t="shared" si="22"/>
        <v/>
      </c>
      <c r="M132" s="664"/>
      <c r="N132" s="665"/>
      <c r="O132" s="267"/>
      <c r="P132" s="666"/>
      <c r="Q132" s="667"/>
      <c r="R132" s="667"/>
      <c r="S132" s="1035"/>
      <c r="T132" s="668"/>
      <c r="U132" s="668"/>
      <c r="V132" s="668"/>
      <c r="W132" s="668"/>
      <c r="X132" s="669"/>
      <c r="Y132" s="670"/>
      <c r="Z132" s="671"/>
      <c r="AA132" s="644"/>
      <c r="AB132" s="978"/>
      <c r="AC132" s="992"/>
      <c r="AD132" s="89"/>
      <c r="AE132" s="89"/>
      <c r="AF132" s="645" t="str">
        <f t="shared" si="27"/>
        <v/>
      </c>
      <c r="AG132" s="1037" t="str">
        <f t="shared" si="28"/>
        <v/>
      </c>
      <c r="AH132" s="1037" t="str">
        <f t="shared" si="29"/>
        <v/>
      </c>
      <c r="AI132" s="1037" t="str">
        <f>IF(AF132="","",VLOOKUP(AF132,リスト!BD:BE,2,0))</f>
        <v/>
      </c>
      <c r="AJ132" s="1037" t="str">
        <f t="shared" si="32"/>
        <v/>
      </c>
      <c r="AK132" s="1037" t="str">
        <f>IF(AJ132="","",VLOOKUP(AJ132,リスト!BW:BX,2,0))</f>
        <v/>
      </c>
      <c r="AL132" s="1037" t="str">
        <f t="shared" si="23"/>
        <v/>
      </c>
      <c r="AM132" s="646" t="str">
        <f t="shared" si="33"/>
        <v/>
      </c>
      <c r="AN132" s="646" t="str">
        <f t="shared" si="34"/>
        <v/>
      </c>
      <c r="AO132" s="647" t="str">
        <f t="shared" si="35"/>
        <v/>
      </c>
      <c r="AP132" s="647" t="str">
        <f t="shared" si="36"/>
        <v/>
      </c>
      <c r="AQ132" s="647" t="str">
        <f t="shared" si="37"/>
        <v/>
      </c>
      <c r="AR132" s="647" t="str">
        <f t="shared" si="26"/>
        <v/>
      </c>
      <c r="AS132" s="647" t="str">
        <f t="shared" si="38"/>
        <v/>
      </c>
      <c r="AT132" s="647" t="str">
        <f t="shared" si="30"/>
        <v/>
      </c>
      <c r="AU132" s="647" t="str">
        <f t="shared" si="31"/>
        <v/>
      </c>
      <c r="AV132" s="647" t="str">
        <f t="shared" si="24"/>
        <v/>
      </c>
      <c r="AW132" s="647" t="str">
        <f t="shared" si="39"/>
        <v/>
      </c>
      <c r="AX132" s="647" t="str">
        <f t="shared" si="40"/>
        <v/>
      </c>
      <c r="AY132" s="647" t="str">
        <f t="shared" si="41"/>
        <v/>
      </c>
      <c r="AZ132" s="647" t="str">
        <f t="shared" si="25"/>
        <v/>
      </c>
      <c r="BA132" s="647" t="str">
        <f t="shared" si="42"/>
        <v/>
      </c>
    </row>
    <row r="133" spans="2:53" s="7" customFormat="1" ht="28.5" hidden="1" customHeight="1" outlineLevel="1">
      <c r="B133" s="64"/>
      <c r="C133" s="649">
        <v>117</v>
      </c>
      <c r="D133" s="1855"/>
      <c r="E133" s="1856"/>
      <c r="F133" s="1856"/>
      <c r="G133" s="1856"/>
      <c r="H133" s="1856"/>
      <c r="I133" s="1856"/>
      <c r="J133" s="1856"/>
      <c r="K133" s="1857"/>
      <c r="L133" s="643" t="str">
        <f t="shared" si="22"/>
        <v/>
      </c>
      <c r="M133" s="664"/>
      <c r="N133" s="665"/>
      <c r="O133" s="267"/>
      <c r="P133" s="666"/>
      <c r="Q133" s="667"/>
      <c r="R133" s="667"/>
      <c r="S133" s="1035"/>
      <c r="T133" s="668"/>
      <c r="U133" s="668"/>
      <c r="V133" s="668"/>
      <c r="W133" s="668"/>
      <c r="X133" s="669"/>
      <c r="Y133" s="670"/>
      <c r="Z133" s="671"/>
      <c r="AA133" s="644"/>
      <c r="AB133" s="978"/>
      <c r="AC133" s="992"/>
      <c r="AD133" s="89"/>
      <c r="AE133" s="89"/>
      <c r="AF133" s="645" t="str">
        <f t="shared" si="27"/>
        <v/>
      </c>
      <c r="AG133" s="1037" t="str">
        <f t="shared" si="28"/>
        <v/>
      </c>
      <c r="AH133" s="1037" t="str">
        <f t="shared" si="29"/>
        <v/>
      </c>
      <c r="AI133" s="1037" t="str">
        <f>IF(AF133="","",VLOOKUP(AF133,リスト!BD:BE,2,0))</f>
        <v/>
      </c>
      <c r="AJ133" s="1037" t="str">
        <f t="shared" si="32"/>
        <v/>
      </c>
      <c r="AK133" s="1037" t="str">
        <f>IF(AJ133="","",VLOOKUP(AJ133,リスト!BW:BX,2,0))</f>
        <v/>
      </c>
      <c r="AL133" s="1037" t="str">
        <f t="shared" si="23"/>
        <v/>
      </c>
      <c r="AM133" s="646" t="str">
        <f t="shared" si="33"/>
        <v/>
      </c>
      <c r="AN133" s="646" t="str">
        <f t="shared" si="34"/>
        <v/>
      </c>
      <c r="AO133" s="647" t="str">
        <f t="shared" si="35"/>
        <v/>
      </c>
      <c r="AP133" s="647" t="str">
        <f t="shared" si="36"/>
        <v/>
      </c>
      <c r="AQ133" s="647" t="str">
        <f t="shared" si="37"/>
        <v/>
      </c>
      <c r="AR133" s="647" t="str">
        <f t="shared" si="26"/>
        <v/>
      </c>
      <c r="AS133" s="647" t="str">
        <f t="shared" si="38"/>
        <v/>
      </c>
      <c r="AT133" s="647" t="str">
        <f t="shared" si="30"/>
        <v/>
      </c>
      <c r="AU133" s="647" t="str">
        <f t="shared" si="31"/>
        <v/>
      </c>
      <c r="AV133" s="647" t="str">
        <f t="shared" si="24"/>
        <v/>
      </c>
      <c r="AW133" s="647" t="str">
        <f t="shared" si="39"/>
        <v/>
      </c>
      <c r="AX133" s="647" t="str">
        <f t="shared" si="40"/>
        <v/>
      </c>
      <c r="AY133" s="647" t="str">
        <f t="shared" si="41"/>
        <v/>
      </c>
      <c r="AZ133" s="647" t="str">
        <f t="shared" si="25"/>
        <v/>
      </c>
      <c r="BA133" s="647" t="str">
        <f t="shared" si="42"/>
        <v/>
      </c>
    </row>
    <row r="134" spans="2:53" s="7" customFormat="1" ht="28.5" hidden="1" customHeight="1" outlineLevel="1">
      <c r="B134" s="64"/>
      <c r="C134" s="649">
        <v>118</v>
      </c>
      <c r="D134" s="1855"/>
      <c r="E134" s="1856"/>
      <c r="F134" s="1856"/>
      <c r="G134" s="1856"/>
      <c r="H134" s="1856"/>
      <c r="I134" s="1856"/>
      <c r="J134" s="1856"/>
      <c r="K134" s="1857"/>
      <c r="L134" s="643" t="str">
        <f t="shared" si="22"/>
        <v/>
      </c>
      <c r="M134" s="664"/>
      <c r="N134" s="665"/>
      <c r="O134" s="267"/>
      <c r="P134" s="666"/>
      <c r="Q134" s="667"/>
      <c r="R134" s="667"/>
      <c r="S134" s="1035"/>
      <c r="T134" s="668"/>
      <c r="U134" s="668"/>
      <c r="V134" s="668"/>
      <c r="W134" s="668"/>
      <c r="X134" s="669"/>
      <c r="Y134" s="670"/>
      <c r="Z134" s="671"/>
      <c r="AA134" s="644"/>
      <c r="AB134" s="978"/>
      <c r="AC134" s="992"/>
      <c r="AD134" s="89"/>
      <c r="AE134" s="89"/>
      <c r="AF134" s="645" t="str">
        <f t="shared" si="27"/>
        <v/>
      </c>
      <c r="AG134" s="1037" t="str">
        <f t="shared" si="28"/>
        <v/>
      </c>
      <c r="AH134" s="1037" t="str">
        <f t="shared" si="29"/>
        <v/>
      </c>
      <c r="AI134" s="1037" t="str">
        <f>IF(AF134="","",VLOOKUP(AF134,リスト!BD:BE,2,0))</f>
        <v/>
      </c>
      <c r="AJ134" s="1037" t="str">
        <f t="shared" si="32"/>
        <v/>
      </c>
      <c r="AK134" s="1037" t="str">
        <f>IF(AJ134="","",VLOOKUP(AJ134,リスト!BW:BX,2,0))</f>
        <v/>
      </c>
      <c r="AL134" s="1037" t="str">
        <f t="shared" si="23"/>
        <v/>
      </c>
      <c r="AM134" s="646" t="str">
        <f t="shared" si="33"/>
        <v/>
      </c>
      <c r="AN134" s="646" t="str">
        <f t="shared" si="34"/>
        <v/>
      </c>
      <c r="AO134" s="647" t="str">
        <f t="shared" si="35"/>
        <v/>
      </c>
      <c r="AP134" s="647" t="str">
        <f t="shared" si="36"/>
        <v/>
      </c>
      <c r="AQ134" s="647" t="str">
        <f t="shared" si="37"/>
        <v/>
      </c>
      <c r="AR134" s="647" t="str">
        <f t="shared" si="26"/>
        <v/>
      </c>
      <c r="AS134" s="647" t="str">
        <f t="shared" si="38"/>
        <v/>
      </c>
      <c r="AT134" s="647" t="str">
        <f t="shared" si="30"/>
        <v/>
      </c>
      <c r="AU134" s="647" t="str">
        <f t="shared" si="31"/>
        <v/>
      </c>
      <c r="AV134" s="647" t="str">
        <f t="shared" si="24"/>
        <v/>
      </c>
      <c r="AW134" s="647" t="str">
        <f t="shared" si="39"/>
        <v/>
      </c>
      <c r="AX134" s="647" t="str">
        <f t="shared" si="40"/>
        <v/>
      </c>
      <c r="AY134" s="647" t="str">
        <f t="shared" si="41"/>
        <v/>
      </c>
      <c r="AZ134" s="647" t="str">
        <f t="shared" si="25"/>
        <v/>
      </c>
      <c r="BA134" s="647" t="str">
        <f t="shared" si="42"/>
        <v/>
      </c>
    </row>
    <row r="135" spans="2:53" s="7" customFormat="1" ht="28.5" hidden="1" customHeight="1" outlineLevel="1">
      <c r="B135" s="64"/>
      <c r="C135" s="649">
        <v>119</v>
      </c>
      <c r="D135" s="1855"/>
      <c r="E135" s="1856"/>
      <c r="F135" s="1856"/>
      <c r="G135" s="1856"/>
      <c r="H135" s="1856"/>
      <c r="I135" s="1856"/>
      <c r="J135" s="1856"/>
      <c r="K135" s="1857"/>
      <c r="L135" s="643" t="str">
        <f t="shared" si="22"/>
        <v/>
      </c>
      <c r="M135" s="664"/>
      <c r="N135" s="665"/>
      <c r="O135" s="267"/>
      <c r="P135" s="666"/>
      <c r="Q135" s="667"/>
      <c r="R135" s="667"/>
      <c r="S135" s="1035"/>
      <c r="T135" s="668"/>
      <c r="U135" s="668"/>
      <c r="V135" s="668"/>
      <c r="W135" s="668"/>
      <c r="X135" s="669"/>
      <c r="Y135" s="670"/>
      <c r="Z135" s="671"/>
      <c r="AA135" s="644"/>
      <c r="AB135" s="978"/>
      <c r="AC135" s="992"/>
      <c r="AD135" s="89"/>
      <c r="AE135" s="89"/>
      <c r="AF135" s="645" t="str">
        <f t="shared" si="27"/>
        <v/>
      </c>
      <c r="AG135" s="1037" t="str">
        <f t="shared" si="28"/>
        <v/>
      </c>
      <c r="AH135" s="1037" t="str">
        <f t="shared" si="29"/>
        <v/>
      </c>
      <c r="AI135" s="1037" t="str">
        <f>IF(AF135="","",VLOOKUP(AF135,リスト!BD:BE,2,0))</f>
        <v/>
      </c>
      <c r="AJ135" s="1037" t="str">
        <f t="shared" si="32"/>
        <v/>
      </c>
      <c r="AK135" s="1037" t="str">
        <f>IF(AJ135="","",VLOOKUP(AJ135,リスト!BW:BX,2,0))</f>
        <v/>
      </c>
      <c r="AL135" s="1037" t="str">
        <f t="shared" si="23"/>
        <v/>
      </c>
      <c r="AM135" s="646" t="str">
        <f t="shared" si="33"/>
        <v/>
      </c>
      <c r="AN135" s="646" t="str">
        <f t="shared" si="34"/>
        <v/>
      </c>
      <c r="AO135" s="647" t="str">
        <f t="shared" si="35"/>
        <v/>
      </c>
      <c r="AP135" s="647" t="str">
        <f t="shared" si="36"/>
        <v/>
      </c>
      <c r="AQ135" s="647" t="str">
        <f t="shared" si="37"/>
        <v/>
      </c>
      <c r="AR135" s="647" t="str">
        <f t="shared" si="26"/>
        <v/>
      </c>
      <c r="AS135" s="647" t="str">
        <f t="shared" si="38"/>
        <v/>
      </c>
      <c r="AT135" s="647" t="str">
        <f t="shared" si="30"/>
        <v/>
      </c>
      <c r="AU135" s="647" t="str">
        <f t="shared" si="31"/>
        <v/>
      </c>
      <c r="AV135" s="647" t="str">
        <f t="shared" si="24"/>
        <v/>
      </c>
      <c r="AW135" s="647" t="str">
        <f t="shared" si="39"/>
        <v/>
      </c>
      <c r="AX135" s="647" t="str">
        <f t="shared" si="40"/>
        <v/>
      </c>
      <c r="AY135" s="647" t="str">
        <f t="shared" si="41"/>
        <v/>
      </c>
      <c r="AZ135" s="647" t="str">
        <f t="shared" si="25"/>
        <v/>
      </c>
      <c r="BA135" s="647" t="str">
        <f t="shared" si="42"/>
        <v/>
      </c>
    </row>
    <row r="136" spans="2:53" s="7" customFormat="1" ht="28.5" hidden="1" customHeight="1" outlineLevel="1">
      <c r="B136" s="64"/>
      <c r="C136" s="649">
        <v>120</v>
      </c>
      <c r="D136" s="1855"/>
      <c r="E136" s="1856"/>
      <c r="F136" s="1856"/>
      <c r="G136" s="1856"/>
      <c r="H136" s="1856"/>
      <c r="I136" s="1856"/>
      <c r="J136" s="1856"/>
      <c r="K136" s="1857"/>
      <c r="L136" s="643" t="str">
        <f t="shared" si="22"/>
        <v/>
      </c>
      <c r="M136" s="664"/>
      <c r="N136" s="665"/>
      <c r="O136" s="267"/>
      <c r="P136" s="666"/>
      <c r="Q136" s="667"/>
      <c r="R136" s="667"/>
      <c r="S136" s="1035"/>
      <c r="T136" s="668"/>
      <c r="U136" s="668"/>
      <c r="V136" s="668"/>
      <c r="W136" s="668"/>
      <c r="X136" s="669"/>
      <c r="Y136" s="670"/>
      <c r="Z136" s="671"/>
      <c r="AA136" s="644"/>
      <c r="AB136" s="978"/>
      <c r="AC136" s="992"/>
      <c r="AD136" s="89"/>
      <c r="AE136" s="89"/>
      <c r="AF136" s="645" t="str">
        <f t="shared" si="27"/>
        <v/>
      </c>
      <c r="AG136" s="1037" t="str">
        <f t="shared" si="28"/>
        <v/>
      </c>
      <c r="AH136" s="1037" t="str">
        <f t="shared" si="29"/>
        <v/>
      </c>
      <c r="AI136" s="1037" t="str">
        <f>IF(AF136="","",VLOOKUP(AF136,リスト!BD:BE,2,0))</f>
        <v/>
      </c>
      <c r="AJ136" s="1037" t="str">
        <f t="shared" si="32"/>
        <v/>
      </c>
      <c r="AK136" s="1037" t="str">
        <f>IF(AJ136="","",VLOOKUP(AJ136,リスト!BW:BX,2,0))</f>
        <v/>
      </c>
      <c r="AL136" s="1037" t="str">
        <f t="shared" si="23"/>
        <v/>
      </c>
      <c r="AM136" s="646" t="str">
        <f t="shared" si="33"/>
        <v/>
      </c>
      <c r="AN136" s="646" t="str">
        <f t="shared" si="34"/>
        <v/>
      </c>
      <c r="AO136" s="647" t="str">
        <f t="shared" si="35"/>
        <v/>
      </c>
      <c r="AP136" s="647" t="str">
        <f t="shared" si="36"/>
        <v/>
      </c>
      <c r="AQ136" s="647" t="str">
        <f t="shared" si="37"/>
        <v/>
      </c>
      <c r="AR136" s="647" t="str">
        <f t="shared" si="26"/>
        <v/>
      </c>
      <c r="AS136" s="647" t="str">
        <f t="shared" si="38"/>
        <v/>
      </c>
      <c r="AT136" s="647" t="str">
        <f t="shared" si="30"/>
        <v/>
      </c>
      <c r="AU136" s="647" t="str">
        <f t="shared" si="31"/>
        <v/>
      </c>
      <c r="AV136" s="647" t="str">
        <f t="shared" si="24"/>
        <v/>
      </c>
      <c r="AW136" s="647" t="str">
        <f t="shared" si="39"/>
        <v/>
      </c>
      <c r="AX136" s="647" t="str">
        <f t="shared" si="40"/>
        <v/>
      </c>
      <c r="AY136" s="647" t="str">
        <f t="shared" si="41"/>
        <v/>
      </c>
      <c r="AZ136" s="647" t="str">
        <f t="shared" si="25"/>
        <v/>
      </c>
      <c r="BA136" s="647" t="str">
        <f t="shared" si="42"/>
        <v/>
      </c>
    </row>
    <row r="137" spans="2:53" s="7" customFormat="1" ht="28.5" hidden="1" customHeight="1" outlineLevel="1">
      <c r="B137" s="64"/>
      <c r="C137" s="649">
        <v>121</v>
      </c>
      <c r="D137" s="1855"/>
      <c r="E137" s="1856"/>
      <c r="F137" s="1856"/>
      <c r="G137" s="1856"/>
      <c r="H137" s="1856"/>
      <c r="I137" s="1856"/>
      <c r="J137" s="1856"/>
      <c r="K137" s="1857"/>
      <c r="L137" s="643" t="str">
        <f t="shared" si="22"/>
        <v/>
      </c>
      <c r="M137" s="664"/>
      <c r="N137" s="665"/>
      <c r="O137" s="267"/>
      <c r="P137" s="666"/>
      <c r="Q137" s="667"/>
      <c r="R137" s="667"/>
      <c r="S137" s="1035"/>
      <c r="T137" s="668"/>
      <c r="U137" s="668"/>
      <c r="V137" s="668"/>
      <c r="W137" s="668"/>
      <c r="X137" s="669"/>
      <c r="Y137" s="670"/>
      <c r="Z137" s="671"/>
      <c r="AA137" s="644"/>
      <c r="AB137" s="978"/>
      <c r="AC137" s="992"/>
      <c r="AD137" s="89"/>
      <c r="AE137" s="89"/>
      <c r="AF137" s="645" t="str">
        <f t="shared" si="27"/>
        <v/>
      </c>
      <c r="AG137" s="1037" t="str">
        <f t="shared" si="28"/>
        <v/>
      </c>
      <c r="AH137" s="1037" t="str">
        <f t="shared" si="29"/>
        <v/>
      </c>
      <c r="AI137" s="1037" t="str">
        <f>IF(AF137="","",VLOOKUP(AF137,リスト!BD:BE,2,0))</f>
        <v/>
      </c>
      <c r="AJ137" s="1037" t="str">
        <f t="shared" si="32"/>
        <v/>
      </c>
      <c r="AK137" s="1037" t="str">
        <f>IF(AJ137="","",VLOOKUP(AJ137,リスト!BW:BX,2,0))</f>
        <v/>
      </c>
      <c r="AL137" s="1037" t="str">
        <f t="shared" si="23"/>
        <v/>
      </c>
      <c r="AM137" s="646" t="str">
        <f t="shared" si="33"/>
        <v/>
      </c>
      <c r="AN137" s="646" t="str">
        <f t="shared" si="34"/>
        <v/>
      </c>
      <c r="AO137" s="647" t="str">
        <f t="shared" si="35"/>
        <v/>
      </c>
      <c r="AP137" s="647" t="str">
        <f t="shared" si="36"/>
        <v/>
      </c>
      <c r="AQ137" s="647" t="str">
        <f t="shared" si="37"/>
        <v/>
      </c>
      <c r="AR137" s="647" t="str">
        <f t="shared" si="26"/>
        <v/>
      </c>
      <c r="AS137" s="647" t="str">
        <f t="shared" si="38"/>
        <v/>
      </c>
      <c r="AT137" s="647" t="str">
        <f t="shared" si="30"/>
        <v/>
      </c>
      <c r="AU137" s="647" t="str">
        <f t="shared" si="31"/>
        <v/>
      </c>
      <c r="AV137" s="647" t="str">
        <f t="shared" si="24"/>
        <v/>
      </c>
      <c r="AW137" s="647" t="str">
        <f t="shared" si="39"/>
        <v/>
      </c>
      <c r="AX137" s="647" t="str">
        <f t="shared" si="40"/>
        <v/>
      </c>
      <c r="AY137" s="647" t="str">
        <f t="shared" si="41"/>
        <v/>
      </c>
      <c r="AZ137" s="647" t="str">
        <f t="shared" si="25"/>
        <v/>
      </c>
      <c r="BA137" s="647" t="str">
        <f t="shared" si="42"/>
        <v/>
      </c>
    </row>
    <row r="138" spans="2:53" s="7" customFormat="1" ht="28.5" hidden="1" customHeight="1" outlineLevel="1">
      <c r="B138" s="64"/>
      <c r="C138" s="649">
        <v>122</v>
      </c>
      <c r="D138" s="1855"/>
      <c r="E138" s="1856"/>
      <c r="F138" s="1856"/>
      <c r="G138" s="1856"/>
      <c r="H138" s="1856"/>
      <c r="I138" s="1856"/>
      <c r="J138" s="1856"/>
      <c r="K138" s="1857"/>
      <c r="L138" s="643" t="str">
        <f t="shared" si="22"/>
        <v/>
      </c>
      <c r="M138" s="664"/>
      <c r="N138" s="665"/>
      <c r="O138" s="267"/>
      <c r="P138" s="666"/>
      <c r="Q138" s="667"/>
      <c r="R138" s="667"/>
      <c r="S138" s="1035"/>
      <c r="T138" s="668"/>
      <c r="U138" s="668"/>
      <c r="V138" s="668"/>
      <c r="W138" s="668"/>
      <c r="X138" s="669"/>
      <c r="Y138" s="670"/>
      <c r="Z138" s="671"/>
      <c r="AA138" s="644"/>
      <c r="AB138" s="978"/>
      <c r="AC138" s="992"/>
      <c r="AD138" s="89"/>
      <c r="AE138" s="89"/>
      <c r="AF138" s="645" t="str">
        <f t="shared" si="27"/>
        <v/>
      </c>
      <c r="AG138" s="1037" t="str">
        <f t="shared" si="28"/>
        <v/>
      </c>
      <c r="AH138" s="1037" t="str">
        <f t="shared" si="29"/>
        <v/>
      </c>
      <c r="AI138" s="1037" t="str">
        <f>IF(AF138="","",VLOOKUP(AF138,リスト!BD:BE,2,0))</f>
        <v/>
      </c>
      <c r="AJ138" s="1037" t="str">
        <f t="shared" si="32"/>
        <v/>
      </c>
      <c r="AK138" s="1037" t="str">
        <f>IF(AJ138="","",VLOOKUP(AJ138,リスト!BW:BX,2,0))</f>
        <v/>
      </c>
      <c r="AL138" s="1037" t="str">
        <f t="shared" si="23"/>
        <v/>
      </c>
      <c r="AM138" s="646" t="str">
        <f t="shared" si="33"/>
        <v/>
      </c>
      <c r="AN138" s="646" t="str">
        <f t="shared" si="34"/>
        <v/>
      </c>
      <c r="AO138" s="647" t="str">
        <f t="shared" si="35"/>
        <v/>
      </c>
      <c r="AP138" s="647" t="str">
        <f t="shared" si="36"/>
        <v/>
      </c>
      <c r="AQ138" s="647" t="str">
        <f t="shared" si="37"/>
        <v/>
      </c>
      <c r="AR138" s="647" t="str">
        <f t="shared" si="26"/>
        <v/>
      </c>
      <c r="AS138" s="647" t="str">
        <f t="shared" si="38"/>
        <v/>
      </c>
      <c r="AT138" s="647" t="str">
        <f t="shared" si="30"/>
        <v/>
      </c>
      <c r="AU138" s="647" t="str">
        <f t="shared" si="31"/>
        <v/>
      </c>
      <c r="AV138" s="647" t="str">
        <f t="shared" si="24"/>
        <v/>
      </c>
      <c r="AW138" s="647" t="str">
        <f t="shared" si="39"/>
        <v/>
      </c>
      <c r="AX138" s="647" t="str">
        <f t="shared" si="40"/>
        <v/>
      </c>
      <c r="AY138" s="647" t="str">
        <f t="shared" si="41"/>
        <v/>
      </c>
      <c r="AZ138" s="647" t="str">
        <f t="shared" si="25"/>
        <v/>
      </c>
      <c r="BA138" s="647" t="str">
        <f t="shared" si="42"/>
        <v/>
      </c>
    </row>
    <row r="139" spans="2:53" s="7" customFormat="1" ht="28.5" hidden="1" customHeight="1" outlineLevel="1">
      <c r="B139" s="64"/>
      <c r="C139" s="649">
        <v>123</v>
      </c>
      <c r="D139" s="1855"/>
      <c r="E139" s="1856"/>
      <c r="F139" s="1856"/>
      <c r="G139" s="1856"/>
      <c r="H139" s="1856"/>
      <c r="I139" s="1856"/>
      <c r="J139" s="1856"/>
      <c r="K139" s="1857"/>
      <c r="L139" s="643" t="str">
        <f t="shared" si="22"/>
        <v/>
      </c>
      <c r="M139" s="664"/>
      <c r="N139" s="665"/>
      <c r="O139" s="267"/>
      <c r="P139" s="666"/>
      <c r="Q139" s="667"/>
      <c r="R139" s="667"/>
      <c r="S139" s="1035"/>
      <c r="T139" s="668"/>
      <c r="U139" s="668"/>
      <c r="V139" s="668"/>
      <c r="W139" s="668"/>
      <c r="X139" s="669"/>
      <c r="Y139" s="670"/>
      <c r="Z139" s="671"/>
      <c r="AA139" s="644"/>
      <c r="AB139" s="978"/>
      <c r="AC139" s="992"/>
      <c r="AD139" s="89"/>
      <c r="AE139" s="89"/>
      <c r="AF139" s="645" t="str">
        <f t="shared" si="27"/>
        <v/>
      </c>
      <c r="AG139" s="1037" t="str">
        <f t="shared" si="28"/>
        <v/>
      </c>
      <c r="AH139" s="1037" t="str">
        <f t="shared" si="29"/>
        <v/>
      </c>
      <c r="AI139" s="1037" t="str">
        <f>IF(AF139="","",VLOOKUP(AF139,リスト!BD:BE,2,0))</f>
        <v/>
      </c>
      <c r="AJ139" s="1037" t="str">
        <f t="shared" si="32"/>
        <v/>
      </c>
      <c r="AK139" s="1037" t="str">
        <f>IF(AJ139="","",VLOOKUP(AJ139,リスト!BW:BX,2,0))</f>
        <v/>
      </c>
      <c r="AL139" s="1037" t="str">
        <f t="shared" si="23"/>
        <v/>
      </c>
      <c r="AM139" s="646" t="str">
        <f t="shared" si="33"/>
        <v/>
      </c>
      <c r="AN139" s="646" t="str">
        <f t="shared" si="34"/>
        <v/>
      </c>
      <c r="AO139" s="647" t="str">
        <f t="shared" si="35"/>
        <v/>
      </c>
      <c r="AP139" s="647" t="str">
        <f t="shared" si="36"/>
        <v/>
      </c>
      <c r="AQ139" s="647" t="str">
        <f t="shared" si="37"/>
        <v/>
      </c>
      <c r="AR139" s="647" t="str">
        <f t="shared" si="26"/>
        <v/>
      </c>
      <c r="AS139" s="647" t="str">
        <f t="shared" si="38"/>
        <v/>
      </c>
      <c r="AT139" s="647" t="str">
        <f t="shared" si="30"/>
        <v/>
      </c>
      <c r="AU139" s="647" t="str">
        <f t="shared" si="31"/>
        <v/>
      </c>
      <c r="AV139" s="647" t="str">
        <f t="shared" si="24"/>
        <v/>
      </c>
      <c r="AW139" s="647" t="str">
        <f t="shared" si="39"/>
        <v/>
      </c>
      <c r="AX139" s="647" t="str">
        <f t="shared" si="40"/>
        <v/>
      </c>
      <c r="AY139" s="647" t="str">
        <f t="shared" si="41"/>
        <v/>
      </c>
      <c r="AZ139" s="647" t="str">
        <f t="shared" si="25"/>
        <v/>
      </c>
      <c r="BA139" s="647" t="str">
        <f t="shared" si="42"/>
        <v/>
      </c>
    </row>
    <row r="140" spans="2:53" s="7" customFormat="1" ht="28.5" hidden="1" customHeight="1" outlineLevel="1">
      <c r="B140" s="64"/>
      <c r="C140" s="649">
        <v>124</v>
      </c>
      <c r="D140" s="1855"/>
      <c r="E140" s="1856"/>
      <c r="F140" s="1856"/>
      <c r="G140" s="1856"/>
      <c r="H140" s="1856"/>
      <c r="I140" s="1856"/>
      <c r="J140" s="1856"/>
      <c r="K140" s="1857"/>
      <c r="L140" s="643" t="str">
        <f t="shared" si="22"/>
        <v/>
      </c>
      <c r="M140" s="664"/>
      <c r="N140" s="665"/>
      <c r="O140" s="267"/>
      <c r="P140" s="666"/>
      <c r="Q140" s="667"/>
      <c r="R140" s="667"/>
      <c r="S140" s="1035"/>
      <c r="T140" s="668"/>
      <c r="U140" s="668"/>
      <c r="V140" s="668"/>
      <c r="W140" s="668"/>
      <c r="X140" s="669"/>
      <c r="Y140" s="670"/>
      <c r="Z140" s="671"/>
      <c r="AA140" s="644"/>
      <c r="AB140" s="978"/>
      <c r="AC140" s="992"/>
      <c r="AD140" s="89"/>
      <c r="AE140" s="89"/>
      <c r="AF140" s="645" t="str">
        <f t="shared" si="27"/>
        <v/>
      </c>
      <c r="AG140" s="1037" t="str">
        <f t="shared" si="28"/>
        <v/>
      </c>
      <c r="AH140" s="1037" t="str">
        <f t="shared" si="29"/>
        <v/>
      </c>
      <c r="AI140" s="1037" t="str">
        <f>IF(AF140="","",VLOOKUP(AF140,リスト!BD:BE,2,0))</f>
        <v/>
      </c>
      <c r="AJ140" s="1037" t="str">
        <f t="shared" si="32"/>
        <v/>
      </c>
      <c r="AK140" s="1037" t="str">
        <f>IF(AJ140="","",VLOOKUP(AJ140,リスト!BW:BX,2,0))</f>
        <v/>
      </c>
      <c r="AL140" s="1037" t="str">
        <f t="shared" si="23"/>
        <v/>
      </c>
      <c r="AM140" s="646" t="str">
        <f t="shared" si="33"/>
        <v/>
      </c>
      <c r="AN140" s="646" t="str">
        <f t="shared" si="34"/>
        <v/>
      </c>
      <c r="AO140" s="647" t="str">
        <f t="shared" si="35"/>
        <v/>
      </c>
      <c r="AP140" s="647" t="str">
        <f t="shared" si="36"/>
        <v/>
      </c>
      <c r="AQ140" s="647" t="str">
        <f t="shared" si="37"/>
        <v/>
      </c>
      <c r="AR140" s="647" t="str">
        <f t="shared" si="26"/>
        <v/>
      </c>
      <c r="AS140" s="647" t="str">
        <f t="shared" si="38"/>
        <v/>
      </c>
      <c r="AT140" s="647" t="str">
        <f t="shared" si="30"/>
        <v/>
      </c>
      <c r="AU140" s="647" t="str">
        <f t="shared" si="31"/>
        <v/>
      </c>
      <c r="AV140" s="647" t="str">
        <f t="shared" si="24"/>
        <v/>
      </c>
      <c r="AW140" s="647" t="str">
        <f t="shared" si="39"/>
        <v/>
      </c>
      <c r="AX140" s="647" t="str">
        <f t="shared" si="40"/>
        <v/>
      </c>
      <c r="AY140" s="647" t="str">
        <f t="shared" si="41"/>
        <v/>
      </c>
      <c r="AZ140" s="647" t="str">
        <f t="shared" si="25"/>
        <v/>
      </c>
      <c r="BA140" s="647" t="str">
        <f t="shared" si="42"/>
        <v/>
      </c>
    </row>
    <row r="141" spans="2:53" s="7" customFormat="1" ht="28.5" hidden="1" customHeight="1" outlineLevel="1">
      <c r="B141" s="64"/>
      <c r="C141" s="649">
        <v>125</v>
      </c>
      <c r="D141" s="1855"/>
      <c r="E141" s="1856"/>
      <c r="F141" s="1856"/>
      <c r="G141" s="1856"/>
      <c r="H141" s="1856"/>
      <c r="I141" s="1856"/>
      <c r="J141" s="1856"/>
      <c r="K141" s="1857"/>
      <c r="L141" s="643" t="str">
        <f t="shared" si="22"/>
        <v/>
      </c>
      <c r="M141" s="664"/>
      <c r="N141" s="665"/>
      <c r="O141" s="267"/>
      <c r="P141" s="666"/>
      <c r="Q141" s="667"/>
      <c r="R141" s="667"/>
      <c r="S141" s="1035"/>
      <c r="T141" s="668"/>
      <c r="U141" s="668"/>
      <c r="V141" s="668"/>
      <c r="W141" s="668"/>
      <c r="X141" s="669"/>
      <c r="Y141" s="670"/>
      <c r="Z141" s="671"/>
      <c r="AA141" s="644"/>
      <c r="AB141" s="978"/>
      <c r="AC141" s="992"/>
      <c r="AD141" s="89"/>
      <c r="AE141" s="89"/>
      <c r="AF141" s="645" t="str">
        <f t="shared" si="27"/>
        <v/>
      </c>
      <c r="AG141" s="1037" t="str">
        <f t="shared" si="28"/>
        <v/>
      </c>
      <c r="AH141" s="1037" t="str">
        <f t="shared" si="29"/>
        <v/>
      </c>
      <c r="AI141" s="1037" t="str">
        <f>IF(AF141="","",VLOOKUP(AF141,リスト!BD:BE,2,0))</f>
        <v/>
      </c>
      <c r="AJ141" s="1037" t="str">
        <f t="shared" si="32"/>
        <v/>
      </c>
      <c r="AK141" s="1037" t="str">
        <f>IF(AJ141="","",VLOOKUP(AJ141,リスト!BW:BX,2,0))</f>
        <v/>
      </c>
      <c r="AL141" s="1037" t="str">
        <f t="shared" si="23"/>
        <v/>
      </c>
      <c r="AM141" s="646" t="str">
        <f t="shared" si="33"/>
        <v/>
      </c>
      <c r="AN141" s="646" t="str">
        <f t="shared" si="34"/>
        <v/>
      </c>
      <c r="AO141" s="647" t="str">
        <f t="shared" si="35"/>
        <v/>
      </c>
      <c r="AP141" s="647" t="str">
        <f t="shared" si="36"/>
        <v/>
      </c>
      <c r="AQ141" s="647" t="str">
        <f t="shared" si="37"/>
        <v/>
      </c>
      <c r="AR141" s="647" t="str">
        <f t="shared" si="26"/>
        <v/>
      </c>
      <c r="AS141" s="647" t="str">
        <f t="shared" si="38"/>
        <v/>
      </c>
      <c r="AT141" s="647" t="str">
        <f t="shared" si="30"/>
        <v/>
      </c>
      <c r="AU141" s="647" t="str">
        <f t="shared" si="31"/>
        <v/>
      </c>
      <c r="AV141" s="647" t="str">
        <f t="shared" si="24"/>
        <v/>
      </c>
      <c r="AW141" s="647" t="str">
        <f t="shared" si="39"/>
        <v/>
      </c>
      <c r="AX141" s="647" t="str">
        <f t="shared" si="40"/>
        <v/>
      </c>
      <c r="AY141" s="647" t="str">
        <f t="shared" si="41"/>
        <v/>
      </c>
      <c r="AZ141" s="647" t="str">
        <f t="shared" si="25"/>
        <v/>
      </c>
      <c r="BA141" s="647" t="str">
        <f t="shared" si="42"/>
        <v/>
      </c>
    </row>
    <row r="142" spans="2:53" s="7" customFormat="1" ht="28.5" hidden="1" customHeight="1" outlineLevel="1">
      <c r="B142" s="64"/>
      <c r="C142" s="649">
        <v>126</v>
      </c>
      <c r="D142" s="1855"/>
      <c r="E142" s="1856"/>
      <c r="F142" s="1856"/>
      <c r="G142" s="1856"/>
      <c r="H142" s="1856"/>
      <c r="I142" s="1856"/>
      <c r="J142" s="1856"/>
      <c r="K142" s="1857"/>
      <c r="L142" s="643" t="str">
        <f t="shared" si="22"/>
        <v/>
      </c>
      <c r="M142" s="664"/>
      <c r="N142" s="665"/>
      <c r="O142" s="267"/>
      <c r="P142" s="666"/>
      <c r="Q142" s="667"/>
      <c r="R142" s="667"/>
      <c r="S142" s="1035"/>
      <c r="T142" s="668"/>
      <c r="U142" s="668"/>
      <c r="V142" s="668"/>
      <c r="W142" s="668"/>
      <c r="X142" s="669"/>
      <c r="Y142" s="670"/>
      <c r="Z142" s="671"/>
      <c r="AA142" s="644"/>
      <c r="AB142" s="978"/>
      <c r="AC142" s="992"/>
      <c r="AD142" s="89"/>
      <c r="AE142" s="89"/>
      <c r="AF142" s="645" t="str">
        <f t="shared" si="27"/>
        <v/>
      </c>
      <c r="AG142" s="1037" t="str">
        <f t="shared" si="28"/>
        <v/>
      </c>
      <c r="AH142" s="1037" t="str">
        <f t="shared" si="29"/>
        <v/>
      </c>
      <c r="AI142" s="1037" t="str">
        <f>IF(AF142="","",VLOOKUP(AF142,リスト!BD:BE,2,0))</f>
        <v/>
      </c>
      <c r="AJ142" s="1037" t="str">
        <f t="shared" si="32"/>
        <v/>
      </c>
      <c r="AK142" s="1037" t="str">
        <f>IF(AJ142="","",VLOOKUP(AJ142,リスト!BW:BX,2,0))</f>
        <v/>
      </c>
      <c r="AL142" s="1037" t="str">
        <f t="shared" si="23"/>
        <v/>
      </c>
      <c r="AM142" s="646" t="str">
        <f t="shared" si="33"/>
        <v/>
      </c>
      <c r="AN142" s="646" t="str">
        <f t="shared" si="34"/>
        <v/>
      </c>
      <c r="AO142" s="647" t="str">
        <f t="shared" si="35"/>
        <v/>
      </c>
      <c r="AP142" s="647" t="str">
        <f t="shared" si="36"/>
        <v/>
      </c>
      <c r="AQ142" s="647" t="str">
        <f t="shared" si="37"/>
        <v/>
      </c>
      <c r="AR142" s="647" t="str">
        <f t="shared" si="26"/>
        <v/>
      </c>
      <c r="AS142" s="647" t="str">
        <f t="shared" si="38"/>
        <v/>
      </c>
      <c r="AT142" s="647" t="str">
        <f t="shared" si="30"/>
        <v/>
      </c>
      <c r="AU142" s="647" t="str">
        <f t="shared" si="31"/>
        <v/>
      </c>
      <c r="AV142" s="647" t="str">
        <f t="shared" si="24"/>
        <v/>
      </c>
      <c r="AW142" s="647" t="str">
        <f t="shared" si="39"/>
        <v/>
      </c>
      <c r="AX142" s="647" t="str">
        <f t="shared" si="40"/>
        <v/>
      </c>
      <c r="AY142" s="647" t="str">
        <f t="shared" si="41"/>
        <v/>
      </c>
      <c r="AZ142" s="647" t="str">
        <f t="shared" si="25"/>
        <v/>
      </c>
      <c r="BA142" s="647" t="str">
        <f t="shared" si="42"/>
        <v/>
      </c>
    </row>
    <row r="143" spans="2:53" s="7" customFormat="1" ht="28.5" hidden="1" customHeight="1" outlineLevel="1">
      <c r="B143" s="64"/>
      <c r="C143" s="649">
        <v>127</v>
      </c>
      <c r="D143" s="1855"/>
      <c r="E143" s="1856"/>
      <c r="F143" s="1856"/>
      <c r="G143" s="1856"/>
      <c r="H143" s="1856"/>
      <c r="I143" s="1856"/>
      <c r="J143" s="1856"/>
      <c r="K143" s="1857"/>
      <c r="L143" s="643" t="str">
        <f t="shared" si="22"/>
        <v/>
      </c>
      <c r="M143" s="664"/>
      <c r="N143" s="665"/>
      <c r="O143" s="267"/>
      <c r="P143" s="666"/>
      <c r="Q143" s="667"/>
      <c r="R143" s="667"/>
      <c r="S143" s="1035"/>
      <c r="T143" s="668"/>
      <c r="U143" s="668"/>
      <c r="V143" s="668"/>
      <c r="W143" s="668"/>
      <c r="X143" s="669"/>
      <c r="Y143" s="670"/>
      <c r="Z143" s="671"/>
      <c r="AA143" s="644"/>
      <c r="AB143" s="978"/>
      <c r="AC143" s="992"/>
      <c r="AD143" s="89"/>
      <c r="AE143" s="89"/>
      <c r="AF143" s="645" t="str">
        <f t="shared" si="27"/>
        <v/>
      </c>
      <c r="AG143" s="1037" t="str">
        <f t="shared" si="28"/>
        <v/>
      </c>
      <c r="AH143" s="1037" t="str">
        <f t="shared" si="29"/>
        <v/>
      </c>
      <c r="AI143" s="1037" t="str">
        <f>IF(AF143="","",VLOOKUP(AF143,リスト!BD:BE,2,0))</f>
        <v/>
      </c>
      <c r="AJ143" s="1037" t="str">
        <f t="shared" si="32"/>
        <v/>
      </c>
      <c r="AK143" s="1037" t="str">
        <f>IF(AJ143="","",VLOOKUP(AJ143,リスト!BW:BX,2,0))</f>
        <v/>
      </c>
      <c r="AL143" s="1037" t="str">
        <f t="shared" si="23"/>
        <v/>
      </c>
      <c r="AM143" s="646" t="str">
        <f t="shared" si="33"/>
        <v/>
      </c>
      <c r="AN143" s="646" t="str">
        <f t="shared" si="34"/>
        <v/>
      </c>
      <c r="AO143" s="647" t="str">
        <f t="shared" si="35"/>
        <v/>
      </c>
      <c r="AP143" s="647" t="str">
        <f t="shared" si="36"/>
        <v/>
      </c>
      <c r="AQ143" s="647" t="str">
        <f t="shared" si="37"/>
        <v/>
      </c>
      <c r="AR143" s="647" t="str">
        <f t="shared" si="26"/>
        <v/>
      </c>
      <c r="AS143" s="647" t="str">
        <f t="shared" si="38"/>
        <v/>
      </c>
      <c r="AT143" s="647" t="str">
        <f t="shared" si="30"/>
        <v/>
      </c>
      <c r="AU143" s="647" t="str">
        <f t="shared" si="31"/>
        <v/>
      </c>
      <c r="AV143" s="647" t="str">
        <f t="shared" si="24"/>
        <v/>
      </c>
      <c r="AW143" s="647" t="str">
        <f t="shared" si="39"/>
        <v/>
      </c>
      <c r="AX143" s="647" t="str">
        <f t="shared" si="40"/>
        <v/>
      </c>
      <c r="AY143" s="647" t="str">
        <f t="shared" si="41"/>
        <v/>
      </c>
      <c r="AZ143" s="647" t="str">
        <f t="shared" si="25"/>
        <v/>
      </c>
      <c r="BA143" s="647" t="str">
        <f t="shared" si="42"/>
        <v/>
      </c>
    </row>
    <row r="144" spans="2:53" s="7" customFormat="1" ht="28.5" hidden="1" customHeight="1" outlineLevel="1">
      <c r="B144" s="64"/>
      <c r="C144" s="649">
        <v>128</v>
      </c>
      <c r="D144" s="1855"/>
      <c r="E144" s="1856"/>
      <c r="F144" s="1856"/>
      <c r="G144" s="1856"/>
      <c r="H144" s="1856"/>
      <c r="I144" s="1856"/>
      <c r="J144" s="1856"/>
      <c r="K144" s="1857"/>
      <c r="L144" s="643" t="str">
        <f t="shared" si="22"/>
        <v/>
      </c>
      <c r="M144" s="664"/>
      <c r="N144" s="665"/>
      <c r="O144" s="267"/>
      <c r="P144" s="666"/>
      <c r="Q144" s="667"/>
      <c r="R144" s="667"/>
      <c r="S144" s="1035"/>
      <c r="T144" s="668"/>
      <c r="U144" s="668"/>
      <c r="V144" s="668"/>
      <c r="W144" s="668"/>
      <c r="X144" s="669"/>
      <c r="Y144" s="670"/>
      <c r="Z144" s="671"/>
      <c r="AA144" s="644"/>
      <c r="AB144" s="978"/>
      <c r="AC144" s="992"/>
      <c r="AD144" s="89"/>
      <c r="AE144" s="89"/>
      <c r="AF144" s="645" t="str">
        <f t="shared" si="27"/>
        <v/>
      </c>
      <c r="AG144" s="1037" t="str">
        <f t="shared" si="28"/>
        <v/>
      </c>
      <c r="AH144" s="1037" t="str">
        <f t="shared" si="29"/>
        <v/>
      </c>
      <c r="AI144" s="1037" t="str">
        <f>IF(AF144="","",VLOOKUP(AF144,リスト!BD:BE,2,0))</f>
        <v/>
      </c>
      <c r="AJ144" s="1037" t="str">
        <f t="shared" si="32"/>
        <v/>
      </c>
      <c r="AK144" s="1037" t="str">
        <f>IF(AJ144="","",VLOOKUP(AJ144,リスト!BW:BX,2,0))</f>
        <v/>
      </c>
      <c r="AL144" s="1037" t="str">
        <f t="shared" si="23"/>
        <v/>
      </c>
      <c r="AM144" s="646" t="str">
        <f t="shared" si="33"/>
        <v/>
      </c>
      <c r="AN144" s="646" t="str">
        <f t="shared" si="34"/>
        <v/>
      </c>
      <c r="AO144" s="647" t="str">
        <f t="shared" si="35"/>
        <v/>
      </c>
      <c r="AP144" s="647" t="str">
        <f t="shared" si="36"/>
        <v/>
      </c>
      <c r="AQ144" s="647" t="str">
        <f t="shared" si="37"/>
        <v/>
      </c>
      <c r="AR144" s="647" t="str">
        <f t="shared" si="26"/>
        <v/>
      </c>
      <c r="AS144" s="647" t="str">
        <f t="shared" si="38"/>
        <v/>
      </c>
      <c r="AT144" s="647" t="str">
        <f t="shared" si="30"/>
        <v/>
      </c>
      <c r="AU144" s="647" t="str">
        <f t="shared" si="31"/>
        <v/>
      </c>
      <c r="AV144" s="647" t="str">
        <f t="shared" si="24"/>
        <v/>
      </c>
      <c r="AW144" s="647" t="str">
        <f t="shared" si="39"/>
        <v/>
      </c>
      <c r="AX144" s="647" t="str">
        <f t="shared" si="40"/>
        <v/>
      </c>
      <c r="AY144" s="647" t="str">
        <f t="shared" si="41"/>
        <v/>
      </c>
      <c r="AZ144" s="647" t="str">
        <f t="shared" si="25"/>
        <v/>
      </c>
      <c r="BA144" s="647" t="str">
        <f t="shared" si="42"/>
        <v/>
      </c>
    </row>
    <row r="145" spans="2:53" s="7" customFormat="1" ht="28.5" hidden="1" customHeight="1" outlineLevel="1">
      <c r="B145" s="64"/>
      <c r="C145" s="649">
        <v>129</v>
      </c>
      <c r="D145" s="1855"/>
      <c r="E145" s="1856"/>
      <c r="F145" s="1856"/>
      <c r="G145" s="1856"/>
      <c r="H145" s="1856"/>
      <c r="I145" s="1856"/>
      <c r="J145" s="1856"/>
      <c r="K145" s="1857"/>
      <c r="L145" s="643" t="str">
        <f t="shared" ref="L145:L208" si="43">IF(M145&gt;0,IF(COUNTIF(建築物種類コード,M145),"建築物","構築物"),"")</f>
        <v/>
      </c>
      <c r="M145" s="664"/>
      <c r="N145" s="665"/>
      <c r="O145" s="267"/>
      <c r="P145" s="666"/>
      <c r="Q145" s="667"/>
      <c r="R145" s="667"/>
      <c r="S145" s="1035"/>
      <c r="T145" s="668"/>
      <c r="U145" s="668"/>
      <c r="V145" s="668"/>
      <c r="W145" s="668"/>
      <c r="X145" s="669"/>
      <c r="Y145" s="670"/>
      <c r="Z145" s="671"/>
      <c r="AA145" s="644"/>
      <c r="AB145" s="978"/>
      <c r="AC145" s="992"/>
      <c r="AD145" s="89"/>
      <c r="AE145" s="89"/>
      <c r="AF145" s="645" t="str">
        <f t="shared" si="27"/>
        <v/>
      </c>
      <c r="AG145" s="1037" t="str">
        <f t="shared" si="28"/>
        <v/>
      </c>
      <c r="AH145" s="1037" t="str">
        <f t="shared" si="29"/>
        <v/>
      </c>
      <c r="AI145" s="1037" t="str">
        <f>IF(AF145="","",VLOOKUP(AF145,リスト!BD:BE,2,0))</f>
        <v/>
      </c>
      <c r="AJ145" s="1037" t="str">
        <f t="shared" si="32"/>
        <v/>
      </c>
      <c r="AK145" s="1037" t="str">
        <f>IF(AJ145="","",VLOOKUP(AJ145,リスト!BW:BX,2,0))</f>
        <v/>
      </c>
      <c r="AL145" s="1037" t="str">
        <f t="shared" ref="AL145:AL208" si="44">IF(AF145="","",調査年-R145)</f>
        <v/>
      </c>
      <c r="AM145" s="646" t="str">
        <f t="shared" si="33"/>
        <v/>
      </c>
      <c r="AN145" s="646" t="str">
        <f t="shared" si="34"/>
        <v/>
      </c>
      <c r="AO145" s="647" t="str">
        <f t="shared" si="35"/>
        <v/>
      </c>
      <c r="AP145" s="647" t="str">
        <f t="shared" si="36"/>
        <v/>
      </c>
      <c r="AQ145" s="647" t="str">
        <f t="shared" si="37"/>
        <v/>
      </c>
      <c r="AR145" s="647" t="str">
        <f t="shared" si="26"/>
        <v/>
      </c>
      <c r="AS145" s="647" t="str">
        <f t="shared" si="38"/>
        <v/>
      </c>
      <c r="AT145" s="647" t="str">
        <f t="shared" si="30"/>
        <v/>
      </c>
      <c r="AU145" s="647" t="str">
        <f t="shared" si="31"/>
        <v/>
      </c>
      <c r="AV145" s="647" t="str">
        <f t="shared" ref="AV145:AV208" si="45">IF(X145="","",IF(OR(R145=調査年,AN145=""),"",ROUND(AN145*X145%,0)))</f>
        <v/>
      </c>
      <c r="AW145" s="647" t="str">
        <f t="shared" si="39"/>
        <v/>
      </c>
      <c r="AX145" s="647" t="str">
        <f t="shared" si="40"/>
        <v/>
      </c>
      <c r="AY145" s="647" t="str">
        <f t="shared" si="41"/>
        <v/>
      </c>
      <c r="AZ145" s="647" t="str">
        <f t="shared" ref="AZ145:AZ208" si="46">IF(OR(X145="",AND(OR(R145&lt;&gt;調査年,AG145=0),V145="",AR145="",W145="")),"",
SUM(
IF(AND(R145=調査年,AG145=1),ROUND(T145*X145%,0),),
ROUND(V145*X145%,0),
ROUND(SUM(AR145)*X145%,0),
))</f>
        <v/>
      </c>
      <c r="BA145" s="647" t="str">
        <f t="shared" si="42"/>
        <v/>
      </c>
    </row>
    <row r="146" spans="2:53" s="7" customFormat="1" ht="28.5" hidden="1" customHeight="1" outlineLevel="1">
      <c r="B146" s="64"/>
      <c r="C146" s="649">
        <v>130</v>
      </c>
      <c r="D146" s="1855"/>
      <c r="E146" s="1856"/>
      <c r="F146" s="1856"/>
      <c r="G146" s="1856"/>
      <c r="H146" s="1856"/>
      <c r="I146" s="1856"/>
      <c r="J146" s="1856"/>
      <c r="K146" s="1857"/>
      <c r="L146" s="643" t="str">
        <f t="shared" si="43"/>
        <v/>
      </c>
      <c r="M146" s="664"/>
      <c r="N146" s="665"/>
      <c r="O146" s="267"/>
      <c r="P146" s="666"/>
      <c r="Q146" s="667"/>
      <c r="R146" s="667"/>
      <c r="S146" s="1035"/>
      <c r="T146" s="668"/>
      <c r="U146" s="668"/>
      <c r="V146" s="668"/>
      <c r="W146" s="668"/>
      <c r="X146" s="669"/>
      <c r="Y146" s="670"/>
      <c r="Z146" s="671"/>
      <c r="AA146" s="644"/>
      <c r="AB146" s="978"/>
      <c r="AC146" s="992"/>
      <c r="AD146" s="89"/>
      <c r="AE146" s="89"/>
      <c r="AF146" s="645" t="str">
        <f t="shared" si="27"/>
        <v/>
      </c>
      <c r="AG146" s="1037" t="str">
        <f t="shared" si="28"/>
        <v/>
      </c>
      <c r="AH146" s="1037" t="str">
        <f t="shared" si="29"/>
        <v/>
      </c>
      <c r="AI146" s="1037" t="str">
        <f>IF(AF146="","",VLOOKUP(AF146,リスト!BD:BE,2,0))</f>
        <v/>
      </c>
      <c r="AJ146" s="1037" t="str">
        <f t="shared" si="32"/>
        <v/>
      </c>
      <c r="AK146" s="1037" t="str">
        <f>IF(AJ146="","",VLOOKUP(AJ146,リスト!BW:BX,2,0))</f>
        <v/>
      </c>
      <c r="AL146" s="1037" t="str">
        <f t="shared" si="44"/>
        <v/>
      </c>
      <c r="AM146" s="646" t="str">
        <f t="shared" si="33"/>
        <v/>
      </c>
      <c r="AN146" s="646" t="str">
        <f t="shared" si="34"/>
        <v/>
      </c>
      <c r="AO146" s="647" t="str">
        <f t="shared" si="35"/>
        <v/>
      </c>
      <c r="AP146" s="647" t="str">
        <f t="shared" si="36"/>
        <v/>
      </c>
      <c r="AQ146" s="647" t="str">
        <f t="shared" si="37"/>
        <v/>
      </c>
      <c r="AR146" s="647" t="str">
        <f t="shared" ref="AR146:AR209" si="47">IF(OR(AF146="",AG146=1),IF(AND(AG146=1,AL146=0),U146,""),
IF(AND(AJ146&gt;0,AL146&lt;AJ146,SUM(AQ146)&gt;0,AQ146&lt;=ROUND(U146*AK146,0)),ROUND(AQ146*IF(Y146="2：部分取り壊し",IFERROR(1-(AC146/O146),1),1),),
IF(AND(AJ146&gt;0,AL146&lt;AJ146,SUM(U146)&gt;0),ROUND(U146*AK146*IF(Y146="2：部分取り壊し",IFERROR(1-(AC146/O146),1),1),0),"")))</f>
        <v/>
      </c>
      <c r="AS146" s="647" t="str">
        <f t="shared" si="38"/>
        <v/>
      </c>
      <c r="AT146" s="647" t="str">
        <f t="shared" si="30"/>
        <v/>
      </c>
      <c r="AU146" s="647" t="str">
        <f t="shared" si="31"/>
        <v/>
      </c>
      <c r="AV146" s="647" t="str">
        <f t="shared" si="45"/>
        <v/>
      </c>
      <c r="AW146" s="647" t="str">
        <f t="shared" si="39"/>
        <v/>
      </c>
      <c r="AX146" s="647" t="str">
        <f t="shared" si="40"/>
        <v/>
      </c>
      <c r="AY146" s="647" t="str">
        <f t="shared" si="41"/>
        <v/>
      </c>
      <c r="AZ146" s="647" t="str">
        <f t="shared" si="46"/>
        <v/>
      </c>
      <c r="BA146" s="647" t="str">
        <f t="shared" si="42"/>
        <v/>
      </c>
    </row>
    <row r="147" spans="2:53" s="7" customFormat="1" ht="28.5" hidden="1" customHeight="1" outlineLevel="1">
      <c r="B147" s="64"/>
      <c r="C147" s="649">
        <v>131</v>
      </c>
      <c r="D147" s="1855"/>
      <c r="E147" s="1856"/>
      <c r="F147" s="1856"/>
      <c r="G147" s="1856"/>
      <c r="H147" s="1856"/>
      <c r="I147" s="1856"/>
      <c r="J147" s="1856"/>
      <c r="K147" s="1857"/>
      <c r="L147" s="643" t="str">
        <f t="shared" si="43"/>
        <v/>
      </c>
      <c r="M147" s="664"/>
      <c r="N147" s="665"/>
      <c r="O147" s="267"/>
      <c r="P147" s="666"/>
      <c r="Q147" s="667"/>
      <c r="R147" s="667"/>
      <c r="S147" s="1035"/>
      <c r="T147" s="668"/>
      <c r="U147" s="668"/>
      <c r="V147" s="668"/>
      <c r="W147" s="668"/>
      <c r="X147" s="669"/>
      <c r="Y147" s="670"/>
      <c r="Z147" s="671"/>
      <c r="AA147" s="644"/>
      <c r="AB147" s="978"/>
      <c r="AC147" s="992"/>
      <c r="AD147" s="89"/>
      <c r="AE147" s="89"/>
      <c r="AF147" s="645" t="str">
        <f t="shared" ref="AF147:AF210" si="48">IF(AND(M147="",N147=""),"","["&amp;RIGHT(LEFT(M147,3),2)&amp;RIGHT(LEFT(N147,FIND("]",N147)-1),IF(FIND("]",N147)-1&gt;2,2,1))&amp;"]")</f>
        <v/>
      </c>
      <c r="AG147" s="1037" t="str">
        <f t="shared" ref="AG147:AG210" si="49">IF(AF147="","",IF(T147+U147&lt;100000,1,0))</f>
        <v/>
      </c>
      <c r="AH147" s="1037" t="str">
        <f t="shared" ref="AH147:AH210" si="50">IF(AF147="","",IF(AND(AG147=0,T147+U147&lt;200000),1,))</f>
        <v/>
      </c>
      <c r="AI147" s="1037" t="str">
        <f>IF(AF147="","",VLOOKUP(AF147,リスト!BD:BE,2,0))</f>
        <v/>
      </c>
      <c r="AJ147" s="1037" t="str">
        <f t="shared" si="32"/>
        <v/>
      </c>
      <c r="AK147" s="1037" t="str">
        <f>IF(AJ147="","",VLOOKUP(AJ147,リスト!BW:BX,2,0))</f>
        <v/>
      </c>
      <c r="AL147" s="1037" t="str">
        <f t="shared" si="44"/>
        <v/>
      </c>
      <c r="AM147" s="646" t="str">
        <f t="shared" si="33"/>
        <v/>
      </c>
      <c r="AN147" s="646" t="str">
        <f t="shared" si="34"/>
        <v/>
      </c>
      <c r="AO147" s="647" t="str">
        <f t="shared" si="35"/>
        <v/>
      </c>
      <c r="AP147" s="647" t="str">
        <f t="shared" si="36"/>
        <v/>
      </c>
      <c r="AQ147" s="647" t="str">
        <f t="shared" si="37"/>
        <v/>
      </c>
      <c r="AR147" s="647" t="str">
        <f t="shared" si="47"/>
        <v/>
      </c>
      <c r="AS147" s="647" t="str">
        <f t="shared" si="38"/>
        <v/>
      </c>
      <c r="AT147" s="647" t="str">
        <f t="shared" ref="AT147:AT210" si="51">IF(Y147="2：部分取り壊し",ROUND(T147*(1-(AC147/O147)),0),"")</f>
        <v/>
      </c>
      <c r="AU147" s="647" t="str">
        <f t="shared" ref="AU147:AU210" si="52">IF(Y147="2：部分取り壊し",ROUND(U147*(1-(AC147/O147)),0),"")</f>
        <v/>
      </c>
      <c r="AV147" s="647" t="str">
        <f t="shared" si="45"/>
        <v/>
      </c>
      <c r="AW147" s="647" t="str">
        <f t="shared" si="39"/>
        <v/>
      </c>
      <c r="AX147" s="647" t="str">
        <f t="shared" si="40"/>
        <v/>
      </c>
      <c r="AY147" s="647" t="str">
        <f t="shared" si="41"/>
        <v/>
      </c>
      <c r="AZ147" s="647" t="str">
        <f t="shared" si="46"/>
        <v/>
      </c>
      <c r="BA147" s="647" t="str">
        <f t="shared" si="42"/>
        <v/>
      </c>
    </row>
    <row r="148" spans="2:53" s="7" customFormat="1" ht="28.5" hidden="1" customHeight="1" outlineLevel="1">
      <c r="B148" s="64"/>
      <c r="C148" s="649">
        <v>132</v>
      </c>
      <c r="D148" s="1855"/>
      <c r="E148" s="1856"/>
      <c r="F148" s="1856"/>
      <c r="G148" s="1856"/>
      <c r="H148" s="1856"/>
      <c r="I148" s="1856"/>
      <c r="J148" s="1856"/>
      <c r="K148" s="1857"/>
      <c r="L148" s="643" t="str">
        <f t="shared" si="43"/>
        <v/>
      </c>
      <c r="M148" s="664"/>
      <c r="N148" s="665"/>
      <c r="O148" s="267"/>
      <c r="P148" s="666"/>
      <c r="Q148" s="667"/>
      <c r="R148" s="667"/>
      <c r="S148" s="1035"/>
      <c r="T148" s="668"/>
      <c r="U148" s="668"/>
      <c r="V148" s="668"/>
      <c r="W148" s="668"/>
      <c r="X148" s="669"/>
      <c r="Y148" s="670"/>
      <c r="Z148" s="671"/>
      <c r="AA148" s="644"/>
      <c r="AB148" s="978"/>
      <c r="AC148" s="992"/>
      <c r="AD148" s="89"/>
      <c r="AE148" s="89"/>
      <c r="AF148" s="645" t="str">
        <f t="shared" si="48"/>
        <v/>
      </c>
      <c r="AG148" s="1037" t="str">
        <f t="shared" si="49"/>
        <v/>
      </c>
      <c r="AH148" s="1037" t="str">
        <f t="shared" si="50"/>
        <v/>
      </c>
      <c r="AI148" s="1037" t="str">
        <f>IF(AF148="","",VLOOKUP(AF148,リスト!BD:BE,2,0))</f>
        <v/>
      </c>
      <c r="AJ148" s="1037" t="str">
        <f t="shared" si="32"/>
        <v/>
      </c>
      <c r="AK148" s="1037" t="str">
        <f>IF(AJ148="","",VLOOKUP(AJ148,リスト!BW:BX,2,0))</f>
        <v/>
      </c>
      <c r="AL148" s="1037" t="str">
        <f t="shared" si="44"/>
        <v/>
      </c>
      <c r="AM148" s="646" t="str">
        <f t="shared" si="33"/>
        <v/>
      </c>
      <c r="AN148" s="646" t="str">
        <f t="shared" si="34"/>
        <v/>
      </c>
      <c r="AO148" s="647" t="str">
        <f t="shared" si="35"/>
        <v/>
      </c>
      <c r="AP148" s="647" t="str">
        <f t="shared" si="36"/>
        <v/>
      </c>
      <c r="AQ148" s="647" t="str">
        <f t="shared" si="37"/>
        <v/>
      </c>
      <c r="AR148" s="647" t="str">
        <f t="shared" si="47"/>
        <v/>
      </c>
      <c r="AS148" s="647" t="str">
        <f t="shared" si="38"/>
        <v/>
      </c>
      <c r="AT148" s="647" t="str">
        <f t="shared" si="51"/>
        <v/>
      </c>
      <c r="AU148" s="647" t="str">
        <f t="shared" si="52"/>
        <v/>
      </c>
      <c r="AV148" s="647" t="str">
        <f t="shared" si="45"/>
        <v/>
      </c>
      <c r="AW148" s="647" t="str">
        <f t="shared" si="39"/>
        <v/>
      </c>
      <c r="AX148" s="647" t="str">
        <f t="shared" si="40"/>
        <v/>
      </c>
      <c r="AY148" s="647" t="str">
        <f t="shared" si="41"/>
        <v/>
      </c>
      <c r="AZ148" s="647" t="str">
        <f t="shared" si="46"/>
        <v/>
      </c>
      <c r="BA148" s="647" t="str">
        <f t="shared" si="42"/>
        <v/>
      </c>
    </row>
    <row r="149" spans="2:53" s="7" customFormat="1" ht="28.5" hidden="1" customHeight="1" outlineLevel="1">
      <c r="B149" s="64"/>
      <c r="C149" s="649">
        <v>133</v>
      </c>
      <c r="D149" s="1855"/>
      <c r="E149" s="1856"/>
      <c r="F149" s="1856"/>
      <c r="G149" s="1856"/>
      <c r="H149" s="1856"/>
      <c r="I149" s="1856"/>
      <c r="J149" s="1856"/>
      <c r="K149" s="1857"/>
      <c r="L149" s="643" t="str">
        <f t="shared" si="43"/>
        <v/>
      </c>
      <c r="M149" s="664"/>
      <c r="N149" s="665"/>
      <c r="O149" s="267"/>
      <c r="P149" s="666"/>
      <c r="Q149" s="667"/>
      <c r="R149" s="667"/>
      <c r="S149" s="1035"/>
      <c r="T149" s="668"/>
      <c r="U149" s="668"/>
      <c r="V149" s="668"/>
      <c r="W149" s="668"/>
      <c r="X149" s="669"/>
      <c r="Y149" s="670"/>
      <c r="Z149" s="671"/>
      <c r="AA149" s="644"/>
      <c r="AB149" s="978"/>
      <c r="AC149" s="992"/>
      <c r="AD149" s="89"/>
      <c r="AE149" s="89"/>
      <c r="AF149" s="645" t="str">
        <f t="shared" si="48"/>
        <v/>
      </c>
      <c r="AG149" s="1037" t="str">
        <f t="shared" si="49"/>
        <v/>
      </c>
      <c r="AH149" s="1037" t="str">
        <f t="shared" si="50"/>
        <v/>
      </c>
      <c r="AI149" s="1037" t="str">
        <f>IF(AF149="","",VLOOKUP(AF149,リスト!BD:BE,2,0))</f>
        <v/>
      </c>
      <c r="AJ149" s="1037" t="str">
        <f t="shared" si="32"/>
        <v/>
      </c>
      <c r="AK149" s="1037" t="str">
        <f>IF(AJ149="","",VLOOKUP(AJ149,リスト!BW:BX,2,0))</f>
        <v/>
      </c>
      <c r="AL149" s="1037" t="str">
        <f t="shared" si="44"/>
        <v/>
      </c>
      <c r="AM149" s="646" t="str">
        <f t="shared" si="33"/>
        <v/>
      </c>
      <c r="AN149" s="646" t="str">
        <f t="shared" si="34"/>
        <v/>
      </c>
      <c r="AO149" s="647" t="str">
        <f t="shared" si="35"/>
        <v/>
      </c>
      <c r="AP149" s="647" t="str">
        <f t="shared" si="36"/>
        <v/>
      </c>
      <c r="AQ149" s="647" t="str">
        <f t="shared" si="37"/>
        <v/>
      </c>
      <c r="AR149" s="647" t="str">
        <f t="shared" si="47"/>
        <v/>
      </c>
      <c r="AS149" s="647" t="str">
        <f t="shared" si="38"/>
        <v/>
      </c>
      <c r="AT149" s="647" t="str">
        <f t="shared" si="51"/>
        <v/>
      </c>
      <c r="AU149" s="647" t="str">
        <f t="shared" si="52"/>
        <v/>
      </c>
      <c r="AV149" s="647" t="str">
        <f t="shared" si="45"/>
        <v/>
      </c>
      <c r="AW149" s="647" t="str">
        <f t="shared" si="39"/>
        <v/>
      </c>
      <c r="AX149" s="647" t="str">
        <f t="shared" si="40"/>
        <v/>
      </c>
      <c r="AY149" s="647" t="str">
        <f t="shared" si="41"/>
        <v/>
      </c>
      <c r="AZ149" s="647" t="str">
        <f t="shared" si="46"/>
        <v/>
      </c>
      <c r="BA149" s="647" t="str">
        <f t="shared" si="42"/>
        <v/>
      </c>
    </row>
    <row r="150" spans="2:53" s="7" customFormat="1" ht="28.5" hidden="1" customHeight="1" outlineLevel="1">
      <c r="B150" s="64"/>
      <c r="C150" s="649">
        <v>134</v>
      </c>
      <c r="D150" s="1855"/>
      <c r="E150" s="1856"/>
      <c r="F150" s="1856"/>
      <c r="G150" s="1856"/>
      <c r="H150" s="1856"/>
      <c r="I150" s="1856"/>
      <c r="J150" s="1856"/>
      <c r="K150" s="1857"/>
      <c r="L150" s="643" t="str">
        <f t="shared" si="43"/>
        <v/>
      </c>
      <c r="M150" s="664"/>
      <c r="N150" s="665"/>
      <c r="O150" s="267"/>
      <c r="P150" s="666"/>
      <c r="Q150" s="667"/>
      <c r="R150" s="667"/>
      <c r="S150" s="1035"/>
      <c r="T150" s="668"/>
      <c r="U150" s="668"/>
      <c r="V150" s="668"/>
      <c r="W150" s="668"/>
      <c r="X150" s="669"/>
      <c r="Y150" s="670"/>
      <c r="Z150" s="671"/>
      <c r="AA150" s="644"/>
      <c r="AB150" s="978"/>
      <c r="AC150" s="992"/>
      <c r="AD150" s="89"/>
      <c r="AE150" s="89"/>
      <c r="AF150" s="645" t="str">
        <f t="shared" si="48"/>
        <v/>
      </c>
      <c r="AG150" s="1037" t="str">
        <f t="shared" si="49"/>
        <v/>
      </c>
      <c r="AH150" s="1037" t="str">
        <f t="shared" si="50"/>
        <v/>
      </c>
      <c r="AI150" s="1037" t="str">
        <f>IF(AF150="","",VLOOKUP(AF150,リスト!BD:BE,2,0))</f>
        <v/>
      </c>
      <c r="AJ150" s="1037" t="str">
        <f t="shared" si="32"/>
        <v/>
      </c>
      <c r="AK150" s="1037" t="str">
        <f>IF(AJ150="","",VLOOKUP(AJ150,リスト!BW:BX,2,0))</f>
        <v/>
      </c>
      <c r="AL150" s="1037" t="str">
        <f t="shared" si="44"/>
        <v/>
      </c>
      <c r="AM150" s="646" t="str">
        <f t="shared" si="33"/>
        <v/>
      </c>
      <c r="AN150" s="646" t="str">
        <f t="shared" si="34"/>
        <v/>
      </c>
      <c r="AO150" s="647" t="str">
        <f t="shared" si="35"/>
        <v/>
      </c>
      <c r="AP150" s="647" t="str">
        <f t="shared" si="36"/>
        <v/>
      </c>
      <c r="AQ150" s="647" t="str">
        <f t="shared" si="37"/>
        <v/>
      </c>
      <c r="AR150" s="647" t="str">
        <f t="shared" si="47"/>
        <v/>
      </c>
      <c r="AS150" s="647" t="str">
        <f t="shared" si="38"/>
        <v/>
      </c>
      <c r="AT150" s="647" t="str">
        <f t="shared" si="51"/>
        <v/>
      </c>
      <c r="AU150" s="647" t="str">
        <f t="shared" si="52"/>
        <v/>
      </c>
      <c r="AV150" s="647" t="str">
        <f t="shared" si="45"/>
        <v/>
      </c>
      <c r="AW150" s="647" t="str">
        <f t="shared" si="39"/>
        <v/>
      </c>
      <c r="AX150" s="647" t="str">
        <f t="shared" si="40"/>
        <v/>
      </c>
      <c r="AY150" s="647" t="str">
        <f t="shared" si="41"/>
        <v/>
      </c>
      <c r="AZ150" s="647" t="str">
        <f t="shared" si="46"/>
        <v/>
      </c>
      <c r="BA150" s="647" t="str">
        <f t="shared" si="42"/>
        <v/>
      </c>
    </row>
    <row r="151" spans="2:53" s="7" customFormat="1" ht="28.5" hidden="1" customHeight="1" outlineLevel="1">
      <c r="B151" s="64"/>
      <c r="C151" s="649">
        <v>135</v>
      </c>
      <c r="D151" s="1855"/>
      <c r="E151" s="1856"/>
      <c r="F151" s="1856"/>
      <c r="G151" s="1856"/>
      <c r="H151" s="1856"/>
      <c r="I151" s="1856"/>
      <c r="J151" s="1856"/>
      <c r="K151" s="1857"/>
      <c r="L151" s="643" t="str">
        <f t="shared" si="43"/>
        <v/>
      </c>
      <c r="M151" s="664"/>
      <c r="N151" s="665"/>
      <c r="O151" s="267"/>
      <c r="P151" s="666"/>
      <c r="Q151" s="667"/>
      <c r="R151" s="667"/>
      <c r="S151" s="1035"/>
      <c r="T151" s="668"/>
      <c r="U151" s="668"/>
      <c r="V151" s="668"/>
      <c r="W151" s="668"/>
      <c r="X151" s="669"/>
      <c r="Y151" s="670"/>
      <c r="Z151" s="671"/>
      <c r="AA151" s="644"/>
      <c r="AB151" s="978"/>
      <c r="AC151" s="992"/>
      <c r="AD151" s="89"/>
      <c r="AE151" s="89"/>
      <c r="AF151" s="645" t="str">
        <f t="shared" si="48"/>
        <v/>
      </c>
      <c r="AG151" s="1037" t="str">
        <f t="shared" si="49"/>
        <v/>
      </c>
      <c r="AH151" s="1037" t="str">
        <f t="shared" si="50"/>
        <v/>
      </c>
      <c r="AI151" s="1037" t="str">
        <f>IF(AF151="","",VLOOKUP(AF151,リスト!BD:BE,2,0))</f>
        <v/>
      </c>
      <c r="AJ151" s="1037" t="str">
        <f t="shared" si="32"/>
        <v/>
      </c>
      <c r="AK151" s="1037" t="str">
        <f>IF(AJ151="","",VLOOKUP(AJ151,リスト!BW:BX,2,0))</f>
        <v/>
      </c>
      <c r="AL151" s="1037" t="str">
        <f t="shared" si="44"/>
        <v/>
      </c>
      <c r="AM151" s="646" t="str">
        <f t="shared" si="33"/>
        <v/>
      </c>
      <c r="AN151" s="646" t="str">
        <f t="shared" si="34"/>
        <v/>
      </c>
      <c r="AO151" s="647" t="str">
        <f t="shared" si="35"/>
        <v/>
      </c>
      <c r="AP151" s="647" t="str">
        <f t="shared" si="36"/>
        <v/>
      </c>
      <c r="AQ151" s="647" t="str">
        <f t="shared" si="37"/>
        <v/>
      </c>
      <c r="AR151" s="647" t="str">
        <f t="shared" si="47"/>
        <v/>
      </c>
      <c r="AS151" s="647" t="str">
        <f t="shared" si="38"/>
        <v/>
      </c>
      <c r="AT151" s="647" t="str">
        <f t="shared" si="51"/>
        <v/>
      </c>
      <c r="AU151" s="647" t="str">
        <f t="shared" si="52"/>
        <v/>
      </c>
      <c r="AV151" s="647" t="str">
        <f t="shared" si="45"/>
        <v/>
      </c>
      <c r="AW151" s="647" t="str">
        <f t="shared" si="39"/>
        <v/>
      </c>
      <c r="AX151" s="647" t="str">
        <f t="shared" si="40"/>
        <v/>
      </c>
      <c r="AY151" s="647" t="str">
        <f t="shared" si="41"/>
        <v/>
      </c>
      <c r="AZ151" s="647" t="str">
        <f t="shared" si="46"/>
        <v/>
      </c>
      <c r="BA151" s="647" t="str">
        <f t="shared" si="42"/>
        <v/>
      </c>
    </row>
    <row r="152" spans="2:53" s="7" customFormat="1" ht="28.5" hidden="1" customHeight="1" outlineLevel="1">
      <c r="B152" s="64"/>
      <c r="C152" s="649">
        <v>136</v>
      </c>
      <c r="D152" s="1855"/>
      <c r="E152" s="1856"/>
      <c r="F152" s="1856"/>
      <c r="G152" s="1856"/>
      <c r="H152" s="1856"/>
      <c r="I152" s="1856"/>
      <c r="J152" s="1856"/>
      <c r="K152" s="1857"/>
      <c r="L152" s="643" t="str">
        <f t="shared" si="43"/>
        <v/>
      </c>
      <c r="M152" s="664"/>
      <c r="N152" s="665"/>
      <c r="O152" s="267"/>
      <c r="P152" s="666"/>
      <c r="Q152" s="667"/>
      <c r="R152" s="667"/>
      <c r="S152" s="1035"/>
      <c r="T152" s="668"/>
      <c r="U152" s="668"/>
      <c r="V152" s="668"/>
      <c r="W152" s="668"/>
      <c r="X152" s="669"/>
      <c r="Y152" s="670"/>
      <c r="Z152" s="671"/>
      <c r="AA152" s="644"/>
      <c r="AB152" s="978"/>
      <c r="AC152" s="992"/>
      <c r="AD152" s="89"/>
      <c r="AE152" s="89"/>
      <c r="AF152" s="645" t="str">
        <f t="shared" si="48"/>
        <v/>
      </c>
      <c r="AG152" s="1037" t="str">
        <f t="shared" si="49"/>
        <v/>
      </c>
      <c r="AH152" s="1037" t="str">
        <f t="shared" si="50"/>
        <v/>
      </c>
      <c r="AI152" s="1037" t="str">
        <f>IF(AF152="","",VLOOKUP(AF152,リスト!BD:BE,2,0))</f>
        <v/>
      </c>
      <c r="AJ152" s="1037" t="str">
        <f t="shared" si="32"/>
        <v/>
      </c>
      <c r="AK152" s="1037" t="str">
        <f>IF(AJ152="","",VLOOKUP(AJ152,リスト!BW:BX,2,0))</f>
        <v/>
      </c>
      <c r="AL152" s="1037" t="str">
        <f t="shared" si="44"/>
        <v/>
      </c>
      <c r="AM152" s="646" t="str">
        <f t="shared" si="33"/>
        <v/>
      </c>
      <c r="AN152" s="646" t="str">
        <f t="shared" si="34"/>
        <v/>
      </c>
      <c r="AO152" s="647" t="str">
        <f t="shared" si="35"/>
        <v/>
      </c>
      <c r="AP152" s="647" t="str">
        <f t="shared" si="36"/>
        <v/>
      </c>
      <c r="AQ152" s="647" t="str">
        <f t="shared" si="37"/>
        <v/>
      </c>
      <c r="AR152" s="647" t="str">
        <f t="shared" si="47"/>
        <v/>
      </c>
      <c r="AS152" s="647" t="str">
        <f t="shared" si="38"/>
        <v/>
      </c>
      <c r="AT152" s="647" t="str">
        <f t="shared" si="51"/>
        <v/>
      </c>
      <c r="AU152" s="647" t="str">
        <f t="shared" si="52"/>
        <v/>
      </c>
      <c r="AV152" s="647" t="str">
        <f t="shared" si="45"/>
        <v/>
      </c>
      <c r="AW152" s="647" t="str">
        <f t="shared" si="39"/>
        <v/>
      </c>
      <c r="AX152" s="647" t="str">
        <f t="shared" si="40"/>
        <v/>
      </c>
      <c r="AY152" s="647" t="str">
        <f t="shared" si="41"/>
        <v/>
      </c>
      <c r="AZ152" s="647" t="str">
        <f t="shared" si="46"/>
        <v/>
      </c>
      <c r="BA152" s="647" t="str">
        <f t="shared" si="42"/>
        <v/>
      </c>
    </row>
    <row r="153" spans="2:53" s="7" customFormat="1" ht="28.5" hidden="1" customHeight="1" outlineLevel="1">
      <c r="B153" s="64"/>
      <c r="C153" s="649">
        <v>137</v>
      </c>
      <c r="D153" s="1855"/>
      <c r="E153" s="1856"/>
      <c r="F153" s="1856"/>
      <c r="G153" s="1856"/>
      <c r="H153" s="1856"/>
      <c r="I153" s="1856"/>
      <c r="J153" s="1856"/>
      <c r="K153" s="1857"/>
      <c r="L153" s="643" t="str">
        <f t="shared" si="43"/>
        <v/>
      </c>
      <c r="M153" s="664"/>
      <c r="N153" s="665"/>
      <c r="O153" s="267"/>
      <c r="P153" s="666"/>
      <c r="Q153" s="667"/>
      <c r="R153" s="667"/>
      <c r="S153" s="1035"/>
      <c r="T153" s="668"/>
      <c r="U153" s="668"/>
      <c r="V153" s="668"/>
      <c r="W153" s="668"/>
      <c r="X153" s="669"/>
      <c r="Y153" s="670"/>
      <c r="Z153" s="671"/>
      <c r="AA153" s="644"/>
      <c r="AB153" s="978"/>
      <c r="AC153" s="992"/>
      <c r="AD153" s="89"/>
      <c r="AE153" s="89"/>
      <c r="AF153" s="645" t="str">
        <f t="shared" si="48"/>
        <v/>
      </c>
      <c r="AG153" s="1037" t="str">
        <f t="shared" si="49"/>
        <v/>
      </c>
      <c r="AH153" s="1037" t="str">
        <f t="shared" si="50"/>
        <v/>
      </c>
      <c r="AI153" s="1037" t="str">
        <f>IF(AF153="","",VLOOKUP(AF153,リスト!BD:BE,2,0))</f>
        <v/>
      </c>
      <c r="AJ153" s="1037" t="str">
        <f t="shared" si="32"/>
        <v/>
      </c>
      <c r="AK153" s="1037" t="str">
        <f>IF(AJ153="","",VLOOKUP(AJ153,リスト!BW:BX,2,0))</f>
        <v/>
      </c>
      <c r="AL153" s="1037" t="str">
        <f t="shared" si="44"/>
        <v/>
      </c>
      <c r="AM153" s="646" t="str">
        <f t="shared" si="33"/>
        <v/>
      </c>
      <c r="AN153" s="646" t="str">
        <f t="shared" si="34"/>
        <v/>
      </c>
      <c r="AO153" s="647" t="str">
        <f t="shared" si="35"/>
        <v/>
      </c>
      <c r="AP153" s="647" t="str">
        <f t="shared" si="36"/>
        <v/>
      </c>
      <c r="AQ153" s="647" t="str">
        <f t="shared" si="37"/>
        <v/>
      </c>
      <c r="AR153" s="647" t="str">
        <f t="shared" si="47"/>
        <v/>
      </c>
      <c r="AS153" s="647" t="str">
        <f t="shared" si="38"/>
        <v/>
      </c>
      <c r="AT153" s="647" t="str">
        <f t="shared" si="51"/>
        <v/>
      </c>
      <c r="AU153" s="647" t="str">
        <f t="shared" si="52"/>
        <v/>
      </c>
      <c r="AV153" s="647" t="str">
        <f t="shared" si="45"/>
        <v/>
      </c>
      <c r="AW153" s="647" t="str">
        <f t="shared" si="39"/>
        <v/>
      </c>
      <c r="AX153" s="647" t="str">
        <f t="shared" si="40"/>
        <v/>
      </c>
      <c r="AY153" s="647" t="str">
        <f t="shared" si="41"/>
        <v/>
      </c>
      <c r="AZ153" s="647" t="str">
        <f t="shared" si="46"/>
        <v/>
      </c>
      <c r="BA153" s="647" t="str">
        <f t="shared" si="42"/>
        <v/>
      </c>
    </row>
    <row r="154" spans="2:53" s="7" customFormat="1" ht="28.5" hidden="1" customHeight="1" outlineLevel="1">
      <c r="B154" s="64"/>
      <c r="C154" s="649">
        <v>138</v>
      </c>
      <c r="D154" s="1855"/>
      <c r="E154" s="1856"/>
      <c r="F154" s="1856"/>
      <c r="G154" s="1856"/>
      <c r="H154" s="1856"/>
      <c r="I154" s="1856"/>
      <c r="J154" s="1856"/>
      <c r="K154" s="1857"/>
      <c r="L154" s="643" t="str">
        <f t="shared" si="43"/>
        <v/>
      </c>
      <c r="M154" s="664"/>
      <c r="N154" s="665"/>
      <c r="O154" s="267"/>
      <c r="P154" s="666"/>
      <c r="Q154" s="667"/>
      <c r="R154" s="667"/>
      <c r="S154" s="1035"/>
      <c r="T154" s="668"/>
      <c r="U154" s="668"/>
      <c r="V154" s="668"/>
      <c r="W154" s="668"/>
      <c r="X154" s="669"/>
      <c r="Y154" s="670"/>
      <c r="Z154" s="671"/>
      <c r="AA154" s="644"/>
      <c r="AB154" s="978"/>
      <c r="AC154" s="992"/>
      <c r="AD154" s="89"/>
      <c r="AE154" s="89"/>
      <c r="AF154" s="645" t="str">
        <f t="shared" si="48"/>
        <v/>
      </c>
      <c r="AG154" s="1037" t="str">
        <f t="shared" si="49"/>
        <v/>
      </c>
      <c r="AH154" s="1037" t="str">
        <f t="shared" si="50"/>
        <v/>
      </c>
      <c r="AI154" s="1037" t="str">
        <f>IF(AF154="","",VLOOKUP(AF154,リスト!BD:BE,2,0))</f>
        <v/>
      </c>
      <c r="AJ154" s="1037" t="str">
        <f t="shared" si="32"/>
        <v/>
      </c>
      <c r="AK154" s="1037" t="str">
        <f>IF(AJ154="","",VLOOKUP(AJ154,リスト!BW:BX,2,0))</f>
        <v/>
      </c>
      <c r="AL154" s="1037" t="str">
        <f t="shared" si="44"/>
        <v/>
      </c>
      <c r="AM154" s="646" t="str">
        <f t="shared" si="33"/>
        <v/>
      </c>
      <c r="AN154" s="646" t="str">
        <f t="shared" si="34"/>
        <v/>
      </c>
      <c r="AO154" s="647" t="str">
        <f t="shared" si="35"/>
        <v/>
      </c>
      <c r="AP154" s="647" t="str">
        <f t="shared" si="36"/>
        <v/>
      </c>
      <c r="AQ154" s="647" t="str">
        <f t="shared" si="37"/>
        <v/>
      </c>
      <c r="AR154" s="647" t="str">
        <f t="shared" si="47"/>
        <v/>
      </c>
      <c r="AS154" s="647" t="str">
        <f t="shared" si="38"/>
        <v/>
      </c>
      <c r="AT154" s="647" t="str">
        <f t="shared" si="51"/>
        <v/>
      </c>
      <c r="AU154" s="647" t="str">
        <f t="shared" si="52"/>
        <v/>
      </c>
      <c r="AV154" s="647" t="str">
        <f t="shared" si="45"/>
        <v/>
      </c>
      <c r="AW154" s="647" t="str">
        <f t="shared" si="39"/>
        <v/>
      </c>
      <c r="AX154" s="647" t="str">
        <f t="shared" si="40"/>
        <v/>
      </c>
      <c r="AY154" s="647" t="str">
        <f t="shared" si="41"/>
        <v/>
      </c>
      <c r="AZ154" s="647" t="str">
        <f t="shared" si="46"/>
        <v/>
      </c>
      <c r="BA154" s="647" t="str">
        <f t="shared" si="42"/>
        <v/>
      </c>
    </row>
    <row r="155" spans="2:53" s="7" customFormat="1" ht="28.5" hidden="1" customHeight="1" outlineLevel="1">
      <c r="B155" s="64"/>
      <c r="C155" s="649">
        <v>139</v>
      </c>
      <c r="D155" s="1855"/>
      <c r="E155" s="1856"/>
      <c r="F155" s="1856"/>
      <c r="G155" s="1856"/>
      <c r="H155" s="1856"/>
      <c r="I155" s="1856"/>
      <c r="J155" s="1856"/>
      <c r="K155" s="1857"/>
      <c r="L155" s="643" t="str">
        <f t="shared" si="43"/>
        <v/>
      </c>
      <c r="M155" s="664"/>
      <c r="N155" s="665"/>
      <c r="O155" s="267"/>
      <c r="P155" s="666"/>
      <c r="Q155" s="667"/>
      <c r="R155" s="667"/>
      <c r="S155" s="1035"/>
      <c r="T155" s="668"/>
      <c r="U155" s="668"/>
      <c r="V155" s="668"/>
      <c r="W155" s="668"/>
      <c r="X155" s="669"/>
      <c r="Y155" s="670"/>
      <c r="Z155" s="671"/>
      <c r="AA155" s="644"/>
      <c r="AB155" s="978"/>
      <c r="AC155" s="992"/>
      <c r="AD155" s="89"/>
      <c r="AE155" s="89"/>
      <c r="AF155" s="645" t="str">
        <f t="shared" si="48"/>
        <v/>
      </c>
      <c r="AG155" s="1037" t="str">
        <f t="shared" si="49"/>
        <v/>
      </c>
      <c r="AH155" s="1037" t="str">
        <f t="shared" si="50"/>
        <v/>
      </c>
      <c r="AI155" s="1037" t="str">
        <f>IF(AF155="","",VLOOKUP(AF155,リスト!BD:BE,2,0))</f>
        <v/>
      </c>
      <c r="AJ155" s="1037" t="str">
        <f t="shared" si="32"/>
        <v/>
      </c>
      <c r="AK155" s="1037" t="str">
        <f>IF(AJ155="","",VLOOKUP(AJ155,リスト!BW:BX,2,0))</f>
        <v/>
      </c>
      <c r="AL155" s="1037" t="str">
        <f t="shared" si="44"/>
        <v/>
      </c>
      <c r="AM155" s="646" t="str">
        <f t="shared" si="33"/>
        <v/>
      </c>
      <c r="AN155" s="646" t="str">
        <f t="shared" si="34"/>
        <v/>
      </c>
      <c r="AO155" s="647" t="str">
        <f t="shared" si="35"/>
        <v/>
      </c>
      <c r="AP155" s="647" t="str">
        <f t="shared" si="36"/>
        <v/>
      </c>
      <c r="AQ155" s="647" t="str">
        <f t="shared" si="37"/>
        <v/>
      </c>
      <c r="AR155" s="647" t="str">
        <f t="shared" si="47"/>
        <v/>
      </c>
      <c r="AS155" s="647" t="str">
        <f t="shared" si="38"/>
        <v/>
      </c>
      <c r="AT155" s="647" t="str">
        <f t="shared" si="51"/>
        <v/>
      </c>
      <c r="AU155" s="647" t="str">
        <f t="shared" si="52"/>
        <v/>
      </c>
      <c r="AV155" s="647" t="str">
        <f t="shared" si="45"/>
        <v/>
      </c>
      <c r="AW155" s="647" t="str">
        <f t="shared" si="39"/>
        <v/>
      </c>
      <c r="AX155" s="647" t="str">
        <f t="shared" si="40"/>
        <v/>
      </c>
      <c r="AY155" s="647" t="str">
        <f t="shared" si="41"/>
        <v/>
      </c>
      <c r="AZ155" s="647" t="str">
        <f t="shared" si="46"/>
        <v/>
      </c>
      <c r="BA155" s="647" t="str">
        <f t="shared" si="42"/>
        <v/>
      </c>
    </row>
    <row r="156" spans="2:53" s="7" customFormat="1" ht="28.5" hidden="1" customHeight="1" outlineLevel="1">
      <c r="B156" s="64"/>
      <c r="C156" s="649">
        <v>140</v>
      </c>
      <c r="D156" s="1855"/>
      <c r="E156" s="1856"/>
      <c r="F156" s="1856"/>
      <c r="G156" s="1856"/>
      <c r="H156" s="1856"/>
      <c r="I156" s="1856"/>
      <c r="J156" s="1856"/>
      <c r="K156" s="1857"/>
      <c r="L156" s="643" t="str">
        <f t="shared" si="43"/>
        <v/>
      </c>
      <c r="M156" s="664"/>
      <c r="N156" s="665"/>
      <c r="O156" s="267"/>
      <c r="P156" s="666"/>
      <c r="Q156" s="667"/>
      <c r="R156" s="667"/>
      <c r="S156" s="1035"/>
      <c r="T156" s="668"/>
      <c r="U156" s="668"/>
      <c r="V156" s="668"/>
      <c r="W156" s="668"/>
      <c r="X156" s="669"/>
      <c r="Y156" s="670"/>
      <c r="Z156" s="671"/>
      <c r="AA156" s="644"/>
      <c r="AB156" s="978"/>
      <c r="AC156" s="992"/>
      <c r="AD156" s="89"/>
      <c r="AE156" s="89"/>
      <c r="AF156" s="645" t="str">
        <f t="shared" si="48"/>
        <v/>
      </c>
      <c r="AG156" s="1037" t="str">
        <f t="shared" si="49"/>
        <v/>
      </c>
      <c r="AH156" s="1037" t="str">
        <f t="shared" si="50"/>
        <v/>
      </c>
      <c r="AI156" s="1037" t="str">
        <f>IF(AF156="","",VLOOKUP(AF156,リスト!BD:BE,2,0))</f>
        <v/>
      </c>
      <c r="AJ156" s="1037" t="str">
        <f t="shared" si="32"/>
        <v/>
      </c>
      <c r="AK156" s="1037" t="str">
        <f>IF(AJ156="","",VLOOKUP(AJ156,リスト!BW:BX,2,0))</f>
        <v/>
      </c>
      <c r="AL156" s="1037" t="str">
        <f t="shared" si="44"/>
        <v/>
      </c>
      <c r="AM156" s="646" t="str">
        <f t="shared" si="33"/>
        <v/>
      </c>
      <c r="AN156" s="646" t="str">
        <f t="shared" si="34"/>
        <v/>
      </c>
      <c r="AO156" s="647" t="str">
        <f t="shared" si="35"/>
        <v/>
      </c>
      <c r="AP156" s="647" t="str">
        <f t="shared" si="36"/>
        <v/>
      </c>
      <c r="AQ156" s="647" t="str">
        <f t="shared" si="37"/>
        <v/>
      </c>
      <c r="AR156" s="647" t="str">
        <f t="shared" si="47"/>
        <v/>
      </c>
      <c r="AS156" s="647" t="str">
        <f t="shared" si="38"/>
        <v/>
      </c>
      <c r="AT156" s="647" t="str">
        <f t="shared" si="51"/>
        <v/>
      </c>
      <c r="AU156" s="647" t="str">
        <f t="shared" si="52"/>
        <v/>
      </c>
      <c r="AV156" s="647" t="str">
        <f t="shared" si="45"/>
        <v/>
      </c>
      <c r="AW156" s="647" t="str">
        <f t="shared" si="39"/>
        <v/>
      </c>
      <c r="AX156" s="647" t="str">
        <f t="shared" si="40"/>
        <v/>
      </c>
      <c r="AY156" s="647" t="str">
        <f t="shared" si="41"/>
        <v/>
      </c>
      <c r="AZ156" s="647" t="str">
        <f t="shared" si="46"/>
        <v/>
      </c>
      <c r="BA156" s="647" t="str">
        <f t="shared" si="42"/>
        <v/>
      </c>
    </row>
    <row r="157" spans="2:53" s="7" customFormat="1" ht="28.5" hidden="1" customHeight="1" outlineLevel="1">
      <c r="B157" s="64"/>
      <c r="C157" s="649">
        <v>141</v>
      </c>
      <c r="D157" s="1855"/>
      <c r="E157" s="1856"/>
      <c r="F157" s="1856"/>
      <c r="G157" s="1856"/>
      <c r="H157" s="1856"/>
      <c r="I157" s="1856"/>
      <c r="J157" s="1856"/>
      <c r="K157" s="1857"/>
      <c r="L157" s="643" t="str">
        <f t="shared" si="43"/>
        <v/>
      </c>
      <c r="M157" s="664"/>
      <c r="N157" s="665"/>
      <c r="O157" s="267"/>
      <c r="P157" s="666"/>
      <c r="Q157" s="667"/>
      <c r="R157" s="667"/>
      <c r="S157" s="1035"/>
      <c r="T157" s="668"/>
      <c r="U157" s="668"/>
      <c r="V157" s="668"/>
      <c r="W157" s="668"/>
      <c r="X157" s="669"/>
      <c r="Y157" s="670"/>
      <c r="Z157" s="671"/>
      <c r="AA157" s="644"/>
      <c r="AB157" s="978"/>
      <c r="AC157" s="992"/>
      <c r="AD157" s="89"/>
      <c r="AE157" s="89"/>
      <c r="AF157" s="645" t="str">
        <f t="shared" si="48"/>
        <v/>
      </c>
      <c r="AG157" s="1037" t="str">
        <f t="shared" si="49"/>
        <v/>
      </c>
      <c r="AH157" s="1037" t="str">
        <f t="shared" si="50"/>
        <v/>
      </c>
      <c r="AI157" s="1037" t="str">
        <f>IF(AF157="","",VLOOKUP(AF157,リスト!BD:BE,2,0))</f>
        <v/>
      </c>
      <c r="AJ157" s="1037" t="str">
        <f t="shared" si="32"/>
        <v/>
      </c>
      <c r="AK157" s="1037" t="str">
        <f>IF(AJ157="","",VLOOKUP(AJ157,リスト!BW:BX,2,0))</f>
        <v/>
      </c>
      <c r="AL157" s="1037" t="str">
        <f t="shared" si="44"/>
        <v/>
      </c>
      <c r="AM157" s="646" t="str">
        <f t="shared" si="33"/>
        <v/>
      </c>
      <c r="AN157" s="646" t="str">
        <f t="shared" si="34"/>
        <v/>
      </c>
      <c r="AO157" s="647" t="str">
        <f t="shared" si="35"/>
        <v/>
      </c>
      <c r="AP157" s="647" t="str">
        <f t="shared" si="36"/>
        <v/>
      </c>
      <c r="AQ157" s="647" t="str">
        <f t="shared" si="37"/>
        <v/>
      </c>
      <c r="AR157" s="647" t="str">
        <f t="shared" si="47"/>
        <v/>
      </c>
      <c r="AS157" s="647" t="str">
        <f t="shared" si="38"/>
        <v/>
      </c>
      <c r="AT157" s="647" t="str">
        <f t="shared" si="51"/>
        <v/>
      </c>
      <c r="AU157" s="647" t="str">
        <f t="shared" si="52"/>
        <v/>
      </c>
      <c r="AV157" s="647" t="str">
        <f t="shared" si="45"/>
        <v/>
      </c>
      <c r="AW157" s="647" t="str">
        <f t="shared" si="39"/>
        <v/>
      </c>
      <c r="AX157" s="647" t="str">
        <f t="shared" si="40"/>
        <v/>
      </c>
      <c r="AY157" s="647" t="str">
        <f t="shared" si="41"/>
        <v/>
      </c>
      <c r="AZ157" s="647" t="str">
        <f t="shared" si="46"/>
        <v/>
      </c>
      <c r="BA157" s="647" t="str">
        <f t="shared" si="42"/>
        <v/>
      </c>
    </row>
    <row r="158" spans="2:53" s="7" customFormat="1" ht="28.5" hidden="1" customHeight="1" outlineLevel="1">
      <c r="B158" s="64"/>
      <c r="C158" s="649">
        <v>142</v>
      </c>
      <c r="D158" s="1855"/>
      <c r="E158" s="1856"/>
      <c r="F158" s="1856"/>
      <c r="G158" s="1856"/>
      <c r="H158" s="1856"/>
      <c r="I158" s="1856"/>
      <c r="J158" s="1856"/>
      <c r="K158" s="1857"/>
      <c r="L158" s="643" t="str">
        <f t="shared" si="43"/>
        <v/>
      </c>
      <c r="M158" s="664"/>
      <c r="N158" s="665"/>
      <c r="O158" s="267"/>
      <c r="P158" s="666"/>
      <c r="Q158" s="667"/>
      <c r="R158" s="667"/>
      <c r="S158" s="1035"/>
      <c r="T158" s="668"/>
      <c r="U158" s="668"/>
      <c r="V158" s="668"/>
      <c r="W158" s="668"/>
      <c r="X158" s="669"/>
      <c r="Y158" s="670"/>
      <c r="Z158" s="671"/>
      <c r="AA158" s="644"/>
      <c r="AB158" s="978"/>
      <c r="AC158" s="992"/>
      <c r="AD158" s="89"/>
      <c r="AE158" s="89"/>
      <c r="AF158" s="645" t="str">
        <f t="shared" si="48"/>
        <v/>
      </c>
      <c r="AG158" s="1037" t="str">
        <f t="shared" si="49"/>
        <v/>
      </c>
      <c r="AH158" s="1037" t="str">
        <f t="shared" si="50"/>
        <v/>
      </c>
      <c r="AI158" s="1037" t="str">
        <f>IF(AF158="","",VLOOKUP(AF158,リスト!BD:BE,2,0))</f>
        <v/>
      </c>
      <c r="AJ158" s="1037" t="str">
        <f t="shared" si="32"/>
        <v/>
      </c>
      <c r="AK158" s="1037" t="str">
        <f>IF(AJ158="","",VLOOKUP(AJ158,リスト!BW:BX,2,0))</f>
        <v/>
      </c>
      <c r="AL158" s="1037" t="str">
        <f t="shared" si="44"/>
        <v/>
      </c>
      <c r="AM158" s="646" t="str">
        <f t="shared" si="33"/>
        <v/>
      </c>
      <c r="AN158" s="646" t="str">
        <f t="shared" si="34"/>
        <v/>
      </c>
      <c r="AO158" s="647" t="str">
        <f t="shared" si="35"/>
        <v/>
      </c>
      <c r="AP158" s="647" t="str">
        <f t="shared" si="36"/>
        <v/>
      </c>
      <c r="AQ158" s="647" t="str">
        <f t="shared" si="37"/>
        <v/>
      </c>
      <c r="AR158" s="647" t="str">
        <f t="shared" si="47"/>
        <v/>
      </c>
      <c r="AS158" s="647" t="str">
        <f t="shared" si="38"/>
        <v/>
      </c>
      <c r="AT158" s="647" t="str">
        <f t="shared" si="51"/>
        <v/>
      </c>
      <c r="AU158" s="647" t="str">
        <f t="shared" si="52"/>
        <v/>
      </c>
      <c r="AV158" s="647" t="str">
        <f t="shared" si="45"/>
        <v/>
      </c>
      <c r="AW158" s="647" t="str">
        <f t="shared" si="39"/>
        <v/>
      </c>
      <c r="AX158" s="647" t="str">
        <f t="shared" si="40"/>
        <v/>
      </c>
      <c r="AY158" s="647" t="str">
        <f t="shared" si="41"/>
        <v/>
      </c>
      <c r="AZ158" s="647" t="str">
        <f t="shared" si="46"/>
        <v/>
      </c>
      <c r="BA158" s="647" t="str">
        <f t="shared" si="42"/>
        <v/>
      </c>
    </row>
    <row r="159" spans="2:53" s="7" customFormat="1" ht="28.5" hidden="1" customHeight="1" outlineLevel="1">
      <c r="B159" s="64"/>
      <c r="C159" s="649">
        <v>143</v>
      </c>
      <c r="D159" s="1855"/>
      <c r="E159" s="1856"/>
      <c r="F159" s="1856"/>
      <c r="G159" s="1856"/>
      <c r="H159" s="1856"/>
      <c r="I159" s="1856"/>
      <c r="J159" s="1856"/>
      <c r="K159" s="1857"/>
      <c r="L159" s="643" t="str">
        <f t="shared" si="43"/>
        <v/>
      </c>
      <c r="M159" s="664"/>
      <c r="N159" s="665"/>
      <c r="O159" s="267"/>
      <c r="P159" s="666"/>
      <c r="Q159" s="667"/>
      <c r="R159" s="667"/>
      <c r="S159" s="1035"/>
      <c r="T159" s="668"/>
      <c r="U159" s="668"/>
      <c r="V159" s="668"/>
      <c r="W159" s="668"/>
      <c r="X159" s="669"/>
      <c r="Y159" s="670"/>
      <c r="Z159" s="671"/>
      <c r="AA159" s="644"/>
      <c r="AB159" s="978"/>
      <c r="AC159" s="992"/>
      <c r="AD159" s="89"/>
      <c r="AE159" s="89"/>
      <c r="AF159" s="645" t="str">
        <f t="shared" si="48"/>
        <v/>
      </c>
      <c r="AG159" s="1037" t="str">
        <f t="shared" si="49"/>
        <v/>
      </c>
      <c r="AH159" s="1037" t="str">
        <f t="shared" si="50"/>
        <v/>
      </c>
      <c r="AI159" s="1037" t="str">
        <f>IF(AF159="","",VLOOKUP(AF159,リスト!BD:BE,2,0))</f>
        <v/>
      </c>
      <c r="AJ159" s="1037" t="str">
        <f t="shared" si="32"/>
        <v/>
      </c>
      <c r="AK159" s="1037" t="str">
        <f>IF(AJ159="","",VLOOKUP(AJ159,リスト!BW:BX,2,0))</f>
        <v/>
      </c>
      <c r="AL159" s="1037" t="str">
        <f t="shared" si="44"/>
        <v/>
      </c>
      <c r="AM159" s="646" t="str">
        <f t="shared" si="33"/>
        <v/>
      </c>
      <c r="AN159" s="646" t="str">
        <f t="shared" si="34"/>
        <v/>
      </c>
      <c r="AO159" s="647" t="str">
        <f t="shared" si="35"/>
        <v/>
      </c>
      <c r="AP159" s="647" t="str">
        <f t="shared" si="36"/>
        <v/>
      </c>
      <c r="AQ159" s="647" t="str">
        <f t="shared" si="37"/>
        <v/>
      </c>
      <c r="AR159" s="647" t="str">
        <f t="shared" si="47"/>
        <v/>
      </c>
      <c r="AS159" s="647" t="str">
        <f t="shared" si="38"/>
        <v/>
      </c>
      <c r="AT159" s="647" t="str">
        <f t="shared" si="51"/>
        <v/>
      </c>
      <c r="AU159" s="647" t="str">
        <f t="shared" si="52"/>
        <v/>
      </c>
      <c r="AV159" s="647" t="str">
        <f t="shared" si="45"/>
        <v/>
      </c>
      <c r="AW159" s="647" t="str">
        <f t="shared" si="39"/>
        <v/>
      </c>
      <c r="AX159" s="647" t="str">
        <f t="shared" si="40"/>
        <v/>
      </c>
      <c r="AY159" s="647" t="str">
        <f t="shared" si="41"/>
        <v/>
      </c>
      <c r="AZ159" s="647" t="str">
        <f t="shared" si="46"/>
        <v/>
      </c>
      <c r="BA159" s="647" t="str">
        <f t="shared" si="42"/>
        <v/>
      </c>
    </row>
    <row r="160" spans="2:53" s="7" customFormat="1" ht="28.5" hidden="1" customHeight="1" outlineLevel="1">
      <c r="B160" s="64"/>
      <c r="C160" s="649">
        <v>144</v>
      </c>
      <c r="D160" s="1855"/>
      <c r="E160" s="1856"/>
      <c r="F160" s="1856"/>
      <c r="G160" s="1856"/>
      <c r="H160" s="1856"/>
      <c r="I160" s="1856"/>
      <c r="J160" s="1856"/>
      <c r="K160" s="1857"/>
      <c r="L160" s="643" t="str">
        <f t="shared" si="43"/>
        <v/>
      </c>
      <c r="M160" s="664"/>
      <c r="N160" s="665"/>
      <c r="O160" s="267"/>
      <c r="P160" s="666"/>
      <c r="Q160" s="667"/>
      <c r="R160" s="667"/>
      <c r="S160" s="1035"/>
      <c r="T160" s="668"/>
      <c r="U160" s="668"/>
      <c r="V160" s="668"/>
      <c r="W160" s="668"/>
      <c r="X160" s="669"/>
      <c r="Y160" s="670"/>
      <c r="Z160" s="671"/>
      <c r="AA160" s="644"/>
      <c r="AB160" s="978"/>
      <c r="AC160" s="992"/>
      <c r="AD160" s="89"/>
      <c r="AE160" s="89"/>
      <c r="AF160" s="645" t="str">
        <f t="shared" si="48"/>
        <v/>
      </c>
      <c r="AG160" s="1037" t="str">
        <f t="shared" si="49"/>
        <v/>
      </c>
      <c r="AH160" s="1037" t="str">
        <f t="shared" si="50"/>
        <v/>
      </c>
      <c r="AI160" s="1037" t="str">
        <f>IF(AF160="","",VLOOKUP(AF160,リスト!BD:BE,2,0))</f>
        <v/>
      </c>
      <c r="AJ160" s="1037" t="str">
        <f t="shared" si="32"/>
        <v/>
      </c>
      <c r="AK160" s="1037" t="str">
        <f>IF(AJ160="","",VLOOKUP(AJ160,リスト!BW:BX,2,0))</f>
        <v/>
      </c>
      <c r="AL160" s="1037" t="str">
        <f t="shared" si="44"/>
        <v/>
      </c>
      <c r="AM160" s="646" t="str">
        <f t="shared" si="33"/>
        <v/>
      </c>
      <c r="AN160" s="646" t="str">
        <f t="shared" si="34"/>
        <v/>
      </c>
      <c r="AO160" s="647" t="str">
        <f t="shared" si="35"/>
        <v/>
      </c>
      <c r="AP160" s="647" t="str">
        <f t="shared" si="36"/>
        <v/>
      </c>
      <c r="AQ160" s="647" t="str">
        <f t="shared" si="37"/>
        <v/>
      </c>
      <c r="AR160" s="647" t="str">
        <f t="shared" si="47"/>
        <v/>
      </c>
      <c r="AS160" s="647" t="str">
        <f t="shared" si="38"/>
        <v/>
      </c>
      <c r="AT160" s="647" t="str">
        <f t="shared" si="51"/>
        <v/>
      </c>
      <c r="AU160" s="647" t="str">
        <f t="shared" si="52"/>
        <v/>
      </c>
      <c r="AV160" s="647" t="str">
        <f t="shared" si="45"/>
        <v/>
      </c>
      <c r="AW160" s="647" t="str">
        <f t="shared" si="39"/>
        <v/>
      </c>
      <c r="AX160" s="647" t="str">
        <f t="shared" si="40"/>
        <v/>
      </c>
      <c r="AY160" s="647" t="str">
        <f t="shared" si="41"/>
        <v/>
      </c>
      <c r="AZ160" s="647" t="str">
        <f t="shared" si="46"/>
        <v/>
      </c>
      <c r="BA160" s="647" t="str">
        <f t="shared" si="42"/>
        <v/>
      </c>
    </row>
    <row r="161" spans="2:53" s="7" customFormat="1" ht="28.5" hidden="1" customHeight="1" outlineLevel="1">
      <c r="B161" s="64"/>
      <c r="C161" s="649">
        <v>145</v>
      </c>
      <c r="D161" s="1855"/>
      <c r="E161" s="1856"/>
      <c r="F161" s="1856"/>
      <c r="G161" s="1856"/>
      <c r="H161" s="1856"/>
      <c r="I161" s="1856"/>
      <c r="J161" s="1856"/>
      <c r="K161" s="1857"/>
      <c r="L161" s="643" t="str">
        <f t="shared" si="43"/>
        <v/>
      </c>
      <c r="M161" s="664"/>
      <c r="N161" s="665"/>
      <c r="O161" s="267"/>
      <c r="P161" s="666"/>
      <c r="Q161" s="667"/>
      <c r="R161" s="667"/>
      <c r="S161" s="1035"/>
      <c r="T161" s="668"/>
      <c r="U161" s="668"/>
      <c r="V161" s="668"/>
      <c r="W161" s="668"/>
      <c r="X161" s="669"/>
      <c r="Y161" s="670"/>
      <c r="Z161" s="671"/>
      <c r="AA161" s="644"/>
      <c r="AB161" s="978"/>
      <c r="AC161" s="992"/>
      <c r="AD161" s="89"/>
      <c r="AE161" s="89"/>
      <c r="AF161" s="645" t="str">
        <f t="shared" si="48"/>
        <v/>
      </c>
      <c r="AG161" s="1037" t="str">
        <f t="shared" si="49"/>
        <v/>
      </c>
      <c r="AH161" s="1037" t="str">
        <f t="shared" si="50"/>
        <v/>
      </c>
      <c r="AI161" s="1037" t="str">
        <f>IF(AF161="","",VLOOKUP(AF161,リスト!BD:BE,2,0))</f>
        <v/>
      </c>
      <c r="AJ161" s="1037" t="str">
        <f t="shared" si="32"/>
        <v/>
      </c>
      <c r="AK161" s="1037" t="str">
        <f>IF(AJ161="","",VLOOKUP(AJ161,リスト!BW:BX,2,0))</f>
        <v/>
      </c>
      <c r="AL161" s="1037" t="str">
        <f t="shared" si="44"/>
        <v/>
      </c>
      <c r="AM161" s="646" t="str">
        <f t="shared" si="33"/>
        <v/>
      </c>
      <c r="AN161" s="646" t="str">
        <f t="shared" si="34"/>
        <v/>
      </c>
      <c r="AO161" s="647" t="str">
        <f t="shared" si="35"/>
        <v/>
      </c>
      <c r="AP161" s="647" t="str">
        <f t="shared" si="36"/>
        <v/>
      </c>
      <c r="AQ161" s="647" t="str">
        <f t="shared" si="37"/>
        <v/>
      </c>
      <c r="AR161" s="647" t="str">
        <f t="shared" si="47"/>
        <v/>
      </c>
      <c r="AS161" s="647" t="str">
        <f t="shared" si="38"/>
        <v/>
      </c>
      <c r="AT161" s="647" t="str">
        <f t="shared" si="51"/>
        <v/>
      </c>
      <c r="AU161" s="647" t="str">
        <f t="shared" si="52"/>
        <v/>
      </c>
      <c r="AV161" s="647" t="str">
        <f t="shared" si="45"/>
        <v/>
      </c>
      <c r="AW161" s="647" t="str">
        <f t="shared" si="39"/>
        <v/>
      </c>
      <c r="AX161" s="647" t="str">
        <f t="shared" si="40"/>
        <v/>
      </c>
      <c r="AY161" s="647" t="str">
        <f t="shared" si="41"/>
        <v/>
      </c>
      <c r="AZ161" s="647" t="str">
        <f t="shared" si="46"/>
        <v/>
      </c>
      <c r="BA161" s="647" t="str">
        <f t="shared" si="42"/>
        <v/>
      </c>
    </row>
    <row r="162" spans="2:53" s="7" customFormat="1" ht="28.5" hidden="1" customHeight="1" outlineLevel="1">
      <c r="B162" s="64"/>
      <c r="C162" s="649">
        <v>146</v>
      </c>
      <c r="D162" s="1855"/>
      <c r="E162" s="1856"/>
      <c r="F162" s="1856"/>
      <c r="G162" s="1856"/>
      <c r="H162" s="1856"/>
      <c r="I162" s="1856"/>
      <c r="J162" s="1856"/>
      <c r="K162" s="1857"/>
      <c r="L162" s="643" t="str">
        <f t="shared" si="43"/>
        <v/>
      </c>
      <c r="M162" s="664"/>
      <c r="N162" s="665"/>
      <c r="O162" s="267"/>
      <c r="P162" s="666"/>
      <c r="Q162" s="667"/>
      <c r="R162" s="667"/>
      <c r="S162" s="1035"/>
      <c r="T162" s="668"/>
      <c r="U162" s="668"/>
      <c r="V162" s="668"/>
      <c r="W162" s="668"/>
      <c r="X162" s="669"/>
      <c r="Y162" s="670"/>
      <c r="Z162" s="671"/>
      <c r="AA162" s="644"/>
      <c r="AB162" s="978"/>
      <c r="AC162" s="992"/>
      <c r="AD162" s="89"/>
      <c r="AE162" s="89"/>
      <c r="AF162" s="645" t="str">
        <f t="shared" si="48"/>
        <v/>
      </c>
      <c r="AG162" s="1037" t="str">
        <f t="shared" si="49"/>
        <v/>
      </c>
      <c r="AH162" s="1037" t="str">
        <f t="shared" si="50"/>
        <v/>
      </c>
      <c r="AI162" s="1037" t="str">
        <f>IF(AF162="","",VLOOKUP(AF162,リスト!BD:BE,2,0))</f>
        <v/>
      </c>
      <c r="AJ162" s="1037" t="str">
        <f t="shared" si="32"/>
        <v/>
      </c>
      <c r="AK162" s="1037" t="str">
        <f>IF(AJ162="","",VLOOKUP(AJ162,リスト!BW:BX,2,0))</f>
        <v/>
      </c>
      <c r="AL162" s="1037" t="str">
        <f t="shared" si="44"/>
        <v/>
      </c>
      <c r="AM162" s="646" t="str">
        <f t="shared" si="33"/>
        <v/>
      </c>
      <c r="AN162" s="646" t="str">
        <f t="shared" si="34"/>
        <v/>
      </c>
      <c r="AO162" s="647" t="str">
        <f t="shared" si="35"/>
        <v/>
      </c>
      <c r="AP162" s="647" t="str">
        <f t="shared" si="36"/>
        <v/>
      </c>
      <c r="AQ162" s="647" t="str">
        <f t="shared" si="37"/>
        <v/>
      </c>
      <c r="AR162" s="647" t="str">
        <f t="shared" si="47"/>
        <v/>
      </c>
      <c r="AS162" s="647" t="str">
        <f t="shared" si="38"/>
        <v/>
      </c>
      <c r="AT162" s="647" t="str">
        <f t="shared" si="51"/>
        <v/>
      </c>
      <c r="AU162" s="647" t="str">
        <f t="shared" si="52"/>
        <v/>
      </c>
      <c r="AV162" s="647" t="str">
        <f t="shared" si="45"/>
        <v/>
      </c>
      <c r="AW162" s="647" t="str">
        <f t="shared" si="39"/>
        <v/>
      </c>
      <c r="AX162" s="647" t="str">
        <f t="shared" si="40"/>
        <v/>
      </c>
      <c r="AY162" s="647" t="str">
        <f t="shared" si="41"/>
        <v/>
      </c>
      <c r="AZ162" s="647" t="str">
        <f t="shared" si="46"/>
        <v/>
      </c>
      <c r="BA162" s="647" t="str">
        <f t="shared" si="42"/>
        <v/>
      </c>
    </row>
    <row r="163" spans="2:53" s="7" customFormat="1" ht="28.5" hidden="1" customHeight="1" outlineLevel="1">
      <c r="B163" s="64"/>
      <c r="C163" s="649">
        <v>147</v>
      </c>
      <c r="D163" s="1855"/>
      <c r="E163" s="1856"/>
      <c r="F163" s="1856"/>
      <c r="G163" s="1856"/>
      <c r="H163" s="1856"/>
      <c r="I163" s="1856"/>
      <c r="J163" s="1856"/>
      <c r="K163" s="1857"/>
      <c r="L163" s="643" t="str">
        <f t="shared" si="43"/>
        <v/>
      </c>
      <c r="M163" s="664"/>
      <c r="N163" s="665"/>
      <c r="O163" s="267"/>
      <c r="P163" s="666"/>
      <c r="Q163" s="667"/>
      <c r="R163" s="667"/>
      <c r="S163" s="1035"/>
      <c r="T163" s="668"/>
      <c r="U163" s="668"/>
      <c r="V163" s="668"/>
      <c r="W163" s="668"/>
      <c r="X163" s="669"/>
      <c r="Y163" s="670"/>
      <c r="Z163" s="671"/>
      <c r="AA163" s="644"/>
      <c r="AB163" s="978"/>
      <c r="AC163" s="992"/>
      <c r="AD163" s="89"/>
      <c r="AE163" s="89"/>
      <c r="AF163" s="645" t="str">
        <f t="shared" si="48"/>
        <v/>
      </c>
      <c r="AG163" s="1037" t="str">
        <f t="shared" si="49"/>
        <v/>
      </c>
      <c r="AH163" s="1037" t="str">
        <f t="shared" si="50"/>
        <v/>
      </c>
      <c r="AI163" s="1037" t="str">
        <f>IF(AF163="","",VLOOKUP(AF163,リスト!BD:BE,2,0))</f>
        <v/>
      </c>
      <c r="AJ163" s="1037" t="str">
        <f t="shared" si="32"/>
        <v/>
      </c>
      <c r="AK163" s="1037" t="str">
        <f>IF(AJ163="","",VLOOKUP(AJ163,リスト!BW:BX,2,0))</f>
        <v/>
      </c>
      <c r="AL163" s="1037" t="str">
        <f t="shared" si="44"/>
        <v/>
      </c>
      <c r="AM163" s="646" t="str">
        <f t="shared" si="33"/>
        <v/>
      </c>
      <c r="AN163" s="646" t="str">
        <f t="shared" si="34"/>
        <v/>
      </c>
      <c r="AO163" s="647" t="str">
        <f t="shared" si="35"/>
        <v/>
      </c>
      <c r="AP163" s="647" t="str">
        <f t="shared" si="36"/>
        <v/>
      </c>
      <c r="AQ163" s="647" t="str">
        <f t="shared" si="37"/>
        <v/>
      </c>
      <c r="AR163" s="647" t="str">
        <f t="shared" si="47"/>
        <v/>
      </c>
      <c r="AS163" s="647" t="str">
        <f t="shared" si="38"/>
        <v/>
      </c>
      <c r="AT163" s="647" t="str">
        <f t="shared" si="51"/>
        <v/>
      </c>
      <c r="AU163" s="647" t="str">
        <f t="shared" si="52"/>
        <v/>
      </c>
      <c r="AV163" s="647" t="str">
        <f t="shared" si="45"/>
        <v/>
      </c>
      <c r="AW163" s="647" t="str">
        <f t="shared" si="39"/>
        <v/>
      </c>
      <c r="AX163" s="647" t="str">
        <f t="shared" si="40"/>
        <v/>
      </c>
      <c r="AY163" s="647" t="str">
        <f t="shared" si="41"/>
        <v/>
      </c>
      <c r="AZ163" s="647" t="str">
        <f t="shared" si="46"/>
        <v/>
      </c>
      <c r="BA163" s="647" t="str">
        <f t="shared" si="42"/>
        <v/>
      </c>
    </row>
    <row r="164" spans="2:53" s="7" customFormat="1" ht="28.5" hidden="1" customHeight="1" outlineLevel="1">
      <c r="B164" s="64"/>
      <c r="C164" s="649">
        <v>148</v>
      </c>
      <c r="D164" s="1855"/>
      <c r="E164" s="1856"/>
      <c r="F164" s="1856"/>
      <c r="G164" s="1856"/>
      <c r="H164" s="1856"/>
      <c r="I164" s="1856"/>
      <c r="J164" s="1856"/>
      <c r="K164" s="1857"/>
      <c r="L164" s="643" t="str">
        <f t="shared" si="43"/>
        <v/>
      </c>
      <c r="M164" s="664"/>
      <c r="N164" s="665"/>
      <c r="O164" s="267"/>
      <c r="P164" s="666"/>
      <c r="Q164" s="667"/>
      <c r="R164" s="667"/>
      <c r="S164" s="1035"/>
      <c r="T164" s="668"/>
      <c r="U164" s="668"/>
      <c r="V164" s="668"/>
      <c r="W164" s="668"/>
      <c r="X164" s="669"/>
      <c r="Y164" s="670"/>
      <c r="Z164" s="671"/>
      <c r="AA164" s="644"/>
      <c r="AB164" s="978"/>
      <c r="AC164" s="992"/>
      <c r="AD164" s="89"/>
      <c r="AE164" s="89"/>
      <c r="AF164" s="645" t="str">
        <f t="shared" si="48"/>
        <v/>
      </c>
      <c r="AG164" s="1037" t="str">
        <f t="shared" si="49"/>
        <v/>
      </c>
      <c r="AH164" s="1037" t="str">
        <f t="shared" si="50"/>
        <v/>
      </c>
      <c r="AI164" s="1037" t="str">
        <f>IF(AF164="","",VLOOKUP(AF164,リスト!BD:BE,2,0))</f>
        <v/>
      </c>
      <c r="AJ164" s="1037" t="str">
        <f t="shared" si="32"/>
        <v/>
      </c>
      <c r="AK164" s="1037" t="str">
        <f>IF(AJ164="","",VLOOKUP(AJ164,リスト!BW:BX,2,0))</f>
        <v/>
      </c>
      <c r="AL164" s="1037" t="str">
        <f t="shared" si="44"/>
        <v/>
      </c>
      <c r="AM164" s="646" t="str">
        <f t="shared" si="33"/>
        <v/>
      </c>
      <c r="AN164" s="646" t="str">
        <f t="shared" si="34"/>
        <v/>
      </c>
      <c r="AO164" s="647" t="str">
        <f t="shared" si="35"/>
        <v/>
      </c>
      <c r="AP164" s="647" t="str">
        <f t="shared" si="36"/>
        <v/>
      </c>
      <c r="AQ164" s="647" t="str">
        <f t="shared" si="37"/>
        <v/>
      </c>
      <c r="AR164" s="647" t="str">
        <f t="shared" si="47"/>
        <v/>
      </c>
      <c r="AS164" s="647" t="str">
        <f t="shared" si="38"/>
        <v/>
      </c>
      <c r="AT164" s="647" t="str">
        <f t="shared" si="51"/>
        <v/>
      </c>
      <c r="AU164" s="647" t="str">
        <f t="shared" si="52"/>
        <v/>
      </c>
      <c r="AV164" s="647" t="str">
        <f t="shared" si="45"/>
        <v/>
      </c>
      <c r="AW164" s="647" t="str">
        <f t="shared" si="39"/>
        <v/>
      </c>
      <c r="AX164" s="647" t="str">
        <f t="shared" si="40"/>
        <v/>
      </c>
      <c r="AY164" s="647" t="str">
        <f t="shared" si="41"/>
        <v/>
      </c>
      <c r="AZ164" s="647" t="str">
        <f t="shared" si="46"/>
        <v/>
      </c>
      <c r="BA164" s="647" t="str">
        <f t="shared" si="42"/>
        <v/>
      </c>
    </row>
    <row r="165" spans="2:53" s="7" customFormat="1" ht="28.5" hidden="1" customHeight="1" outlineLevel="1">
      <c r="B165" s="64"/>
      <c r="C165" s="649">
        <v>149</v>
      </c>
      <c r="D165" s="1855"/>
      <c r="E165" s="1856"/>
      <c r="F165" s="1856"/>
      <c r="G165" s="1856"/>
      <c r="H165" s="1856"/>
      <c r="I165" s="1856"/>
      <c r="J165" s="1856"/>
      <c r="K165" s="1857"/>
      <c r="L165" s="643" t="str">
        <f t="shared" si="43"/>
        <v/>
      </c>
      <c r="M165" s="664"/>
      <c r="N165" s="665"/>
      <c r="O165" s="267"/>
      <c r="P165" s="666"/>
      <c r="Q165" s="667"/>
      <c r="R165" s="667"/>
      <c r="S165" s="1035"/>
      <c r="T165" s="668"/>
      <c r="U165" s="668"/>
      <c r="V165" s="668"/>
      <c r="W165" s="668"/>
      <c r="X165" s="669"/>
      <c r="Y165" s="670"/>
      <c r="Z165" s="671"/>
      <c r="AA165" s="644"/>
      <c r="AB165" s="978"/>
      <c r="AC165" s="992"/>
      <c r="AD165" s="89"/>
      <c r="AE165" s="89"/>
      <c r="AF165" s="645" t="str">
        <f t="shared" si="48"/>
        <v/>
      </c>
      <c r="AG165" s="1037" t="str">
        <f t="shared" si="49"/>
        <v/>
      </c>
      <c r="AH165" s="1037" t="str">
        <f t="shared" si="50"/>
        <v/>
      </c>
      <c r="AI165" s="1037" t="str">
        <f>IF(AF165="","",VLOOKUP(AF165,リスト!BD:BE,2,0))</f>
        <v/>
      </c>
      <c r="AJ165" s="1037" t="str">
        <f t="shared" si="32"/>
        <v/>
      </c>
      <c r="AK165" s="1037" t="str">
        <f>IF(AJ165="","",VLOOKUP(AJ165,リスト!BW:BX,2,0))</f>
        <v/>
      </c>
      <c r="AL165" s="1037" t="str">
        <f t="shared" si="44"/>
        <v/>
      </c>
      <c r="AM165" s="646" t="str">
        <f t="shared" si="33"/>
        <v/>
      </c>
      <c r="AN165" s="646" t="str">
        <f t="shared" si="34"/>
        <v/>
      </c>
      <c r="AO165" s="647" t="str">
        <f t="shared" si="35"/>
        <v/>
      </c>
      <c r="AP165" s="647" t="str">
        <f t="shared" si="36"/>
        <v/>
      </c>
      <c r="AQ165" s="647" t="str">
        <f t="shared" si="37"/>
        <v/>
      </c>
      <c r="AR165" s="647" t="str">
        <f t="shared" si="47"/>
        <v/>
      </c>
      <c r="AS165" s="647" t="str">
        <f t="shared" si="38"/>
        <v/>
      </c>
      <c r="AT165" s="647" t="str">
        <f t="shared" si="51"/>
        <v/>
      </c>
      <c r="AU165" s="647" t="str">
        <f t="shared" si="52"/>
        <v/>
      </c>
      <c r="AV165" s="647" t="str">
        <f t="shared" si="45"/>
        <v/>
      </c>
      <c r="AW165" s="647" t="str">
        <f t="shared" si="39"/>
        <v/>
      </c>
      <c r="AX165" s="647" t="str">
        <f t="shared" si="40"/>
        <v/>
      </c>
      <c r="AY165" s="647" t="str">
        <f t="shared" si="41"/>
        <v/>
      </c>
      <c r="AZ165" s="647" t="str">
        <f t="shared" si="46"/>
        <v/>
      </c>
      <c r="BA165" s="647" t="str">
        <f t="shared" si="42"/>
        <v/>
      </c>
    </row>
    <row r="166" spans="2:53" s="7" customFormat="1" ht="28.5" hidden="1" customHeight="1" outlineLevel="1">
      <c r="B166" s="64"/>
      <c r="C166" s="649">
        <v>150</v>
      </c>
      <c r="D166" s="1855"/>
      <c r="E166" s="1856"/>
      <c r="F166" s="1856"/>
      <c r="G166" s="1856"/>
      <c r="H166" s="1856"/>
      <c r="I166" s="1856"/>
      <c r="J166" s="1856"/>
      <c r="K166" s="1857"/>
      <c r="L166" s="643" t="str">
        <f t="shared" si="43"/>
        <v/>
      </c>
      <c r="M166" s="664"/>
      <c r="N166" s="665"/>
      <c r="O166" s="267"/>
      <c r="P166" s="666"/>
      <c r="Q166" s="667"/>
      <c r="R166" s="667"/>
      <c r="S166" s="1035"/>
      <c r="T166" s="668"/>
      <c r="U166" s="668"/>
      <c r="V166" s="668"/>
      <c r="W166" s="668"/>
      <c r="X166" s="669"/>
      <c r="Y166" s="670"/>
      <c r="Z166" s="671"/>
      <c r="AA166" s="644"/>
      <c r="AB166" s="978"/>
      <c r="AC166" s="992"/>
      <c r="AD166" s="89"/>
      <c r="AE166" s="89"/>
      <c r="AF166" s="645" t="str">
        <f t="shared" si="48"/>
        <v/>
      </c>
      <c r="AG166" s="1037" t="str">
        <f t="shared" si="49"/>
        <v/>
      </c>
      <c r="AH166" s="1037" t="str">
        <f t="shared" si="50"/>
        <v/>
      </c>
      <c r="AI166" s="1037" t="str">
        <f>IF(AF166="","",VLOOKUP(AF166,リスト!BD:BE,2,0))</f>
        <v/>
      </c>
      <c r="AJ166" s="1037" t="str">
        <f t="shared" si="32"/>
        <v/>
      </c>
      <c r="AK166" s="1037" t="str">
        <f>IF(AJ166="","",VLOOKUP(AJ166,リスト!BW:BX,2,0))</f>
        <v/>
      </c>
      <c r="AL166" s="1037" t="str">
        <f t="shared" si="44"/>
        <v/>
      </c>
      <c r="AM166" s="646" t="str">
        <f t="shared" si="33"/>
        <v/>
      </c>
      <c r="AN166" s="646" t="str">
        <f t="shared" si="34"/>
        <v/>
      </c>
      <c r="AO166" s="647" t="str">
        <f t="shared" si="35"/>
        <v/>
      </c>
      <c r="AP166" s="647" t="str">
        <f t="shared" si="36"/>
        <v/>
      </c>
      <c r="AQ166" s="647" t="str">
        <f t="shared" si="37"/>
        <v/>
      </c>
      <c r="AR166" s="647" t="str">
        <f t="shared" si="47"/>
        <v/>
      </c>
      <c r="AS166" s="647" t="str">
        <f t="shared" si="38"/>
        <v/>
      </c>
      <c r="AT166" s="647" t="str">
        <f t="shared" si="51"/>
        <v/>
      </c>
      <c r="AU166" s="647" t="str">
        <f t="shared" si="52"/>
        <v/>
      </c>
      <c r="AV166" s="647" t="str">
        <f t="shared" si="45"/>
        <v/>
      </c>
      <c r="AW166" s="647" t="str">
        <f t="shared" si="39"/>
        <v/>
      </c>
      <c r="AX166" s="647" t="str">
        <f t="shared" si="40"/>
        <v/>
      </c>
      <c r="AY166" s="647" t="str">
        <f t="shared" si="41"/>
        <v/>
      </c>
      <c r="AZ166" s="647" t="str">
        <f t="shared" si="46"/>
        <v/>
      </c>
      <c r="BA166" s="647" t="str">
        <f t="shared" si="42"/>
        <v/>
      </c>
    </row>
    <row r="167" spans="2:53" s="7" customFormat="1" ht="28.5" hidden="1" customHeight="1" outlineLevel="1">
      <c r="B167" s="64"/>
      <c r="C167" s="649">
        <v>151</v>
      </c>
      <c r="D167" s="1855"/>
      <c r="E167" s="1856"/>
      <c r="F167" s="1856"/>
      <c r="G167" s="1856"/>
      <c r="H167" s="1856"/>
      <c r="I167" s="1856"/>
      <c r="J167" s="1856"/>
      <c r="K167" s="1857"/>
      <c r="L167" s="643" t="str">
        <f t="shared" si="43"/>
        <v/>
      </c>
      <c r="M167" s="664"/>
      <c r="N167" s="665"/>
      <c r="O167" s="267"/>
      <c r="P167" s="666"/>
      <c r="Q167" s="667"/>
      <c r="R167" s="667"/>
      <c r="S167" s="1035"/>
      <c r="T167" s="668"/>
      <c r="U167" s="668"/>
      <c r="V167" s="668"/>
      <c r="W167" s="668"/>
      <c r="X167" s="669"/>
      <c r="Y167" s="670"/>
      <c r="Z167" s="671"/>
      <c r="AA167" s="644"/>
      <c r="AB167" s="978"/>
      <c r="AC167" s="992"/>
      <c r="AD167" s="89"/>
      <c r="AE167" s="89"/>
      <c r="AF167" s="645" t="str">
        <f t="shared" si="48"/>
        <v/>
      </c>
      <c r="AG167" s="1037" t="str">
        <f t="shared" si="49"/>
        <v/>
      </c>
      <c r="AH167" s="1037" t="str">
        <f t="shared" si="50"/>
        <v/>
      </c>
      <c r="AI167" s="1037" t="str">
        <f>IF(AF167="","",VLOOKUP(AF167,リスト!BD:BE,2,0))</f>
        <v/>
      </c>
      <c r="AJ167" s="1037" t="str">
        <f t="shared" si="32"/>
        <v/>
      </c>
      <c r="AK167" s="1037" t="str">
        <f>IF(AJ167="","",VLOOKUP(AJ167,リスト!BW:BX,2,0))</f>
        <v/>
      </c>
      <c r="AL167" s="1037" t="str">
        <f t="shared" si="44"/>
        <v/>
      </c>
      <c r="AM167" s="646" t="str">
        <f t="shared" si="33"/>
        <v/>
      </c>
      <c r="AN167" s="646" t="str">
        <f t="shared" si="34"/>
        <v/>
      </c>
      <c r="AO167" s="647" t="str">
        <f t="shared" si="35"/>
        <v/>
      </c>
      <c r="AP167" s="647" t="str">
        <f t="shared" si="36"/>
        <v/>
      </c>
      <c r="AQ167" s="647" t="str">
        <f t="shared" si="37"/>
        <v/>
      </c>
      <c r="AR167" s="647" t="str">
        <f t="shared" si="47"/>
        <v/>
      </c>
      <c r="AS167" s="647" t="str">
        <f t="shared" si="38"/>
        <v/>
      </c>
      <c r="AT167" s="647" t="str">
        <f t="shared" si="51"/>
        <v/>
      </c>
      <c r="AU167" s="647" t="str">
        <f t="shared" si="52"/>
        <v/>
      </c>
      <c r="AV167" s="647" t="str">
        <f t="shared" si="45"/>
        <v/>
      </c>
      <c r="AW167" s="647" t="str">
        <f t="shared" si="39"/>
        <v/>
      </c>
      <c r="AX167" s="647" t="str">
        <f t="shared" si="40"/>
        <v/>
      </c>
      <c r="AY167" s="647" t="str">
        <f t="shared" si="41"/>
        <v/>
      </c>
      <c r="AZ167" s="647" t="str">
        <f t="shared" si="46"/>
        <v/>
      </c>
      <c r="BA167" s="647" t="str">
        <f t="shared" si="42"/>
        <v/>
      </c>
    </row>
    <row r="168" spans="2:53" s="7" customFormat="1" ht="28.5" hidden="1" customHeight="1" outlineLevel="1">
      <c r="B168" s="64"/>
      <c r="C168" s="649">
        <v>152</v>
      </c>
      <c r="D168" s="1855"/>
      <c r="E168" s="1856"/>
      <c r="F168" s="1856"/>
      <c r="G168" s="1856"/>
      <c r="H168" s="1856"/>
      <c r="I168" s="1856"/>
      <c r="J168" s="1856"/>
      <c r="K168" s="1857"/>
      <c r="L168" s="643" t="str">
        <f t="shared" si="43"/>
        <v/>
      </c>
      <c r="M168" s="664"/>
      <c r="N168" s="665"/>
      <c r="O168" s="267"/>
      <c r="P168" s="666"/>
      <c r="Q168" s="667"/>
      <c r="R168" s="667"/>
      <c r="S168" s="1035"/>
      <c r="T168" s="668"/>
      <c r="U168" s="668"/>
      <c r="V168" s="668"/>
      <c r="W168" s="668"/>
      <c r="X168" s="669"/>
      <c r="Y168" s="670"/>
      <c r="Z168" s="671"/>
      <c r="AA168" s="644"/>
      <c r="AB168" s="978"/>
      <c r="AC168" s="992"/>
      <c r="AD168" s="89"/>
      <c r="AE168" s="89"/>
      <c r="AF168" s="645" t="str">
        <f t="shared" si="48"/>
        <v/>
      </c>
      <c r="AG168" s="1037" t="str">
        <f t="shared" si="49"/>
        <v/>
      </c>
      <c r="AH168" s="1037" t="str">
        <f t="shared" si="50"/>
        <v/>
      </c>
      <c r="AI168" s="1037" t="str">
        <f>IF(AF168="","",VLOOKUP(AF168,リスト!BD:BE,2,0))</f>
        <v/>
      </c>
      <c r="AJ168" s="1037" t="str">
        <f t="shared" si="32"/>
        <v/>
      </c>
      <c r="AK168" s="1037" t="str">
        <f>IF(AJ168="","",VLOOKUP(AJ168,リスト!BW:BX,2,0))</f>
        <v/>
      </c>
      <c r="AL168" s="1037" t="str">
        <f t="shared" si="44"/>
        <v/>
      </c>
      <c r="AM168" s="646" t="str">
        <f t="shared" si="33"/>
        <v/>
      </c>
      <c r="AN168" s="646" t="str">
        <f t="shared" si="34"/>
        <v/>
      </c>
      <c r="AO168" s="647" t="str">
        <f t="shared" si="35"/>
        <v/>
      </c>
      <c r="AP168" s="647" t="str">
        <f t="shared" si="36"/>
        <v/>
      </c>
      <c r="AQ168" s="647" t="str">
        <f t="shared" si="37"/>
        <v/>
      </c>
      <c r="AR168" s="647" t="str">
        <f t="shared" si="47"/>
        <v/>
      </c>
      <c r="AS168" s="647" t="str">
        <f t="shared" si="38"/>
        <v/>
      </c>
      <c r="AT168" s="647" t="str">
        <f t="shared" si="51"/>
        <v/>
      </c>
      <c r="AU168" s="647" t="str">
        <f t="shared" si="52"/>
        <v/>
      </c>
      <c r="AV168" s="647" t="str">
        <f t="shared" si="45"/>
        <v/>
      </c>
      <c r="AW168" s="647" t="str">
        <f t="shared" si="39"/>
        <v/>
      </c>
      <c r="AX168" s="647" t="str">
        <f t="shared" si="40"/>
        <v/>
      </c>
      <c r="AY168" s="647" t="str">
        <f t="shared" si="41"/>
        <v/>
      </c>
      <c r="AZ168" s="647" t="str">
        <f t="shared" si="46"/>
        <v/>
      </c>
      <c r="BA168" s="647" t="str">
        <f t="shared" si="42"/>
        <v/>
      </c>
    </row>
    <row r="169" spans="2:53" s="7" customFormat="1" ht="28.5" hidden="1" customHeight="1" outlineLevel="1">
      <c r="B169" s="64"/>
      <c r="C169" s="649">
        <v>153</v>
      </c>
      <c r="D169" s="1855"/>
      <c r="E169" s="1856"/>
      <c r="F169" s="1856"/>
      <c r="G169" s="1856"/>
      <c r="H169" s="1856"/>
      <c r="I169" s="1856"/>
      <c r="J169" s="1856"/>
      <c r="K169" s="1857"/>
      <c r="L169" s="643" t="str">
        <f t="shared" si="43"/>
        <v/>
      </c>
      <c r="M169" s="664"/>
      <c r="N169" s="665"/>
      <c r="O169" s="267"/>
      <c r="P169" s="666"/>
      <c r="Q169" s="667"/>
      <c r="R169" s="667"/>
      <c r="S169" s="1035"/>
      <c r="T169" s="668"/>
      <c r="U169" s="668"/>
      <c r="V169" s="668"/>
      <c r="W169" s="668"/>
      <c r="X169" s="669"/>
      <c r="Y169" s="670"/>
      <c r="Z169" s="671"/>
      <c r="AA169" s="644"/>
      <c r="AB169" s="978"/>
      <c r="AC169" s="992"/>
      <c r="AD169" s="89"/>
      <c r="AE169" s="89"/>
      <c r="AF169" s="645" t="str">
        <f t="shared" si="48"/>
        <v/>
      </c>
      <c r="AG169" s="1037" t="str">
        <f t="shared" si="49"/>
        <v/>
      </c>
      <c r="AH169" s="1037" t="str">
        <f t="shared" si="50"/>
        <v/>
      </c>
      <c r="AI169" s="1037" t="str">
        <f>IF(AF169="","",VLOOKUP(AF169,リスト!BD:BE,2,0))</f>
        <v/>
      </c>
      <c r="AJ169" s="1037" t="str">
        <f t="shared" si="32"/>
        <v/>
      </c>
      <c r="AK169" s="1037" t="str">
        <f>IF(AJ169="","",VLOOKUP(AJ169,リスト!BW:BX,2,0))</f>
        <v/>
      </c>
      <c r="AL169" s="1037" t="str">
        <f t="shared" si="44"/>
        <v/>
      </c>
      <c r="AM169" s="646" t="str">
        <f t="shared" si="33"/>
        <v/>
      </c>
      <c r="AN169" s="646" t="str">
        <f t="shared" si="34"/>
        <v/>
      </c>
      <c r="AO169" s="647" t="str">
        <f t="shared" si="35"/>
        <v/>
      </c>
      <c r="AP169" s="647" t="str">
        <f t="shared" si="36"/>
        <v/>
      </c>
      <c r="AQ169" s="647" t="str">
        <f t="shared" si="37"/>
        <v/>
      </c>
      <c r="AR169" s="647" t="str">
        <f t="shared" si="47"/>
        <v/>
      </c>
      <c r="AS169" s="647" t="str">
        <f t="shared" si="38"/>
        <v/>
      </c>
      <c r="AT169" s="647" t="str">
        <f t="shared" si="51"/>
        <v/>
      </c>
      <c r="AU169" s="647" t="str">
        <f t="shared" si="52"/>
        <v/>
      </c>
      <c r="AV169" s="647" t="str">
        <f t="shared" si="45"/>
        <v/>
      </c>
      <c r="AW169" s="647" t="str">
        <f t="shared" si="39"/>
        <v/>
      </c>
      <c r="AX169" s="647" t="str">
        <f t="shared" si="40"/>
        <v/>
      </c>
      <c r="AY169" s="647" t="str">
        <f t="shared" si="41"/>
        <v/>
      </c>
      <c r="AZ169" s="647" t="str">
        <f t="shared" si="46"/>
        <v/>
      </c>
      <c r="BA169" s="647" t="str">
        <f t="shared" si="42"/>
        <v/>
      </c>
    </row>
    <row r="170" spans="2:53" s="7" customFormat="1" ht="28.5" hidden="1" customHeight="1" outlineLevel="1">
      <c r="B170" s="64"/>
      <c r="C170" s="649">
        <v>154</v>
      </c>
      <c r="D170" s="1855"/>
      <c r="E170" s="1856"/>
      <c r="F170" s="1856"/>
      <c r="G170" s="1856"/>
      <c r="H170" s="1856"/>
      <c r="I170" s="1856"/>
      <c r="J170" s="1856"/>
      <c r="K170" s="1857"/>
      <c r="L170" s="643" t="str">
        <f t="shared" si="43"/>
        <v/>
      </c>
      <c r="M170" s="664"/>
      <c r="N170" s="665"/>
      <c r="O170" s="267"/>
      <c r="P170" s="666"/>
      <c r="Q170" s="667"/>
      <c r="R170" s="667"/>
      <c r="S170" s="1035"/>
      <c r="T170" s="668"/>
      <c r="U170" s="668"/>
      <c r="V170" s="668"/>
      <c r="W170" s="668"/>
      <c r="X170" s="669"/>
      <c r="Y170" s="670"/>
      <c r="Z170" s="671"/>
      <c r="AA170" s="644"/>
      <c r="AB170" s="978"/>
      <c r="AC170" s="992"/>
      <c r="AD170" s="89"/>
      <c r="AE170" s="89"/>
      <c r="AF170" s="645" t="str">
        <f t="shared" si="48"/>
        <v/>
      </c>
      <c r="AG170" s="1037" t="str">
        <f t="shared" si="49"/>
        <v/>
      </c>
      <c r="AH170" s="1037" t="str">
        <f t="shared" si="50"/>
        <v/>
      </c>
      <c r="AI170" s="1037" t="str">
        <f>IF(AF170="","",VLOOKUP(AF170,リスト!BD:BE,2,0))</f>
        <v/>
      </c>
      <c r="AJ170" s="1037" t="str">
        <f t="shared" si="32"/>
        <v/>
      </c>
      <c r="AK170" s="1037" t="str">
        <f>IF(AJ170="","",VLOOKUP(AJ170,リスト!BW:BX,2,0))</f>
        <v/>
      </c>
      <c r="AL170" s="1037" t="str">
        <f t="shared" si="44"/>
        <v/>
      </c>
      <c r="AM170" s="646" t="str">
        <f t="shared" si="33"/>
        <v/>
      </c>
      <c r="AN170" s="646" t="str">
        <f t="shared" si="34"/>
        <v/>
      </c>
      <c r="AO170" s="647" t="str">
        <f t="shared" si="35"/>
        <v/>
      </c>
      <c r="AP170" s="647" t="str">
        <f t="shared" si="36"/>
        <v/>
      </c>
      <c r="AQ170" s="647" t="str">
        <f t="shared" si="37"/>
        <v/>
      </c>
      <c r="AR170" s="647" t="str">
        <f t="shared" si="47"/>
        <v/>
      </c>
      <c r="AS170" s="647" t="str">
        <f t="shared" si="38"/>
        <v/>
      </c>
      <c r="AT170" s="647" t="str">
        <f t="shared" si="51"/>
        <v/>
      </c>
      <c r="AU170" s="647" t="str">
        <f t="shared" si="52"/>
        <v/>
      </c>
      <c r="AV170" s="647" t="str">
        <f t="shared" si="45"/>
        <v/>
      </c>
      <c r="AW170" s="647" t="str">
        <f t="shared" si="39"/>
        <v/>
      </c>
      <c r="AX170" s="647" t="str">
        <f t="shared" si="40"/>
        <v/>
      </c>
      <c r="AY170" s="647" t="str">
        <f t="shared" si="41"/>
        <v/>
      </c>
      <c r="AZ170" s="647" t="str">
        <f t="shared" si="46"/>
        <v/>
      </c>
      <c r="BA170" s="647" t="str">
        <f t="shared" si="42"/>
        <v/>
      </c>
    </row>
    <row r="171" spans="2:53" s="7" customFormat="1" ht="28.5" hidden="1" customHeight="1" outlineLevel="1">
      <c r="B171" s="64"/>
      <c r="C171" s="649">
        <v>155</v>
      </c>
      <c r="D171" s="1855"/>
      <c r="E171" s="1856"/>
      <c r="F171" s="1856"/>
      <c r="G171" s="1856"/>
      <c r="H171" s="1856"/>
      <c r="I171" s="1856"/>
      <c r="J171" s="1856"/>
      <c r="K171" s="1857"/>
      <c r="L171" s="643" t="str">
        <f t="shared" si="43"/>
        <v/>
      </c>
      <c r="M171" s="664"/>
      <c r="N171" s="665"/>
      <c r="O171" s="267"/>
      <c r="P171" s="666"/>
      <c r="Q171" s="667"/>
      <c r="R171" s="667"/>
      <c r="S171" s="1035"/>
      <c r="T171" s="668"/>
      <c r="U171" s="668"/>
      <c r="V171" s="668"/>
      <c r="W171" s="668"/>
      <c r="X171" s="669"/>
      <c r="Y171" s="670"/>
      <c r="Z171" s="671"/>
      <c r="AA171" s="644"/>
      <c r="AB171" s="978"/>
      <c r="AC171" s="992"/>
      <c r="AD171" s="89"/>
      <c r="AE171" s="89"/>
      <c r="AF171" s="645" t="str">
        <f t="shared" si="48"/>
        <v/>
      </c>
      <c r="AG171" s="1037" t="str">
        <f t="shared" si="49"/>
        <v/>
      </c>
      <c r="AH171" s="1037" t="str">
        <f t="shared" si="50"/>
        <v/>
      </c>
      <c r="AI171" s="1037" t="str">
        <f>IF(AF171="","",VLOOKUP(AF171,リスト!BD:BE,2,0))</f>
        <v/>
      </c>
      <c r="AJ171" s="1037" t="str">
        <f t="shared" si="32"/>
        <v/>
      </c>
      <c r="AK171" s="1037" t="str">
        <f>IF(AJ171="","",VLOOKUP(AJ171,リスト!BW:BX,2,0))</f>
        <v/>
      </c>
      <c r="AL171" s="1037" t="str">
        <f t="shared" si="44"/>
        <v/>
      </c>
      <c r="AM171" s="646" t="str">
        <f t="shared" si="33"/>
        <v/>
      </c>
      <c r="AN171" s="646" t="str">
        <f t="shared" si="34"/>
        <v/>
      </c>
      <c r="AO171" s="647" t="str">
        <f t="shared" si="35"/>
        <v/>
      </c>
      <c r="AP171" s="647" t="str">
        <f t="shared" si="36"/>
        <v/>
      </c>
      <c r="AQ171" s="647" t="str">
        <f t="shared" si="37"/>
        <v/>
      </c>
      <c r="AR171" s="647" t="str">
        <f t="shared" si="47"/>
        <v/>
      </c>
      <c r="AS171" s="647" t="str">
        <f t="shared" si="38"/>
        <v/>
      </c>
      <c r="AT171" s="647" t="str">
        <f t="shared" si="51"/>
        <v/>
      </c>
      <c r="AU171" s="647" t="str">
        <f t="shared" si="52"/>
        <v/>
      </c>
      <c r="AV171" s="647" t="str">
        <f t="shared" si="45"/>
        <v/>
      </c>
      <c r="AW171" s="647" t="str">
        <f t="shared" si="39"/>
        <v/>
      </c>
      <c r="AX171" s="647" t="str">
        <f t="shared" si="40"/>
        <v/>
      </c>
      <c r="AY171" s="647" t="str">
        <f t="shared" si="41"/>
        <v/>
      </c>
      <c r="AZ171" s="647" t="str">
        <f t="shared" si="46"/>
        <v/>
      </c>
      <c r="BA171" s="647" t="str">
        <f t="shared" si="42"/>
        <v/>
      </c>
    </row>
    <row r="172" spans="2:53" s="7" customFormat="1" ht="28.5" hidden="1" customHeight="1" outlineLevel="1">
      <c r="B172" s="64"/>
      <c r="C172" s="649">
        <v>156</v>
      </c>
      <c r="D172" s="1855"/>
      <c r="E172" s="1856"/>
      <c r="F172" s="1856"/>
      <c r="G172" s="1856"/>
      <c r="H172" s="1856"/>
      <c r="I172" s="1856"/>
      <c r="J172" s="1856"/>
      <c r="K172" s="1857"/>
      <c r="L172" s="643" t="str">
        <f t="shared" si="43"/>
        <v/>
      </c>
      <c r="M172" s="664"/>
      <c r="N172" s="665"/>
      <c r="O172" s="267"/>
      <c r="P172" s="666"/>
      <c r="Q172" s="667"/>
      <c r="R172" s="667"/>
      <c r="S172" s="1035"/>
      <c r="T172" s="668"/>
      <c r="U172" s="668"/>
      <c r="V172" s="668"/>
      <c r="W172" s="668"/>
      <c r="X172" s="669"/>
      <c r="Y172" s="670"/>
      <c r="Z172" s="671"/>
      <c r="AA172" s="644"/>
      <c r="AB172" s="978"/>
      <c r="AC172" s="992"/>
      <c r="AD172" s="89"/>
      <c r="AE172" s="89"/>
      <c r="AF172" s="645" t="str">
        <f t="shared" si="48"/>
        <v/>
      </c>
      <c r="AG172" s="1037" t="str">
        <f t="shared" si="49"/>
        <v/>
      </c>
      <c r="AH172" s="1037" t="str">
        <f t="shared" si="50"/>
        <v/>
      </c>
      <c r="AI172" s="1037" t="str">
        <f>IF(AF172="","",VLOOKUP(AF172,リスト!BD:BE,2,0))</f>
        <v/>
      </c>
      <c r="AJ172" s="1037" t="str">
        <f t="shared" si="32"/>
        <v/>
      </c>
      <c r="AK172" s="1037" t="str">
        <f>IF(AJ172="","",VLOOKUP(AJ172,リスト!BW:BX,2,0))</f>
        <v/>
      </c>
      <c r="AL172" s="1037" t="str">
        <f t="shared" si="44"/>
        <v/>
      </c>
      <c r="AM172" s="646" t="str">
        <f t="shared" si="33"/>
        <v/>
      </c>
      <c r="AN172" s="646" t="str">
        <f t="shared" si="34"/>
        <v/>
      </c>
      <c r="AO172" s="647" t="str">
        <f t="shared" si="35"/>
        <v/>
      </c>
      <c r="AP172" s="647" t="str">
        <f t="shared" si="36"/>
        <v/>
      </c>
      <c r="AQ172" s="647" t="str">
        <f t="shared" si="37"/>
        <v/>
      </c>
      <c r="AR172" s="647" t="str">
        <f t="shared" si="47"/>
        <v/>
      </c>
      <c r="AS172" s="647" t="str">
        <f t="shared" si="38"/>
        <v/>
      </c>
      <c r="AT172" s="647" t="str">
        <f t="shared" si="51"/>
        <v/>
      </c>
      <c r="AU172" s="647" t="str">
        <f t="shared" si="52"/>
        <v/>
      </c>
      <c r="AV172" s="647" t="str">
        <f t="shared" si="45"/>
        <v/>
      </c>
      <c r="AW172" s="647" t="str">
        <f t="shared" si="39"/>
        <v/>
      </c>
      <c r="AX172" s="647" t="str">
        <f t="shared" si="40"/>
        <v/>
      </c>
      <c r="AY172" s="647" t="str">
        <f t="shared" si="41"/>
        <v/>
      </c>
      <c r="AZ172" s="647" t="str">
        <f t="shared" si="46"/>
        <v/>
      </c>
      <c r="BA172" s="647" t="str">
        <f t="shared" si="42"/>
        <v/>
      </c>
    </row>
    <row r="173" spans="2:53" s="7" customFormat="1" ht="28.5" hidden="1" customHeight="1" outlineLevel="1">
      <c r="B173" s="64"/>
      <c r="C173" s="649">
        <v>157</v>
      </c>
      <c r="D173" s="1855"/>
      <c r="E173" s="1856"/>
      <c r="F173" s="1856"/>
      <c r="G173" s="1856"/>
      <c r="H173" s="1856"/>
      <c r="I173" s="1856"/>
      <c r="J173" s="1856"/>
      <c r="K173" s="1857"/>
      <c r="L173" s="643" t="str">
        <f t="shared" si="43"/>
        <v/>
      </c>
      <c r="M173" s="664"/>
      <c r="N173" s="665"/>
      <c r="O173" s="267"/>
      <c r="P173" s="666"/>
      <c r="Q173" s="667"/>
      <c r="R173" s="667"/>
      <c r="S173" s="1035"/>
      <c r="T173" s="668"/>
      <c r="U173" s="668"/>
      <c r="V173" s="668"/>
      <c r="W173" s="668"/>
      <c r="X173" s="669"/>
      <c r="Y173" s="670"/>
      <c r="Z173" s="671"/>
      <c r="AA173" s="644"/>
      <c r="AB173" s="978"/>
      <c r="AC173" s="992"/>
      <c r="AD173" s="89"/>
      <c r="AE173" s="89"/>
      <c r="AF173" s="645" t="str">
        <f t="shared" si="48"/>
        <v/>
      </c>
      <c r="AG173" s="1037" t="str">
        <f t="shared" si="49"/>
        <v/>
      </c>
      <c r="AH173" s="1037" t="str">
        <f t="shared" si="50"/>
        <v/>
      </c>
      <c r="AI173" s="1037" t="str">
        <f>IF(AF173="","",VLOOKUP(AF173,リスト!BD:BE,2,0))</f>
        <v/>
      </c>
      <c r="AJ173" s="1037" t="str">
        <f t="shared" si="32"/>
        <v/>
      </c>
      <c r="AK173" s="1037" t="str">
        <f>IF(AJ173="","",VLOOKUP(AJ173,リスト!BW:BX,2,0))</f>
        <v/>
      </c>
      <c r="AL173" s="1037" t="str">
        <f t="shared" si="44"/>
        <v/>
      </c>
      <c r="AM173" s="646" t="str">
        <f t="shared" si="33"/>
        <v/>
      </c>
      <c r="AN173" s="646" t="str">
        <f t="shared" si="34"/>
        <v/>
      </c>
      <c r="AO173" s="647" t="str">
        <f t="shared" si="35"/>
        <v/>
      </c>
      <c r="AP173" s="647" t="str">
        <f t="shared" si="36"/>
        <v/>
      </c>
      <c r="AQ173" s="647" t="str">
        <f t="shared" si="37"/>
        <v/>
      </c>
      <c r="AR173" s="647" t="str">
        <f t="shared" si="47"/>
        <v/>
      </c>
      <c r="AS173" s="647" t="str">
        <f t="shared" si="38"/>
        <v/>
      </c>
      <c r="AT173" s="647" t="str">
        <f t="shared" si="51"/>
        <v/>
      </c>
      <c r="AU173" s="647" t="str">
        <f t="shared" si="52"/>
        <v/>
      </c>
      <c r="AV173" s="647" t="str">
        <f t="shared" si="45"/>
        <v/>
      </c>
      <c r="AW173" s="647" t="str">
        <f t="shared" si="39"/>
        <v/>
      </c>
      <c r="AX173" s="647" t="str">
        <f t="shared" si="40"/>
        <v/>
      </c>
      <c r="AY173" s="647" t="str">
        <f t="shared" si="41"/>
        <v/>
      </c>
      <c r="AZ173" s="647" t="str">
        <f t="shared" si="46"/>
        <v/>
      </c>
      <c r="BA173" s="647" t="str">
        <f t="shared" si="42"/>
        <v/>
      </c>
    </row>
    <row r="174" spans="2:53" s="7" customFormat="1" ht="28.5" hidden="1" customHeight="1" outlineLevel="1">
      <c r="B174" s="64"/>
      <c r="C174" s="649">
        <v>158</v>
      </c>
      <c r="D174" s="1855"/>
      <c r="E174" s="1856"/>
      <c r="F174" s="1856"/>
      <c r="G174" s="1856"/>
      <c r="H174" s="1856"/>
      <c r="I174" s="1856"/>
      <c r="J174" s="1856"/>
      <c r="K174" s="1857"/>
      <c r="L174" s="643" t="str">
        <f t="shared" si="43"/>
        <v/>
      </c>
      <c r="M174" s="664"/>
      <c r="N174" s="665"/>
      <c r="O174" s="267"/>
      <c r="P174" s="666"/>
      <c r="Q174" s="667"/>
      <c r="R174" s="667"/>
      <c r="S174" s="1035"/>
      <c r="T174" s="668"/>
      <c r="U174" s="668"/>
      <c r="V174" s="668"/>
      <c r="W174" s="668"/>
      <c r="X174" s="669"/>
      <c r="Y174" s="670"/>
      <c r="Z174" s="671"/>
      <c r="AA174" s="644"/>
      <c r="AB174" s="978"/>
      <c r="AC174" s="992"/>
      <c r="AD174" s="89"/>
      <c r="AE174" s="89"/>
      <c r="AF174" s="645" t="str">
        <f t="shared" si="48"/>
        <v/>
      </c>
      <c r="AG174" s="1037" t="str">
        <f t="shared" si="49"/>
        <v/>
      </c>
      <c r="AH174" s="1037" t="str">
        <f t="shared" si="50"/>
        <v/>
      </c>
      <c r="AI174" s="1037" t="str">
        <f>IF(AF174="","",VLOOKUP(AF174,リスト!BD:BE,2,0))</f>
        <v/>
      </c>
      <c r="AJ174" s="1037" t="str">
        <f t="shared" si="32"/>
        <v/>
      </c>
      <c r="AK174" s="1037" t="str">
        <f>IF(AJ174="","",VLOOKUP(AJ174,リスト!BW:BX,2,0))</f>
        <v/>
      </c>
      <c r="AL174" s="1037" t="str">
        <f t="shared" si="44"/>
        <v/>
      </c>
      <c r="AM174" s="646" t="str">
        <f t="shared" si="33"/>
        <v/>
      </c>
      <c r="AN174" s="646" t="str">
        <f t="shared" si="34"/>
        <v/>
      </c>
      <c r="AO174" s="647" t="str">
        <f t="shared" si="35"/>
        <v/>
      </c>
      <c r="AP174" s="647" t="str">
        <f t="shared" si="36"/>
        <v/>
      </c>
      <c r="AQ174" s="647" t="str">
        <f t="shared" si="37"/>
        <v/>
      </c>
      <c r="AR174" s="647" t="str">
        <f t="shared" si="47"/>
        <v/>
      </c>
      <c r="AS174" s="647" t="str">
        <f t="shared" si="38"/>
        <v/>
      </c>
      <c r="AT174" s="647" t="str">
        <f t="shared" si="51"/>
        <v/>
      </c>
      <c r="AU174" s="647" t="str">
        <f t="shared" si="52"/>
        <v/>
      </c>
      <c r="AV174" s="647" t="str">
        <f t="shared" si="45"/>
        <v/>
      </c>
      <c r="AW174" s="647" t="str">
        <f t="shared" si="39"/>
        <v/>
      </c>
      <c r="AX174" s="647" t="str">
        <f t="shared" si="40"/>
        <v/>
      </c>
      <c r="AY174" s="647" t="str">
        <f t="shared" si="41"/>
        <v/>
      </c>
      <c r="AZ174" s="647" t="str">
        <f t="shared" si="46"/>
        <v/>
      </c>
      <c r="BA174" s="647" t="str">
        <f t="shared" si="42"/>
        <v/>
      </c>
    </row>
    <row r="175" spans="2:53" s="7" customFormat="1" ht="28.5" hidden="1" customHeight="1" outlineLevel="1">
      <c r="B175" s="64"/>
      <c r="C175" s="649">
        <v>159</v>
      </c>
      <c r="D175" s="1855"/>
      <c r="E175" s="1856"/>
      <c r="F175" s="1856"/>
      <c r="G175" s="1856"/>
      <c r="H175" s="1856"/>
      <c r="I175" s="1856"/>
      <c r="J175" s="1856"/>
      <c r="K175" s="1857"/>
      <c r="L175" s="643" t="str">
        <f t="shared" si="43"/>
        <v/>
      </c>
      <c r="M175" s="664"/>
      <c r="N175" s="665"/>
      <c r="O175" s="267"/>
      <c r="P175" s="666"/>
      <c r="Q175" s="667"/>
      <c r="R175" s="667"/>
      <c r="S175" s="1035"/>
      <c r="T175" s="668"/>
      <c r="U175" s="668"/>
      <c r="V175" s="668"/>
      <c r="W175" s="668"/>
      <c r="X175" s="669"/>
      <c r="Y175" s="670"/>
      <c r="Z175" s="671"/>
      <c r="AA175" s="644"/>
      <c r="AB175" s="978"/>
      <c r="AC175" s="992"/>
      <c r="AD175" s="89"/>
      <c r="AE175" s="89"/>
      <c r="AF175" s="645" t="str">
        <f t="shared" si="48"/>
        <v/>
      </c>
      <c r="AG175" s="1037" t="str">
        <f t="shared" si="49"/>
        <v/>
      </c>
      <c r="AH175" s="1037" t="str">
        <f t="shared" si="50"/>
        <v/>
      </c>
      <c r="AI175" s="1037" t="str">
        <f>IF(AF175="","",VLOOKUP(AF175,リスト!BD:BE,2,0))</f>
        <v/>
      </c>
      <c r="AJ175" s="1037" t="str">
        <f t="shared" si="32"/>
        <v/>
      </c>
      <c r="AK175" s="1037" t="str">
        <f>IF(AJ175="","",VLOOKUP(AJ175,リスト!BW:BX,2,0))</f>
        <v/>
      </c>
      <c r="AL175" s="1037" t="str">
        <f t="shared" si="44"/>
        <v/>
      </c>
      <c r="AM175" s="646" t="str">
        <f t="shared" si="33"/>
        <v/>
      </c>
      <c r="AN175" s="646" t="str">
        <f t="shared" si="34"/>
        <v/>
      </c>
      <c r="AO175" s="647" t="str">
        <f t="shared" si="35"/>
        <v/>
      </c>
      <c r="AP175" s="647" t="str">
        <f t="shared" si="36"/>
        <v/>
      </c>
      <c r="AQ175" s="647" t="str">
        <f t="shared" si="37"/>
        <v/>
      </c>
      <c r="AR175" s="647" t="str">
        <f t="shared" si="47"/>
        <v/>
      </c>
      <c r="AS175" s="647" t="str">
        <f t="shared" si="38"/>
        <v/>
      </c>
      <c r="AT175" s="647" t="str">
        <f t="shared" si="51"/>
        <v/>
      </c>
      <c r="AU175" s="647" t="str">
        <f t="shared" si="52"/>
        <v/>
      </c>
      <c r="AV175" s="647" t="str">
        <f t="shared" si="45"/>
        <v/>
      </c>
      <c r="AW175" s="647" t="str">
        <f t="shared" si="39"/>
        <v/>
      </c>
      <c r="AX175" s="647" t="str">
        <f t="shared" si="40"/>
        <v/>
      </c>
      <c r="AY175" s="647" t="str">
        <f t="shared" si="41"/>
        <v/>
      </c>
      <c r="AZ175" s="647" t="str">
        <f t="shared" si="46"/>
        <v/>
      </c>
      <c r="BA175" s="647" t="str">
        <f t="shared" si="42"/>
        <v/>
      </c>
    </row>
    <row r="176" spans="2:53" s="7" customFormat="1" ht="28.5" hidden="1" customHeight="1" outlineLevel="1">
      <c r="B176" s="64"/>
      <c r="C176" s="649">
        <v>160</v>
      </c>
      <c r="D176" s="1855"/>
      <c r="E176" s="1856"/>
      <c r="F176" s="1856"/>
      <c r="G176" s="1856"/>
      <c r="H176" s="1856"/>
      <c r="I176" s="1856"/>
      <c r="J176" s="1856"/>
      <c r="K176" s="1857"/>
      <c r="L176" s="643" t="str">
        <f t="shared" si="43"/>
        <v/>
      </c>
      <c r="M176" s="664"/>
      <c r="N176" s="665"/>
      <c r="O176" s="267"/>
      <c r="P176" s="666"/>
      <c r="Q176" s="667"/>
      <c r="R176" s="667"/>
      <c r="S176" s="1035"/>
      <c r="T176" s="668"/>
      <c r="U176" s="668"/>
      <c r="V176" s="668"/>
      <c r="W176" s="668"/>
      <c r="X176" s="669"/>
      <c r="Y176" s="670"/>
      <c r="Z176" s="671"/>
      <c r="AA176" s="644"/>
      <c r="AB176" s="978"/>
      <c r="AC176" s="992"/>
      <c r="AD176" s="89"/>
      <c r="AE176" s="89"/>
      <c r="AF176" s="645" t="str">
        <f t="shared" si="48"/>
        <v/>
      </c>
      <c r="AG176" s="1037" t="str">
        <f t="shared" si="49"/>
        <v/>
      </c>
      <c r="AH176" s="1037" t="str">
        <f t="shared" si="50"/>
        <v/>
      </c>
      <c r="AI176" s="1037" t="str">
        <f>IF(AF176="","",VLOOKUP(AF176,リスト!BD:BE,2,0))</f>
        <v/>
      </c>
      <c r="AJ176" s="1037" t="str">
        <f t="shared" si="32"/>
        <v/>
      </c>
      <c r="AK176" s="1037" t="str">
        <f>IF(AJ176="","",VLOOKUP(AJ176,リスト!BW:BX,2,0))</f>
        <v/>
      </c>
      <c r="AL176" s="1037" t="str">
        <f t="shared" si="44"/>
        <v/>
      </c>
      <c r="AM176" s="646" t="str">
        <f t="shared" si="33"/>
        <v/>
      </c>
      <c r="AN176" s="646" t="str">
        <f t="shared" si="34"/>
        <v/>
      </c>
      <c r="AO176" s="647" t="str">
        <f t="shared" si="35"/>
        <v/>
      </c>
      <c r="AP176" s="647" t="str">
        <f t="shared" si="36"/>
        <v/>
      </c>
      <c r="AQ176" s="647" t="str">
        <f t="shared" si="37"/>
        <v/>
      </c>
      <c r="AR176" s="647" t="str">
        <f t="shared" si="47"/>
        <v/>
      </c>
      <c r="AS176" s="647" t="str">
        <f t="shared" si="38"/>
        <v/>
      </c>
      <c r="AT176" s="647" t="str">
        <f t="shared" si="51"/>
        <v/>
      </c>
      <c r="AU176" s="647" t="str">
        <f t="shared" si="52"/>
        <v/>
      </c>
      <c r="AV176" s="647" t="str">
        <f t="shared" si="45"/>
        <v/>
      </c>
      <c r="AW176" s="647" t="str">
        <f t="shared" si="39"/>
        <v/>
      </c>
      <c r="AX176" s="647" t="str">
        <f t="shared" si="40"/>
        <v/>
      </c>
      <c r="AY176" s="647" t="str">
        <f t="shared" si="41"/>
        <v/>
      </c>
      <c r="AZ176" s="647" t="str">
        <f t="shared" si="46"/>
        <v/>
      </c>
      <c r="BA176" s="647" t="str">
        <f t="shared" si="42"/>
        <v/>
      </c>
    </row>
    <row r="177" spans="2:53" s="7" customFormat="1" ht="28.5" hidden="1" customHeight="1" outlineLevel="1">
      <c r="B177" s="64"/>
      <c r="C177" s="649">
        <v>161</v>
      </c>
      <c r="D177" s="1855"/>
      <c r="E177" s="1856"/>
      <c r="F177" s="1856"/>
      <c r="G177" s="1856"/>
      <c r="H177" s="1856"/>
      <c r="I177" s="1856"/>
      <c r="J177" s="1856"/>
      <c r="K177" s="1857"/>
      <c r="L177" s="643" t="str">
        <f t="shared" si="43"/>
        <v/>
      </c>
      <c r="M177" s="664"/>
      <c r="N177" s="665"/>
      <c r="O177" s="267"/>
      <c r="P177" s="666"/>
      <c r="Q177" s="667"/>
      <c r="R177" s="667"/>
      <c r="S177" s="1035"/>
      <c r="T177" s="668"/>
      <c r="U177" s="668"/>
      <c r="V177" s="668"/>
      <c r="W177" s="668"/>
      <c r="X177" s="669"/>
      <c r="Y177" s="670"/>
      <c r="Z177" s="671"/>
      <c r="AA177" s="644"/>
      <c r="AB177" s="978"/>
      <c r="AC177" s="992"/>
      <c r="AD177" s="89"/>
      <c r="AE177" s="89"/>
      <c r="AF177" s="645" t="str">
        <f t="shared" si="48"/>
        <v/>
      </c>
      <c r="AG177" s="1037" t="str">
        <f t="shared" si="49"/>
        <v/>
      </c>
      <c r="AH177" s="1037" t="str">
        <f t="shared" si="50"/>
        <v/>
      </c>
      <c r="AI177" s="1037" t="str">
        <f>IF(AF177="","",VLOOKUP(AF177,リスト!BD:BE,2,0))</f>
        <v/>
      </c>
      <c r="AJ177" s="1037" t="str">
        <f t="shared" si="32"/>
        <v/>
      </c>
      <c r="AK177" s="1037" t="str">
        <f>IF(AJ177="","",VLOOKUP(AJ177,リスト!BW:BX,2,0))</f>
        <v/>
      </c>
      <c r="AL177" s="1037" t="str">
        <f t="shared" si="44"/>
        <v/>
      </c>
      <c r="AM177" s="646" t="str">
        <f t="shared" si="33"/>
        <v/>
      </c>
      <c r="AN177" s="646" t="str">
        <f t="shared" si="34"/>
        <v/>
      </c>
      <c r="AO177" s="647" t="str">
        <f t="shared" si="35"/>
        <v/>
      </c>
      <c r="AP177" s="647" t="str">
        <f t="shared" si="36"/>
        <v/>
      </c>
      <c r="AQ177" s="647" t="str">
        <f t="shared" si="37"/>
        <v/>
      </c>
      <c r="AR177" s="647" t="str">
        <f t="shared" si="47"/>
        <v/>
      </c>
      <c r="AS177" s="647" t="str">
        <f t="shared" si="38"/>
        <v/>
      </c>
      <c r="AT177" s="647" t="str">
        <f t="shared" si="51"/>
        <v/>
      </c>
      <c r="AU177" s="647" t="str">
        <f t="shared" si="52"/>
        <v/>
      </c>
      <c r="AV177" s="647" t="str">
        <f t="shared" si="45"/>
        <v/>
      </c>
      <c r="AW177" s="647" t="str">
        <f t="shared" si="39"/>
        <v/>
      </c>
      <c r="AX177" s="647" t="str">
        <f t="shared" si="40"/>
        <v/>
      </c>
      <c r="AY177" s="647" t="str">
        <f t="shared" si="41"/>
        <v/>
      </c>
      <c r="AZ177" s="647" t="str">
        <f t="shared" si="46"/>
        <v/>
      </c>
      <c r="BA177" s="647" t="str">
        <f t="shared" si="42"/>
        <v/>
      </c>
    </row>
    <row r="178" spans="2:53" s="7" customFormat="1" ht="28.5" hidden="1" customHeight="1" outlineLevel="1">
      <c r="B178" s="64"/>
      <c r="C178" s="649">
        <v>162</v>
      </c>
      <c r="D178" s="1855"/>
      <c r="E178" s="1856"/>
      <c r="F178" s="1856"/>
      <c r="G178" s="1856"/>
      <c r="H178" s="1856"/>
      <c r="I178" s="1856"/>
      <c r="J178" s="1856"/>
      <c r="K178" s="1857"/>
      <c r="L178" s="643" t="str">
        <f t="shared" si="43"/>
        <v/>
      </c>
      <c r="M178" s="664"/>
      <c r="N178" s="665"/>
      <c r="O178" s="267"/>
      <c r="P178" s="666"/>
      <c r="Q178" s="667"/>
      <c r="R178" s="667"/>
      <c r="S178" s="1035"/>
      <c r="T178" s="668"/>
      <c r="U178" s="668"/>
      <c r="V178" s="668"/>
      <c r="W178" s="668"/>
      <c r="X178" s="669"/>
      <c r="Y178" s="670"/>
      <c r="Z178" s="671"/>
      <c r="AA178" s="644"/>
      <c r="AB178" s="978"/>
      <c r="AC178" s="992"/>
      <c r="AD178" s="89"/>
      <c r="AE178" s="89"/>
      <c r="AF178" s="645" t="str">
        <f t="shared" si="48"/>
        <v/>
      </c>
      <c r="AG178" s="1037" t="str">
        <f t="shared" si="49"/>
        <v/>
      </c>
      <c r="AH178" s="1037" t="str">
        <f t="shared" si="50"/>
        <v/>
      </c>
      <c r="AI178" s="1037" t="str">
        <f>IF(AF178="","",VLOOKUP(AF178,リスト!BD:BE,2,0))</f>
        <v/>
      </c>
      <c r="AJ178" s="1037" t="str">
        <f t="shared" si="32"/>
        <v/>
      </c>
      <c r="AK178" s="1037" t="str">
        <f>IF(AJ178="","",VLOOKUP(AJ178,リスト!BW:BX,2,0))</f>
        <v/>
      </c>
      <c r="AL178" s="1037" t="str">
        <f t="shared" si="44"/>
        <v/>
      </c>
      <c r="AM178" s="646" t="str">
        <f t="shared" si="33"/>
        <v/>
      </c>
      <c r="AN178" s="646" t="str">
        <f t="shared" si="34"/>
        <v/>
      </c>
      <c r="AO178" s="647" t="str">
        <f t="shared" si="35"/>
        <v/>
      </c>
      <c r="AP178" s="647" t="str">
        <f t="shared" si="36"/>
        <v/>
      </c>
      <c r="AQ178" s="647" t="str">
        <f t="shared" si="37"/>
        <v/>
      </c>
      <c r="AR178" s="647" t="str">
        <f t="shared" si="47"/>
        <v/>
      </c>
      <c r="AS178" s="647" t="str">
        <f t="shared" si="38"/>
        <v/>
      </c>
      <c r="AT178" s="647" t="str">
        <f t="shared" si="51"/>
        <v/>
      </c>
      <c r="AU178" s="647" t="str">
        <f t="shared" si="52"/>
        <v/>
      </c>
      <c r="AV178" s="647" t="str">
        <f t="shared" si="45"/>
        <v/>
      </c>
      <c r="AW178" s="647" t="str">
        <f t="shared" si="39"/>
        <v/>
      </c>
      <c r="AX178" s="647" t="str">
        <f t="shared" si="40"/>
        <v/>
      </c>
      <c r="AY178" s="647" t="str">
        <f t="shared" si="41"/>
        <v/>
      </c>
      <c r="AZ178" s="647" t="str">
        <f t="shared" si="46"/>
        <v/>
      </c>
      <c r="BA178" s="647" t="str">
        <f t="shared" si="42"/>
        <v/>
      </c>
    </row>
    <row r="179" spans="2:53" s="7" customFormat="1" ht="28.5" hidden="1" customHeight="1" outlineLevel="1">
      <c r="B179" s="64"/>
      <c r="C179" s="649">
        <v>163</v>
      </c>
      <c r="D179" s="1855"/>
      <c r="E179" s="1856"/>
      <c r="F179" s="1856"/>
      <c r="G179" s="1856"/>
      <c r="H179" s="1856"/>
      <c r="I179" s="1856"/>
      <c r="J179" s="1856"/>
      <c r="K179" s="1857"/>
      <c r="L179" s="643" t="str">
        <f t="shared" si="43"/>
        <v/>
      </c>
      <c r="M179" s="664"/>
      <c r="N179" s="665"/>
      <c r="O179" s="267"/>
      <c r="P179" s="666"/>
      <c r="Q179" s="667"/>
      <c r="R179" s="667"/>
      <c r="S179" s="1035"/>
      <c r="T179" s="668"/>
      <c r="U179" s="668"/>
      <c r="V179" s="668"/>
      <c r="W179" s="668"/>
      <c r="X179" s="669"/>
      <c r="Y179" s="670"/>
      <c r="Z179" s="671"/>
      <c r="AA179" s="644"/>
      <c r="AB179" s="978"/>
      <c r="AC179" s="992"/>
      <c r="AD179" s="89"/>
      <c r="AE179" s="89"/>
      <c r="AF179" s="645" t="str">
        <f t="shared" si="48"/>
        <v/>
      </c>
      <c r="AG179" s="1037" t="str">
        <f t="shared" si="49"/>
        <v/>
      </c>
      <c r="AH179" s="1037" t="str">
        <f t="shared" si="50"/>
        <v/>
      </c>
      <c r="AI179" s="1037" t="str">
        <f>IF(AF179="","",VLOOKUP(AF179,リスト!BD:BE,2,0))</f>
        <v/>
      </c>
      <c r="AJ179" s="1037" t="str">
        <f t="shared" si="32"/>
        <v/>
      </c>
      <c r="AK179" s="1037" t="str">
        <f>IF(AJ179="","",VLOOKUP(AJ179,リスト!BW:BX,2,0))</f>
        <v/>
      </c>
      <c r="AL179" s="1037" t="str">
        <f t="shared" si="44"/>
        <v/>
      </c>
      <c r="AM179" s="646" t="str">
        <f t="shared" si="33"/>
        <v/>
      </c>
      <c r="AN179" s="646" t="str">
        <f t="shared" si="34"/>
        <v/>
      </c>
      <c r="AO179" s="647" t="str">
        <f t="shared" si="35"/>
        <v/>
      </c>
      <c r="AP179" s="647" t="str">
        <f t="shared" si="36"/>
        <v/>
      </c>
      <c r="AQ179" s="647" t="str">
        <f t="shared" si="37"/>
        <v/>
      </c>
      <c r="AR179" s="647" t="str">
        <f t="shared" si="47"/>
        <v/>
      </c>
      <c r="AS179" s="647" t="str">
        <f t="shared" si="38"/>
        <v/>
      </c>
      <c r="AT179" s="647" t="str">
        <f t="shared" si="51"/>
        <v/>
      </c>
      <c r="AU179" s="647" t="str">
        <f t="shared" si="52"/>
        <v/>
      </c>
      <c r="AV179" s="647" t="str">
        <f t="shared" si="45"/>
        <v/>
      </c>
      <c r="AW179" s="647" t="str">
        <f t="shared" si="39"/>
        <v/>
      </c>
      <c r="AX179" s="647" t="str">
        <f t="shared" si="40"/>
        <v/>
      </c>
      <c r="AY179" s="647" t="str">
        <f t="shared" si="41"/>
        <v/>
      </c>
      <c r="AZ179" s="647" t="str">
        <f t="shared" si="46"/>
        <v/>
      </c>
      <c r="BA179" s="647" t="str">
        <f t="shared" si="42"/>
        <v/>
      </c>
    </row>
    <row r="180" spans="2:53" s="7" customFormat="1" ht="28.5" hidden="1" customHeight="1" outlineLevel="1">
      <c r="B180" s="64"/>
      <c r="C180" s="649">
        <v>164</v>
      </c>
      <c r="D180" s="1855"/>
      <c r="E180" s="1856"/>
      <c r="F180" s="1856"/>
      <c r="G180" s="1856"/>
      <c r="H180" s="1856"/>
      <c r="I180" s="1856"/>
      <c r="J180" s="1856"/>
      <c r="K180" s="1857"/>
      <c r="L180" s="643" t="str">
        <f t="shared" si="43"/>
        <v/>
      </c>
      <c r="M180" s="664"/>
      <c r="N180" s="665"/>
      <c r="O180" s="267"/>
      <c r="P180" s="666"/>
      <c r="Q180" s="667"/>
      <c r="R180" s="667"/>
      <c r="S180" s="1035"/>
      <c r="T180" s="668"/>
      <c r="U180" s="668"/>
      <c r="V180" s="668"/>
      <c r="W180" s="668"/>
      <c r="X180" s="669"/>
      <c r="Y180" s="670"/>
      <c r="Z180" s="671"/>
      <c r="AA180" s="644"/>
      <c r="AB180" s="978"/>
      <c r="AC180" s="992"/>
      <c r="AD180" s="89"/>
      <c r="AE180" s="89"/>
      <c r="AF180" s="645" t="str">
        <f t="shared" si="48"/>
        <v/>
      </c>
      <c r="AG180" s="1037" t="str">
        <f t="shared" si="49"/>
        <v/>
      </c>
      <c r="AH180" s="1037" t="str">
        <f t="shared" si="50"/>
        <v/>
      </c>
      <c r="AI180" s="1037" t="str">
        <f>IF(AF180="","",VLOOKUP(AF180,リスト!BD:BE,2,0))</f>
        <v/>
      </c>
      <c r="AJ180" s="1037" t="str">
        <f t="shared" si="32"/>
        <v/>
      </c>
      <c r="AK180" s="1037" t="str">
        <f>IF(AJ180="","",VLOOKUP(AJ180,リスト!BW:BX,2,0))</f>
        <v/>
      </c>
      <c r="AL180" s="1037" t="str">
        <f t="shared" si="44"/>
        <v/>
      </c>
      <c r="AM180" s="646" t="str">
        <f t="shared" si="33"/>
        <v/>
      </c>
      <c r="AN180" s="646" t="str">
        <f t="shared" si="34"/>
        <v/>
      </c>
      <c r="AO180" s="647" t="str">
        <f t="shared" si="35"/>
        <v/>
      </c>
      <c r="AP180" s="647" t="str">
        <f t="shared" si="36"/>
        <v/>
      </c>
      <c r="AQ180" s="647" t="str">
        <f t="shared" si="37"/>
        <v/>
      </c>
      <c r="AR180" s="647" t="str">
        <f t="shared" si="47"/>
        <v/>
      </c>
      <c r="AS180" s="647" t="str">
        <f t="shared" si="38"/>
        <v/>
      </c>
      <c r="AT180" s="647" t="str">
        <f t="shared" si="51"/>
        <v/>
      </c>
      <c r="AU180" s="647" t="str">
        <f t="shared" si="52"/>
        <v/>
      </c>
      <c r="AV180" s="647" t="str">
        <f t="shared" si="45"/>
        <v/>
      </c>
      <c r="AW180" s="647" t="str">
        <f t="shared" si="39"/>
        <v/>
      </c>
      <c r="AX180" s="647" t="str">
        <f t="shared" si="40"/>
        <v/>
      </c>
      <c r="AY180" s="647" t="str">
        <f t="shared" si="41"/>
        <v/>
      </c>
      <c r="AZ180" s="647" t="str">
        <f t="shared" si="46"/>
        <v/>
      </c>
      <c r="BA180" s="647" t="str">
        <f t="shared" si="42"/>
        <v/>
      </c>
    </row>
    <row r="181" spans="2:53" s="7" customFormat="1" ht="28.5" hidden="1" customHeight="1" outlineLevel="1">
      <c r="B181" s="64"/>
      <c r="C181" s="649">
        <v>165</v>
      </c>
      <c r="D181" s="1855"/>
      <c r="E181" s="1856"/>
      <c r="F181" s="1856"/>
      <c r="G181" s="1856"/>
      <c r="H181" s="1856"/>
      <c r="I181" s="1856"/>
      <c r="J181" s="1856"/>
      <c r="K181" s="1857"/>
      <c r="L181" s="643" t="str">
        <f t="shared" si="43"/>
        <v/>
      </c>
      <c r="M181" s="664"/>
      <c r="N181" s="665"/>
      <c r="O181" s="267"/>
      <c r="P181" s="666"/>
      <c r="Q181" s="667"/>
      <c r="R181" s="667"/>
      <c r="S181" s="1035"/>
      <c r="T181" s="668"/>
      <c r="U181" s="668"/>
      <c r="V181" s="668"/>
      <c r="W181" s="668"/>
      <c r="X181" s="669"/>
      <c r="Y181" s="670"/>
      <c r="Z181" s="671"/>
      <c r="AA181" s="644"/>
      <c r="AB181" s="978"/>
      <c r="AC181" s="992"/>
      <c r="AD181" s="89"/>
      <c r="AE181" s="89"/>
      <c r="AF181" s="645" t="str">
        <f t="shared" si="48"/>
        <v/>
      </c>
      <c r="AG181" s="1037" t="str">
        <f t="shared" si="49"/>
        <v/>
      </c>
      <c r="AH181" s="1037" t="str">
        <f t="shared" si="50"/>
        <v/>
      </c>
      <c r="AI181" s="1037" t="str">
        <f>IF(AF181="","",VLOOKUP(AF181,リスト!BD:BE,2,0))</f>
        <v/>
      </c>
      <c r="AJ181" s="1037" t="str">
        <f t="shared" si="32"/>
        <v/>
      </c>
      <c r="AK181" s="1037" t="str">
        <f>IF(AJ181="","",VLOOKUP(AJ181,リスト!BW:BX,2,0))</f>
        <v/>
      </c>
      <c r="AL181" s="1037" t="str">
        <f t="shared" si="44"/>
        <v/>
      </c>
      <c r="AM181" s="646" t="str">
        <f t="shared" si="33"/>
        <v/>
      </c>
      <c r="AN181" s="646" t="str">
        <f t="shared" si="34"/>
        <v/>
      </c>
      <c r="AO181" s="647" t="str">
        <f t="shared" si="35"/>
        <v/>
      </c>
      <c r="AP181" s="647" t="str">
        <f t="shared" si="36"/>
        <v/>
      </c>
      <c r="AQ181" s="647" t="str">
        <f t="shared" si="37"/>
        <v/>
      </c>
      <c r="AR181" s="647" t="str">
        <f t="shared" si="47"/>
        <v/>
      </c>
      <c r="AS181" s="647" t="str">
        <f t="shared" si="38"/>
        <v/>
      </c>
      <c r="AT181" s="647" t="str">
        <f t="shared" si="51"/>
        <v/>
      </c>
      <c r="AU181" s="647" t="str">
        <f t="shared" si="52"/>
        <v/>
      </c>
      <c r="AV181" s="647" t="str">
        <f t="shared" si="45"/>
        <v/>
      </c>
      <c r="AW181" s="647" t="str">
        <f t="shared" si="39"/>
        <v/>
      </c>
      <c r="AX181" s="647" t="str">
        <f t="shared" si="40"/>
        <v/>
      </c>
      <c r="AY181" s="647" t="str">
        <f t="shared" si="41"/>
        <v/>
      </c>
      <c r="AZ181" s="647" t="str">
        <f t="shared" si="46"/>
        <v/>
      </c>
      <c r="BA181" s="647" t="str">
        <f t="shared" si="42"/>
        <v/>
      </c>
    </row>
    <row r="182" spans="2:53" s="7" customFormat="1" ht="28.5" hidden="1" customHeight="1" outlineLevel="1">
      <c r="B182" s="64"/>
      <c r="C182" s="649">
        <v>166</v>
      </c>
      <c r="D182" s="1855"/>
      <c r="E182" s="1856"/>
      <c r="F182" s="1856"/>
      <c r="G182" s="1856"/>
      <c r="H182" s="1856"/>
      <c r="I182" s="1856"/>
      <c r="J182" s="1856"/>
      <c r="K182" s="1857"/>
      <c r="L182" s="643" t="str">
        <f t="shared" si="43"/>
        <v/>
      </c>
      <c r="M182" s="664"/>
      <c r="N182" s="665"/>
      <c r="O182" s="267"/>
      <c r="P182" s="666"/>
      <c r="Q182" s="667"/>
      <c r="R182" s="667"/>
      <c r="S182" s="1035"/>
      <c r="T182" s="668"/>
      <c r="U182" s="668"/>
      <c r="V182" s="668"/>
      <c r="W182" s="668"/>
      <c r="X182" s="669"/>
      <c r="Y182" s="670"/>
      <c r="Z182" s="671"/>
      <c r="AA182" s="644"/>
      <c r="AB182" s="978"/>
      <c r="AC182" s="992"/>
      <c r="AD182" s="89"/>
      <c r="AE182" s="89"/>
      <c r="AF182" s="645" t="str">
        <f t="shared" si="48"/>
        <v/>
      </c>
      <c r="AG182" s="1037" t="str">
        <f t="shared" si="49"/>
        <v/>
      </c>
      <c r="AH182" s="1037" t="str">
        <f t="shared" si="50"/>
        <v/>
      </c>
      <c r="AI182" s="1037" t="str">
        <f>IF(AF182="","",VLOOKUP(AF182,リスト!BD:BE,2,0))</f>
        <v/>
      </c>
      <c r="AJ182" s="1037" t="str">
        <f t="shared" si="32"/>
        <v/>
      </c>
      <c r="AK182" s="1037" t="str">
        <f>IF(AJ182="","",VLOOKUP(AJ182,リスト!BW:BX,2,0))</f>
        <v/>
      </c>
      <c r="AL182" s="1037" t="str">
        <f t="shared" si="44"/>
        <v/>
      </c>
      <c r="AM182" s="646" t="str">
        <f t="shared" si="33"/>
        <v/>
      </c>
      <c r="AN182" s="646" t="str">
        <f t="shared" si="34"/>
        <v/>
      </c>
      <c r="AO182" s="647" t="str">
        <f t="shared" si="35"/>
        <v/>
      </c>
      <c r="AP182" s="647" t="str">
        <f t="shared" si="36"/>
        <v/>
      </c>
      <c r="AQ182" s="647" t="str">
        <f t="shared" si="37"/>
        <v/>
      </c>
      <c r="AR182" s="647" t="str">
        <f t="shared" si="47"/>
        <v/>
      </c>
      <c r="AS182" s="647" t="str">
        <f t="shared" si="38"/>
        <v/>
      </c>
      <c r="AT182" s="647" t="str">
        <f t="shared" si="51"/>
        <v/>
      </c>
      <c r="AU182" s="647" t="str">
        <f t="shared" si="52"/>
        <v/>
      </c>
      <c r="AV182" s="647" t="str">
        <f t="shared" si="45"/>
        <v/>
      </c>
      <c r="AW182" s="647" t="str">
        <f t="shared" si="39"/>
        <v/>
      </c>
      <c r="AX182" s="647" t="str">
        <f t="shared" si="40"/>
        <v/>
      </c>
      <c r="AY182" s="647" t="str">
        <f t="shared" si="41"/>
        <v/>
      </c>
      <c r="AZ182" s="647" t="str">
        <f t="shared" si="46"/>
        <v/>
      </c>
      <c r="BA182" s="647" t="str">
        <f t="shared" si="42"/>
        <v/>
      </c>
    </row>
    <row r="183" spans="2:53" s="7" customFormat="1" ht="28.5" hidden="1" customHeight="1" outlineLevel="1">
      <c r="B183" s="64"/>
      <c r="C183" s="649">
        <v>167</v>
      </c>
      <c r="D183" s="1855"/>
      <c r="E183" s="1856"/>
      <c r="F183" s="1856"/>
      <c r="G183" s="1856"/>
      <c r="H183" s="1856"/>
      <c r="I183" s="1856"/>
      <c r="J183" s="1856"/>
      <c r="K183" s="1857"/>
      <c r="L183" s="643" t="str">
        <f t="shared" si="43"/>
        <v/>
      </c>
      <c r="M183" s="664"/>
      <c r="N183" s="665"/>
      <c r="O183" s="267"/>
      <c r="P183" s="666"/>
      <c r="Q183" s="667"/>
      <c r="R183" s="667"/>
      <c r="S183" s="1035"/>
      <c r="T183" s="668"/>
      <c r="U183" s="668"/>
      <c r="V183" s="668"/>
      <c r="W183" s="668"/>
      <c r="X183" s="669"/>
      <c r="Y183" s="670"/>
      <c r="Z183" s="671"/>
      <c r="AA183" s="644"/>
      <c r="AB183" s="978"/>
      <c r="AC183" s="992"/>
      <c r="AD183" s="89"/>
      <c r="AE183" s="89"/>
      <c r="AF183" s="645" t="str">
        <f t="shared" si="48"/>
        <v/>
      </c>
      <c r="AG183" s="1037" t="str">
        <f t="shared" si="49"/>
        <v/>
      </c>
      <c r="AH183" s="1037" t="str">
        <f t="shared" si="50"/>
        <v/>
      </c>
      <c r="AI183" s="1037" t="str">
        <f>IF(AF183="","",VLOOKUP(AF183,リスト!BD:BE,2,0))</f>
        <v/>
      </c>
      <c r="AJ183" s="1037" t="str">
        <f t="shared" si="32"/>
        <v/>
      </c>
      <c r="AK183" s="1037" t="str">
        <f>IF(AJ183="","",VLOOKUP(AJ183,リスト!BW:BX,2,0))</f>
        <v/>
      </c>
      <c r="AL183" s="1037" t="str">
        <f t="shared" si="44"/>
        <v/>
      </c>
      <c r="AM183" s="646" t="str">
        <f t="shared" si="33"/>
        <v/>
      </c>
      <c r="AN183" s="646" t="str">
        <f t="shared" si="34"/>
        <v/>
      </c>
      <c r="AO183" s="647" t="str">
        <f t="shared" si="35"/>
        <v/>
      </c>
      <c r="AP183" s="647" t="str">
        <f t="shared" si="36"/>
        <v/>
      </c>
      <c r="AQ183" s="647" t="str">
        <f t="shared" si="37"/>
        <v/>
      </c>
      <c r="AR183" s="647" t="str">
        <f t="shared" si="47"/>
        <v/>
      </c>
      <c r="AS183" s="647" t="str">
        <f t="shared" si="38"/>
        <v/>
      </c>
      <c r="AT183" s="647" t="str">
        <f t="shared" si="51"/>
        <v/>
      </c>
      <c r="AU183" s="647" t="str">
        <f t="shared" si="52"/>
        <v/>
      </c>
      <c r="AV183" s="647" t="str">
        <f t="shared" si="45"/>
        <v/>
      </c>
      <c r="AW183" s="647" t="str">
        <f t="shared" si="39"/>
        <v/>
      </c>
      <c r="AX183" s="647" t="str">
        <f t="shared" si="40"/>
        <v/>
      </c>
      <c r="AY183" s="647" t="str">
        <f t="shared" si="41"/>
        <v/>
      </c>
      <c r="AZ183" s="647" t="str">
        <f t="shared" si="46"/>
        <v/>
      </c>
      <c r="BA183" s="647" t="str">
        <f t="shared" si="42"/>
        <v/>
      </c>
    </row>
    <row r="184" spans="2:53" s="7" customFormat="1" ht="28.5" hidden="1" customHeight="1" outlineLevel="1">
      <c r="B184" s="64"/>
      <c r="C184" s="649">
        <v>168</v>
      </c>
      <c r="D184" s="1855"/>
      <c r="E184" s="1856"/>
      <c r="F184" s="1856"/>
      <c r="G184" s="1856"/>
      <c r="H184" s="1856"/>
      <c r="I184" s="1856"/>
      <c r="J184" s="1856"/>
      <c r="K184" s="1857"/>
      <c r="L184" s="643" t="str">
        <f t="shared" si="43"/>
        <v/>
      </c>
      <c r="M184" s="664"/>
      <c r="N184" s="665"/>
      <c r="O184" s="267"/>
      <c r="P184" s="666"/>
      <c r="Q184" s="667"/>
      <c r="R184" s="667"/>
      <c r="S184" s="1035"/>
      <c r="T184" s="668"/>
      <c r="U184" s="668"/>
      <c r="V184" s="668"/>
      <c r="W184" s="668"/>
      <c r="X184" s="669"/>
      <c r="Y184" s="670"/>
      <c r="Z184" s="671"/>
      <c r="AA184" s="644"/>
      <c r="AB184" s="978"/>
      <c r="AC184" s="992"/>
      <c r="AD184" s="89"/>
      <c r="AE184" s="89"/>
      <c r="AF184" s="645" t="str">
        <f t="shared" si="48"/>
        <v/>
      </c>
      <c r="AG184" s="1037" t="str">
        <f t="shared" si="49"/>
        <v/>
      </c>
      <c r="AH184" s="1037" t="str">
        <f t="shared" si="50"/>
        <v/>
      </c>
      <c r="AI184" s="1037" t="str">
        <f>IF(AF184="","",VLOOKUP(AF184,リスト!BD:BE,2,0))</f>
        <v/>
      </c>
      <c r="AJ184" s="1037" t="str">
        <f t="shared" si="32"/>
        <v/>
      </c>
      <c r="AK184" s="1037" t="str">
        <f>IF(AJ184="","",VLOOKUP(AJ184,リスト!BW:BX,2,0))</f>
        <v/>
      </c>
      <c r="AL184" s="1037" t="str">
        <f t="shared" si="44"/>
        <v/>
      </c>
      <c r="AM184" s="646" t="str">
        <f t="shared" si="33"/>
        <v/>
      </c>
      <c r="AN184" s="646" t="str">
        <f t="shared" si="34"/>
        <v/>
      </c>
      <c r="AO184" s="647" t="str">
        <f t="shared" si="35"/>
        <v/>
      </c>
      <c r="AP184" s="647" t="str">
        <f t="shared" si="36"/>
        <v/>
      </c>
      <c r="AQ184" s="647" t="str">
        <f t="shared" si="37"/>
        <v/>
      </c>
      <c r="AR184" s="647" t="str">
        <f t="shared" si="47"/>
        <v/>
      </c>
      <c r="AS184" s="647" t="str">
        <f t="shared" si="38"/>
        <v/>
      </c>
      <c r="AT184" s="647" t="str">
        <f t="shared" si="51"/>
        <v/>
      </c>
      <c r="AU184" s="647" t="str">
        <f t="shared" si="52"/>
        <v/>
      </c>
      <c r="AV184" s="647" t="str">
        <f t="shared" si="45"/>
        <v/>
      </c>
      <c r="AW184" s="647" t="str">
        <f t="shared" si="39"/>
        <v/>
      </c>
      <c r="AX184" s="647" t="str">
        <f t="shared" si="40"/>
        <v/>
      </c>
      <c r="AY184" s="647" t="str">
        <f t="shared" si="41"/>
        <v/>
      </c>
      <c r="AZ184" s="647" t="str">
        <f t="shared" si="46"/>
        <v/>
      </c>
      <c r="BA184" s="647" t="str">
        <f t="shared" si="42"/>
        <v/>
      </c>
    </row>
    <row r="185" spans="2:53" s="7" customFormat="1" ht="28.5" hidden="1" customHeight="1" outlineLevel="1">
      <c r="B185" s="64"/>
      <c r="C185" s="649">
        <v>169</v>
      </c>
      <c r="D185" s="1855"/>
      <c r="E185" s="1856"/>
      <c r="F185" s="1856"/>
      <c r="G185" s="1856"/>
      <c r="H185" s="1856"/>
      <c r="I185" s="1856"/>
      <c r="J185" s="1856"/>
      <c r="K185" s="1857"/>
      <c r="L185" s="643" t="str">
        <f t="shared" si="43"/>
        <v/>
      </c>
      <c r="M185" s="664"/>
      <c r="N185" s="665"/>
      <c r="O185" s="267"/>
      <c r="P185" s="666"/>
      <c r="Q185" s="667"/>
      <c r="R185" s="667"/>
      <c r="S185" s="1035"/>
      <c r="T185" s="668"/>
      <c r="U185" s="668"/>
      <c r="V185" s="668"/>
      <c r="W185" s="668"/>
      <c r="X185" s="669"/>
      <c r="Y185" s="670"/>
      <c r="Z185" s="671"/>
      <c r="AA185" s="644"/>
      <c r="AB185" s="978"/>
      <c r="AC185" s="992"/>
      <c r="AD185" s="89"/>
      <c r="AE185" s="89"/>
      <c r="AF185" s="645" t="str">
        <f t="shared" si="48"/>
        <v/>
      </c>
      <c r="AG185" s="1037" t="str">
        <f t="shared" si="49"/>
        <v/>
      </c>
      <c r="AH185" s="1037" t="str">
        <f t="shared" si="50"/>
        <v/>
      </c>
      <c r="AI185" s="1037" t="str">
        <f>IF(AF185="","",VLOOKUP(AF185,リスト!BD:BE,2,0))</f>
        <v/>
      </c>
      <c r="AJ185" s="1037" t="str">
        <f t="shared" si="32"/>
        <v/>
      </c>
      <c r="AK185" s="1037" t="str">
        <f>IF(AJ185="","",VLOOKUP(AJ185,リスト!BW:BX,2,0))</f>
        <v/>
      </c>
      <c r="AL185" s="1037" t="str">
        <f t="shared" si="44"/>
        <v/>
      </c>
      <c r="AM185" s="646" t="str">
        <f t="shared" si="33"/>
        <v/>
      </c>
      <c r="AN185" s="646" t="str">
        <f t="shared" si="34"/>
        <v/>
      </c>
      <c r="AO185" s="647" t="str">
        <f t="shared" si="35"/>
        <v/>
      </c>
      <c r="AP185" s="647" t="str">
        <f t="shared" si="36"/>
        <v/>
      </c>
      <c r="AQ185" s="647" t="str">
        <f t="shared" si="37"/>
        <v/>
      </c>
      <c r="AR185" s="647" t="str">
        <f t="shared" si="47"/>
        <v/>
      </c>
      <c r="AS185" s="647" t="str">
        <f t="shared" si="38"/>
        <v/>
      </c>
      <c r="AT185" s="647" t="str">
        <f t="shared" si="51"/>
        <v/>
      </c>
      <c r="AU185" s="647" t="str">
        <f t="shared" si="52"/>
        <v/>
      </c>
      <c r="AV185" s="647" t="str">
        <f t="shared" si="45"/>
        <v/>
      </c>
      <c r="AW185" s="647" t="str">
        <f t="shared" si="39"/>
        <v/>
      </c>
      <c r="AX185" s="647" t="str">
        <f t="shared" si="40"/>
        <v/>
      </c>
      <c r="AY185" s="647" t="str">
        <f t="shared" si="41"/>
        <v/>
      </c>
      <c r="AZ185" s="647" t="str">
        <f t="shared" si="46"/>
        <v/>
      </c>
      <c r="BA185" s="647" t="str">
        <f t="shared" si="42"/>
        <v/>
      </c>
    </row>
    <row r="186" spans="2:53" s="7" customFormat="1" ht="28.5" hidden="1" customHeight="1" outlineLevel="1">
      <c r="B186" s="64"/>
      <c r="C186" s="649">
        <v>170</v>
      </c>
      <c r="D186" s="1855"/>
      <c r="E186" s="1856"/>
      <c r="F186" s="1856"/>
      <c r="G186" s="1856"/>
      <c r="H186" s="1856"/>
      <c r="I186" s="1856"/>
      <c r="J186" s="1856"/>
      <c r="K186" s="1857"/>
      <c r="L186" s="643" t="str">
        <f t="shared" si="43"/>
        <v/>
      </c>
      <c r="M186" s="664"/>
      <c r="N186" s="665"/>
      <c r="O186" s="267"/>
      <c r="P186" s="666"/>
      <c r="Q186" s="667"/>
      <c r="R186" s="667"/>
      <c r="S186" s="1035"/>
      <c r="T186" s="668"/>
      <c r="U186" s="668"/>
      <c r="V186" s="668"/>
      <c r="W186" s="668"/>
      <c r="X186" s="669"/>
      <c r="Y186" s="670"/>
      <c r="Z186" s="671"/>
      <c r="AA186" s="644"/>
      <c r="AB186" s="978"/>
      <c r="AC186" s="992"/>
      <c r="AD186" s="89"/>
      <c r="AE186" s="89"/>
      <c r="AF186" s="645" t="str">
        <f t="shared" si="48"/>
        <v/>
      </c>
      <c r="AG186" s="1037" t="str">
        <f t="shared" si="49"/>
        <v/>
      </c>
      <c r="AH186" s="1037" t="str">
        <f t="shared" si="50"/>
        <v/>
      </c>
      <c r="AI186" s="1037" t="str">
        <f>IF(AF186="","",VLOOKUP(AF186,リスト!BD:BE,2,0))</f>
        <v/>
      </c>
      <c r="AJ186" s="1037" t="str">
        <f t="shared" si="32"/>
        <v/>
      </c>
      <c r="AK186" s="1037" t="str">
        <f>IF(AJ186="","",VLOOKUP(AJ186,リスト!BW:BX,2,0))</f>
        <v/>
      </c>
      <c r="AL186" s="1037" t="str">
        <f t="shared" si="44"/>
        <v/>
      </c>
      <c r="AM186" s="646" t="str">
        <f t="shared" si="33"/>
        <v/>
      </c>
      <c r="AN186" s="646" t="str">
        <f t="shared" si="34"/>
        <v/>
      </c>
      <c r="AO186" s="647" t="str">
        <f t="shared" si="35"/>
        <v/>
      </c>
      <c r="AP186" s="647" t="str">
        <f t="shared" si="36"/>
        <v/>
      </c>
      <c r="AQ186" s="647" t="str">
        <f t="shared" si="37"/>
        <v/>
      </c>
      <c r="AR186" s="647" t="str">
        <f t="shared" si="47"/>
        <v/>
      </c>
      <c r="AS186" s="647" t="str">
        <f t="shared" si="38"/>
        <v/>
      </c>
      <c r="AT186" s="647" t="str">
        <f t="shared" si="51"/>
        <v/>
      </c>
      <c r="AU186" s="647" t="str">
        <f t="shared" si="52"/>
        <v/>
      </c>
      <c r="AV186" s="647" t="str">
        <f t="shared" si="45"/>
        <v/>
      </c>
      <c r="AW186" s="647" t="str">
        <f t="shared" si="39"/>
        <v/>
      </c>
      <c r="AX186" s="647" t="str">
        <f t="shared" si="40"/>
        <v/>
      </c>
      <c r="AY186" s="647" t="str">
        <f t="shared" si="41"/>
        <v/>
      </c>
      <c r="AZ186" s="647" t="str">
        <f t="shared" si="46"/>
        <v/>
      </c>
      <c r="BA186" s="647" t="str">
        <f t="shared" si="42"/>
        <v/>
      </c>
    </row>
    <row r="187" spans="2:53" s="7" customFormat="1" ht="28.5" hidden="1" customHeight="1" outlineLevel="1">
      <c r="B187" s="64"/>
      <c r="C187" s="649">
        <v>171</v>
      </c>
      <c r="D187" s="1855"/>
      <c r="E187" s="1856"/>
      <c r="F187" s="1856"/>
      <c r="G187" s="1856"/>
      <c r="H187" s="1856"/>
      <c r="I187" s="1856"/>
      <c r="J187" s="1856"/>
      <c r="K187" s="1857"/>
      <c r="L187" s="643" t="str">
        <f t="shared" si="43"/>
        <v/>
      </c>
      <c r="M187" s="664"/>
      <c r="N187" s="665"/>
      <c r="O187" s="267"/>
      <c r="P187" s="666"/>
      <c r="Q187" s="667"/>
      <c r="R187" s="667"/>
      <c r="S187" s="1035"/>
      <c r="T187" s="668"/>
      <c r="U187" s="668"/>
      <c r="V187" s="668"/>
      <c r="W187" s="668"/>
      <c r="X187" s="669"/>
      <c r="Y187" s="670"/>
      <c r="Z187" s="671"/>
      <c r="AA187" s="644"/>
      <c r="AB187" s="978"/>
      <c r="AC187" s="992"/>
      <c r="AD187" s="89"/>
      <c r="AE187" s="89"/>
      <c r="AF187" s="645" t="str">
        <f t="shared" si="48"/>
        <v/>
      </c>
      <c r="AG187" s="1037" t="str">
        <f t="shared" si="49"/>
        <v/>
      </c>
      <c r="AH187" s="1037" t="str">
        <f t="shared" si="50"/>
        <v/>
      </c>
      <c r="AI187" s="1037" t="str">
        <f>IF(AF187="","",VLOOKUP(AF187,リスト!BD:BE,2,0))</f>
        <v/>
      </c>
      <c r="AJ187" s="1037" t="str">
        <f t="shared" si="32"/>
        <v/>
      </c>
      <c r="AK187" s="1037" t="str">
        <f>IF(AJ187="","",VLOOKUP(AJ187,リスト!BW:BX,2,0))</f>
        <v/>
      </c>
      <c r="AL187" s="1037" t="str">
        <f t="shared" si="44"/>
        <v/>
      </c>
      <c r="AM187" s="646" t="str">
        <f t="shared" si="33"/>
        <v/>
      </c>
      <c r="AN187" s="646" t="str">
        <f t="shared" si="34"/>
        <v/>
      </c>
      <c r="AO187" s="647" t="str">
        <f t="shared" si="35"/>
        <v/>
      </c>
      <c r="AP187" s="647" t="str">
        <f t="shared" si="36"/>
        <v/>
      </c>
      <c r="AQ187" s="647" t="str">
        <f t="shared" si="37"/>
        <v/>
      </c>
      <c r="AR187" s="647" t="str">
        <f t="shared" si="47"/>
        <v/>
      </c>
      <c r="AS187" s="647" t="str">
        <f t="shared" si="38"/>
        <v/>
      </c>
      <c r="AT187" s="647" t="str">
        <f t="shared" si="51"/>
        <v/>
      </c>
      <c r="AU187" s="647" t="str">
        <f t="shared" si="52"/>
        <v/>
      </c>
      <c r="AV187" s="647" t="str">
        <f t="shared" si="45"/>
        <v/>
      </c>
      <c r="AW187" s="647" t="str">
        <f t="shared" si="39"/>
        <v/>
      </c>
      <c r="AX187" s="647" t="str">
        <f t="shared" si="40"/>
        <v/>
      </c>
      <c r="AY187" s="647" t="str">
        <f t="shared" si="41"/>
        <v/>
      </c>
      <c r="AZ187" s="647" t="str">
        <f t="shared" si="46"/>
        <v/>
      </c>
      <c r="BA187" s="647" t="str">
        <f t="shared" si="42"/>
        <v/>
      </c>
    </row>
    <row r="188" spans="2:53" s="7" customFormat="1" ht="28.5" hidden="1" customHeight="1" outlineLevel="1">
      <c r="B188" s="64"/>
      <c r="C188" s="649">
        <v>172</v>
      </c>
      <c r="D188" s="1855"/>
      <c r="E188" s="1856"/>
      <c r="F188" s="1856"/>
      <c r="G188" s="1856"/>
      <c r="H188" s="1856"/>
      <c r="I188" s="1856"/>
      <c r="J188" s="1856"/>
      <c r="K188" s="1857"/>
      <c r="L188" s="643" t="str">
        <f t="shared" si="43"/>
        <v/>
      </c>
      <c r="M188" s="664"/>
      <c r="N188" s="665"/>
      <c r="O188" s="267"/>
      <c r="P188" s="666"/>
      <c r="Q188" s="667"/>
      <c r="R188" s="667"/>
      <c r="S188" s="1035"/>
      <c r="T188" s="668"/>
      <c r="U188" s="668"/>
      <c r="V188" s="668"/>
      <c r="W188" s="668"/>
      <c r="X188" s="669"/>
      <c r="Y188" s="670"/>
      <c r="Z188" s="671"/>
      <c r="AA188" s="644"/>
      <c r="AB188" s="978"/>
      <c r="AC188" s="992"/>
      <c r="AD188" s="89"/>
      <c r="AE188" s="89"/>
      <c r="AF188" s="645" t="str">
        <f t="shared" si="48"/>
        <v/>
      </c>
      <c r="AG188" s="1037" t="str">
        <f t="shared" si="49"/>
        <v/>
      </c>
      <c r="AH188" s="1037" t="str">
        <f t="shared" si="50"/>
        <v/>
      </c>
      <c r="AI188" s="1037" t="str">
        <f>IF(AF188="","",VLOOKUP(AF188,リスト!BD:BE,2,0))</f>
        <v/>
      </c>
      <c r="AJ188" s="1037" t="str">
        <f t="shared" si="32"/>
        <v/>
      </c>
      <c r="AK188" s="1037" t="str">
        <f>IF(AJ188="","",VLOOKUP(AJ188,リスト!BW:BX,2,0))</f>
        <v/>
      </c>
      <c r="AL188" s="1037" t="str">
        <f t="shared" si="44"/>
        <v/>
      </c>
      <c r="AM188" s="646" t="str">
        <f t="shared" si="33"/>
        <v/>
      </c>
      <c r="AN188" s="646" t="str">
        <f t="shared" si="34"/>
        <v/>
      </c>
      <c r="AO188" s="647" t="str">
        <f t="shared" si="35"/>
        <v/>
      </c>
      <c r="AP188" s="647" t="str">
        <f t="shared" si="36"/>
        <v/>
      </c>
      <c r="AQ188" s="647" t="str">
        <f t="shared" si="37"/>
        <v/>
      </c>
      <c r="AR188" s="647" t="str">
        <f t="shared" si="47"/>
        <v/>
      </c>
      <c r="AS188" s="647" t="str">
        <f t="shared" si="38"/>
        <v/>
      </c>
      <c r="AT188" s="647" t="str">
        <f t="shared" si="51"/>
        <v/>
      </c>
      <c r="AU188" s="647" t="str">
        <f t="shared" si="52"/>
        <v/>
      </c>
      <c r="AV188" s="647" t="str">
        <f t="shared" si="45"/>
        <v/>
      </c>
      <c r="AW188" s="647" t="str">
        <f t="shared" si="39"/>
        <v/>
      </c>
      <c r="AX188" s="647" t="str">
        <f t="shared" si="40"/>
        <v/>
      </c>
      <c r="AY188" s="647" t="str">
        <f t="shared" si="41"/>
        <v/>
      </c>
      <c r="AZ188" s="647" t="str">
        <f t="shared" si="46"/>
        <v/>
      </c>
      <c r="BA188" s="647" t="str">
        <f t="shared" si="42"/>
        <v/>
      </c>
    </row>
    <row r="189" spans="2:53" s="7" customFormat="1" ht="28.5" hidden="1" customHeight="1" outlineLevel="1">
      <c r="B189" s="64"/>
      <c r="C189" s="649">
        <v>173</v>
      </c>
      <c r="D189" s="1855"/>
      <c r="E189" s="1856"/>
      <c r="F189" s="1856"/>
      <c r="G189" s="1856"/>
      <c r="H189" s="1856"/>
      <c r="I189" s="1856"/>
      <c r="J189" s="1856"/>
      <c r="K189" s="1857"/>
      <c r="L189" s="643" t="str">
        <f t="shared" si="43"/>
        <v/>
      </c>
      <c r="M189" s="664"/>
      <c r="N189" s="665"/>
      <c r="O189" s="267"/>
      <c r="P189" s="666"/>
      <c r="Q189" s="667"/>
      <c r="R189" s="667"/>
      <c r="S189" s="1035"/>
      <c r="T189" s="668"/>
      <c r="U189" s="668"/>
      <c r="V189" s="668"/>
      <c r="W189" s="668"/>
      <c r="X189" s="669"/>
      <c r="Y189" s="670"/>
      <c r="Z189" s="671"/>
      <c r="AA189" s="644"/>
      <c r="AB189" s="978"/>
      <c r="AC189" s="992"/>
      <c r="AD189" s="89"/>
      <c r="AE189" s="89"/>
      <c r="AF189" s="645" t="str">
        <f t="shared" si="48"/>
        <v/>
      </c>
      <c r="AG189" s="1037" t="str">
        <f t="shared" si="49"/>
        <v/>
      </c>
      <c r="AH189" s="1037" t="str">
        <f t="shared" si="50"/>
        <v/>
      </c>
      <c r="AI189" s="1037" t="str">
        <f>IF(AF189="","",VLOOKUP(AF189,リスト!BD:BE,2,0))</f>
        <v/>
      </c>
      <c r="AJ189" s="1037" t="str">
        <f t="shared" si="32"/>
        <v/>
      </c>
      <c r="AK189" s="1037" t="str">
        <f>IF(AJ189="","",VLOOKUP(AJ189,リスト!BW:BX,2,0))</f>
        <v/>
      </c>
      <c r="AL189" s="1037" t="str">
        <f t="shared" si="44"/>
        <v/>
      </c>
      <c r="AM189" s="646" t="str">
        <f t="shared" si="33"/>
        <v/>
      </c>
      <c r="AN189" s="646" t="str">
        <f t="shared" si="34"/>
        <v/>
      </c>
      <c r="AO189" s="647" t="str">
        <f t="shared" si="35"/>
        <v/>
      </c>
      <c r="AP189" s="647" t="str">
        <f t="shared" si="36"/>
        <v/>
      </c>
      <c r="AQ189" s="647" t="str">
        <f t="shared" si="37"/>
        <v/>
      </c>
      <c r="AR189" s="647" t="str">
        <f t="shared" si="47"/>
        <v/>
      </c>
      <c r="AS189" s="647" t="str">
        <f t="shared" si="38"/>
        <v/>
      </c>
      <c r="AT189" s="647" t="str">
        <f t="shared" si="51"/>
        <v/>
      </c>
      <c r="AU189" s="647" t="str">
        <f t="shared" si="52"/>
        <v/>
      </c>
      <c r="AV189" s="647" t="str">
        <f t="shared" si="45"/>
        <v/>
      </c>
      <c r="AW189" s="647" t="str">
        <f t="shared" si="39"/>
        <v/>
      </c>
      <c r="AX189" s="647" t="str">
        <f t="shared" si="40"/>
        <v/>
      </c>
      <c r="AY189" s="647" t="str">
        <f t="shared" si="41"/>
        <v/>
      </c>
      <c r="AZ189" s="647" t="str">
        <f t="shared" si="46"/>
        <v/>
      </c>
      <c r="BA189" s="647" t="str">
        <f t="shared" si="42"/>
        <v/>
      </c>
    </row>
    <row r="190" spans="2:53" s="7" customFormat="1" ht="28.5" hidden="1" customHeight="1" outlineLevel="1">
      <c r="B190" s="64"/>
      <c r="C190" s="649">
        <v>174</v>
      </c>
      <c r="D190" s="1855"/>
      <c r="E190" s="1856"/>
      <c r="F190" s="1856"/>
      <c r="G190" s="1856"/>
      <c r="H190" s="1856"/>
      <c r="I190" s="1856"/>
      <c r="J190" s="1856"/>
      <c r="K190" s="1857"/>
      <c r="L190" s="643" t="str">
        <f t="shared" si="43"/>
        <v/>
      </c>
      <c r="M190" s="664"/>
      <c r="N190" s="665"/>
      <c r="O190" s="267"/>
      <c r="P190" s="666"/>
      <c r="Q190" s="667"/>
      <c r="R190" s="667"/>
      <c r="S190" s="1035"/>
      <c r="T190" s="668"/>
      <c r="U190" s="668"/>
      <c r="V190" s="668"/>
      <c r="W190" s="668"/>
      <c r="X190" s="669"/>
      <c r="Y190" s="670"/>
      <c r="Z190" s="671"/>
      <c r="AA190" s="644"/>
      <c r="AB190" s="978"/>
      <c r="AC190" s="992"/>
      <c r="AD190" s="89"/>
      <c r="AE190" s="89"/>
      <c r="AF190" s="645" t="str">
        <f t="shared" si="48"/>
        <v/>
      </c>
      <c r="AG190" s="1037" t="str">
        <f t="shared" si="49"/>
        <v/>
      </c>
      <c r="AH190" s="1037" t="str">
        <f t="shared" si="50"/>
        <v/>
      </c>
      <c r="AI190" s="1037" t="str">
        <f>IF(AF190="","",VLOOKUP(AF190,リスト!BD:BE,2,0))</f>
        <v/>
      </c>
      <c r="AJ190" s="1037" t="str">
        <f t="shared" si="32"/>
        <v/>
      </c>
      <c r="AK190" s="1037" t="str">
        <f>IF(AJ190="","",VLOOKUP(AJ190,リスト!BW:BX,2,0))</f>
        <v/>
      </c>
      <c r="AL190" s="1037" t="str">
        <f t="shared" si="44"/>
        <v/>
      </c>
      <c r="AM190" s="646" t="str">
        <f t="shared" si="33"/>
        <v/>
      </c>
      <c r="AN190" s="646" t="str">
        <f t="shared" si="34"/>
        <v/>
      </c>
      <c r="AO190" s="647" t="str">
        <f t="shared" si="35"/>
        <v/>
      </c>
      <c r="AP190" s="647" t="str">
        <f t="shared" si="36"/>
        <v/>
      </c>
      <c r="AQ190" s="647" t="str">
        <f t="shared" si="37"/>
        <v/>
      </c>
      <c r="AR190" s="647" t="str">
        <f t="shared" si="47"/>
        <v/>
      </c>
      <c r="AS190" s="647" t="str">
        <f t="shared" si="38"/>
        <v/>
      </c>
      <c r="AT190" s="647" t="str">
        <f t="shared" si="51"/>
        <v/>
      </c>
      <c r="AU190" s="647" t="str">
        <f t="shared" si="52"/>
        <v/>
      </c>
      <c r="AV190" s="647" t="str">
        <f t="shared" si="45"/>
        <v/>
      </c>
      <c r="AW190" s="647" t="str">
        <f t="shared" si="39"/>
        <v/>
      </c>
      <c r="AX190" s="647" t="str">
        <f t="shared" si="40"/>
        <v/>
      </c>
      <c r="AY190" s="647" t="str">
        <f t="shared" si="41"/>
        <v/>
      </c>
      <c r="AZ190" s="647" t="str">
        <f t="shared" si="46"/>
        <v/>
      </c>
      <c r="BA190" s="647" t="str">
        <f t="shared" si="42"/>
        <v/>
      </c>
    </row>
    <row r="191" spans="2:53" s="7" customFormat="1" ht="28.5" hidden="1" customHeight="1" outlineLevel="1">
      <c r="B191" s="64"/>
      <c r="C191" s="649">
        <v>175</v>
      </c>
      <c r="D191" s="1855"/>
      <c r="E191" s="1856"/>
      <c r="F191" s="1856"/>
      <c r="G191" s="1856"/>
      <c r="H191" s="1856"/>
      <c r="I191" s="1856"/>
      <c r="J191" s="1856"/>
      <c r="K191" s="1857"/>
      <c r="L191" s="643" t="str">
        <f t="shared" si="43"/>
        <v/>
      </c>
      <c r="M191" s="664"/>
      <c r="N191" s="665"/>
      <c r="O191" s="267"/>
      <c r="P191" s="666"/>
      <c r="Q191" s="667"/>
      <c r="R191" s="667"/>
      <c r="S191" s="1035"/>
      <c r="T191" s="668"/>
      <c r="U191" s="668"/>
      <c r="V191" s="668"/>
      <c r="W191" s="668"/>
      <c r="X191" s="669"/>
      <c r="Y191" s="670"/>
      <c r="Z191" s="671"/>
      <c r="AA191" s="644"/>
      <c r="AB191" s="978"/>
      <c r="AC191" s="992"/>
      <c r="AD191" s="89"/>
      <c r="AE191" s="89"/>
      <c r="AF191" s="645" t="str">
        <f t="shared" si="48"/>
        <v/>
      </c>
      <c r="AG191" s="1037" t="str">
        <f t="shared" si="49"/>
        <v/>
      </c>
      <c r="AH191" s="1037" t="str">
        <f t="shared" si="50"/>
        <v/>
      </c>
      <c r="AI191" s="1037" t="str">
        <f>IF(AF191="","",VLOOKUP(AF191,リスト!BD:BE,2,0))</f>
        <v/>
      </c>
      <c r="AJ191" s="1037" t="str">
        <f t="shared" si="32"/>
        <v/>
      </c>
      <c r="AK191" s="1037" t="str">
        <f>IF(AJ191="","",VLOOKUP(AJ191,リスト!BW:BX,2,0))</f>
        <v/>
      </c>
      <c r="AL191" s="1037" t="str">
        <f t="shared" si="44"/>
        <v/>
      </c>
      <c r="AM191" s="646" t="str">
        <f t="shared" si="33"/>
        <v/>
      </c>
      <c r="AN191" s="646" t="str">
        <f t="shared" si="34"/>
        <v/>
      </c>
      <c r="AO191" s="647" t="str">
        <f t="shared" si="35"/>
        <v/>
      </c>
      <c r="AP191" s="647" t="str">
        <f t="shared" si="36"/>
        <v/>
      </c>
      <c r="AQ191" s="647" t="str">
        <f t="shared" si="37"/>
        <v/>
      </c>
      <c r="AR191" s="647" t="str">
        <f t="shared" si="47"/>
        <v/>
      </c>
      <c r="AS191" s="647" t="str">
        <f t="shared" si="38"/>
        <v/>
      </c>
      <c r="AT191" s="647" t="str">
        <f t="shared" si="51"/>
        <v/>
      </c>
      <c r="AU191" s="647" t="str">
        <f t="shared" si="52"/>
        <v/>
      </c>
      <c r="AV191" s="647" t="str">
        <f t="shared" si="45"/>
        <v/>
      </c>
      <c r="AW191" s="647" t="str">
        <f t="shared" si="39"/>
        <v/>
      </c>
      <c r="AX191" s="647" t="str">
        <f t="shared" si="40"/>
        <v/>
      </c>
      <c r="AY191" s="647" t="str">
        <f t="shared" si="41"/>
        <v/>
      </c>
      <c r="AZ191" s="647" t="str">
        <f t="shared" si="46"/>
        <v/>
      </c>
      <c r="BA191" s="647" t="str">
        <f t="shared" si="42"/>
        <v/>
      </c>
    </row>
    <row r="192" spans="2:53" s="7" customFormat="1" ht="28.5" hidden="1" customHeight="1" outlineLevel="1">
      <c r="B192" s="64"/>
      <c r="C192" s="649">
        <v>176</v>
      </c>
      <c r="D192" s="1855"/>
      <c r="E192" s="1856"/>
      <c r="F192" s="1856"/>
      <c r="G192" s="1856"/>
      <c r="H192" s="1856"/>
      <c r="I192" s="1856"/>
      <c r="J192" s="1856"/>
      <c r="K192" s="1857"/>
      <c r="L192" s="643" t="str">
        <f t="shared" si="43"/>
        <v/>
      </c>
      <c r="M192" s="664"/>
      <c r="N192" s="665"/>
      <c r="O192" s="267"/>
      <c r="P192" s="666"/>
      <c r="Q192" s="667"/>
      <c r="R192" s="667"/>
      <c r="S192" s="1035"/>
      <c r="T192" s="668"/>
      <c r="U192" s="668"/>
      <c r="V192" s="668"/>
      <c r="W192" s="668"/>
      <c r="X192" s="669"/>
      <c r="Y192" s="670"/>
      <c r="Z192" s="671"/>
      <c r="AA192" s="644"/>
      <c r="AB192" s="978"/>
      <c r="AC192" s="992"/>
      <c r="AD192" s="89"/>
      <c r="AE192" s="89"/>
      <c r="AF192" s="645" t="str">
        <f t="shared" si="48"/>
        <v/>
      </c>
      <c r="AG192" s="1037" t="str">
        <f t="shared" si="49"/>
        <v/>
      </c>
      <c r="AH192" s="1037" t="str">
        <f t="shared" si="50"/>
        <v/>
      </c>
      <c r="AI192" s="1037" t="str">
        <f>IF(AF192="","",VLOOKUP(AF192,リスト!BD:BE,2,0))</f>
        <v/>
      </c>
      <c r="AJ192" s="1037" t="str">
        <f t="shared" si="32"/>
        <v/>
      </c>
      <c r="AK192" s="1037" t="str">
        <f>IF(AJ192="","",VLOOKUP(AJ192,リスト!BW:BX,2,0))</f>
        <v/>
      </c>
      <c r="AL192" s="1037" t="str">
        <f t="shared" si="44"/>
        <v/>
      </c>
      <c r="AM192" s="646" t="str">
        <f t="shared" si="33"/>
        <v/>
      </c>
      <c r="AN192" s="646" t="str">
        <f t="shared" si="34"/>
        <v/>
      </c>
      <c r="AO192" s="647" t="str">
        <f t="shared" si="35"/>
        <v/>
      </c>
      <c r="AP192" s="647" t="str">
        <f t="shared" si="36"/>
        <v/>
      </c>
      <c r="AQ192" s="647" t="str">
        <f t="shared" si="37"/>
        <v/>
      </c>
      <c r="AR192" s="647" t="str">
        <f t="shared" si="47"/>
        <v/>
      </c>
      <c r="AS192" s="647" t="str">
        <f t="shared" si="38"/>
        <v/>
      </c>
      <c r="AT192" s="647" t="str">
        <f t="shared" si="51"/>
        <v/>
      </c>
      <c r="AU192" s="647" t="str">
        <f t="shared" si="52"/>
        <v/>
      </c>
      <c r="AV192" s="647" t="str">
        <f t="shared" si="45"/>
        <v/>
      </c>
      <c r="AW192" s="647" t="str">
        <f t="shared" si="39"/>
        <v/>
      </c>
      <c r="AX192" s="647" t="str">
        <f t="shared" si="40"/>
        <v/>
      </c>
      <c r="AY192" s="647" t="str">
        <f t="shared" si="41"/>
        <v/>
      </c>
      <c r="AZ192" s="647" t="str">
        <f t="shared" si="46"/>
        <v/>
      </c>
      <c r="BA192" s="647" t="str">
        <f t="shared" si="42"/>
        <v/>
      </c>
    </row>
    <row r="193" spans="2:53" s="7" customFormat="1" ht="28.5" hidden="1" customHeight="1" outlineLevel="1">
      <c r="B193" s="64"/>
      <c r="C193" s="649">
        <v>177</v>
      </c>
      <c r="D193" s="1855"/>
      <c r="E193" s="1856"/>
      <c r="F193" s="1856"/>
      <c r="G193" s="1856"/>
      <c r="H193" s="1856"/>
      <c r="I193" s="1856"/>
      <c r="J193" s="1856"/>
      <c r="K193" s="1857"/>
      <c r="L193" s="643" t="str">
        <f t="shared" si="43"/>
        <v/>
      </c>
      <c r="M193" s="664"/>
      <c r="N193" s="665"/>
      <c r="O193" s="267"/>
      <c r="P193" s="666"/>
      <c r="Q193" s="667"/>
      <c r="R193" s="667"/>
      <c r="S193" s="1035"/>
      <c r="T193" s="668"/>
      <c r="U193" s="668"/>
      <c r="V193" s="668"/>
      <c r="W193" s="668"/>
      <c r="X193" s="669"/>
      <c r="Y193" s="670"/>
      <c r="Z193" s="671"/>
      <c r="AA193" s="644"/>
      <c r="AB193" s="978"/>
      <c r="AC193" s="992"/>
      <c r="AD193" s="89"/>
      <c r="AE193" s="89"/>
      <c r="AF193" s="645" t="str">
        <f t="shared" si="48"/>
        <v/>
      </c>
      <c r="AG193" s="1037" t="str">
        <f t="shared" si="49"/>
        <v/>
      </c>
      <c r="AH193" s="1037" t="str">
        <f t="shared" si="50"/>
        <v/>
      </c>
      <c r="AI193" s="1037" t="str">
        <f>IF(AF193="","",VLOOKUP(AF193,リスト!BD:BE,2,0))</f>
        <v/>
      </c>
      <c r="AJ193" s="1037" t="str">
        <f t="shared" si="2"/>
        <v/>
      </c>
      <c r="AK193" s="1037" t="str">
        <f>IF(AJ193="","",VLOOKUP(AJ193,リスト!BW:BX,2,0))</f>
        <v/>
      </c>
      <c r="AL193" s="1037" t="str">
        <f t="shared" si="44"/>
        <v/>
      </c>
      <c r="AM193" s="646" t="str">
        <f t="shared" si="4"/>
        <v/>
      </c>
      <c r="AN193" s="646" t="str">
        <f t="shared" si="5"/>
        <v/>
      </c>
      <c r="AO193" s="647" t="str">
        <f t="shared" si="6"/>
        <v/>
      </c>
      <c r="AP193" s="647" t="str">
        <f t="shared" si="7"/>
        <v/>
      </c>
      <c r="AQ193" s="647" t="str">
        <f t="shared" si="8"/>
        <v/>
      </c>
      <c r="AR193" s="647" t="str">
        <f t="shared" si="47"/>
        <v/>
      </c>
      <c r="AS193" s="647" t="str">
        <f t="shared" si="9"/>
        <v/>
      </c>
      <c r="AT193" s="647" t="str">
        <f t="shared" si="51"/>
        <v/>
      </c>
      <c r="AU193" s="647" t="str">
        <f t="shared" si="52"/>
        <v/>
      </c>
      <c r="AV193" s="647" t="str">
        <f t="shared" si="45"/>
        <v/>
      </c>
      <c r="AW193" s="647" t="str">
        <f t="shared" si="11"/>
        <v/>
      </c>
      <c r="AX193" s="647" t="str">
        <f t="shared" si="12"/>
        <v/>
      </c>
      <c r="AY193" s="647" t="str">
        <f t="shared" si="13"/>
        <v/>
      </c>
      <c r="AZ193" s="647" t="str">
        <f t="shared" si="46"/>
        <v/>
      </c>
      <c r="BA193" s="647" t="str">
        <f t="shared" si="15"/>
        <v/>
      </c>
    </row>
    <row r="194" spans="2:53" s="7" customFormat="1" ht="28.5" hidden="1" customHeight="1" outlineLevel="1">
      <c r="B194" s="64"/>
      <c r="C194" s="649">
        <v>178</v>
      </c>
      <c r="D194" s="1855"/>
      <c r="E194" s="1856"/>
      <c r="F194" s="1856"/>
      <c r="G194" s="1856"/>
      <c r="H194" s="1856"/>
      <c r="I194" s="1856"/>
      <c r="J194" s="1856"/>
      <c r="K194" s="1857"/>
      <c r="L194" s="643" t="str">
        <f t="shared" si="43"/>
        <v/>
      </c>
      <c r="M194" s="664"/>
      <c r="N194" s="665"/>
      <c r="O194" s="267"/>
      <c r="P194" s="666"/>
      <c r="Q194" s="667"/>
      <c r="R194" s="667"/>
      <c r="S194" s="1035"/>
      <c r="T194" s="668"/>
      <c r="U194" s="668"/>
      <c r="V194" s="668"/>
      <c r="W194" s="668"/>
      <c r="X194" s="669"/>
      <c r="Y194" s="670"/>
      <c r="Z194" s="671"/>
      <c r="AA194" s="644"/>
      <c r="AB194" s="978"/>
      <c r="AC194" s="992"/>
      <c r="AD194" s="89"/>
      <c r="AE194" s="89"/>
      <c r="AF194" s="645" t="str">
        <f t="shared" si="48"/>
        <v/>
      </c>
      <c r="AG194" s="1037" t="str">
        <f t="shared" si="49"/>
        <v/>
      </c>
      <c r="AH194" s="1037" t="str">
        <f t="shared" si="50"/>
        <v/>
      </c>
      <c r="AI194" s="1037" t="str">
        <f>IF(AF194="","",VLOOKUP(AF194,リスト!BD:BE,2,0))</f>
        <v/>
      </c>
      <c r="AJ194" s="1037" t="str">
        <f t="shared" si="2"/>
        <v/>
      </c>
      <c r="AK194" s="1037" t="str">
        <f>IF(AJ194="","",VLOOKUP(AJ194,リスト!BW:BX,2,0))</f>
        <v/>
      </c>
      <c r="AL194" s="1037" t="str">
        <f t="shared" si="44"/>
        <v/>
      </c>
      <c r="AM194" s="646" t="str">
        <f t="shared" si="4"/>
        <v/>
      </c>
      <c r="AN194" s="646" t="str">
        <f t="shared" si="5"/>
        <v/>
      </c>
      <c r="AO194" s="647" t="str">
        <f t="shared" si="6"/>
        <v/>
      </c>
      <c r="AP194" s="647" t="str">
        <f t="shared" si="7"/>
        <v/>
      </c>
      <c r="AQ194" s="647" t="str">
        <f t="shared" si="8"/>
        <v/>
      </c>
      <c r="AR194" s="647" t="str">
        <f t="shared" si="47"/>
        <v/>
      </c>
      <c r="AS194" s="647" t="str">
        <f t="shared" si="9"/>
        <v/>
      </c>
      <c r="AT194" s="647" t="str">
        <f t="shared" si="51"/>
        <v/>
      </c>
      <c r="AU194" s="647" t="str">
        <f t="shared" si="52"/>
        <v/>
      </c>
      <c r="AV194" s="647" t="str">
        <f t="shared" si="45"/>
        <v/>
      </c>
      <c r="AW194" s="647" t="str">
        <f t="shared" si="11"/>
        <v/>
      </c>
      <c r="AX194" s="647" t="str">
        <f t="shared" si="12"/>
        <v/>
      </c>
      <c r="AY194" s="647" t="str">
        <f t="shared" si="13"/>
        <v/>
      </c>
      <c r="AZ194" s="647" t="str">
        <f t="shared" si="46"/>
        <v/>
      </c>
      <c r="BA194" s="647" t="str">
        <f t="shared" si="15"/>
        <v/>
      </c>
    </row>
    <row r="195" spans="2:53" s="7" customFormat="1" ht="28.5" hidden="1" customHeight="1" outlineLevel="1">
      <c r="B195" s="64"/>
      <c r="C195" s="649">
        <v>179</v>
      </c>
      <c r="D195" s="1855"/>
      <c r="E195" s="1856"/>
      <c r="F195" s="1856"/>
      <c r="G195" s="1856"/>
      <c r="H195" s="1856"/>
      <c r="I195" s="1856"/>
      <c r="J195" s="1856"/>
      <c r="K195" s="1857"/>
      <c r="L195" s="643" t="str">
        <f t="shared" si="43"/>
        <v/>
      </c>
      <c r="M195" s="664"/>
      <c r="N195" s="665"/>
      <c r="O195" s="267"/>
      <c r="P195" s="666"/>
      <c r="Q195" s="667"/>
      <c r="R195" s="667"/>
      <c r="S195" s="1035"/>
      <c r="T195" s="668"/>
      <c r="U195" s="668"/>
      <c r="V195" s="668"/>
      <c r="W195" s="668"/>
      <c r="X195" s="669"/>
      <c r="Y195" s="670"/>
      <c r="Z195" s="671"/>
      <c r="AA195" s="644"/>
      <c r="AB195" s="978"/>
      <c r="AC195" s="992"/>
      <c r="AD195" s="89"/>
      <c r="AE195" s="89"/>
      <c r="AF195" s="645" t="str">
        <f t="shared" si="48"/>
        <v/>
      </c>
      <c r="AG195" s="1037" t="str">
        <f t="shared" si="49"/>
        <v/>
      </c>
      <c r="AH195" s="1037" t="str">
        <f t="shared" si="50"/>
        <v/>
      </c>
      <c r="AI195" s="1037" t="str">
        <f>IF(AF195="","",VLOOKUP(AF195,リスト!BD:BE,2,0))</f>
        <v/>
      </c>
      <c r="AJ195" s="1037" t="str">
        <f t="shared" si="2"/>
        <v/>
      </c>
      <c r="AK195" s="1037" t="str">
        <f>IF(AJ195="","",VLOOKUP(AJ195,リスト!BW:BX,2,0))</f>
        <v/>
      </c>
      <c r="AL195" s="1037" t="str">
        <f t="shared" si="44"/>
        <v/>
      </c>
      <c r="AM195" s="646" t="str">
        <f t="shared" si="4"/>
        <v/>
      </c>
      <c r="AN195" s="646" t="str">
        <f t="shared" si="5"/>
        <v/>
      </c>
      <c r="AO195" s="647" t="str">
        <f t="shared" si="6"/>
        <v/>
      </c>
      <c r="AP195" s="647" t="str">
        <f t="shared" si="7"/>
        <v/>
      </c>
      <c r="AQ195" s="647" t="str">
        <f t="shared" si="8"/>
        <v/>
      </c>
      <c r="AR195" s="647" t="str">
        <f t="shared" si="47"/>
        <v/>
      </c>
      <c r="AS195" s="647" t="str">
        <f t="shared" si="9"/>
        <v/>
      </c>
      <c r="AT195" s="647" t="str">
        <f t="shared" si="51"/>
        <v/>
      </c>
      <c r="AU195" s="647" t="str">
        <f t="shared" si="52"/>
        <v/>
      </c>
      <c r="AV195" s="647" t="str">
        <f t="shared" si="45"/>
        <v/>
      </c>
      <c r="AW195" s="647" t="str">
        <f t="shared" si="11"/>
        <v/>
      </c>
      <c r="AX195" s="647" t="str">
        <f t="shared" si="12"/>
        <v/>
      </c>
      <c r="AY195" s="647" t="str">
        <f t="shared" si="13"/>
        <v/>
      </c>
      <c r="AZ195" s="647" t="str">
        <f t="shared" si="46"/>
        <v/>
      </c>
      <c r="BA195" s="647" t="str">
        <f t="shared" si="15"/>
        <v/>
      </c>
    </row>
    <row r="196" spans="2:53" s="7" customFormat="1" ht="28.5" hidden="1" customHeight="1" outlineLevel="1">
      <c r="B196" s="64"/>
      <c r="C196" s="649">
        <v>180</v>
      </c>
      <c r="D196" s="1855"/>
      <c r="E196" s="1856"/>
      <c r="F196" s="1856"/>
      <c r="G196" s="1856"/>
      <c r="H196" s="1856"/>
      <c r="I196" s="1856"/>
      <c r="J196" s="1856"/>
      <c r="K196" s="1857"/>
      <c r="L196" s="643" t="str">
        <f t="shared" si="43"/>
        <v/>
      </c>
      <c r="M196" s="664"/>
      <c r="N196" s="665"/>
      <c r="O196" s="267"/>
      <c r="P196" s="666"/>
      <c r="Q196" s="667"/>
      <c r="R196" s="667"/>
      <c r="S196" s="1035"/>
      <c r="T196" s="668"/>
      <c r="U196" s="668"/>
      <c r="V196" s="668"/>
      <c r="W196" s="668"/>
      <c r="X196" s="669"/>
      <c r="Y196" s="670"/>
      <c r="Z196" s="671"/>
      <c r="AA196" s="644"/>
      <c r="AB196" s="978"/>
      <c r="AC196" s="992"/>
      <c r="AD196" s="89"/>
      <c r="AE196" s="89"/>
      <c r="AF196" s="645" t="str">
        <f t="shared" si="48"/>
        <v/>
      </c>
      <c r="AG196" s="1037" t="str">
        <f t="shared" si="49"/>
        <v/>
      </c>
      <c r="AH196" s="1037" t="str">
        <f t="shared" si="50"/>
        <v/>
      </c>
      <c r="AI196" s="1037" t="str">
        <f>IF(AF196="","",VLOOKUP(AF196,リスト!BD:BE,2,0))</f>
        <v/>
      </c>
      <c r="AJ196" s="1037" t="str">
        <f t="shared" si="2"/>
        <v/>
      </c>
      <c r="AK196" s="1037" t="str">
        <f>IF(AJ196="","",VLOOKUP(AJ196,リスト!BW:BX,2,0))</f>
        <v/>
      </c>
      <c r="AL196" s="1037" t="str">
        <f t="shared" si="44"/>
        <v/>
      </c>
      <c r="AM196" s="646" t="str">
        <f t="shared" si="4"/>
        <v/>
      </c>
      <c r="AN196" s="646" t="str">
        <f t="shared" si="5"/>
        <v/>
      </c>
      <c r="AO196" s="647" t="str">
        <f t="shared" si="6"/>
        <v/>
      </c>
      <c r="AP196" s="647" t="str">
        <f t="shared" si="7"/>
        <v/>
      </c>
      <c r="AQ196" s="647" t="str">
        <f t="shared" si="8"/>
        <v/>
      </c>
      <c r="AR196" s="647" t="str">
        <f t="shared" si="47"/>
        <v/>
      </c>
      <c r="AS196" s="647" t="str">
        <f t="shared" si="9"/>
        <v/>
      </c>
      <c r="AT196" s="647" t="str">
        <f t="shared" si="51"/>
        <v/>
      </c>
      <c r="AU196" s="647" t="str">
        <f t="shared" si="52"/>
        <v/>
      </c>
      <c r="AV196" s="647" t="str">
        <f t="shared" si="45"/>
        <v/>
      </c>
      <c r="AW196" s="647" t="str">
        <f t="shared" si="11"/>
        <v/>
      </c>
      <c r="AX196" s="647" t="str">
        <f t="shared" si="12"/>
        <v/>
      </c>
      <c r="AY196" s="647" t="str">
        <f t="shared" si="13"/>
        <v/>
      </c>
      <c r="AZ196" s="647" t="str">
        <f t="shared" si="46"/>
        <v/>
      </c>
      <c r="BA196" s="647" t="str">
        <f t="shared" si="15"/>
        <v/>
      </c>
    </row>
    <row r="197" spans="2:53" s="7" customFormat="1" ht="28.5" hidden="1" customHeight="1" outlineLevel="1">
      <c r="B197" s="64"/>
      <c r="C197" s="649">
        <v>181</v>
      </c>
      <c r="D197" s="1855"/>
      <c r="E197" s="1856"/>
      <c r="F197" s="1856"/>
      <c r="G197" s="1856"/>
      <c r="H197" s="1856"/>
      <c r="I197" s="1856"/>
      <c r="J197" s="1856"/>
      <c r="K197" s="1857"/>
      <c r="L197" s="643" t="str">
        <f t="shared" si="43"/>
        <v/>
      </c>
      <c r="M197" s="664"/>
      <c r="N197" s="665"/>
      <c r="O197" s="267"/>
      <c r="P197" s="666"/>
      <c r="Q197" s="667"/>
      <c r="R197" s="667"/>
      <c r="S197" s="1035"/>
      <c r="T197" s="668"/>
      <c r="U197" s="668"/>
      <c r="V197" s="668"/>
      <c r="W197" s="668"/>
      <c r="X197" s="669"/>
      <c r="Y197" s="670"/>
      <c r="Z197" s="671"/>
      <c r="AA197" s="644"/>
      <c r="AB197" s="978"/>
      <c r="AC197" s="992"/>
      <c r="AD197" s="89"/>
      <c r="AE197" s="89"/>
      <c r="AF197" s="645" t="str">
        <f t="shared" si="48"/>
        <v/>
      </c>
      <c r="AG197" s="1037" t="str">
        <f t="shared" si="49"/>
        <v/>
      </c>
      <c r="AH197" s="1037" t="str">
        <f t="shared" si="50"/>
        <v/>
      </c>
      <c r="AI197" s="1037" t="str">
        <f>IF(AF197="","",VLOOKUP(AF197,リスト!BD:BE,2,0))</f>
        <v/>
      </c>
      <c r="AJ197" s="1037" t="str">
        <f t="shared" si="2"/>
        <v/>
      </c>
      <c r="AK197" s="1037" t="str">
        <f>IF(AJ197="","",VLOOKUP(AJ197,リスト!BW:BX,2,0))</f>
        <v/>
      </c>
      <c r="AL197" s="1037" t="str">
        <f t="shared" si="44"/>
        <v/>
      </c>
      <c r="AM197" s="646" t="str">
        <f t="shared" si="4"/>
        <v/>
      </c>
      <c r="AN197" s="646" t="str">
        <f t="shared" si="5"/>
        <v/>
      </c>
      <c r="AO197" s="647" t="str">
        <f t="shared" si="6"/>
        <v/>
      </c>
      <c r="AP197" s="647" t="str">
        <f t="shared" si="7"/>
        <v/>
      </c>
      <c r="AQ197" s="647" t="str">
        <f t="shared" si="8"/>
        <v/>
      </c>
      <c r="AR197" s="647" t="str">
        <f t="shared" si="47"/>
        <v/>
      </c>
      <c r="AS197" s="647" t="str">
        <f t="shared" si="9"/>
        <v/>
      </c>
      <c r="AT197" s="647" t="str">
        <f t="shared" si="51"/>
        <v/>
      </c>
      <c r="AU197" s="647" t="str">
        <f t="shared" si="52"/>
        <v/>
      </c>
      <c r="AV197" s="647" t="str">
        <f t="shared" si="45"/>
        <v/>
      </c>
      <c r="AW197" s="647" t="str">
        <f t="shared" si="11"/>
        <v/>
      </c>
      <c r="AX197" s="647" t="str">
        <f t="shared" si="12"/>
        <v/>
      </c>
      <c r="AY197" s="647" t="str">
        <f t="shared" si="13"/>
        <v/>
      </c>
      <c r="AZ197" s="647" t="str">
        <f t="shared" si="46"/>
        <v/>
      </c>
      <c r="BA197" s="647" t="str">
        <f t="shared" si="15"/>
        <v/>
      </c>
    </row>
    <row r="198" spans="2:53" s="7" customFormat="1" ht="28.5" hidden="1" customHeight="1" outlineLevel="1">
      <c r="B198" s="64"/>
      <c r="C198" s="649">
        <v>182</v>
      </c>
      <c r="D198" s="1855"/>
      <c r="E198" s="1856"/>
      <c r="F198" s="1856"/>
      <c r="G198" s="1856"/>
      <c r="H198" s="1856"/>
      <c r="I198" s="1856"/>
      <c r="J198" s="1856"/>
      <c r="K198" s="1857"/>
      <c r="L198" s="643" t="str">
        <f t="shared" si="43"/>
        <v/>
      </c>
      <c r="M198" s="664"/>
      <c r="N198" s="665"/>
      <c r="O198" s="267"/>
      <c r="P198" s="666"/>
      <c r="Q198" s="667"/>
      <c r="R198" s="667"/>
      <c r="S198" s="1035"/>
      <c r="T198" s="668"/>
      <c r="U198" s="668"/>
      <c r="V198" s="668"/>
      <c r="W198" s="668"/>
      <c r="X198" s="669"/>
      <c r="Y198" s="670"/>
      <c r="Z198" s="671"/>
      <c r="AA198" s="644"/>
      <c r="AB198" s="978"/>
      <c r="AC198" s="992"/>
      <c r="AD198" s="89"/>
      <c r="AE198" s="89"/>
      <c r="AF198" s="645" t="str">
        <f t="shared" si="48"/>
        <v/>
      </c>
      <c r="AG198" s="1037" t="str">
        <f t="shared" si="49"/>
        <v/>
      </c>
      <c r="AH198" s="1037" t="str">
        <f t="shared" si="50"/>
        <v/>
      </c>
      <c r="AI198" s="1037" t="str">
        <f>IF(AF198="","",VLOOKUP(AF198,リスト!BD:BE,2,0))</f>
        <v/>
      </c>
      <c r="AJ198" s="1037" t="str">
        <f t="shared" si="2"/>
        <v/>
      </c>
      <c r="AK198" s="1037" t="str">
        <f>IF(AJ198="","",VLOOKUP(AJ198,リスト!BW:BX,2,0))</f>
        <v/>
      </c>
      <c r="AL198" s="1037" t="str">
        <f t="shared" si="44"/>
        <v/>
      </c>
      <c r="AM198" s="646" t="str">
        <f t="shared" si="4"/>
        <v/>
      </c>
      <c r="AN198" s="646" t="str">
        <f t="shared" si="5"/>
        <v/>
      </c>
      <c r="AO198" s="647" t="str">
        <f t="shared" si="6"/>
        <v/>
      </c>
      <c r="AP198" s="647" t="str">
        <f t="shared" si="7"/>
        <v/>
      </c>
      <c r="AQ198" s="647" t="str">
        <f t="shared" si="8"/>
        <v/>
      </c>
      <c r="AR198" s="647" t="str">
        <f t="shared" si="47"/>
        <v/>
      </c>
      <c r="AS198" s="647" t="str">
        <f t="shared" si="9"/>
        <v/>
      </c>
      <c r="AT198" s="647" t="str">
        <f t="shared" si="51"/>
        <v/>
      </c>
      <c r="AU198" s="647" t="str">
        <f t="shared" si="52"/>
        <v/>
      </c>
      <c r="AV198" s="647" t="str">
        <f t="shared" si="45"/>
        <v/>
      </c>
      <c r="AW198" s="647" t="str">
        <f t="shared" si="11"/>
        <v/>
      </c>
      <c r="AX198" s="647" t="str">
        <f t="shared" si="12"/>
        <v/>
      </c>
      <c r="AY198" s="647" t="str">
        <f t="shared" si="13"/>
        <v/>
      </c>
      <c r="AZ198" s="647" t="str">
        <f t="shared" si="46"/>
        <v/>
      </c>
      <c r="BA198" s="647" t="str">
        <f t="shared" si="15"/>
        <v/>
      </c>
    </row>
    <row r="199" spans="2:53" s="7" customFormat="1" ht="28.5" hidden="1" customHeight="1" outlineLevel="1">
      <c r="B199" s="64"/>
      <c r="C199" s="649">
        <v>183</v>
      </c>
      <c r="D199" s="1855"/>
      <c r="E199" s="1856"/>
      <c r="F199" s="1856"/>
      <c r="G199" s="1856"/>
      <c r="H199" s="1856"/>
      <c r="I199" s="1856"/>
      <c r="J199" s="1856"/>
      <c r="K199" s="1857"/>
      <c r="L199" s="643" t="str">
        <f t="shared" si="43"/>
        <v/>
      </c>
      <c r="M199" s="664"/>
      <c r="N199" s="665"/>
      <c r="O199" s="267"/>
      <c r="P199" s="666"/>
      <c r="Q199" s="667"/>
      <c r="R199" s="667"/>
      <c r="S199" s="1035"/>
      <c r="T199" s="668"/>
      <c r="U199" s="668"/>
      <c r="V199" s="668"/>
      <c r="W199" s="668"/>
      <c r="X199" s="669"/>
      <c r="Y199" s="670"/>
      <c r="Z199" s="671"/>
      <c r="AA199" s="644"/>
      <c r="AB199" s="978"/>
      <c r="AC199" s="992"/>
      <c r="AD199" s="89"/>
      <c r="AE199" s="89"/>
      <c r="AF199" s="645" t="str">
        <f t="shared" si="48"/>
        <v/>
      </c>
      <c r="AG199" s="1037" t="str">
        <f t="shared" si="49"/>
        <v/>
      </c>
      <c r="AH199" s="1037" t="str">
        <f t="shared" si="50"/>
        <v/>
      </c>
      <c r="AI199" s="1037" t="str">
        <f>IF(AF199="","",VLOOKUP(AF199,リスト!BD:BE,2,0))</f>
        <v/>
      </c>
      <c r="AJ199" s="1037" t="str">
        <f t="shared" si="2"/>
        <v/>
      </c>
      <c r="AK199" s="1037" t="str">
        <f>IF(AJ199="","",VLOOKUP(AJ199,リスト!BW:BX,2,0))</f>
        <v/>
      </c>
      <c r="AL199" s="1037" t="str">
        <f t="shared" si="44"/>
        <v/>
      </c>
      <c r="AM199" s="646" t="str">
        <f t="shared" si="4"/>
        <v/>
      </c>
      <c r="AN199" s="646" t="str">
        <f t="shared" si="5"/>
        <v/>
      </c>
      <c r="AO199" s="647" t="str">
        <f t="shared" si="6"/>
        <v/>
      </c>
      <c r="AP199" s="647" t="str">
        <f t="shared" si="7"/>
        <v/>
      </c>
      <c r="AQ199" s="647" t="str">
        <f t="shared" si="8"/>
        <v/>
      </c>
      <c r="AR199" s="647" t="str">
        <f t="shared" si="47"/>
        <v/>
      </c>
      <c r="AS199" s="647" t="str">
        <f t="shared" si="9"/>
        <v/>
      </c>
      <c r="AT199" s="647" t="str">
        <f t="shared" si="51"/>
        <v/>
      </c>
      <c r="AU199" s="647" t="str">
        <f t="shared" si="52"/>
        <v/>
      </c>
      <c r="AV199" s="647" t="str">
        <f t="shared" si="45"/>
        <v/>
      </c>
      <c r="AW199" s="647" t="str">
        <f t="shared" si="11"/>
        <v/>
      </c>
      <c r="AX199" s="647" t="str">
        <f t="shared" si="12"/>
        <v/>
      </c>
      <c r="AY199" s="647" t="str">
        <f t="shared" si="13"/>
        <v/>
      </c>
      <c r="AZ199" s="647" t="str">
        <f t="shared" si="46"/>
        <v/>
      </c>
      <c r="BA199" s="647" t="str">
        <f t="shared" si="15"/>
        <v/>
      </c>
    </row>
    <row r="200" spans="2:53" s="7" customFormat="1" ht="28.5" hidden="1" customHeight="1" outlineLevel="1">
      <c r="B200" s="64"/>
      <c r="C200" s="649">
        <v>184</v>
      </c>
      <c r="D200" s="1855"/>
      <c r="E200" s="1856"/>
      <c r="F200" s="1856"/>
      <c r="G200" s="1856"/>
      <c r="H200" s="1856"/>
      <c r="I200" s="1856"/>
      <c r="J200" s="1856"/>
      <c r="K200" s="1857"/>
      <c r="L200" s="643" t="str">
        <f t="shared" si="43"/>
        <v/>
      </c>
      <c r="M200" s="664"/>
      <c r="N200" s="665"/>
      <c r="O200" s="267"/>
      <c r="P200" s="666"/>
      <c r="Q200" s="667"/>
      <c r="R200" s="667"/>
      <c r="S200" s="1035"/>
      <c r="T200" s="668"/>
      <c r="U200" s="668"/>
      <c r="V200" s="668"/>
      <c r="W200" s="668"/>
      <c r="X200" s="669"/>
      <c r="Y200" s="670"/>
      <c r="Z200" s="671"/>
      <c r="AA200" s="644"/>
      <c r="AB200" s="978"/>
      <c r="AC200" s="992"/>
      <c r="AD200" s="89"/>
      <c r="AE200" s="89"/>
      <c r="AF200" s="645" t="str">
        <f t="shared" si="48"/>
        <v/>
      </c>
      <c r="AG200" s="1037" t="str">
        <f t="shared" si="49"/>
        <v/>
      </c>
      <c r="AH200" s="1037" t="str">
        <f t="shared" si="50"/>
        <v/>
      </c>
      <c r="AI200" s="1037" t="str">
        <f>IF(AF200="","",VLOOKUP(AF200,リスト!BD:BE,2,0))</f>
        <v/>
      </c>
      <c r="AJ200" s="1037" t="str">
        <f t="shared" si="2"/>
        <v/>
      </c>
      <c r="AK200" s="1037" t="str">
        <f>IF(AJ200="","",VLOOKUP(AJ200,リスト!BW:BX,2,0))</f>
        <v/>
      </c>
      <c r="AL200" s="1037" t="str">
        <f t="shared" si="44"/>
        <v/>
      </c>
      <c r="AM200" s="646" t="str">
        <f t="shared" si="4"/>
        <v/>
      </c>
      <c r="AN200" s="646" t="str">
        <f t="shared" si="5"/>
        <v/>
      </c>
      <c r="AO200" s="647" t="str">
        <f t="shared" si="6"/>
        <v/>
      </c>
      <c r="AP200" s="647" t="str">
        <f t="shared" si="7"/>
        <v/>
      </c>
      <c r="AQ200" s="647" t="str">
        <f t="shared" si="8"/>
        <v/>
      </c>
      <c r="AR200" s="647" t="str">
        <f t="shared" si="47"/>
        <v/>
      </c>
      <c r="AS200" s="647" t="str">
        <f t="shared" si="9"/>
        <v/>
      </c>
      <c r="AT200" s="647" t="str">
        <f t="shared" si="51"/>
        <v/>
      </c>
      <c r="AU200" s="647" t="str">
        <f t="shared" si="52"/>
        <v/>
      </c>
      <c r="AV200" s="647" t="str">
        <f t="shared" si="45"/>
        <v/>
      </c>
      <c r="AW200" s="647" t="str">
        <f t="shared" si="11"/>
        <v/>
      </c>
      <c r="AX200" s="647" t="str">
        <f t="shared" si="12"/>
        <v/>
      </c>
      <c r="AY200" s="647" t="str">
        <f t="shared" si="13"/>
        <v/>
      </c>
      <c r="AZ200" s="647" t="str">
        <f t="shared" si="46"/>
        <v/>
      </c>
      <c r="BA200" s="647" t="str">
        <f t="shared" si="15"/>
        <v/>
      </c>
    </row>
    <row r="201" spans="2:53" s="7" customFormat="1" ht="28.5" hidden="1" customHeight="1" outlineLevel="1">
      <c r="B201" s="64"/>
      <c r="C201" s="649">
        <v>185</v>
      </c>
      <c r="D201" s="1855"/>
      <c r="E201" s="1856"/>
      <c r="F201" s="1856"/>
      <c r="G201" s="1856"/>
      <c r="H201" s="1856"/>
      <c r="I201" s="1856"/>
      <c r="J201" s="1856"/>
      <c r="K201" s="1857"/>
      <c r="L201" s="643" t="str">
        <f t="shared" si="43"/>
        <v/>
      </c>
      <c r="M201" s="664"/>
      <c r="N201" s="665"/>
      <c r="O201" s="267"/>
      <c r="P201" s="666"/>
      <c r="Q201" s="667"/>
      <c r="R201" s="667"/>
      <c r="S201" s="1035"/>
      <c r="T201" s="668"/>
      <c r="U201" s="668"/>
      <c r="V201" s="668"/>
      <c r="W201" s="668"/>
      <c r="X201" s="669"/>
      <c r="Y201" s="670"/>
      <c r="Z201" s="671"/>
      <c r="AA201" s="644"/>
      <c r="AB201" s="978"/>
      <c r="AC201" s="992"/>
      <c r="AD201" s="89"/>
      <c r="AE201" s="89"/>
      <c r="AF201" s="645" t="str">
        <f t="shared" si="48"/>
        <v/>
      </c>
      <c r="AG201" s="1037" t="str">
        <f t="shared" si="49"/>
        <v/>
      </c>
      <c r="AH201" s="1037" t="str">
        <f t="shared" si="50"/>
        <v/>
      </c>
      <c r="AI201" s="1037" t="str">
        <f>IF(AF201="","",VLOOKUP(AF201,リスト!BD:BE,2,0))</f>
        <v/>
      </c>
      <c r="AJ201" s="1037" t="str">
        <f t="shared" si="2"/>
        <v/>
      </c>
      <c r="AK201" s="1037" t="str">
        <f>IF(AJ201="","",VLOOKUP(AJ201,リスト!BW:BX,2,0))</f>
        <v/>
      </c>
      <c r="AL201" s="1037" t="str">
        <f t="shared" si="44"/>
        <v/>
      </c>
      <c r="AM201" s="646" t="str">
        <f t="shared" si="4"/>
        <v/>
      </c>
      <c r="AN201" s="646" t="str">
        <f t="shared" si="5"/>
        <v/>
      </c>
      <c r="AO201" s="647" t="str">
        <f t="shared" si="6"/>
        <v/>
      </c>
      <c r="AP201" s="647" t="str">
        <f t="shared" si="7"/>
        <v/>
      </c>
      <c r="AQ201" s="647" t="str">
        <f t="shared" si="8"/>
        <v/>
      </c>
      <c r="AR201" s="647" t="str">
        <f t="shared" si="47"/>
        <v/>
      </c>
      <c r="AS201" s="647" t="str">
        <f t="shared" si="9"/>
        <v/>
      </c>
      <c r="AT201" s="647" t="str">
        <f t="shared" si="51"/>
        <v/>
      </c>
      <c r="AU201" s="647" t="str">
        <f t="shared" si="52"/>
        <v/>
      </c>
      <c r="AV201" s="647" t="str">
        <f t="shared" si="45"/>
        <v/>
      </c>
      <c r="AW201" s="647" t="str">
        <f t="shared" si="11"/>
        <v/>
      </c>
      <c r="AX201" s="647" t="str">
        <f t="shared" si="12"/>
        <v/>
      </c>
      <c r="AY201" s="647" t="str">
        <f t="shared" si="13"/>
        <v/>
      </c>
      <c r="AZ201" s="647" t="str">
        <f t="shared" si="46"/>
        <v/>
      </c>
      <c r="BA201" s="647" t="str">
        <f t="shared" si="15"/>
        <v/>
      </c>
    </row>
    <row r="202" spans="2:53" s="7" customFormat="1" ht="28.5" hidden="1" customHeight="1" outlineLevel="1">
      <c r="B202" s="64"/>
      <c r="C202" s="649">
        <v>186</v>
      </c>
      <c r="D202" s="1855"/>
      <c r="E202" s="1856"/>
      <c r="F202" s="1856"/>
      <c r="G202" s="1856"/>
      <c r="H202" s="1856"/>
      <c r="I202" s="1856"/>
      <c r="J202" s="1856"/>
      <c r="K202" s="1857"/>
      <c r="L202" s="643" t="str">
        <f t="shared" si="43"/>
        <v/>
      </c>
      <c r="M202" s="664"/>
      <c r="N202" s="665"/>
      <c r="O202" s="267"/>
      <c r="P202" s="666"/>
      <c r="Q202" s="667"/>
      <c r="R202" s="667"/>
      <c r="S202" s="1035"/>
      <c r="T202" s="668"/>
      <c r="U202" s="668"/>
      <c r="V202" s="668"/>
      <c r="W202" s="668"/>
      <c r="X202" s="669"/>
      <c r="Y202" s="670"/>
      <c r="Z202" s="671"/>
      <c r="AA202" s="644"/>
      <c r="AB202" s="978"/>
      <c r="AC202" s="992"/>
      <c r="AD202" s="89"/>
      <c r="AE202" s="89"/>
      <c r="AF202" s="645" t="str">
        <f t="shared" si="48"/>
        <v/>
      </c>
      <c r="AG202" s="1037" t="str">
        <f t="shared" si="49"/>
        <v/>
      </c>
      <c r="AH202" s="1037" t="str">
        <f t="shared" si="50"/>
        <v/>
      </c>
      <c r="AI202" s="1037" t="str">
        <f>IF(AF202="","",VLOOKUP(AF202,リスト!BD:BE,2,0))</f>
        <v/>
      </c>
      <c r="AJ202" s="1037" t="str">
        <f t="shared" si="2"/>
        <v/>
      </c>
      <c r="AK202" s="1037" t="str">
        <f>IF(AJ202="","",VLOOKUP(AJ202,リスト!BW:BX,2,0))</f>
        <v/>
      </c>
      <c r="AL202" s="1037" t="str">
        <f t="shared" si="44"/>
        <v/>
      </c>
      <c r="AM202" s="646" t="str">
        <f t="shared" si="4"/>
        <v/>
      </c>
      <c r="AN202" s="646" t="str">
        <f t="shared" si="5"/>
        <v/>
      </c>
      <c r="AO202" s="647" t="str">
        <f t="shared" si="6"/>
        <v/>
      </c>
      <c r="AP202" s="647" t="str">
        <f t="shared" si="7"/>
        <v/>
      </c>
      <c r="AQ202" s="647" t="str">
        <f t="shared" si="8"/>
        <v/>
      </c>
      <c r="AR202" s="647" t="str">
        <f t="shared" si="47"/>
        <v/>
      </c>
      <c r="AS202" s="647" t="str">
        <f t="shared" si="9"/>
        <v/>
      </c>
      <c r="AT202" s="647" t="str">
        <f t="shared" si="51"/>
        <v/>
      </c>
      <c r="AU202" s="647" t="str">
        <f t="shared" si="52"/>
        <v/>
      </c>
      <c r="AV202" s="647" t="str">
        <f t="shared" si="45"/>
        <v/>
      </c>
      <c r="AW202" s="647" t="str">
        <f t="shared" si="11"/>
        <v/>
      </c>
      <c r="AX202" s="647" t="str">
        <f t="shared" si="12"/>
        <v/>
      </c>
      <c r="AY202" s="647" t="str">
        <f t="shared" si="13"/>
        <v/>
      </c>
      <c r="AZ202" s="647" t="str">
        <f t="shared" si="46"/>
        <v/>
      </c>
      <c r="BA202" s="647" t="str">
        <f t="shared" si="15"/>
        <v/>
      </c>
    </row>
    <row r="203" spans="2:53" s="7" customFormat="1" ht="28.5" hidden="1" customHeight="1" outlineLevel="1">
      <c r="B203" s="64"/>
      <c r="C203" s="649">
        <v>187</v>
      </c>
      <c r="D203" s="1855"/>
      <c r="E203" s="1856"/>
      <c r="F203" s="1856"/>
      <c r="G203" s="1856"/>
      <c r="H203" s="1856"/>
      <c r="I203" s="1856"/>
      <c r="J203" s="1856"/>
      <c r="K203" s="1857"/>
      <c r="L203" s="643" t="str">
        <f t="shared" si="43"/>
        <v/>
      </c>
      <c r="M203" s="664"/>
      <c r="N203" s="665"/>
      <c r="O203" s="267"/>
      <c r="P203" s="666"/>
      <c r="Q203" s="667"/>
      <c r="R203" s="667"/>
      <c r="S203" s="1035"/>
      <c r="T203" s="668"/>
      <c r="U203" s="668"/>
      <c r="V203" s="668"/>
      <c r="W203" s="668"/>
      <c r="X203" s="669"/>
      <c r="Y203" s="670"/>
      <c r="Z203" s="671"/>
      <c r="AA203" s="644"/>
      <c r="AB203" s="978"/>
      <c r="AC203" s="992"/>
      <c r="AD203" s="89"/>
      <c r="AE203" s="89"/>
      <c r="AF203" s="645" t="str">
        <f t="shared" si="48"/>
        <v/>
      </c>
      <c r="AG203" s="1037" t="str">
        <f t="shared" si="49"/>
        <v/>
      </c>
      <c r="AH203" s="1037" t="str">
        <f t="shared" si="50"/>
        <v/>
      </c>
      <c r="AI203" s="1037" t="str">
        <f>IF(AF203="","",VLOOKUP(AF203,リスト!BD:BE,2,0))</f>
        <v/>
      </c>
      <c r="AJ203" s="1037" t="str">
        <f t="shared" si="2"/>
        <v/>
      </c>
      <c r="AK203" s="1037" t="str">
        <f>IF(AJ203="","",VLOOKUP(AJ203,リスト!BW:BX,2,0))</f>
        <v/>
      </c>
      <c r="AL203" s="1037" t="str">
        <f t="shared" si="44"/>
        <v/>
      </c>
      <c r="AM203" s="646" t="str">
        <f t="shared" si="4"/>
        <v/>
      </c>
      <c r="AN203" s="646" t="str">
        <f t="shared" si="5"/>
        <v/>
      </c>
      <c r="AO203" s="647" t="str">
        <f t="shared" si="6"/>
        <v/>
      </c>
      <c r="AP203" s="647" t="str">
        <f t="shared" si="7"/>
        <v/>
      </c>
      <c r="AQ203" s="647" t="str">
        <f t="shared" si="8"/>
        <v/>
      </c>
      <c r="AR203" s="647" t="str">
        <f t="shared" si="47"/>
        <v/>
      </c>
      <c r="AS203" s="647" t="str">
        <f t="shared" si="9"/>
        <v/>
      </c>
      <c r="AT203" s="647" t="str">
        <f t="shared" si="51"/>
        <v/>
      </c>
      <c r="AU203" s="647" t="str">
        <f t="shared" si="52"/>
        <v/>
      </c>
      <c r="AV203" s="647" t="str">
        <f t="shared" si="45"/>
        <v/>
      </c>
      <c r="AW203" s="647" t="str">
        <f t="shared" si="11"/>
        <v/>
      </c>
      <c r="AX203" s="647" t="str">
        <f t="shared" si="12"/>
        <v/>
      </c>
      <c r="AY203" s="647" t="str">
        <f t="shared" si="13"/>
        <v/>
      </c>
      <c r="AZ203" s="647" t="str">
        <f t="shared" si="46"/>
        <v/>
      </c>
      <c r="BA203" s="647" t="str">
        <f t="shared" si="15"/>
        <v/>
      </c>
    </row>
    <row r="204" spans="2:53" s="7" customFormat="1" ht="28.5" hidden="1" customHeight="1" outlineLevel="1">
      <c r="B204" s="64"/>
      <c r="C204" s="649">
        <v>188</v>
      </c>
      <c r="D204" s="1855"/>
      <c r="E204" s="1856"/>
      <c r="F204" s="1856"/>
      <c r="G204" s="1856"/>
      <c r="H204" s="1856"/>
      <c r="I204" s="1856"/>
      <c r="J204" s="1856"/>
      <c r="K204" s="1857"/>
      <c r="L204" s="643" t="str">
        <f t="shared" si="43"/>
        <v/>
      </c>
      <c r="M204" s="664"/>
      <c r="N204" s="665"/>
      <c r="O204" s="267"/>
      <c r="P204" s="666"/>
      <c r="Q204" s="667"/>
      <c r="R204" s="667"/>
      <c r="S204" s="1035"/>
      <c r="T204" s="668"/>
      <c r="U204" s="668"/>
      <c r="V204" s="668"/>
      <c r="W204" s="668"/>
      <c r="X204" s="669"/>
      <c r="Y204" s="670"/>
      <c r="Z204" s="671"/>
      <c r="AA204" s="644"/>
      <c r="AB204" s="978"/>
      <c r="AC204" s="992"/>
      <c r="AD204" s="89"/>
      <c r="AE204" s="89"/>
      <c r="AF204" s="645" t="str">
        <f t="shared" si="48"/>
        <v/>
      </c>
      <c r="AG204" s="1037" t="str">
        <f t="shared" si="49"/>
        <v/>
      </c>
      <c r="AH204" s="1037" t="str">
        <f t="shared" si="50"/>
        <v/>
      </c>
      <c r="AI204" s="1037" t="str">
        <f>IF(AF204="","",VLOOKUP(AF204,リスト!BD:BE,2,0))</f>
        <v/>
      </c>
      <c r="AJ204" s="1037" t="str">
        <f t="shared" si="2"/>
        <v/>
      </c>
      <c r="AK204" s="1037" t="str">
        <f>IF(AJ204="","",VLOOKUP(AJ204,リスト!BW:BX,2,0))</f>
        <v/>
      </c>
      <c r="AL204" s="1037" t="str">
        <f t="shared" si="44"/>
        <v/>
      </c>
      <c r="AM204" s="646" t="str">
        <f t="shared" si="4"/>
        <v/>
      </c>
      <c r="AN204" s="646" t="str">
        <f t="shared" si="5"/>
        <v/>
      </c>
      <c r="AO204" s="647" t="str">
        <f t="shared" si="6"/>
        <v/>
      </c>
      <c r="AP204" s="647" t="str">
        <f t="shared" si="7"/>
        <v/>
      </c>
      <c r="AQ204" s="647" t="str">
        <f t="shared" si="8"/>
        <v/>
      </c>
      <c r="AR204" s="647" t="str">
        <f t="shared" si="47"/>
        <v/>
      </c>
      <c r="AS204" s="647" t="str">
        <f t="shared" si="9"/>
        <v/>
      </c>
      <c r="AT204" s="647" t="str">
        <f t="shared" si="51"/>
        <v/>
      </c>
      <c r="AU204" s="647" t="str">
        <f t="shared" si="52"/>
        <v/>
      </c>
      <c r="AV204" s="647" t="str">
        <f t="shared" si="45"/>
        <v/>
      </c>
      <c r="AW204" s="647" t="str">
        <f t="shared" si="11"/>
        <v/>
      </c>
      <c r="AX204" s="647" t="str">
        <f t="shared" si="12"/>
        <v/>
      </c>
      <c r="AY204" s="647" t="str">
        <f t="shared" si="13"/>
        <v/>
      </c>
      <c r="AZ204" s="647" t="str">
        <f t="shared" si="46"/>
        <v/>
      </c>
      <c r="BA204" s="647" t="str">
        <f t="shared" si="15"/>
        <v/>
      </c>
    </row>
    <row r="205" spans="2:53" s="7" customFormat="1" ht="28.5" hidden="1" customHeight="1" outlineLevel="1">
      <c r="B205" s="64"/>
      <c r="C205" s="649">
        <v>189</v>
      </c>
      <c r="D205" s="1855"/>
      <c r="E205" s="1856"/>
      <c r="F205" s="1856"/>
      <c r="G205" s="1856"/>
      <c r="H205" s="1856"/>
      <c r="I205" s="1856"/>
      <c r="J205" s="1856"/>
      <c r="K205" s="1857"/>
      <c r="L205" s="643" t="str">
        <f t="shared" si="43"/>
        <v/>
      </c>
      <c r="M205" s="664"/>
      <c r="N205" s="665"/>
      <c r="O205" s="267"/>
      <c r="P205" s="666"/>
      <c r="Q205" s="667"/>
      <c r="R205" s="667"/>
      <c r="S205" s="1035"/>
      <c r="T205" s="668"/>
      <c r="U205" s="668"/>
      <c r="V205" s="668"/>
      <c r="W205" s="668"/>
      <c r="X205" s="669"/>
      <c r="Y205" s="670"/>
      <c r="Z205" s="671"/>
      <c r="AA205" s="644"/>
      <c r="AB205" s="978"/>
      <c r="AC205" s="992"/>
      <c r="AD205" s="89"/>
      <c r="AE205" s="89"/>
      <c r="AF205" s="645" t="str">
        <f t="shared" si="48"/>
        <v/>
      </c>
      <c r="AG205" s="1037" t="str">
        <f t="shared" si="49"/>
        <v/>
      </c>
      <c r="AH205" s="1037" t="str">
        <f t="shared" si="50"/>
        <v/>
      </c>
      <c r="AI205" s="1037" t="str">
        <f>IF(AF205="","",VLOOKUP(AF205,リスト!BD:BE,2,0))</f>
        <v/>
      </c>
      <c r="AJ205" s="1037" t="str">
        <f t="shared" si="2"/>
        <v/>
      </c>
      <c r="AK205" s="1037" t="str">
        <f>IF(AJ205="","",VLOOKUP(AJ205,リスト!BW:BX,2,0))</f>
        <v/>
      </c>
      <c r="AL205" s="1037" t="str">
        <f t="shared" si="44"/>
        <v/>
      </c>
      <c r="AM205" s="646" t="str">
        <f t="shared" si="4"/>
        <v/>
      </c>
      <c r="AN205" s="646" t="str">
        <f t="shared" si="5"/>
        <v/>
      </c>
      <c r="AO205" s="647" t="str">
        <f t="shared" si="6"/>
        <v/>
      </c>
      <c r="AP205" s="647" t="str">
        <f t="shared" si="7"/>
        <v/>
      </c>
      <c r="AQ205" s="647" t="str">
        <f t="shared" si="8"/>
        <v/>
      </c>
      <c r="AR205" s="647" t="str">
        <f t="shared" si="47"/>
        <v/>
      </c>
      <c r="AS205" s="647" t="str">
        <f t="shared" si="9"/>
        <v/>
      </c>
      <c r="AT205" s="647" t="str">
        <f t="shared" si="51"/>
        <v/>
      </c>
      <c r="AU205" s="647" t="str">
        <f t="shared" si="52"/>
        <v/>
      </c>
      <c r="AV205" s="647" t="str">
        <f t="shared" si="45"/>
        <v/>
      </c>
      <c r="AW205" s="647" t="str">
        <f t="shared" si="11"/>
        <v/>
      </c>
      <c r="AX205" s="647" t="str">
        <f t="shared" si="12"/>
        <v/>
      </c>
      <c r="AY205" s="647" t="str">
        <f t="shared" si="13"/>
        <v/>
      </c>
      <c r="AZ205" s="647" t="str">
        <f t="shared" si="46"/>
        <v/>
      </c>
      <c r="BA205" s="647" t="str">
        <f t="shared" si="15"/>
        <v/>
      </c>
    </row>
    <row r="206" spans="2:53" s="7" customFormat="1" ht="28.5" hidden="1" customHeight="1" outlineLevel="1">
      <c r="B206" s="64"/>
      <c r="C206" s="649">
        <v>190</v>
      </c>
      <c r="D206" s="1855"/>
      <c r="E206" s="1856"/>
      <c r="F206" s="1856"/>
      <c r="G206" s="1856"/>
      <c r="H206" s="1856"/>
      <c r="I206" s="1856"/>
      <c r="J206" s="1856"/>
      <c r="K206" s="1857"/>
      <c r="L206" s="643" t="str">
        <f t="shared" si="43"/>
        <v/>
      </c>
      <c r="M206" s="664"/>
      <c r="N206" s="665"/>
      <c r="O206" s="267"/>
      <c r="P206" s="666"/>
      <c r="Q206" s="667"/>
      <c r="R206" s="667"/>
      <c r="S206" s="1035"/>
      <c r="T206" s="668"/>
      <c r="U206" s="668"/>
      <c r="V206" s="668"/>
      <c r="W206" s="668"/>
      <c r="X206" s="669"/>
      <c r="Y206" s="670"/>
      <c r="Z206" s="671"/>
      <c r="AA206" s="644"/>
      <c r="AB206" s="978"/>
      <c r="AC206" s="992"/>
      <c r="AD206" s="89"/>
      <c r="AE206" s="89"/>
      <c r="AF206" s="645" t="str">
        <f t="shared" si="48"/>
        <v/>
      </c>
      <c r="AG206" s="1037" t="str">
        <f t="shared" si="49"/>
        <v/>
      </c>
      <c r="AH206" s="1037" t="str">
        <f t="shared" si="50"/>
        <v/>
      </c>
      <c r="AI206" s="1037" t="str">
        <f>IF(AF206="","",VLOOKUP(AF206,リスト!BD:BE,2,0))</f>
        <v/>
      </c>
      <c r="AJ206" s="1037" t="str">
        <f t="shared" si="2"/>
        <v/>
      </c>
      <c r="AK206" s="1037" t="str">
        <f>IF(AJ206="","",VLOOKUP(AJ206,リスト!BW:BX,2,0))</f>
        <v/>
      </c>
      <c r="AL206" s="1037" t="str">
        <f t="shared" si="44"/>
        <v/>
      </c>
      <c r="AM206" s="646" t="str">
        <f t="shared" si="4"/>
        <v/>
      </c>
      <c r="AN206" s="646" t="str">
        <f t="shared" si="5"/>
        <v/>
      </c>
      <c r="AO206" s="647" t="str">
        <f t="shared" si="6"/>
        <v/>
      </c>
      <c r="AP206" s="647" t="str">
        <f t="shared" si="7"/>
        <v/>
      </c>
      <c r="AQ206" s="647" t="str">
        <f t="shared" si="8"/>
        <v/>
      </c>
      <c r="AR206" s="647" t="str">
        <f t="shared" si="47"/>
        <v/>
      </c>
      <c r="AS206" s="647" t="str">
        <f t="shared" si="9"/>
        <v/>
      </c>
      <c r="AT206" s="647" t="str">
        <f t="shared" si="51"/>
        <v/>
      </c>
      <c r="AU206" s="647" t="str">
        <f t="shared" si="52"/>
        <v/>
      </c>
      <c r="AV206" s="647" t="str">
        <f t="shared" si="45"/>
        <v/>
      </c>
      <c r="AW206" s="647" t="str">
        <f t="shared" si="11"/>
        <v/>
      </c>
      <c r="AX206" s="647" t="str">
        <f t="shared" si="12"/>
        <v/>
      </c>
      <c r="AY206" s="647" t="str">
        <f t="shared" si="13"/>
        <v/>
      </c>
      <c r="AZ206" s="647" t="str">
        <f t="shared" si="46"/>
        <v/>
      </c>
      <c r="BA206" s="647" t="str">
        <f t="shared" si="15"/>
        <v/>
      </c>
    </row>
    <row r="207" spans="2:53" s="7" customFormat="1" ht="28.5" hidden="1" customHeight="1" outlineLevel="1">
      <c r="B207" s="64"/>
      <c r="C207" s="649">
        <v>191</v>
      </c>
      <c r="D207" s="1855"/>
      <c r="E207" s="1856"/>
      <c r="F207" s="1856"/>
      <c r="G207" s="1856"/>
      <c r="H207" s="1856"/>
      <c r="I207" s="1856"/>
      <c r="J207" s="1856"/>
      <c r="K207" s="1857"/>
      <c r="L207" s="643" t="str">
        <f t="shared" si="43"/>
        <v/>
      </c>
      <c r="M207" s="664"/>
      <c r="N207" s="665"/>
      <c r="O207" s="267"/>
      <c r="P207" s="666"/>
      <c r="Q207" s="667"/>
      <c r="R207" s="667"/>
      <c r="S207" s="1035"/>
      <c r="T207" s="668"/>
      <c r="U207" s="668"/>
      <c r="V207" s="668"/>
      <c r="W207" s="668"/>
      <c r="X207" s="669"/>
      <c r="Y207" s="670"/>
      <c r="Z207" s="671"/>
      <c r="AA207" s="644"/>
      <c r="AB207" s="978"/>
      <c r="AC207" s="992"/>
      <c r="AD207" s="89"/>
      <c r="AE207" s="89"/>
      <c r="AF207" s="645" t="str">
        <f t="shared" si="48"/>
        <v/>
      </c>
      <c r="AG207" s="1037" t="str">
        <f t="shared" si="49"/>
        <v/>
      </c>
      <c r="AH207" s="1037" t="str">
        <f t="shared" si="50"/>
        <v/>
      </c>
      <c r="AI207" s="1037" t="str">
        <f>IF(AF207="","",VLOOKUP(AF207,リスト!BD:BE,2,0))</f>
        <v/>
      </c>
      <c r="AJ207" s="1037" t="str">
        <f t="shared" si="2"/>
        <v/>
      </c>
      <c r="AK207" s="1037" t="str">
        <f>IF(AJ207="","",VLOOKUP(AJ207,リスト!BW:BX,2,0))</f>
        <v/>
      </c>
      <c r="AL207" s="1037" t="str">
        <f t="shared" si="44"/>
        <v/>
      </c>
      <c r="AM207" s="646" t="str">
        <f t="shared" si="4"/>
        <v/>
      </c>
      <c r="AN207" s="646" t="str">
        <f t="shared" si="5"/>
        <v/>
      </c>
      <c r="AO207" s="647" t="str">
        <f t="shared" si="6"/>
        <v/>
      </c>
      <c r="AP207" s="647" t="str">
        <f t="shared" si="7"/>
        <v/>
      </c>
      <c r="AQ207" s="647" t="str">
        <f t="shared" si="8"/>
        <v/>
      </c>
      <c r="AR207" s="647" t="str">
        <f t="shared" si="47"/>
        <v/>
      </c>
      <c r="AS207" s="647" t="str">
        <f t="shared" si="9"/>
        <v/>
      </c>
      <c r="AT207" s="647" t="str">
        <f t="shared" si="51"/>
        <v/>
      </c>
      <c r="AU207" s="647" t="str">
        <f t="shared" si="52"/>
        <v/>
      </c>
      <c r="AV207" s="647" t="str">
        <f t="shared" si="45"/>
        <v/>
      </c>
      <c r="AW207" s="647" t="str">
        <f t="shared" si="11"/>
        <v/>
      </c>
      <c r="AX207" s="647" t="str">
        <f t="shared" si="12"/>
        <v/>
      </c>
      <c r="AY207" s="647" t="str">
        <f t="shared" si="13"/>
        <v/>
      </c>
      <c r="AZ207" s="647" t="str">
        <f t="shared" si="46"/>
        <v/>
      </c>
      <c r="BA207" s="647" t="str">
        <f t="shared" si="15"/>
        <v/>
      </c>
    </row>
    <row r="208" spans="2:53" s="7" customFormat="1" ht="28.5" hidden="1" customHeight="1" outlineLevel="1">
      <c r="B208" s="64"/>
      <c r="C208" s="649">
        <v>192</v>
      </c>
      <c r="D208" s="1855"/>
      <c r="E208" s="1856"/>
      <c r="F208" s="1856"/>
      <c r="G208" s="1856"/>
      <c r="H208" s="1856"/>
      <c r="I208" s="1856"/>
      <c r="J208" s="1856"/>
      <c r="K208" s="1857"/>
      <c r="L208" s="643" t="str">
        <f t="shared" si="43"/>
        <v/>
      </c>
      <c r="M208" s="664"/>
      <c r="N208" s="665"/>
      <c r="O208" s="267"/>
      <c r="P208" s="666"/>
      <c r="Q208" s="667"/>
      <c r="R208" s="667"/>
      <c r="S208" s="1035"/>
      <c r="T208" s="668"/>
      <c r="U208" s="668"/>
      <c r="V208" s="668"/>
      <c r="W208" s="668"/>
      <c r="X208" s="669"/>
      <c r="Y208" s="670"/>
      <c r="Z208" s="671"/>
      <c r="AA208" s="644"/>
      <c r="AB208" s="978"/>
      <c r="AC208" s="992"/>
      <c r="AD208" s="89"/>
      <c r="AE208" s="89"/>
      <c r="AF208" s="645" t="str">
        <f t="shared" si="48"/>
        <v/>
      </c>
      <c r="AG208" s="1037" t="str">
        <f t="shared" si="49"/>
        <v/>
      </c>
      <c r="AH208" s="1037" t="str">
        <f t="shared" si="50"/>
        <v/>
      </c>
      <c r="AI208" s="1037" t="str">
        <f>IF(AF208="","",VLOOKUP(AF208,リスト!BD:BE,2,0))</f>
        <v/>
      </c>
      <c r="AJ208" s="1037" t="str">
        <f t="shared" si="2"/>
        <v/>
      </c>
      <c r="AK208" s="1037" t="str">
        <f>IF(AJ208="","",VLOOKUP(AJ208,リスト!BW:BX,2,0))</f>
        <v/>
      </c>
      <c r="AL208" s="1037" t="str">
        <f t="shared" si="44"/>
        <v/>
      </c>
      <c r="AM208" s="646" t="str">
        <f t="shared" si="4"/>
        <v/>
      </c>
      <c r="AN208" s="646" t="str">
        <f t="shared" si="5"/>
        <v/>
      </c>
      <c r="AO208" s="647" t="str">
        <f t="shared" si="6"/>
        <v/>
      </c>
      <c r="AP208" s="647" t="str">
        <f t="shared" si="7"/>
        <v/>
      </c>
      <c r="AQ208" s="647" t="str">
        <f t="shared" si="8"/>
        <v/>
      </c>
      <c r="AR208" s="647" t="str">
        <f t="shared" si="47"/>
        <v/>
      </c>
      <c r="AS208" s="647" t="str">
        <f t="shared" si="9"/>
        <v/>
      </c>
      <c r="AT208" s="647" t="str">
        <f t="shared" si="51"/>
        <v/>
      </c>
      <c r="AU208" s="647" t="str">
        <f t="shared" si="52"/>
        <v/>
      </c>
      <c r="AV208" s="647" t="str">
        <f t="shared" si="45"/>
        <v/>
      </c>
      <c r="AW208" s="647" t="str">
        <f t="shared" si="11"/>
        <v/>
      </c>
      <c r="AX208" s="647" t="str">
        <f t="shared" si="12"/>
        <v/>
      </c>
      <c r="AY208" s="647" t="str">
        <f t="shared" si="13"/>
        <v/>
      </c>
      <c r="AZ208" s="647" t="str">
        <f t="shared" si="46"/>
        <v/>
      </c>
      <c r="BA208" s="647" t="str">
        <f t="shared" si="15"/>
        <v/>
      </c>
    </row>
    <row r="209" spans="2:53" s="7" customFormat="1" ht="28.5" hidden="1" customHeight="1" outlineLevel="1">
      <c r="B209" s="64"/>
      <c r="C209" s="649">
        <v>193</v>
      </c>
      <c r="D209" s="1855"/>
      <c r="E209" s="1856"/>
      <c r="F209" s="1856"/>
      <c r="G209" s="1856"/>
      <c r="H209" s="1856"/>
      <c r="I209" s="1856"/>
      <c r="J209" s="1856"/>
      <c r="K209" s="1857"/>
      <c r="L209" s="643" t="str">
        <f t="shared" ref="L209:L272" si="53">IF(M209&gt;0,IF(COUNTIF(建築物種類コード,M209),"建築物","構築物"),"")</f>
        <v/>
      </c>
      <c r="M209" s="664"/>
      <c r="N209" s="665"/>
      <c r="O209" s="267"/>
      <c r="P209" s="666"/>
      <c r="Q209" s="667"/>
      <c r="R209" s="667"/>
      <c r="S209" s="1035"/>
      <c r="T209" s="668"/>
      <c r="U209" s="668"/>
      <c r="V209" s="668"/>
      <c r="W209" s="668"/>
      <c r="X209" s="669"/>
      <c r="Y209" s="670"/>
      <c r="Z209" s="671"/>
      <c r="AA209" s="644"/>
      <c r="AB209" s="978"/>
      <c r="AC209" s="992"/>
      <c r="AD209" s="89"/>
      <c r="AE209" s="89"/>
      <c r="AF209" s="645" t="str">
        <f t="shared" si="48"/>
        <v/>
      </c>
      <c r="AG209" s="1037" t="str">
        <f t="shared" si="49"/>
        <v/>
      </c>
      <c r="AH209" s="1037" t="str">
        <f t="shared" si="50"/>
        <v/>
      </c>
      <c r="AI209" s="1037" t="str">
        <f>IF(AF209="","",VLOOKUP(AF209,リスト!BD:BE,2,0))</f>
        <v/>
      </c>
      <c r="AJ209" s="1037" t="str">
        <f t="shared" si="2"/>
        <v/>
      </c>
      <c r="AK209" s="1037" t="str">
        <f>IF(AJ209="","",VLOOKUP(AJ209,リスト!BW:BX,2,0))</f>
        <v/>
      </c>
      <c r="AL209" s="1037" t="str">
        <f t="shared" ref="AL209:AL272" si="54">IF(AF209="","",調査年-R209)</f>
        <v/>
      </c>
      <c r="AM209" s="646" t="str">
        <f t="shared" si="4"/>
        <v/>
      </c>
      <c r="AN209" s="646" t="str">
        <f t="shared" si="5"/>
        <v/>
      </c>
      <c r="AO209" s="647" t="str">
        <f t="shared" si="6"/>
        <v/>
      </c>
      <c r="AP209" s="647" t="str">
        <f t="shared" si="7"/>
        <v/>
      </c>
      <c r="AQ209" s="647" t="str">
        <f t="shared" si="8"/>
        <v/>
      </c>
      <c r="AR209" s="647" t="str">
        <f t="shared" si="47"/>
        <v/>
      </c>
      <c r="AS209" s="647" t="str">
        <f t="shared" si="9"/>
        <v/>
      </c>
      <c r="AT209" s="647" t="str">
        <f t="shared" si="51"/>
        <v/>
      </c>
      <c r="AU209" s="647" t="str">
        <f t="shared" si="52"/>
        <v/>
      </c>
      <c r="AV209" s="647" t="str">
        <f t="shared" ref="AV209:AV272" si="55">IF(X209="","",IF(OR(R209=調査年,AN209=""),"",ROUND(AN209*X209%,0)))</f>
        <v/>
      </c>
      <c r="AW209" s="647" t="str">
        <f t="shared" si="11"/>
        <v/>
      </c>
      <c r="AX209" s="647" t="str">
        <f t="shared" si="12"/>
        <v/>
      </c>
      <c r="AY209" s="647" t="str">
        <f t="shared" si="13"/>
        <v/>
      </c>
      <c r="AZ209" s="647" t="str">
        <f t="shared" ref="AZ209:AZ272" si="56">IF(OR(X209="",AND(OR(R209&lt;&gt;調査年,AG209=0),V209="",AR209="",W209="")),"",
SUM(
IF(AND(R209=調査年,AG209=1),ROUND(T209*X209%,0),),
ROUND(V209*X209%,0),
ROUND(SUM(AR209)*X209%,0),
))</f>
        <v/>
      </c>
      <c r="BA209" s="647" t="str">
        <f t="shared" si="15"/>
        <v/>
      </c>
    </row>
    <row r="210" spans="2:53" s="7" customFormat="1" ht="28.5" hidden="1" customHeight="1" outlineLevel="1">
      <c r="B210" s="64"/>
      <c r="C210" s="649">
        <v>194</v>
      </c>
      <c r="D210" s="1855"/>
      <c r="E210" s="1856"/>
      <c r="F210" s="1856"/>
      <c r="G210" s="1856"/>
      <c r="H210" s="1856"/>
      <c r="I210" s="1856"/>
      <c r="J210" s="1856"/>
      <c r="K210" s="1857"/>
      <c r="L210" s="643" t="str">
        <f t="shared" si="53"/>
        <v/>
      </c>
      <c r="M210" s="664"/>
      <c r="N210" s="665"/>
      <c r="O210" s="267"/>
      <c r="P210" s="666"/>
      <c r="Q210" s="667"/>
      <c r="R210" s="667"/>
      <c r="S210" s="1035"/>
      <c r="T210" s="668"/>
      <c r="U210" s="668"/>
      <c r="V210" s="668"/>
      <c r="W210" s="668"/>
      <c r="X210" s="669"/>
      <c r="Y210" s="670"/>
      <c r="Z210" s="671"/>
      <c r="AA210" s="644"/>
      <c r="AB210" s="978"/>
      <c r="AC210" s="992"/>
      <c r="AD210" s="89"/>
      <c r="AE210" s="89"/>
      <c r="AF210" s="645" t="str">
        <f t="shared" si="48"/>
        <v/>
      </c>
      <c r="AG210" s="1037" t="str">
        <f t="shared" si="49"/>
        <v/>
      </c>
      <c r="AH210" s="1037" t="str">
        <f t="shared" si="50"/>
        <v/>
      </c>
      <c r="AI210" s="1037" t="str">
        <f>IF(AF210="","",VLOOKUP(AF210,リスト!BD:BE,2,0))</f>
        <v/>
      </c>
      <c r="AJ210" s="1037" t="str">
        <f t="shared" si="2"/>
        <v/>
      </c>
      <c r="AK210" s="1037" t="str">
        <f>IF(AJ210="","",VLOOKUP(AJ210,リスト!BW:BX,2,0))</f>
        <v/>
      </c>
      <c r="AL210" s="1037" t="str">
        <f t="shared" si="54"/>
        <v/>
      </c>
      <c r="AM210" s="646" t="str">
        <f t="shared" si="4"/>
        <v/>
      </c>
      <c r="AN210" s="646" t="str">
        <f t="shared" si="5"/>
        <v/>
      </c>
      <c r="AO210" s="647" t="str">
        <f t="shared" si="6"/>
        <v/>
      </c>
      <c r="AP210" s="647" t="str">
        <f t="shared" si="7"/>
        <v/>
      </c>
      <c r="AQ210" s="647" t="str">
        <f t="shared" si="8"/>
        <v/>
      </c>
      <c r="AR210" s="647" t="str">
        <f t="shared" ref="AR210:AR273" si="57">IF(OR(AF210="",AG210=1),IF(AND(AG210=1,AL210=0),U210,""),
IF(AND(AJ210&gt;0,AL210&lt;AJ210,SUM(AQ210)&gt;0,AQ210&lt;=ROUND(U210*AK210,0)),ROUND(AQ210*IF(Y210="2：部分取り壊し",IFERROR(1-(AC210/O210),1),1),),
IF(AND(AJ210&gt;0,AL210&lt;AJ210,SUM(U210)&gt;0),ROUND(U210*AK210*IF(Y210="2：部分取り壊し",IFERROR(1-(AC210/O210),1),1),0),"")))</f>
        <v/>
      </c>
      <c r="AS210" s="647" t="str">
        <f t="shared" si="9"/>
        <v/>
      </c>
      <c r="AT210" s="647" t="str">
        <f t="shared" si="51"/>
        <v/>
      </c>
      <c r="AU210" s="647" t="str">
        <f t="shared" si="52"/>
        <v/>
      </c>
      <c r="AV210" s="647" t="str">
        <f t="shared" si="55"/>
        <v/>
      </c>
      <c r="AW210" s="647" t="str">
        <f t="shared" si="11"/>
        <v/>
      </c>
      <c r="AX210" s="647" t="str">
        <f t="shared" si="12"/>
        <v/>
      </c>
      <c r="AY210" s="647" t="str">
        <f t="shared" si="13"/>
        <v/>
      </c>
      <c r="AZ210" s="647" t="str">
        <f t="shared" si="56"/>
        <v/>
      </c>
      <c r="BA210" s="647" t="str">
        <f t="shared" si="15"/>
        <v/>
      </c>
    </row>
    <row r="211" spans="2:53" s="7" customFormat="1" ht="28.5" hidden="1" customHeight="1" outlineLevel="1">
      <c r="B211" s="64"/>
      <c r="C211" s="649">
        <v>195</v>
      </c>
      <c r="D211" s="1855"/>
      <c r="E211" s="1856"/>
      <c r="F211" s="1856"/>
      <c r="G211" s="1856"/>
      <c r="H211" s="1856"/>
      <c r="I211" s="1856"/>
      <c r="J211" s="1856"/>
      <c r="K211" s="1857"/>
      <c r="L211" s="643" t="str">
        <f t="shared" si="53"/>
        <v/>
      </c>
      <c r="M211" s="664"/>
      <c r="N211" s="665"/>
      <c r="O211" s="267"/>
      <c r="P211" s="666"/>
      <c r="Q211" s="667"/>
      <c r="R211" s="667"/>
      <c r="S211" s="1035"/>
      <c r="T211" s="668"/>
      <c r="U211" s="668"/>
      <c r="V211" s="668"/>
      <c r="W211" s="668"/>
      <c r="X211" s="669"/>
      <c r="Y211" s="670"/>
      <c r="Z211" s="671"/>
      <c r="AA211" s="644"/>
      <c r="AB211" s="978"/>
      <c r="AC211" s="992"/>
      <c r="AD211" s="89"/>
      <c r="AE211" s="89"/>
      <c r="AF211" s="645" t="str">
        <f t="shared" ref="AF211:AF274" si="58">IF(AND(M211="",N211=""),"","["&amp;RIGHT(LEFT(M211,3),2)&amp;RIGHT(LEFT(N211,FIND("]",N211)-1),IF(FIND("]",N211)-1&gt;2,2,1))&amp;"]")</f>
        <v/>
      </c>
      <c r="AG211" s="1037" t="str">
        <f t="shared" ref="AG211:AG274" si="59">IF(AF211="","",IF(T211+U211&lt;100000,1,0))</f>
        <v/>
      </c>
      <c r="AH211" s="1037" t="str">
        <f t="shared" ref="AH211:AH274" si="60">IF(AF211="","",IF(AND(AG211=0,T211+U211&lt;200000),1,))</f>
        <v/>
      </c>
      <c r="AI211" s="1037" t="str">
        <f>IF(AF211="","",VLOOKUP(AF211,リスト!BD:BE,2,0))</f>
        <v/>
      </c>
      <c r="AJ211" s="1037" t="str">
        <f t="shared" si="2"/>
        <v/>
      </c>
      <c r="AK211" s="1037" t="str">
        <f>IF(AJ211="","",VLOOKUP(AJ211,リスト!BW:BX,2,0))</f>
        <v/>
      </c>
      <c r="AL211" s="1037" t="str">
        <f t="shared" si="54"/>
        <v/>
      </c>
      <c r="AM211" s="646" t="str">
        <f t="shared" si="4"/>
        <v/>
      </c>
      <c r="AN211" s="646" t="str">
        <f t="shared" si="5"/>
        <v/>
      </c>
      <c r="AO211" s="647" t="str">
        <f t="shared" si="6"/>
        <v/>
      </c>
      <c r="AP211" s="647" t="str">
        <f t="shared" si="7"/>
        <v/>
      </c>
      <c r="AQ211" s="647" t="str">
        <f t="shared" si="8"/>
        <v/>
      </c>
      <c r="AR211" s="647" t="str">
        <f t="shared" si="57"/>
        <v/>
      </c>
      <c r="AS211" s="647" t="str">
        <f t="shared" si="9"/>
        <v/>
      </c>
      <c r="AT211" s="647" t="str">
        <f t="shared" ref="AT211:AT274" si="61">IF(Y211="2：部分取り壊し",ROUND(T211*(1-(AC211/O211)),0),"")</f>
        <v/>
      </c>
      <c r="AU211" s="647" t="str">
        <f t="shared" ref="AU211:AU274" si="62">IF(Y211="2：部分取り壊し",ROUND(U211*(1-(AC211/O211)),0),"")</f>
        <v/>
      </c>
      <c r="AV211" s="647" t="str">
        <f t="shared" si="55"/>
        <v/>
      </c>
      <c r="AW211" s="647" t="str">
        <f t="shared" si="11"/>
        <v/>
      </c>
      <c r="AX211" s="647" t="str">
        <f t="shared" si="12"/>
        <v/>
      </c>
      <c r="AY211" s="647" t="str">
        <f t="shared" si="13"/>
        <v/>
      </c>
      <c r="AZ211" s="647" t="str">
        <f t="shared" si="56"/>
        <v/>
      </c>
      <c r="BA211" s="647" t="str">
        <f t="shared" si="15"/>
        <v/>
      </c>
    </row>
    <row r="212" spans="2:53" s="7" customFormat="1" ht="28.5" hidden="1" customHeight="1" outlineLevel="1">
      <c r="B212" s="64"/>
      <c r="C212" s="649">
        <v>196</v>
      </c>
      <c r="D212" s="1855"/>
      <c r="E212" s="1856"/>
      <c r="F212" s="1856"/>
      <c r="G212" s="1856"/>
      <c r="H212" s="1856"/>
      <c r="I212" s="1856"/>
      <c r="J212" s="1856"/>
      <c r="K212" s="1857"/>
      <c r="L212" s="643" t="str">
        <f t="shared" si="53"/>
        <v/>
      </c>
      <c r="M212" s="664"/>
      <c r="N212" s="665"/>
      <c r="O212" s="267"/>
      <c r="P212" s="666"/>
      <c r="Q212" s="667"/>
      <c r="R212" s="667"/>
      <c r="S212" s="1035"/>
      <c r="T212" s="668"/>
      <c r="U212" s="668"/>
      <c r="V212" s="668"/>
      <c r="W212" s="668"/>
      <c r="X212" s="669"/>
      <c r="Y212" s="670"/>
      <c r="Z212" s="671"/>
      <c r="AA212" s="644"/>
      <c r="AB212" s="978"/>
      <c r="AC212" s="992"/>
      <c r="AD212" s="89"/>
      <c r="AE212" s="89"/>
      <c r="AF212" s="645" t="str">
        <f t="shared" si="58"/>
        <v/>
      </c>
      <c r="AG212" s="1037" t="str">
        <f t="shared" si="59"/>
        <v/>
      </c>
      <c r="AH212" s="1037" t="str">
        <f t="shared" si="60"/>
        <v/>
      </c>
      <c r="AI212" s="1037" t="str">
        <f>IF(AF212="","",VLOOKUP(AF212,リスト!BD:BE,2,0))</f>
        <v/>
      </c>
      <c r="AJ212" s="1037" t="str">
        <f t="shared" si="2"/>
        <v/>
      </c>
      <c r="AK212" s="1037" t="str">
        <f>IF(AJ212="","",VLOOKUP(AJ212,リスト!BW:BX,2,0))</f>
        <v/>
      </c>
      <c r="AL212" s="1037" t="str">
        <f t="shared" si="54"/>
        <v/>
      </c>
      <c r="AM212" s="646" t="str">
        <f t="shared" si="4"/>
        <v/>
      </c>
      <c r="AN212" s="646" t="str">
        <f t="shared" si="5"/>
        <v/>
      </c>
      <c r="AO212" s="647" t="str">
        <f t="shared" si="6"/>
        <v/>
      </c>
      <c r="AP212" s="647" t="str">
        <f t="shared" si="7"/>
        <v/>
      </c>
      <c r="AQ212" s="647" t="str">
        <f t="shared" si="8"/>
        <v/>
      </c>
      <c r="AR212" s="647" t="str">
        <f t="shared" si="57"/>
        <v/>
      </c>
      <c r="AS212" s="647" t="str">
        <f t="shared" si="9"/>
        <v/>
      </c>
      <c r="AT212" s="647" t="str">
        <f t="shared" si="61"/>
        <v/>
      </c>
      <c r="AU212" s="647" t="str">
        <f t="shared" si="62"/>
        <v/>
      </c>
      <c r="AV212" s="647" t="str">
        <f t="shared" si="55"/>
        <v/>
      </c>
      <c r="AW212" s="647" t="str">
        <f t="shared" si="11"/>
        <v/>
      </c>
      <c r="AX212" s="647" t="str">
        <f t="shared" si="12"/>
        <v/>
      </c>
      <c r="AY212" s="647" t="str">
        <f t="shared" si="13"/>
        <v/>
      </c>
      <c r="AZ212" s="647" t="str">
        <f t="shared" si="56"/>
        <v/>
      </c>
      <c r="BA212" s="647" t="str">
        <f t="shared" si="15"/>
        <v/>
      </c>
    </row>
    <row r="213" spans="2:53" s="7" customFormat="1" ht="28.5" hidden="1" customHeight="1" outlineLevel="1">
      <c r="B213" s="64"/>
      <c r="C213" s="649">
        <v>197</v>
      </c>
      <c r="D213" s="1855"/>
      <c r="E213" s="1856"/>
      <c r="F213" s="1856"/>
      <c r="G213" s="1856"/>
      <c r="H213" s="1856"/>
      <c r="I213" s="1856"/>
      <c r="J213" s="1856"/>
      <c r="K213" s="1857"/>
      <c r="L213" s="643" t="str">
        <f t="shared" si="53"/>
        <v/>
      </c>
      <c r="M213" s="664"/>
      <c r="N213" s="665"/>
      <c r="O213" s="267"/>
      <c r="P213" s="666"/>
      <c r="Q213" s="667"/>
      <c r="R213" s="667"/>
      <c r="S213" s="1035"/>
      <c r="T213" s="668"/>
      <c r="U213" s="668"/>
      <c r="V213" s="668"/>
      <c r="W213" s="668"/>
      <c r="X213" s="669"/>
      <c r="Y213" s="670"/>
      <c r="Z213" s="671"/>
      <c r="AA213" s="644"/>
      <c r="AB213" s="978"/>
      <c r="AC213" s="992"/>
      <c r="AD213" s="89"/>
      <c r="AE213" s="89"/>
      <c r="AF213" s="645" t="str">
        <f t="shared" si="58"/>
        <v/>
      </c>
      <c r="AG213" s="1037" t="str">
        <f t="shared" si="59"/>
        <v/>
      </c>
      <c r="AH213" s="1037" t="str">
        <f t="shared" si="60"/>
        <v/>
      </c>
      <c r="AI213" s="1037" t="str">
        <f>IF(AF213="","",VLOOKUP(AF213,リスト!BD:BE,2,0))</f>
        <v/>
      </c>
      <c r="AJ213" s="1037" t="str">
        <f t="shared" ref="AJ213:AJ232" si="63">IF(AH213=1,3,IF(P213="2：中古",MIN(AI213,Q213),IF(N213="[8]その他",MIN(AI213,Q213),AI213)))</f>
        <v/>
      </c>
      <c r="AK213" s="1037" t="str">
        <f>IF(AJ213="","",VLOOKUP(AJ213,リスト!BW:BX,2,0))</f>
        <v/>
      </c>
      <c r="AL213" s="1037" t="str">
        <f t="shared" si="54"/>
        <v/>
      </c>
      <c r="AM213" s="646" t="str">
        <f t="shared" ref="AM213:AM232" si="64">IF(OR(AF213="",AG213=1),"",
IF(AND(AJ213&gt;0,AL213&lt;AJ213,AN213&lt;=ROUND((T213-1)*AK213,0)),ROUND(AN213*IF(Y213="2：部分取り壊し",IFERROR(1-(AC213/O213),1),1),0),
IF(AND(AJ213&gt;0,AL213&lt;AJ213),ROUND((T213-1)*AK213*IF(Y213="2：部分取り壊し",IFERROR(1-(AC213/O213),1),1),0),
"")))</f>
        <v/>
      </c>
      <c r="AN213" s="646" t="str">
        <f t="shared" ref="AN213:AN232" si="65">IF(OR(AF213="",AG213=1),"",
IF(AND(AJ213&gt;0,AL213&lt;AJ213),T213-ROUND((T213-1)*AK213*AL213,0),1
))</f>
        <v/>
      </c>
      <c r="AO213" s="647" t="str">
        <f t="shared" ref="AO213:AO232" si="66">IF(OR(AF213="",AG213=1),"",
IF(Y213="",AM213,
IF(Y213="1：取り壊し",SUM(AN213,Z213),
IF(Y213="3：売　却",AN213-Z213,
IF(AND(Y213="2：部分取り壊し",AN213&gt;1),SUM(ROUND(AN213*(AC213/O213),0),Z213,AM213),
IF(AND(Z213="",AM213=""),"",SUM(Z213,AM213)))))))</f>
        <v/>
      </c>
      <c r="AP213" s="647" t="str">
        <f t="shared" ref="AP213:AP232" si="67">IF(AND(AO213="",AM213=""),"",
IF(OR(Y213="1：取り壊し",Y213="2：部分取り壊し",Y213="3：売　却"),SUM(AO213)-SUM(AM213),""))</f>
        <v/>
      </c>
      <c r="AQ213" s="647" t="str">
        <f t="shared" ref="AQ213:AQ232" si="68">IF(OR(AG213=1,U213=""),"",
IF(AND(AJ213&gt;0,U213&gt;0,AL213&lt;AJ213),U213-ROUND(U213*AK213*AL213,0),""
))</f>
        <v/>
      </c>
      <c r="AR213" s="647" t="str">
        <f t="shared" si="57"/>
        <v/>
      </c>
      <c r="AS213" s="647" t="str">
        <f t="shared" ref="AS213:AS232" si="69">IF(Y213="2：部分取り壊し",O213-AC213,"")</f>
        <v/>
      </c>
      <c r="AT213" s="647" t="str">
        <f t="shared" si="61"/>
        <v/>
      </c>
      <c r="AU213" s="647" t="str">
        <f t="shared" si="62"/>
        <v/>
      </c>
      <c r="AV213" s="647" t="str">
        <f t="shared" si="55"/>
        <v/>
      </c>
      <c r="AW213" s="647" t="str">
        <f t="shared" ref="AW213:AW232" si="70">IF(X213="","",IF(AO213="","",ROUND(AO213*X213%,0)))</f>
        <v/>
      </c>
      <c r="AX213" s="647" t="str">
        <f t="shared" ref="AX213:AX232" si="71">IF(X213="","",IF(AP213="","",ROUND(AP213*X213%,0)))</f>
        <v/>
      </c>
      <c r="AY213" s="647" t="str">
        <f t="shared" ref="AY213:AY232" si="72">IF(X213="","",IF(AN213="","",ROUND(AN213*X213%,0)))</f>
        <v/>
      </c>
      <c r="AZ213" s="647" t="str">
        <f t="shared" si="56"/>
        <v/>
      </c>
      <c r="BA213" s="647" t="str">
        <f t="shared" ref="BA213:BA232" si="73">IF(X213="","",IF(W213="","",ROUND(W213*X213%,0)))</f>
        <v/>
      </c>
    </row>
    <row r="214" spans="2:53" s="7" customFormat="1" ht="28.5" hidden="1" customHeight="1" outlineLevel="1">
      <c r="B214" s="64"/>
      <c r="C214" s="649">
        <v>198</v>
      </c>
      <c r="D214" s="1855"/>
      <c r="E214" s="1856"/>
      <c r="F214" s="1856"/>
      <c r="G214" s="1856"/>
      <c r="H214" s="1856"/>
      <c r="I214" s="1856"/>
      <c r="J214" s="1856"/>
      <c r="K214" s="1857"/>
      <c r="L214" s="643" t="str">
        <f t="shared" si="53"/>
        <v/>
      </c>
      <c r="M214" s="664"/>
      <c r="N214" s="665"/>
      <c r="O214" s="267"/>
      <c r="P214" s="666"/>
      <c r="Q214" s="667"/>
      <c r="R214" s="667"/>
      <c r="S214" s="1035"/>
      <c r="T214" s="668"/>
      <c r="U214" s="668"/>
      <c r="V214" s="668"/>
      <c r="W214" s="668"/>
      <c r="X214" s="669"/>
      <c r="Y214" s="670"/>
      <c r="Z214" s="671"/>
      <c r="AA214" s="644"/>
      <c r="AB214" s="978"/>
      <c r="AC214" s="992"/>
      <c r="AD214" s="89"/>
      <c r="AE214" s="89"/>
      <c r="AF214" s="645" t="str">
        <f t="shared" si="58"/>
        <v/>
      </c>
      <c r="AG214" s="1037" t="str">
        <f t="shared" si="59"/>
        <v/>
      </c>
      <c r="AH214" s="1037" t="str">
        <f t="shared" si="60"/>
        <v/>
      </c>
      <c r="AI214" s="1037" t="str">
        <f>IF(AF214="","",VLOOKUP(AF214,リスト!BD:BE,2,0))</f>
        <v/>
      </c>
      <c r="AJ214" s="1037" t="str">
        <f t="shared" si="63"/>
        <v/>
      </c>
      <c r="AK214" s="1037" t="str">
        <f>IF(AJ214="","",VLOOKUP(AJ214,リスト!BW:BX,2,0))</f>
        <v/>
      </c>
      <c r="AL214" s="1037" t="str">
        <f t="shared" si="54"/>
        <v/>
      </c>
      <c r="AM214" s="646" t="str">
        <f t="shared" si="64"/>
        <v/>
      </c>
      <c r="AN214" s="646" t="str">
        <f t="shared" si="65"/>
        <v/>
      </c>
      <c r="AO214" s="647" t="str">
        <f t="shared" si="66"/>
        <v/>
      </c>
      <c r="AP214" s="647" t="str">
        <f t="shared" si="67"/>
        <v/>
      </c>
      <c r="AQ214" s="647" t="str">
        <f t="shared" si="68"/>
        <v/>
      </c>
      <c r="AR214" s="647" t="str">
        <f t="shared" si="57"/>
        <v/>
      </c>
      <c r="AS214" s="647" t="str">
        <f t="shared" si="69"/>
        <v/>
      </c>
      <c r="AT214" s="647" t="str">
        <f t="shared" si="61"/>
        <v/>
      </c>
      <c r="AU214" s="647" t="str">
        <f t="shared" si="62"/>
        <v/>
      </c>
      <c r="AV214" s="647" t="str">
        <f t="shared" si="55"/>
        <v/>
      </c>
      <c r="AW214" s="647" t="str">
        <f t="shared" si="70"/>
        <v/>
      </c>
      <c r="AX214" s="647" t="str">
        <f t="shared" si="71"/>
        <v/>
      </c>
      <c r="AY214" s="647" t="str">
        <f t="shared" si="72"/>
        <v/>
      </c>
      <c r="AZ214" s="647" t="str">
        <f t="shared" si="56"/>
        <v/>
      </c>
      <c r="BA214" s="647" t="str">
        <f t="shared" si="73"/>
        <v/>
      </c>
    </row>
    <row r="215" spans="2:53" s="7" customFormat="1" ht="28.5" hidden="1" customHeight="1" outlineLevel="1">
      <c r="B215" s="64"/>
      <c r="C215" s="649">
        <v>199</v>
      </c>
      <c r="D215" s="1855"/>
      <c r="E215" s="1856"/>
      <c r="F215" s="1856"/>
      <c r="G215" s="1856"/>
      <c r="H215" s="1856"/>
      <c r="I215" s="1856"/>
      <c r="J215" s="1856"/>
      <c r="K215" s="1857"/>
      <c r="L215" s="643" t="str">
        <f t="shared" si="53"/>
        <v/>
      </c>
      <c r="M215" s="664"/>
      <c r="N215" s="665"/>
      <c r="O215" s="267"/>
      <c r="P215" s="666"/>
      <c r="Q215" s="667"/>
      <c r="R215" s="667"/>
      <c r="S215" s="1035"/>
      <c r="T215" s="668"/>
      <c r="U215" s="668"/>
      <c r="V215" s="668"/>
      <c r="W215" s="668"/>
      <c r="X215" s="669"/>
      <c r="Y215" s="670"/>
      <c r="Z215" s="671"/>
      <c r="AA215" s="644"/>
      <c r="AB215" s="978"/>
      <c r="AC215" s="992"/>
      <c r="AD215" s="89"/>
      <c r="AE215" s="89"/>
      <c r="AF215" s="645" t="str">
        <f t="shared" si="58"/>
        <v/>
      </c>
      <c r="AG215" s="1037" t="str">
        <f t="shared" si="59"/>
        <v/>
      </c>
      <c r="AH215" s="1037" t="str">
        <f t="shared" si="60"/>
        <v/>
      </c>
      <c r="AI215" s="1037" t="str">
        <f>IF(AF215="","",VLOOKUP(AF215,リスト!BD:BE,2,0))</f>
        <v/>
      </c>
      <c r="AJ215" s="1037" t="str">
        <f t="shared" si="63"/>
        <v/>
      </c>
      <c r="AK215" s="1037" t="str">
        <f>IF(AJ215="","",VLOOKUP(AJ215,リスト!BW:BX,2,0))</f>
        <v/>
      </c>
      <c r="AL215" s="1037" t="str">
        <f t="shared" si="54"/>
        <v/>
      </c>
      <c r="AM215" s="646" t="str">
        <f t="shared" si="64"/>
        <v/>
      </c>
      <c r="AN215" s="646" t="str">
        <f t="shared" si="65"/>
        <v/>
      </c>
      <c r="AO215" s="647" t="str">
        <f t="shared" si="66"/>
        <v/>
      </c>
      <c r="AP215" s="647" t="str">
        <f t="shared" si="67"/>
        <v/>
      </c>
      <c r="AQ215" s="647" t="str">
        <f t="shared" si="68"/>
        <v/>
      </c>
      <c r="AR215" s="647" t="str">
        <f t="shared" si="57"/>
        <v/>
      </c>
      <c r="AS215" s="647" t="str">
        <f t="shared" si="69"/>
        <v/>
      </c>
      <c r="AT215" s="647" t="str">
        <f t="shared" si="61"/>
        <v/>
      </c>
      <c r="AU215" s="647" t="str">
        <f t="shared" si="62"/>
        <v/>
      </c>
      <c r="AV215" s="647" t="str">
        <f t="shared" si="55"/>
        <v/>
      </c>
      <c r="AW215" s="647" t="str">
        <f t="shared" si="70"/>
        <v/>
      </c>
      <c r="AX215" s="647" t="str">
        <f t="shared" si="71"/>
        <v/>
      </c>
      <c r="AY215" s="647" t="str">
        <f t="shared" si="72"/>
        <v/>
      </c>
      <c r="AZ215" s="647" t="str">
        <f t="shared" si="56"/>
        <v/>
      </c>
      <c r="BA215" s="647" t="str">
        <f t="shared" si="73"/>
        <v/>
      </c>
    </row>
    <row r="216" spans="2:53" s="7" customFormat="1" ht="28.5" hidden="1" customHeight="1" outlineLevel="1">
      <c r="B216" s="64"/>
      <c r="C216" s="649">
        <v>200</v>
      </c>
      <c r="D216" s="1855"/>
      <c r="E216" s="1856"/>
      <c r="F216" s="1856"/>
      <c r="G216" s="1856"/>
      <c r="H216" s="1856"/>
      <c r="I216" s="1856"/>
      <c r="J216" s="1856"/>
      <c r="K216" s="1857"/>
      <c r="L216" s="643" t="str">
        <f t="shared" si="53"/>
        <v/>
      </c>
      <c r="M216" s="664"/>
      <c r="N216" s="665"/>
      <c r="O216" s="267"/>
      <c r="P216" s="666"/>
      <c r="Q216" s="667"/>
      <c r="R216" s="667"/>
      <c r="S216" s="1035"/>
      <c r="T216" s="668"/>
      <c r="U216" s="668"/>
      <c r="V216" s="668"/>
      <c r="W216" s="668"/>
      <c r="X216" s="669"/>
      <c r="Y216" s="670"/>
      <c r="Z216" s="671"/>
      <c r="AA216" s="644"/>
      <c r="AB216" s="978"/>
      <c r="AC216" s="992"/>
      <c r="AD216" s="89"/>
      <c r="AE216" s="89"/>
      <c r="AF216" s="645" t="str">
        <f t="shared" si="58"/>
        <v/>
      </c>
      <c r="AG216" s="1037" t="str">
        <f t="shared" si="59"/>
        <v/>
      </c>
      <c r="AH216" s="1037" t="str">
        <f t="shared" si="60"/>
        <v/>
      </c>
      <c r="AI216" s="1037" t="str">
        <f>IF(AF216="","",VLOOKUP(AF216,リスト!BD:BE,2,0))</f>
        <v/>
      </c>
      <c r="AJ216" s="1037" t="str">
        <f t="shared" si="63"/>
        <v/>
      </c>
      <c r="AK216" s="1037" t="str">
        <f>IF(AJ216="","",VLOOKUP(AJ216,リスト!BW:BX,2,0))</f>
        <v/>
      </c>
      <c r="AL216" s="1037" t="str">
        <f t="shared" si="54"/>
        <v/>
      </c>
      <c r="AM216" s="646" t="str">
        <f t="shared" si="64"/>
        <v/>
      </c>
      <c r="AN216" s="646" t="str">
        <f t="shared" si="65"/>
        <v/>
      </c>
      <c r="AO216" s="647" t="str">
        <f t="shared" si="66"/>
        <v/>
      </c>
      <c r="AP216" s="647" t="str">
        <f t="shared" si="67"/>
        <v/>
      </c>
      <c r="AQ216" s="647" t="str">
        <f t="shared" si="68"/>
        <v/>
      </c>
      <c r="AR216" s="647" t="str">
        <f t="shared" si="57"/>
        <v/>
      </c>
      <c r="AS216" s="647" t="str">
        <f t="shared" si="69"/>
        <v/>
      </c>
      <c r="AT216" s="647" t="str">
        <f t="shared" si="61"/>
        <v/>
      </c>
      <c r="AU216" s="647" t="str">
        <f t="shared" si="62"/>
        <v/>
      </c>
      <c r="AV216" s="647" t="str">
        <f t="shared" si="55"/>
        <v/>
      </c>
      <c r="AW216" s="647" t="str">
        <f t="shared" si="70"/>
        <v/>
      </c>
      <c r="AX216" s="647" t="str">
        <f t="shared" si="71"/>
        <v/>
      </c>
      <c r="AY216" s="647" t="str">
        <f t="shared" si="72"/>
        <v/>
      </c>
      <c r="AZ216" s="647" t="str">
        <f t="shared" si="56"/>
        <v/>
      </c>
      <c r="BA216" s="647" t="str">
        <f t="shared" si="73"/>
        <v/>
      </c>
    </row>
    <row r="217" spans="2:53" s="7" customFormat="1" ht="28.5" hidden="1" customHeight="1" outlineLevel="1">
      <c r="B217" s="64"/>
      <c r="C217" s="649">
        <v>201</v>
      </c>
      <c r="D217" s="1855"/>
      <c r="E217" s="1856"/>
      <c r="F217" s="1856"/>
      <c r="G217" s="1856"/>
      <c r="H217" s="1856"/>
      <c r="I217" s="1856"/>
      <c r="J217" s="1856"/>
      <c r="K217" s="1857"/>
      <c r="L217" s="643" t="str">
        <f t="shared" si="53"/>
        <v/>
      </c>
      <c r="M217" s="664"/>
      <c r="N217" s="665"/>
      <c r="O217" s="267"/>
      <c r="P217" s="666"/>
      <c r="Q217" s="667"/>
      <c r="R217" s="667"/>
      <c r="S217" s="1035"/>
      <c r="T217" s="668"/>
      <c r="U217" s="668"/>
      <c r="V217" s="668"/>
      <c r="W217" s="668"/>
      <c r="X217" s="669"/>
      <c r="Y217" s="670"/>
      <c r="Z217" s="671"/>
      <c r="AA217" s="644"/>
      <c r="AB217" s="978"/>
      <c r="AC217" s="992"/>
      <c r="AD217" s="89"/>
      <c r="AE217" s="89"/>
      <c r="AF217" s="645" t="str">
        <f t="shared" si="58"/>
        <v/>
      </c>
      <c r="AG217" s="1037" t="str">
        <f t="shared" si="59"/>
        <v/>
      </c>
      <c r="AH217" s="1037" t="str">
        <f t="shared" si="60"/>
        <v/>
      </c>
      <c r="AI217" s="1037" t="str">
        <f>IF(AF217="","",VLOOKUP(AF217,リスト!BD:BE,2,0))</f>
        <v/>
      </c>
      <c r="AJ217" s="1037" t="str">
        <f t="shared" si="63"/>
        <v/>
      </c>
      <c r="AK217" s="1037" t="str">
        <f>IF(AJ217="","",VLOOKUP(AJ217,リスト!BW:BX,2,0))</f>
        <v/>
      </c>
      <c r="AL217" s="1037" t="str">
        <f t="shared" si="54"/>
        <v/>
      </c>
      <c r="AM217" s="646" t="str">
        <f t="shared" si="64"/>
        <v/>
      </c>
      <c r="AN217" s="646" t="str">
        <f t="shared" si="65"/>
        <v/>
      </c>
      <c r="AO217" s="647" t="str">
        <f t="shared" si="66"/>
        <v/>
      </c>
      <c r="AP217" s="647" t="str">
        <f t="shared" si="67"/>
        <v/>
      </c>
      <c r="AQ217" s="647" t="str">
        <f t="shared" si="68"/>
        <v/>
      </c>
      <c r="AR217" s="647" t="str">
        <f t="shared" si="57"/>
        <v/>
      </c>
      <c r="AS217" s="647" t="str">
        <f t="shared" si="69"/>
        <v/>
      </c>
      <c r="AT217" s="647" t="str">
        <f t="shared" si="61"/>
        <v/>
      </c>
      <c r="AU217" s="647" t="str">
        <f t="shared" si="62"/>
        <v/>
      </c>
      <c r="AV217" s="647" t="str">
        <f t="shared" si="55"/>
        <v/>
      </c>
      <c r="AW217" s="647" t="str">
        <f t="shared" si="70"/>
        <v/>
      </c>
      <c r="AX217" s="647" t="str">
        <f t="shared" si="71"/>
        <v/>
      </c>
      <c r="AY217" s="647" t="str">
        <f t="shared" si="72"/>
        <v/>
      </c>
      <c r="AZ217" s="647" t="str">
        <f t="shared" si="56"/>
        <v/>
      </c>
      <c r="BA217" s="647" t="str">
        <f t="shared" si="73"/>
        <v/>
      </c>
    </row>
    <row r="218" spans="2:53" s="7" customFormat="1" ht="28.5" hidden="1" customHeight="1" outlineLevel="1">
      <c r="B218" s="64"/>
      <c r="C218" s="649">
        <v>202</v>
      </c>
      <c r="D218" s="1855"/>
      <c r="E218" s="1856"/>
      <c r="F218" s="1856"/>
      <c r="G218" s="1856"/>
      <c r="H218" s="1856"/>
      <c r="I218" s="1856"/>
      <c r="J218" s="1856"/>
      <c r="K218" s="1857"/>
      <c r="L218" s="643" t="str">
        <f t="shared" si="53"/>
        <v/>
      </c>
      <c r="M218" s="664"/>
      <c r="N218" s="665"/>
      <c r="O218" s="267"/>
      <c r="P218" s="666"/>
      <c r="Q218" s="667"/>
      <c r="R218" s="667"/>
      <c r="S218" s="1035"/>
      <c r="T218" s="668"/>
      <c r="U218" s="668"/>
      <c r="V218" s="668"/>
      <c r="W218" s="668"/>
      <c r="X218" s="669"/>
      <c r="Y218" s="670"/>
      <c r="Z218" s="671"/>
      <c r="AA218" s="644"/>
      <c r="AB218" s="978"/>
      <c r="AC218" s="992"/>
      <c r="AD218" s="89"/>
      <c r="AE218" s="89"/>
      <c r="AF218" s="645" t="str">
        <f t="shared" si="58"/>
        <v/>
      </c>
      <c r="AG218" s="1037" t="str">
        <f t="shared" si="59"/>
        <v/>
      </c>
      <c r="AH218" s="1037" t="str">
        <f t="shared" si="60"/>
        <v/>
      </c>
      <c r="AI218" s="1037" t="str">
        <f>IF(AF218="","",VLOOKUP(AF218,リスト!BD:BE,2,0))</f>
        <v/>
      </c>
      <c r="AJ218" s="1037" t="str">
        <f t="shared" si="63"/>
        <v/>
      </c>
      <c r="AK218" s="1037" t="str">
        <f>IF(AJ218="","",VLOOKUP(AJ218,リスト!BW:BX,2,0))</f>
        <v/>
      </c>
      <c r="AL218" s="1037" t="str">
        <f t="shared" si="54"/>
        <v/>
      </c>
      <c r="AM218" s="646" t="str">
        <f t="shared" si="64"/>
        <v/>
      </c>
      <c r="AN218" s="646" t="str">
        <f t="shared" si="65"/>
        <v/>
      </c>
      <c r="AO218" s="647" t="str">
        <f t="shared" si="66"/>
        <v/>
      </c>
      <c r="AP218" s="647" t="str">
        <f t="shared" si="67"/>
        <v/>
      </c>
      <c r="AQ218" s="647" t="str">
        <f t="shared" si="68"/>
        <v/>
      </c>
      <c r="AR218" s="647" t="str">
        <f t="shared" si="57"/>
        <v/>
      </c>
      <c r="AS218" s="647" t="str">
        <f t="shared" si="69"/>
        <v/>
      </c>
      <c r="AT218" s="647" t="str">
        <f t="shared" si="61"/>
        <v/>
      </c>
      <c r="AU218" s="647" t="str">
        <f t="shared" si="62"/>
        <v/>
      </c>
      <c r="AV218" s="647" t="str">
        <f t="shared" si="55"/>
        <v/>
      </c>
      <c r="AW218" s="647" t="str">
        <f t="shared" si="70"/>
        <v/>
      </c>
      <c r="AX218" s="647" t="str">
        <f t="shared" si="71"/>
        <v/>
      </c>
      <c r="AY218" s="647" t="str">
        <f t="shared" si="72"/>
        <v/>
      </c>
      <c r="AZ218" s="647" t="str">
        <f t="shared" si="56"/>
        <v/>
      </c>
      <c r="BA218" s="647" t="str">
        <f t="shared" si="73"/>
        <v/>
      </c>
    </row>
    <row r="219" spans="2:53" s="7" customFormat="1" ht="28.5" hidden="1" customHeight="1" outlineLevel="1">
      <c r="B219" s="64"/>
      <c r="C219" s="649">
        <v>203</v>
      </c>
      <c r="D219" s="1855"/>
      <c r="E219" s="1856"/>
      <c r="F219" s="1856"/>
      <c r="G219" s="1856"/>
      <c r="H219" s="1856"/>
      <c r="I219" s="1856"/>
      <c r="J219" s="1856"/>
      <c r="K219" s="1857"/>
      <c r="L219" s="643" t="str">
        <f t="shared" si="53"/>
        <v/>
      </c>
      <c r="M219" s="664"/>
      <c r="N219" s="665"/>
      <c r="O219" s="267"/>
      <c r="P219" s="666"/>
      <c r="Q219" s="667"/>
      <c r="R219" s="667"/>
      <c r="S219" s="1035"/>
      <c r="T219" s="668"/>
      <c r="U219" s="668"/>
      <c r="V219" s="668"/>
      <c r="W219" s="668"/>
      <c r="X219" s="669"/>
      <c r="Y219" s="670"/>
      <c r="Z219" s="671"/>
      <c r="AA219" s="644"/>
      <c r="AB219" s="978"/>
      <c r="AC219" s="992"/>
      <c r="AD219" s="89"/>
      <c r="AE219" s="89"/>
      <c r="AF219" s="645" t="str">
        <f t="shared" si="58"/>
        <v/>
      </c>
      <c r="AG219" s="1037" t="str">
        <f t="shared" si="59"/>
        <v/>
      </c>
      <c r="AH219" s="1037" t="str">
        <f t="shared" si="60"/>
        <v/>
      </c>
      <c r="AI219" s="1037" t="str">
        <f>IF(AF219="","",VLOOKUP(AF219,リスト!BD:BE,2,0))</f>
        <v/>
      </c>
      <c r="AJ219" s="1037" t="str">
        <f t="shared" si="63"/>
        <v/>
      </c>
      <c r="AK219" s="1037" t="str">
        <f>IF(AJ219="","",VLOOKUP(AJ219,リスト!BW:BX,2,0))</f>
        <v/>
      </c>
      <c r="AL219" s="1037" t="str">
        <f t="shared" si="54"/>
        <v/>
      </c>
      <c r="AM219" s="646" t="str">
        <f t="shared" si="64"/>
        <v/>
      </c>
      <c r="AN219" s="646" t="str">
        <f t="shared" si="65"/>
        <v/>
      </c>
      <c r="AO219" s="647" t="str">
        <f t="shared" si="66"/>
        <v/>
      </c>
      <c r="AP219" s="647" t="str">
        <f t="shared" si="67"/>
        <v/>
      </c>
      <c r="AQ219" s="647" t="str">
        <f t="shared" si="68"/>
        <v/>
      </c>
      <c r="AR219" s="647" t="str">
        <f t="shared" si="57"/>
        <v/>
      </c>
      <c r="AS219" s="647" t="str">
        <f t="shared" si="69"/>
        <v/>
      </c>
      <c r="AT219" s="647" t="str">
        <f t="shared" si="61"/>
        <v/>
      </c>
      <c r="AU219" s="647" t="str">
        <f t="shared" si="62"/>
        <v/>
      </c>
      <c r="AV219" s="647" t="str">
        <f t="shared" si="55"/>
        <v/>
      </c>
      <c r="AW219" s="647" t="str">
        <f t="shared" si="70"/>
        <v/>
      </c>
      <c r="AX219" s="647" t="str">
        <f t="shared" si="71"/>
        <v/>
      </c>
      <c r="AY219" s="647" t="str">
        <f t="shared" si="72"/>
        <v/>
      </c>
      <c r="AZ219" s="647" t="str">
        <f t="shared" si="56"/>
        <v/>
      </c>
      <c r="BA219" s="647" t="str">
        <f t="shared" si="73"/>
        <v/>
      </c>
    </row>
    <row r="220" spans="2:53" s="7" customFormat="1" ht="28.5" hidden="1" customHeight="1" outlineLevel="1">
      <c r="B220" s="64"/>
      <c r="C220" s="649">
        <v>204</v>
      </c>
      <c r="D220" s="1855"/>
      <c r="E220" s="1856"/>
      <c r="F220" s="1856"/>
      <c r="G220" s="1856"/>
      <c r="H220" s="1856"/>
      <c r="I220" s="1856"/>
      <c r="J220" s="1856"/>
      <c r="K220" s="1857"/>
      <c r="L220" s="643" t="str">
        <f t="shared" si="53"/>
        <v/>
      </c>
      <c r="M220" s="664"/>
      <c r="N220" s="665"/>
      <c r="O220" s="267"/>
      <c r="P220" s="666"/>
      <c r="Q220" s="667"/>
      <c r="R220" s="667"/>
      <c r="S220" s="1035"/>
      <c r="T220" s="668"/>
      <c r="U220" s="668"/>
      <c r="V220" s="668"/>
      <c r="W220" s="668"/>
      <c r="X220" s="669"/>
      <c r="Y220" s="670"/>
      <c r="Z220" s="671"/>
      <c r="AA220" s="644"/>
      <c r="AB220" s="978"/>
      <c r="AC220" s="992"/>
      <c r="AD220" s="89"/>
      <c r="AE220" s="89"/>
      <c r="AF220" s="645" t="str">
        <f t="shared" si="58"/>
        <v/>
      </c>
      <c r="AG220" s="1037" t="str">
        <f t="shared" si="59"/>
        <v/>
      </c>
      <c r="AH220" s="1037" t="str">
        <f t="shared" si="60"/>
        <v/>
      </c>
      <c r="AI220" s="1037" t="str">
        <f>IF(AF220="","",VLOOKUP(AF220,リスト!BD:BE,2,0))</f>
        <v/>
      </c>
      <c r="AJ220" s="1037" t="str">
        <f t="shared" si="63"/>
        <v/>
      </c>
      <c r="AK220" s="1037" t="str">
        <f>IF(AJ220="","",VLOOKUP(AJ220,リスト!BW:BX,2,0))</f>
        <v/>
      </c>
      <c r="AL220" s="1037" t="str">
        <f t="shared" si="54"/>
        <v/>
      </c>
      <c r="AM220" s="646" t="str">
        <f t="shared" si="64"/>
        <v/>
      </c>
      <c r="AN220" s="646" t="str">
        <f t="shared" si="65"/>
        <v/>
      </c>
      <c r="AO220" s="647" t="str">
        <f t="shared" si="66"/>
        <v/>
      </c>
      <c r="AP220" s="647" t="str">
        <f t="shared" si="67"/>
        <v/>
      </c>
      <c r="AQ220" s="647" t="str">
        <f t="shared" si="68"/>
        <v/>
      </c>
      <c r="AR220" s="647" t="str">
        <f t="shared" si="57"/>
        <v/>
      </c>
      <c r="AS220" s="647" t="str">
        <f t="shared" si="69"/>
        <v/>
      </c>
      <c r="AT220" s="647" t="str">
        <f t="shared" si="61"/>
        <v/>
      </c>
      <c r="AU220" s="647" t="str">
        <f t="shared" si="62"/>
        <v/>
      </c>
      <c r="AV220" s="647" t="str">
        <f t="shared" si="55"/>
        <v/>
      </c>
      <c r="AW220" s="647" t="str">
        <f t="shared" si="70"/>
        <v/>
      </c>
      <c r="AX220" s="647" t="str">
        <f t="shared" si="71"/>
        <v/>
      </c>
      <c r="AY220" s="647" t="str">
        <f t="shared" si="72"/>
        <v/>
      </c>
      <c r="AZ220" s="647" t="str">
        <f t="shared" si="56"/>
        <v/>
      </c>
      <c r="BA220" s="647" t="str">
        <f t="shared" si="73"/>
        <v/>
      </c>
    </row>
    <row r="221" spans="2:53" s="7" customFormat="1" ht="28.5" hidden="1" customHeight="1" outlineLevel="1">
      <c r="B221" s="64"/>
      <c r="C221" s="649">
        <v>205</v>
      </c>
      <c r="D221" s="1855"/>
      <c r="E221" s="1856"/>
      <c r="F221" s="1856"/>
      <c r="G221" s="1856"/>
      <c r="H221" s="1856"/>
      <c r="I221" s="1856"/>
      <c r="J221" s="1856"/>
      <c r="K221" s="1857"/>
      <c r="L221" s="643" t="str">
        <f t="shared" si="53"/>
        <v/>
      </c>
      <c r="M221" s="664"/>
      <c r="N221" s="665"/>
      <c r="O221" s="267"/>
      <c r="P221" s="666"/>
      <c r="Q221" s="667"/>
      <c r="R221" s="667"/>
      <c r="S221" s="1035"/>
      <c r="T221" s="668"/>
      <c r="U221" s="668"/>
      <c r="V221" s="668"/>
      <c r="W221" s="668"/>
      <c r="X221" s="669"/>
      <c r="Y221" s="670"/>
      <c r="Z221" s="671"/>
      <c r="AA221" s="644"/>
      <c r="AB221" s="978"/>
      <c r="AC221" s="992"/>
      <c r="AD221" s="89"/>
      <c r="AE221" s="89"/>
      <c r="AF221" s="645" t="str">
        <f t="shared" si="58"/>
        <v/>
      </c>
      <c r="AG221" s="1037" t="str">
        <f t="shared" si="59"/>
        <v/>
      </c>
      <c r="AH221" s="1037" t="str">
        <f t="shared" si="60"/>
        <v/>
      </c>
      <c r="AI221" s="1037" t="str">
        <f>IF(AF221="","",VLOOKUP(AF221,リスト!BD:BE,2,0))</f>
        <v/>
      </c>
      <c r="AJ221" s="1037" t="str">
        <f t="shared" si="63"/>
        <v/>
      </c>
      <c r="AK221" s="1037" t="str">
        <f>IF(AJ221="","",VLOOKUP(AJ221,リスト!BW:BX,2,0))</f>
        <v/>
      </c>
      <c r="AL221" s="1037" t="str">
        <f t="shared" si="54"/>
        <v/>
      </c>
      <c r="AM221" s="646" t="str">
        <f t="shared" si="64"/>
        <v/>
      </c>
      <c r="AN221" s="646" t="str">
        <f t="shared" si="65"/>
        <v/>
      </c>
      <c r="AO221" s="647" t="str">
        <f t="shared" si="66"/>
        <v/>
      </c>
      <c r="AP221" s="647" t="str">
        <f t="shared" si="67"/>
        <v/>
      </c>
      <c r="AQ221" s="647" t="str">
        <f t="shared" si="68"/>
        <v/>
      </c>
      <c r="AR221" s="647" t="str">
        <f t="shared" si="57"/>
        <v/>
      </c>
      <c r="AS221" s="647" t="str">
        <f t="shared" si="69"/>
        <v/>
      </c>
      <c r="AT221" s="647" t="str">
        <f t="shared" si="61"/>
        <v/>
      </c>
      <c r="AU221" s="647" t="str">
        <f t="shared" si="62"/>
        <v/>
      </c>
      <c r="AV221" s="647" t="str">
        <f t="shared" si="55"/>
        <v/>
      </c>
      <c r="AW221" s="647" t="str">
        <f t="shared" si="70"/>
        <v/>
      </c>
      <c r="AX221" s="647" t="str">
        <f t="shared" si="71"/>
        <v/>
      </c>
      <c r="AY221" s="647" t="str">
        <f t="shared" si="72"/>
        <v/>
      </c>
      <c r="AZ221" s="647" t="str">
        <f t="shared" si="56"/>
        <v/>
      </c>
      <c r="BA221" s="647" t="str">
        <f t="shared" si="73"/>
        <v/>
      </c>
    </row>
    <row r="222" spans="2:53" s="7" customFormat="1" ht="28.5" hidden="1" customHeight="1" outlineLevel="1">
      <c r="B222" s="64"/>
      <c r="C222" s="649">
        <v>206</v>
      </c>
      <c r="D222" s="1855"/>
      <c r="E222" s="1856"/>
      <c r="F222" s="1856"/>
      <c r="G222" s="1856"/>
      <c r="H222" s="1856"/>
      <c r="I222" s="1856"/>
      <c r="J222" s="1856"/>
      <c r="K222" s="1857"/>
      <c r="L222" s="643" t="str">
        <f t="shared" si="53"/>
        <v/>
      </c>
      <c r="M222" s="664"/>
      <c r="N222" s="665"/>
      <c r="O222" s="267"/>
      <c r="P222" s="666"/>
      <c r="Q222" s="667"/>
      <c r="R222" s="667"/>
      <c r="S222" s="1035"/>
      <c r="T222" s="668"/>
      <c r="U222" s="668"/>
      <c r="V222" s="668"/>
      <c r="W222" s="668"/>
      <c r="X222" s="669"/>
      <c r="Y222" s="670"/>
      <c r="Z222" s="671"/>
      <c r="AA222" s="644"/>
      <c r="AB222" s="978"/>
      <c r="AC222" s="992"/>
      <c r="AD222" s="89"/>
      <c r="AE222" s="89"/>
      <c r="AF222" s="645" t="str">
        <f t="shared" si="58"/>
        <v/>
      </c>
      <c r="AG222" s="1037" t="str">
        <f t="shared" si="59"/>
        <v/>
      </c>
      <c r="AH222" s="1037" t="str">
        <f t="shared" si="60"/>
        <v/>
      </c>
      <c r="AI222" s="1037" t="str">
        <f>IF(AF222="","",VLOOKUP(AF222,リスト!BD:BE,2,0))</f>
        <v/>
      </c>
      <c r="AJ222" s="1037" t="str">
        <f t="shared" si="63"/>
        <v/>
      </c>
      <c r="AK222" s="1037" t="str">
        <f>IF(AJ222="","",VLOOKUP(AJ222,リスト!BW:BX,2,0))</f>
        <v/>
      </c>
      <c r="AL222" s="1037" t="str">
        <f t="shared" si="54"/>
        <v/>
      </c>
      <c r="AM222" s="646" t="str">
        <f t="shared" si="64"/>
        <v/>
      </c>
      <c r="AN222" s="646" t="str">
        <f t="shared" si="65"/>
        <v/>
      </c>
      <c r="AO222" s="647" t="str">
        <f t="shared" si="66"/>
        <v/>
      </c>
      <c r="AP222" s="647" t="str">
        <f t="shared" si="67"/>
        <v/>
      </c>
      <c r="AQ222" s="647" t="str">
        <f t="shared" si="68"/>
        <v/>
      </c>
      <c r="AR222" s="647" t="str">
        <f t="shared" si="57"/>
        <v/>
      </c>
      <c r="AS222" s="647" t="str">
        <f t="shared" si="69"/>
        <v/>
      </c>
      <c r="AT222" s="647" t="str">
        <f t="shared" si="61"/>
        <v/>
      </c>
      <c r="AU222" s="647" t="str">
        <f t="shared" si="62"/>
        <v/>
      </c>
      <c r="AV222" s="647" t="str">
        <f t="shared" si="55"/>
        <v/>
      </c>
      <c r="AW222" s="647" t="str">
        <f t="shared" si="70"/>
        <v/>
      </c>
      <c r="AX222" s="647" t="str">
        <f t="shared" si="71"/>
        <v/>
      </c>
      <c r="AY222" s="647" t="str">
        <f t="shared" si="72"/>
        <v/>
      </c>
      <c r="AZ222" s="647" t="str">
        <f t="shared" si="56"/>
        <v/>
      </c>
      <c r="BA222" s="647" t="str">
        <f t="shared" si="73"/>
        <v/>
      </c>
    </row>
    <row r="223" spans="2:53" s="7" customFormat="1" ht="28.5" hidden="1" customHeight="1" outlineLevel="1">
      <c r="B223" s="64"/>
      <c r="C223" s="649">
        <v>207</v>
      </c>
      <c r="D223" s="1855"/>
      <c r="E223" s="1856"/>
      <c r="F223" s="1856"/>
      <c r="G223" s="1856"/>
      <c r="H223" s="1856"/>
      <c r="I223" s="1856"/>
      <c r="J223" s="1856"/>
      <c r="K223" s="1857"/>
      <c r="L223" s="643" t="str">
        <f t="shared" si="53"/>
        <v/>
      </c>
      <c r="M223" s="664"/>
      <c r="N223" s="665"/>
      <c r="O223" s="267"/>
      <c r="P223" s="666"/>
      <c r="Q223" s="667"/>
      <c r="R223" s="667"/>
      <c r="S223" s="1035"/>
      <c r="T223" s="668"/>
      <c r="U223" s="668"/>
      <c r="V223" s="668"/>
      <c r="W223" s="668"/>
      <c r="X223" s="669"/>
      <c r="Y223" s="670"/>
      <c r="Z223" s="671"/>
      <c r="AA223" s="644"/>
      <c r="AB223" s="978"/>
      <c r="AC223" s="992"/>
      <c r="AD223" s="89"/>
      <c r="AE223" s="89"/>
      <c r="AF223" s="645" t="str">
        <f t="shared" si="58"/>
        <v/>
      </c>
      <c r="AG223" s="1037" t="str">
        <f t="shared" si="59"/>
        <v/>
      </c>
      <c r="AH223" s="1037" t="str">
        <f t="shared" si="60"/>
        <v/>
      </c>
      <c r="AI223" s="1037" t="str">
        <f>IF(AF223="","",VLOOKUP(AF223,リスト!BD:BE,2,0))</f>
        <v/>
      </c>
      <c r="AJ223" s="1037" t="str">
        <f t="shared" si="63"/>
        <v/>
      </c>
      <c r="AK223" s="1037" t="str">
        <f>IF(AJ223="","",VLOOKUP(AJ223,リスト!BW:BX,2,0))</f>
        <v/>
      </c>
      <c r="AL223" s="1037" t="str">
        <f t="shared" si="54"/>
        <v/>
      </c>
      <c r="AM223" s="646" t="str">
        <f t="shared" si="64"/>
        <v/>
      </c>
      <c r="AN223" s="646" t="str">
        <f t="shared" si="65"/>
        <v/>
      </c>
      <c r="AO223" s="647" t="str">
        <f t="shared" si="66"/>
        <v/>
      </c>
      <c r="AP223" s="647" t="str">
        <f t="shared" si="67"/>
        <v/>
      </c>
      <c r="AQ223" s="647" t="str">
        <f t="shared" si="68"/>
        <v/>
      </c>
      <c r="AR223" s="647" t="str">
        <f t="shared" si="57"/>
        <v/>
      </c>
      <c r="AS223" s="647" t="str">
        <f t="shared" si="69"/>
        <v/>
      </c>
      <c r="AT223" s="647" t="str">
        <f t="shared" si="61"/>
        <v/>
      </c>
      <c r="AU223" s="647" t="str">
        <f t="shared" si="62"/>
        <v/>
      </c>
      <c r="AV223" s="647" t="str">
        <f t="shared" si="55"/>
        <v/>
      </c>
      <c r="AW223" s="647" t="str">
        <f t="shared" si="70"/>
        <v/>
      </c>
      <c r="AX223" s="647" t="str">
        <f t="shared" si="71"/>
        <v/>
      </c>
      <c r="AY223" s="647" t="str">
        <f t="shared" si="72"/>
        <v/>
      </c>
      <c r="AZ223" s="647" t="str">
        <f t="shared" si="56"/>
        <v/>
      </c>
      <c r="BA223" s="647" t="str">
        <f t="shared" si="73"/>
        <v/>
      </c>
    </row>
    <row r="224" spans="2:53" s="7" customFormat="1" ht="28.5" hidden="1" customHeight="1" outlineLevel="1">
      <c r="B224" s="64"/>
      <c r="C224" s="649">
        <v>208</v>
      </c>
      <c r="D224" s="1855"/>
      <c r="E224" s="1856"/>
      <c r="F224" s="1856"/>
      <c r="G224" s="1856"/>
      <c r="H224" s="1856"/>
      <c r="I224" s="1856"/>
      <c r="J224" s="1856"/>
      <c r="K224" s="1857"/>
      <c r="L224" s="643" t="str">
        <f t="shared" si="53"/>
        <v/>
      </c>
      <c r="M224" s="664"/>
      <c r="N224" s="665"/>
      <c r="O224" s="267"/>
      <c r="P224" s="666"/>
      <c r="Q224" s="667"/>
      <c r="R224" s="667"/>
      <c r="S224" s="1035"/>
      <c r="T224" s="668"/>
      <c r="U224" s="668"/>
      <c r="V224" s="668"/>
      <c r="W224" s="668"/>
      <c r="X224" s="669"/>
      <c r="Y224" s="670"/>
      <c r="Z224" s="671"/>
      <c r="AA224" s="644"/>
      <c r="AB224" s="978"/>
      <c r="AC224" s="992"/>
      <c r="AD224" s="89"/>
      <c r="AE224" s="89"/>
      <c r="AF224" s="645" t="str">
        <f t="shared" si="58"/>
        <v/>
      </c>
      <c r="AG224" s="1037" t="str">
        <f t="shared" si="59"/>
        <v/>
      </c>
      <c r="AH224" s="1037" t="str">
        <f t="shared" si="60"/>
        <v/>
      </c>
      <c r="AI224" s="1037" t="str">
        <f>IF(AF224="","",VLOOKUP(AF224,リスト!BD:BE,2,0))</f>
        <v/>
      </c>
      <c r="AJ224" s="1037" t="str">
        <f t="shared" si="63"/>
        <v/>
      </c>
      <c r="AK224" s="1037" t="str">
        <f>IF(AJ224="","",VLOOKUP(AJ224,リスト!BW:BX,2,0))</f>
        <v/>
      </c>
      <c r="AL224" s="1037" t="str">
        <f t="shared" si="54"/>
        <v/>
      </c>
      <c r="AM224" s="646" t="str">
        <f t="shared" si="64"/>
        <v/>
      </c>
      <c r="AN224" s="646" t="str">
        <f t="shared" si="65"/>
        <v/>
      </c>
      <c r="AO224" s="647" t="str">
        <f t="shared" si="66"/>
        <v/>
      </c>
      <c r="AP224" s="647" t="str">
        <f t="shared" si="67"/>
        <v/>
      </c>
      <c r="AQ224" s="647" t="str">
        <f t="shared" si="68"/>
        <v/>
      </c>
      <c r="AR224" s="647" t="str">
        <f t="shared" si="57"/>
        <v/>
      </c>
      <c r="AS224" s="647" t="str">
        <f t="shared" si="69"/>
        <v/>
      </c>
      <c r="AT224" s="647" t="str">
        <f t="shared" si="61"/>
        <v/>
      </c>
      <c r="AU224" s="647" t="str">
        <f t="shared" si="62"/>
        <v/>
      </c>
      <c r="AV224" s="647" t="str">
        <f t="shared" si="55"/>
        <v/>
      </c>
      <c r="AW224" s="647" t="str">
        <f t="shared" si="70"/>
        <v/>
      </c>
      <c r="AX224" s="647" t="str">
        <f t="shared" si="71"/>
        <v/>
      </c>
      <c r="AY224" s="647" t="str">
        <f t="shared" si="72"/>
        <v/>
      </c>
      <c r="AZ224" s="647" t="str">
        <f t="shared" si="56"/>
        <v/>
      </c>
      <c r="BA224" s="647" t="str">
        <f t="shared" si="73"/>
        <v/>
      </c>
    </row>
    <row r="225" spans="2:53" s="7" customFormat="1" ht="28.5" hidden="1" customHeight="1" outlineLevel="1">
      <c r="B225" s="64"/>
      <c r="C225" s="649">
        <v>209</v>
      </c>
      <c r="D225" s="1855"/>
      <c r="E225" s="1856"/>
      <c r="F225" s="1856"/>
      <c r="G225" s="1856"/>
      <c r="H225" s="1856"/>
      <c r="I225" s="1856"/>
      <c r="J225" s="1856"/>
      <c r="K225" s="1857"/>
      <c r="L225" s="643" t="str">
        <f t="shared" si="53"/>
        <v/>
      </c>
      <c r="M225" s="664"/>
      <c r="N225" s="665"/>
      <c r="O225" s="267"/>
      <c r="P225" s="666"/>
      <c r="Q225" s="667"/>
      <c r="R225" s="667"/>
      <c r="S225" s="1035"/>
      <c r="T225" s="668"/>
      <c r="U225" s="668"/>
      <c r="V225" s="668"/>
      <c r="W225" s="668"/>
      <c r="X225" s="669"/>
      <c r="Y225" s="670"/>
      <c r="Z225" s="671"/>
      <c r="AA225" s="644"/>
      <c r="AB225" s="978"/>
      <c r="AC225" s="992"/>
      <c r="AD225" s="89"/>
      <c r="AE225" s="89"/>
      <c r="AF225" s="645" t="str">
        <f t="shared" si="58"/>
        <v/>
      </c>
      <c r="AG225" s="1037" t="str">
        <f t="shared" si="59"/>
        <v/>
      </c>
      <c r="AH225" s="1037" t="str">
        <f t="shared" si="60"/>
        <v/>
      </c>
      <c r="AI225" s="1037" t="str">
        <f>IF(AF225="","",VLOOKUP(AF225,リスト!BD:BE,2,0))</f>
        <v/>
      </c>
      <c r="AJ225" s="1037" t="str">
        <f t="shared" si="63"/>
        <v/>
      </c>
      <c r="AK225" s="1037" t="str">
        <f>IF(AJ225="","",VLOOKUP(AJ225,リスト!BW:BX,2,0))</f>
        <v/>
      </c>
      <c r="AL225" s="1037" t="str">
        <f t="shared" si="54"/>
        <v/>
      </c>
      <c r="AM225" s="646" t="str">
        <f t="shared" si="64"/>
        <v/>
      </c>
      <c r="AN225" s="646" t="str">
        <f t="shared" si="65"/>
        <v/>
      </c>
      <c r="AO225" s="647" t="str">
        <f t="shared" si="66"/>
        <v/>
      </c>
      <c r="AP225" s="647" t="str">
        <f t="shared" si="67"/>
        <v/>
      </c>
      <c r="AQ225" s="647" t="str">
        <f t="shared" si="68"/>
        <v/>
      </c>
      <c r="AR225" s="647" t="str">
        <f t="shared" si="57"/>
        <v/>
      </c>
      <c r="AS225" s="647" t="str">
        <f t="shared" si="69"/>
        <v/>
      </c>
      <c r="AT225" s="647" t="str">
        <f t="shared" si="61"/>
        <v/>
      </c>
      <c r="AU225" s="647" t="str">
        <f t="shared" si="62"/>
        <v/>
      </c>
      <c r="AV225" s="647" t="str">
        <f t="shared" si="55"/>
        <v/>
      </c>
      <c r="AW225" s="647" t="str">
        <f t="shared" si="70"/>
        <v/>
      </c>
      <c r="AX225" s="647" t="str">
        <f t="shared" si="71"/>
        <v/>
      </c>
      <c r="AY225" s="647" t="str">
        <f t="shared" si="72"/>
        <v/>
      </c>
      <c r="AZ225" s="647" t="str">
        <f t="shared" si="56"/>
        <v/>
      </c>
      <c r="BA225" s="647" t="str">
        <f t="shared" si="73"/>
        <v/>
      </c>
    </row>
    <row r="226" spans="2:53" s="7" customFormat="1" ht="28.5" hidden="1" customHeight="1" outlineLevel="1">
      <c r="B226" s="64"/>
      <c r="C226" s="649">
        <v>210</v>
      </c>
      <c r="D226" s="1855"/>
      <c r="E226" s="1856"/>
      <c r="F226" s="1856"/>
      <c r="G226" s="1856"/>
      <c r="H226" s="1856"/>
      <c r="I226" s="1856"/>
      <c r="J226" s="1856"/>
      <c r="K226" s="1857"/>
      <c r="L226" s="643" t="str">
        <f t="shared" si="53"/>
        <v/>
      </c>
      <c r="M226" s="664"/>
      <c r="N226" s="665"/>
      <c r="O226" s="267"/>
      <c r="P226" s="666"/>
      <c r="Q226" s="667"/>
      <c r="R226" s="667"/>
      <c r="S226" s="1035"/>
      <c r="T226" s="668"/>
      <c r="U226" s="668"/>
      <c r="V226" s="668"/>
      <c r="W226" s="668"/>
      <c r="X226" s="669"/>
      <c r="Y226" s="670"/>
      <c r="Z226" s="671"/>
      <c r="AA226" s="644"/>
      <c r="AB226" s="978"/>
      <c r="AC226" s="992"/>
      <c r="AD226" s="89"/>
      <c r="AE226" s="89"/>
      <c r="AF226" s="645" t="str">
        <f t="shared" si="58"/>
        <v/>
      </c>
      <c r="AG226" s="1037" t="str">
        <f t="shared" si="59"/>
        <v/>
      </c>
      <c r="AH226" s="1037" t="str">
        <f t="shared" si="60"/>
        <v/>
      </c>
      <c r="AI226" s="1037" t="str">
        <f>IF(AF226="","",VLOOKUP(AF226,リスト!BD:BE,2,0))</f>
        <v/>
      </c>
      <c r="AJ226" s="1037" t="str">
        <f t="shared" si="63"/>
        <v/>
      </c>
      <c r="AK226" s="1037" t="str">
        <f>IF(AJ226="","",VLOOKUP(AJ226,リスト!BW:BX,2,0))</f>
        <v/>
      </c>
      <c r="AL226" s="1037" t="str">
        <f t="shared" si="54"/>
        <v/>
      </c>
      <c r="AM226" s="646" t="str">
        <f t="shared" si="64"/>
        <v/>
      </c>
      <c r="AN226" s="646" t="str">
        <f t="shared" si="65"/>
        <v/>
      </c>
      <c r="AO226" s="647" t="str">
        <f t="shared" si="66"/>
        <v/>
      </c>
      <c r="AP226" s="647" t="str">
        <f t="shared" si="67"/>
        <v/>
      </c>
      <c r="AQ226" s="647" t="str">
        <f t="shared" si="68"/>
        <v/>
      </c>
      <c r="AR226" s="647" t="str">
        <f t="shared" si="57"/>
        <v/>
      </c>
      <c r="AS226" s="647" t="str">
        <f t="shared" si="69"/>
        <v/>
      </c>
      <c r="AT226" s="647" t="str">
        <f t="shared" si="61"/>
        <v/>
      </c>
      <c r="AU226" s="647" t="str">
        <f t="shared" si="62"/>
        <v/>
      </c>
      <c r="AV226" s="647" t="str">
        <f t="shared" si="55"/>
        <v/>
      </c>
      <c r="AW226" s="647" t="str">
        <f t="shared" si="70"/>
        <v/>
      </c>
      <c r="AX226" s="647" t="str">
        <f t="shared" si="71"/>
        <v/>
      </c>
      <c r="AY226" s="647" t="str">
        <f t="shared" si="72"/>
        <v/>
      </c>
      <c r="AZ226" s="647" t="str">
        <f t="shared" si="56"/>
        <v/>
      </c>
      <c r="BA226" s="647" t="str">
        <f t="shared" si="73"/>
        <v/>
      </c>
    </row>
    <row r="227" spans="2:53" s="7" customFormat="1" ht="28.5" hidden="1" customHeight="1" outlineLevel="1">
      <c r="B227" s="64"/>
      <c r="C227" s="649">
        <v>211</v>
      </c>
      <c r="D227" s="1855"/>
      <c r="E227" s="1856"/>
      <c r="F227" s="1856"/>
      <c r="G227" s="1856"/>
      <c r="H227" s="1856"/>
      <c r="I227" s="1856"/>
      <c r="J227" s="1856"/>
      <c r="K227" s="1857"/>
      <c r="L227" s="643" t="str">
        <f t="shared" si="53"/>
        <v/>
      </c>
      <c r="M227" s="664"/>
      <c r="N227" s="665"/>
      <c r="O227" s="267"/>
      <c r="P227" s="666"/>
      <c r="Q227" s="667"/>
      <c r="R227" s="667"/>
      <c r="S227" s="1035"/>
      <c r="T227" s="668"/>
      <c r="U227" s="668"/>
      <c r="V227" s="668"/>
      <c r="W227" s="668"/>
      <c r="X227" s="669"/>
      <c r="Y227" s="670"/>
      <c r="Z227" s="671"/>
      <c r="AA227" s="644"/>
      <c r="AB227" s="978"/>
      <c r="AC227" s="992"/>
      <c r="AD227" s="89"/>
      <c r="AE227" s="89"/>
      <c r="AF227" s="645" t="str">
        <f t="shared" si="58"/>
        <v/>
      </c>
      <c r="AG227" s="1037" t="str">
        <f t="shared" si="59"/>
        <v/>
      </c>
      <c r="AH227" s="1037" t="str">
        <f t="shared" si="60"/>
        <v/>
      </c>
      <c r="AI227" s="1037" t="str">
        <f>IF(AF227="","",VLOOKUP(AF227,リスト!BD:BE,2,0))</f>
        <v/>
      </c>
      <c r="AJ227" s="1037" t="str">
        <f t="shared" si="63"/>
        <v/>
      </c>
      <c r="AK227" s="1037" t="str">
        <f>IF(AJ227="","",VLOOKUP(AJ227,リスト!BW:BX,2,0))</f>
        <v/>
      </c>
      <c r="AL227" s="1037" t="str">
        <f t="shared" si="54"/>
        <v/>
      </c>
      <c r="AM227" s="646" t="str">
        <f t="shared" si="64"/>
        <v/>
      </c>
      <c r="AN227" s="646" t="str">
        <f t="shared" si="65"/>
        <v/>
      </c>
      <c r="AO227" s="647" t="str">
        <f t="shared" si="66"/>
        <v/>
      </c>
      <c r="AP227" s="647" t="str">
        <f t="shared" si="67"/>
        <v/>
      </c>
      <c r="AQ227" s="647" t="str">
        <f t="shared" si="68"/>
        <v/>
      </c>
      <c r="AR227" s="647" t="str">
        <f t="shared" si="57"/>
        <v/>
      </c>
      <c r="AS227" s="647" t="str">
        <f t="shared" si="69"/>
        <v/>
      </c>
      <c r="AT227" s="647" t="str">
        <f t="shared" si="61"/>
        <v/>
      </c>
      <c r="AU227" s="647" t="str">
        <f t="shared" si="62"/>
        <v/>
      </c>
      <c r="AV227" s="647" t="str">
        <f t="shared" si="55"/>
        <v/>
      </c>
      <c r="AW227" s="647" t="str">
        <f t="shared" si="70"/>
        <v/>
      </c>
      <c r="AX227" s="647" t="str">
        <f t="shared" si="71"/>
        <v/>
      </c>
      <c r="AY227" s="647" t="str">
        <f t="shared" si="72"/>
        <v/>
      </c>
      <c r="AZ227" s="647" t="str">
        <f t="shared" si="56"/>
        <v/>
      </c>
      <c r="BA227" s="647" t="str">
        <f t="shared" si="73"/>
        <v/>
      </c>
    </row>
    <row r="228" spans="2:53" s="7" customFormat="1" ht="28.5" hidden="1" customHeight="1" outlineLevel="1">
      <c r="B228" s="64"/>
      <c r="C228" s="649">
        <v>212</v>
      </c>
      <c r="D228" s="1855"/>
      <c r="E228" s="1856"/>
      <c r="F228" s="1856"/>
      <c r="G228" s="1856"/>
      <c r="H228" s="1856"/>
      <c r="I228" s="1856"/>
      <c r="J228" s="1856"/>
      <c r="K228" s="1857"/>
      <c r="L228" s="643" t="str">
        <f t="shared" si="53"/>
        <v/>
      </c>
      <c r="M228" s="664"/>
      <c r="N228" s="665"/>
      <c r="O228" s="267"/>
      <c r="P228" s="666"/>
      <c r="Q228" s="667"/>
      <c r="R228" s="667"/>
      <c r="S228" s="1035"/>
      <c r="T228" s="668"/>
      <c r="U228" s="668"/>
      <c r="V228" s="668"/>
      <c r="W228" s="668"/>
      <c r="X228" s="669"/>
      <c r="Y228" s="670"/>
      <c r="Z228" s="671"/>
      <c r="AA228" s="644"/>
      <c r="AB228" s="978"/>
      <c r="AC228" s="992"/>
      <c r="AD228" s="89"/>
      <c r="AE228" s="89"/>
      <c r="AF228" s="645" t="str">
        <f t="shared" si="58"/>
        <v/>
      </c>
      <c r="AG228" s="1037" t="str">
        <f t="shared" si="59"/>
        <v/>
      </c>
      <c r="AH228" s="1037" t="str">
        <f t="shared" si="60"/>
        <v/>
      </c>
      <c r="AI228" s="1037" t="str">
        <f>IF(AF228="","",VLOOKUP(AF228,リスト!BD:BE,2,0))</f>
        <v/>
      </c>
      <c r="AJ228" s="1037" t="str">
        <f t="shared" si="63"/>
        <v/>
      </c>
      <c r="AK228" s="1037" t="str">
        <f>IF(AJ228="","",VLOOKUP(AJ228,リスト!BW:BX,2,0))</f>
        <v/>
      </c>
      <c r="AL228" s="1037" t="str">
        <f t="shared" si="54"/>
        <v/>
      </c>
      <c r="AM228" s="646" t="str">
        <f t="shared" si="64"/>
        <v/>
      </c>
      <c r="AN228" s="646" t="str">
        <f t="shared" si="65"/>
        <v/>
      </c>
      <c r="AO228" s="647" t="str">
        <f t="shared" si="66"/>
        <v/>
      </c>
      <c r="AP228" s="647" t="str">
        <f t="shared" si="67"/>
        <v/>
      </c>
      <c r="AQ228" s="647" t="str">
        <f t="shared" si="68"/>
        <v/>
      </c>
      <c r="AR228" s="647" t="str">
        <f t="shared" si="57"/>
        <v/>
      </c>
      <c r="AS228" s="647" t="str">
        <f t="shared" si="69"/>
        <v/>
      </c>
      <c r="AT228" s="647" t="str">
        <f t="shared" si="61"/>
        <v/>
      </c>
      <c r="AU228" s="647" t="str">
        <f t="shared" si="62"/>
        <v/>
      </c>
      <c r="AV228" s="647" t="str">
        <f t="shared" si="55"/>
        <v/>
      </c>
      <c r="AW228" s="647" t="str">
        <f t="shared" si="70"/>
        <v/>
      </c>
      <c r="AX228" s="647" t="str">
        <f t="shared" si="71"/>
        <v/>
      </c>
      <c r="AY228" s="647" t="str">
        <f t="shared" si="72"/>
        <v/>
      </c>
      <c r="AZ228" s="647" t="str">
        <f t="shared" si="56"/>
        <v/>
      </c>
      <c r="BA228" s="647" t="str">
        <f t="shared" si="73"/>
        <v/>
      </c>
    </row>
    <row r="229" spans="2:53" s="7" customFormat="1" ht="28.5" hidden="1" customHeight="1" outlineLevel="1">
      <c r="B229" s="64"/>
      <c r="C229" s="649">
        <v>213</v>
      </c>
      <c r="D229" s="1855"/>
      <c r="E229" s="1856"/>
      <c r="F229" s="1856"/>
      <c r="G229" s="1856"/>
      <c r="H229" s="1856"/>
      <c r="I229" s="1856"/>
      <c r="J229" s="1856"/>
      <c r="K229" s="1857"/>
      <c r="L229" s="643" t="str">
        <f t="shared" si="53"/>
        <v/>
      </c>
      <c r="M229" s="664"/>
      <c r="N229" s="665"/>
      <c r="O229" s="267"/>
      <c r="P229" s="666"/>
      <c r="Q229" s="667"/>
      <c r="R229" s="667"/>
      <c r="S229" s="1035"/>
      <c r="T229" s="668"/>
      <c r="U229" s="668"/>
      <c r="V229" s="668"/>
      <c r="W229" s="668"/>
      <c r="X229" s="669"/>
      <c r="Y229" s="670"/>
      <c r="Z229" s="671"/>
      <c r="AA229" s="644"/>
      <c r="AB229" s="978"/>
      <c r="AC229" s="992"/>
      <c r="AD229" s="89"/>
      <c r="AE229" s="89"/>
      <c r="AF229" s="645" t="str">
        <f t="shared" si="58"/>
        <v/>
      </c>
      <c r="AG229" s="1037" t="str">
        <f t="shared" si="59"/>
        <v/>
      </c>
      <c r="AH229" s="1037" t="str">
        <f t="shared" si="60"/>
        <v/>
      </c>
      <c r="AI229" s="1037" t="str">
        <f>IF(AF229="","",VLOOKUP(AF229,リスト!BD:BE,2,0))</f>
        <v/>
      </c>
      <c r="AJ229" s="1037" t="str">
        <f t="shared" si="63"/>
        <v/>
      </c>
      <c r="AK229" s="1037" t="str">
        <f>IF(AJ229="","",VLOOKUP(AJ229,リスト!BW:BX,2,0))</f>
        <v/>
      </c>
      <c r="AL229" s="1037" t="str">
        <f t="shared" si="54"/>
        <v/>
      </c>
      <c r="AM229" s="646" t="str">
        <f t="shared" si="64"/>
        <v/>
      </c>
      <c r="AN229" s="646" t="str">
        <f t="shared" si="65"/>
        <v/>
      </c>
      <c r="AO229" s="647" t="str">
        <f t="shared" si="66"/>
        <v/>
      </c>
      <c r="AP229" s="647" t="str">
        <f t="shared" si="67"/>
        <v/>
      </c>
      <c r="AQ229" s="647" t="str">
        <f t="shared" si="68"/>
        <v/>
      </c>
      <c r="AR229" s="647" t="str">
        <f t="shared" si="57"/>
        <v/>
      </c>
      <c r="AS229" s="647" t="str">
        <f t="shared" si="69"/>
        <v/>
      </c>
      <c r="AT229" s="647" t="str">
        <f t="shared" si="61"/>
        <v/>
      </c>
      <c r="AU229" s="647" t="str">
        <f t="shared" si="62"/>
        <v/>
      </c>
      <c r="AV229" s="647" t="str">
        <f t="shared" si="55"/>
        <v/>
      </c>
      <c r="AW229" s="647" t="str">
        <f t="shared" si="70"/>
        <v/>
      </c>
      <c r="AX229" s="647" t="str">
        <f t="shared" si="71"/>
        <v/>
      </c>
      <c r="AY229" s="647" t="str">
        <f t="shared" si="72"/>
        <v/>
      </c>
      <c r="AZ229" s="647" t="str">
        <f t="shared" si="56"/>
        <v/>
      </c>
      <c r="BA229" s="647" t="str">
        <f t="shared" si="73"/>
        <v/>
      </c>
    </row>
    <row r="230" spans="2:53" s="7" customFormat="1" ht="28.5" hidden="1" customHeight="1" outlineLevel="1">
      <c r="B230" s="64"/>
      <c r="C230" s="649">
        <v>214</v>
      </c>
      <c r="D230" s="1855"/>
      <c r="E230" s="1856"/>
      <c r="F230" s="1856"/>
      <c r="G230" s="1856"/>
      <c r="H230" s="1856"/>
      <c r="I230" s="1856"/>
      <c r="J230" s="1856"/>
      <c r="K230" s="1857"/>
      <c r="L230" s="643" t="str">
        <f t="shared" si="53"/>
        <v/>
      </c>
      <c r="M230" s="664"/>
      <c r="N230" s="665"/>
      <c r="O230" s="267"/>
      <c r="P230" s="666"/>
      <c r="Q230" s="667"/>
      <c r="R230" s="667"/>
      <c r="S230" s="1035"/>
      <c r="T230" s="668"/>
      <c r="U230" s="668"/>
      <c r="V230" s="668"/>
      <c r="W230" s="668"/>
      <c r="X230" s="669"/>
      <c r="Y230" s="670"/>
      <c r="Z230" s="671"/>
      <c r="AA230" s="644"/>
      <c r="AB230" s="978"/>
      <c r="AC230" s="992"/>
      <c r="AD230" s="89"/>
      <c r="AE230" s="89"/>
      <c r="AF230" s="645" t="str">
        <f t="shared" si="58"/>
        <v/>
      </c>
      <c r="AG230" s="1037" t="str">
        <f t="shared" si="59"/>
        <v/>
      </c>
      <c r="AH230" s="1037" t="str">
        <f t="shared" si="60"/>
        <v/>
      </c>
      <c r="AI230" s="1037" t="str">
        <f>IF(AF230="","",VLOOKUP(AF230,リスト!BD:BE,2,0))</f>
        <v/>
      </c>
      <c r="AJ230" s="1037" t="str">
        <f t="shared" si="63"/>
        <v/>
      </c>
      <c r="AK230" s="1037" t="str">
        <f>IF(AJ230="","",VLOOKUP(AJ230,リスト!BW:BX,2,0))</f>
        <v/>
      </c>
      <c r="AL230" s="1037" t="str">
        <f t="shared" si="54"/>
        <v/>
      </c>
      <c r="AM230" s="646" t="str">
        <f t="shared" si="64"/>
        <v/>
      </c>
      <c r="AN230" s="646" t="str">
        <f t="shared" si="65"/>
        <v/>
      </c>
      <c r="AO230" s="647" t="str">
        <f t="shared" si="66"/>
        <v/>
      </c>
      <c r="AP230" s="647" t="str">
        <f t="shared" si="67"/>
        <v/>
      </c>
      <c r="AQ230" s="647" t="str">
        <f t="shared" si="68"/>
        <v/>
      </c>
      <c r="AR230" s="647" t="str">
        <f t="shared" si="57"/>
        <v/>
      </c>
      <c r="AS230" s="647" t="str">
        <f t="shared" si="69"/>
        <v/>
      </c>
      <c r="AT230" s="647" t="str">
        <f t="shared" si="61"/>
        <v/>
      </c>
      <c r="AU230" s="647" t="str">
        <f t="shared" si="62"/>
        <v/>
      </c>
      <c r="AV230" s="647" t="str">
        <f t="shared" si="55"/>
        <v/>
      </c>
      <c r="AW230" s="647" t="str">
        <f t="shared" si="70"/>
        <v/>
      </c>
      <c r="AX230" s="647" t="str">
        <f t="shared" si="71"/>
        <v/>
      </c>
      <c r="AY230" s="647" t="str">
        <f t="shared" si="72"/>
        <v/>
      </c>
      <c r="AZ230" s="647" t="str">
        <f t="shared" si="56"/>
        <v/>
      </c>
      <c r="BA230" s="647" t="str">
        <f t="shared" si="73"/>
        <v/>
      </c>
    </row>
    <row r="231" spans="2:53" s="7" customFormat="1" ht="28.5" hidden="1" customHeight="1" outlineLevel="1">
      <c r="B231" s="64"/>
      <c r="C231" s="649">
        <v>215</v>
      </c>
      <c r="D231" s="1855"/>
      <c r="E231" s="1856"/>
      <c r="F231" s="1856"/>
      <c r="G231" s="1856"/>
      <c r="H231" s="1856"/>
      <c r="I231" s="1856"/>
      <c r="J231" s="1856"/>
      <c r="K231" s="1857"/>
      <c r="L231" s="643" t="str">
        <f t="shared" si="53"/>
        <v/>
      </c>
      <c r="M231" s="664"/>
      <c r="N231" s="665"/>
      <c r="O231" s="267"/>
      <c r="P231" s="666"/>
      <c r="Q231" s="667"/>
      <c r="R231" s="667"/>
      <c r="S231" s="1035"/>
      <c r="T231" s="668"/>
      <c r="U231" s="668"/>
      <c r="V231" s="668"/>
      <c r="W231" s="668"/>
      <c r="X231" s="669"/>
      <c r="Y231" s="670"/>
      <c r="Z231" s="671"/>
      <c r="AA231" s="644"/>
      <c r="AB231" s="978"/>
      <c r="AC231" s="992"/>
      <c r="AD231" s="89"/>
      <c r="AE231" s="89"/>
      <c r="AF231" s="645" t="str">
        <f t="shared" si="58"/>
        <v/>
      </c>
      <c r="AG231" s="1037" t="str">
        <f t="shared" si="59"/>
        <v/>
      </c>
      <c r="AH231" s="1037" t="str">
        <f t="shared" si="60"/>
        <v/>
      </c>
      <c r="AI231" s="1037" t="str">
        <f>IF(AF231="","",VLOOKUP(AF231,リスト!BD:BE,2,0))</f>
        <v/>
      </c>
      <c r="AJ231" s="1037" t="str">
        <f t="shared" si="63"/>
        <v/>
      </c>
      <c r="AK231" s="1037" t="str">
        <f>IF(AJ231="","",VLOOKUP(AJ231,リスト!BW:BX,2,0))</f>
        <v/>
      </c>
      <c r="AL231" s="1037" t="str">
        <f t="shared" si="54"/>
        <v/>
      </c>
      <c r="AM231" s="646" t="str">
        <f t="shared" si="64"/>
        <v/>
      </c>
      <c r="AN231" s="646" t="str">
        <f t="shared" si="65"/>
        <v/>
      </c>
      <c r="AO231" s="647" t="str">
        <f t="shared" si="66"/>
        <v/>
      </c>
      <c r="AP231" s="647" t="str">
        <f t="shared" si="67"/>
        <v/>
      </c>
      <c r="AQ231" s="647" t="str">
        <f t="shared" si="68"/>
        <v/>
      </c>
      <c r="AR231" s="647" t="str">
        <f t="shared" si="57"/>
        <v/>
      </c>
      <c r="AS231" s="647" t="str">
        <f t="shared" si="69"/>
        <v/>
      </c>
      <c r="AT231" s="647" t="str">
        <f t="shared" si="61"/>
        <v/>
      </c>
      <c r="AU231" s="647" t="str">
        <f t="shared" si="62"/>
        <v/>
      </c>
      <c r="AV231" s="647" t="str">
        <f t="shared" si="55"/>
        <v/>
      </c>
      <c r="AW231" s="647" t="str">
        <f t="shared" si="70"/>
        <v/>
      </c>
      <c r="AX231" s="647" t="str">
        <f t="shared" si="71"/>
        <v/>
      </c>
      <c r="AY231" s="647" t="str">
        <f t="shared" si="72"/>
        <v/>
      </c>
      <c r="AZ231" s="647" t="str">
        <f t="shared" si="56"/>
        <v/>
      </c>
      <c r="BA231" s="647" t="str">
        <f t="shared" si="73"/>
        <v/>
      </c>
    </row>
    <row r="232" spans="2:53" s="7" customFormat="1" ht="28.5" hidden="1" customHeight="1" outlineLevel="1">
      <c r="B232" s="64"/>
      <c r="C232" s="649">
        <v>216</v>
      </c>
      <c r="D232" s="1855"/>
      <c r="E232" s="1856"/>
      <c r="F232" s="1856"/>
      <c r="G232" s="1856"/>
      <c r="H232" s="1856"/>
      <c r="I232" s="1856"/>
      <c r="J232" s="1856"/>
      <c r="K232" s="1857"/>
      <c r="L232" s="643" t="str">
        <f t="shared" si="53"/>
        <v/>
      </c>
      <c r="M232" s="664"/>
      <c r="N232" s="665"/>
      <c r="O232" s="267"/>
      <c r="P232" s="666"/>
      <c r="Q232" s="667"/>
      <c r="R232" s="667"/>
      <c r="S232" s="1035"/>
      <c r="T232" s="668"/>
      <c r="U232" s="668"/>
      <c r="V232" s="668"/>
      <c r="W232" s="668"/>
      <c r="X232" s="669"/>
      <c r="Y232" s="670"/>
      <c r="Z232" s="671"/>
      <c r="AA232" s="644"/>
      <c r="AB232" s="978"/>
      <c r="AC232" s="992"/>
      <c r="AD232" s="89"/>
      <c r="AE232" s="89"/>
      <c r="AF232" s="645" t="str">
        <f t="shared" si="58"/>
        <v/>
      </c>
      <c r="AG232" s="1037" t="str">
        <f t="shared" si="59"/>
        <v/>
      </c>
      <c r="AH232" s="1037" t="str">
        <f t="shared" si="60"/>
        <v/>
      </c>
      <c r="AI232" s="1037" t="str">
        <f>IF(AF232="","",VLOOKUP(AF232,リスト!BD:BE,2,0))</f>
        <v/>
      </c>
      <c r="AJ232" s="1037" t="str">
        <f t="shared" si="63"/>
        <v/>
      </c>
      <c r="AK232" s="1037" t="str">
        <f>IF(AJ232="","",VLOOKUP(AJ232,リスト!BW:BX,2,0))</f>
        <v/>
      </c>
      <c r="AL232" s="1037" t="str">
        <f t="shared" si="54"/>
        <v/>
      </c>
      <c r="AM232" s="646" t="str">
        <f t="shared" si="64"/>
        <v/>
      </c>
      <c r="AN232" s="646" t="str">
        <f t="shared" si="65"/>
        <v/>
      </c>
      <c r="AO232" s="647" t="str">
        <f t="shared" si="66"/>
        <v/>
      </c>
      <c r="AP232" s="647" t="str">
        <f t="shared" si="67"/>
        <v/>
      </c>
      <c r="AQ232" s="647" t="str">
        <f t="shared" si="68"/>
        <v/>
      </c>
      <c r="AR232" s="647" t="str">
        <f t="shared" si="57"/>
        <v/>
      </c>
      <c r="AS232" s="647" t="str">
        <f t="shared" si="69"/>
        <v/>
      </c>
      <c r="AT232" s="647" t="str">
        <f t="shared" si="61"/>
        <v/>
      </c>
      <c r="AU232" s="647" t="str">
        <f t="shared" si="62"/>
        <v/>
      </c>
      <c r="AV232" s="647" t="str">
        <f t="shared" si="55"/>
        <v/>
      </c>
      <c r="AW232" s="647" t="str">
        <f t="shared" si="70"/>
        <v/>
      </c>
      <c r="AX232" s="647" t="str">
        <f t="shared" si="71"/>
        <v/>
      </c>
      <c r="AY232" s="647" t="str">
        <f t="shared" si="72"/>
        <v/>
      </c>
      <c r="AZ232" s="647" t="str">
        <f t="shared" si="56"/>
        <v/>
      </c>
      <c r="BA232" s="647" t="str">
        <f t="shared" si="73"/>
        <v/>
      </c>
    </row>
    <row r="233" spans="2:53" s="7" customFormat="1" ht="28.5" hidden="1" customHeight="1" outlineLevel="1">
      <c r="B233" s="64"/>
      <c r="C233" s="649">
        <v>217</v>
      </c>
      <c r="D233" s="1855"/>
      <c r="E233" s="1856"/>
      <c r="F233" s="1856"/>
      <c r="G233" s="1856"/>
      <c r="H233" s="1856"/>
      <c r="I233" s="1856"/>
      <c r="J233" s="1856"/>
      <c r="K233" s="1857"/>
      <c r="L233" s="643" t="str">
        <f t="shared" si="53"/>
        <v/>
      </c>
      <c r="M233" s="664"/>
      <c r="N233" s="665"/>
      <c r="O233" s="267"/>
      <c r="P233" s="666"/>
      <c r="Q233" s="667"/>
      <c r="R233" s="667"/>
      <c r="S233" s="1035"/>
      <c r="T233" s="668"/>
      <c r="U233" s="668"/>
      <c r="V233" s="668"/>
      <c r="W233" s="668"/>
      <c r="X233" s="669"/>
      <c r="Y233" s="670"/>
      <c r="Z233" s="671"/>
      <c r="AA233" s="644"/>
      <c r="AB233" s="978"/>
      <c r="AC233" s="992"/>
      <c r="AD233" s="89"/>
      <c r="AE233" s="89"/>
      <c r="AF233" s="645" t="str">
        <f t="shared" si="58"/>
        <v/>
      </c>
      <c r="AG233" s="1037" t="str">
        <f t="shared" si="59"/>
        <v/>
      </c>
      <c r="AH233" s="1037" t="str">
        <f t="shared" si="60"/>
        <v/>
      </c>
      <c r="AI233" s="1037" t="str">
        <f>IF(AF233="","",VLOOKUP(AF233,リスト!BD:BE,2,0))</f>
        <v/>
      </c>
      <c r="AJ233" s="1037" t="str">
        <f t="shared" ref="AJ233:AJ252" si="74">IF(AH233=1,3,IF(P233="2：中古",MIN(AI233,Q233),IF(N233="[8]その他",MIN(AI233,Q233),AI233)))</f>
        <v/>
      </c>
      <c r="AK233" s="1037" t="str">
        <f>IF(AJ233="","",VLOOKUP(AJ233,リスト!BW:BX,2,0))</f>
        <v/>
      </c>
      <c r="AL233" s="1037" t="str">
        <f t="shared" si="54"/>
        <v/>
      </c>
      <c r="AM233" s="646" t="str">
        <f t="shared" ref="AM233:AM252" si="75">IF(OR(AF233="",AG233=1),"",
IF(AND(AJ233&gt;0,AL233&lt;AJ233,AN233&lt;=ROUND((T233-1)*AK233,0)),ROUND(AN233*IF(Y233="2：部分取り壊し",IFERROR(1-(AC233/O233),1),1),0),
IF(AND(AJ233&gt;0,AL233&lt;AJ233),ROUND((T233-1)*AK233*IF(Y233="2：部分取り壊し",IFERROR(1-(AC233/O233),1),1),0),
"")))</f>
        <v/>
      </c>
      <c r="AN233" s="646" t="str">
        <f t="shared" ref="AN233:AN252" si="76">IF(OR(AF233="",AG233=1),"",
IF(AND(AJ233&gt;0,AL233&lt;AJ233),T233-ROUND((T233-1)*AK233*AL233,0),1
))</f>
        <v/>
      </c>
      <c r="AO233" s="647" t="str">
        <f t="shared" ref="AO233:AO252" si="77">IF(OR(AF233="",AG233=1),"",
IF(Y233="",AM233,
IF(Y233="1：取り壊し",SUM(AN233,Z233),
IF(Y233="3：売　却",AN233-Z233,
IF(AND(Y233="2：部分取り壊し",AN233&gt;1),SUM(ROUND(AN233*(AC233/O233),0),Z233,AM233),
IF(AND(Z233="",AM233=""),"",SUM(Z233,AM233)))))))</f>
        <v/>
      </c>
      <c r="AP233" s="647" t="str">
        <f t="shared" ref="AP233:AP252" si="78">IF(AND(AO233="",AM233=""),"",
IF(OR(Y233="1：取り壊し",Y233="2：部分取り壊し",Y233="3：売　却"),SUM(AO233)-SUM(AM233),""))</f>
        <v/>
      </c>
      <c r="AQ233" s="647" t="str">
        <f t="shared" ref="AQ233:AQ252" si="79">IF(OR(AG233=1,U233=""),"",
IF(AND(AJ233&gt;0,U233&gt;0,AL233&lt;AJ233),U233-ROUND(U233*AK233*AL233,0),""
))</f>
        <v/>
      </c>
      <c r="AR233" s="647" t="str">
        <f t="shared" si="57"/>
        <v/>
      </c>
      <c r="AS233" s="647" t="str">
        <f t="shared" ref="AS233:AS252" si="80">IF(Y233="2：部分取り壊し",O233-AC233,"")</f>
        <v/>
      </c>
      <c r="AT233" s="647" t="str">
        <f t="shared" si="61"/>
        <v/>
      </c>
      <c r="AU233" s="647" t="str">
        <f t="shared" si="62"/>
        <v/>
      </c>
      <c r="AV233" s="647" t="str">
        <f t="shared" si="55"/>
        <v/>
      </c>
      <c r="AW233" s="647" t="str">
        <f t="shared" ref="AW233:AW252" si="81">IF(X233="","",IF(AO233="","",ROUND(AO233*X233%,0)))</f>
        <v/>
      </c>
      <c r="AX233" s="647" t="str">
        <f t="shared" ref="AX233:AX252" si="82">IF(X233="","",IF(AP233="","",ROUND(AP233*X233%,0)))</f>
        <v/>
      </c>
      <c r="AY233" s="647" t="str">
        <f t="shared" ref="AY233:AY252" si="83">IF(X233="","",IF(AN233="","",ROUND(AN233*X233%,0)))</f>
        <v/>
      </c>
      <c r="AZ233" s="647" t="str">
        <f t="shared" si="56"/>
        <v/>
      </c>
      <c r="BA233" s="647" t="str">
        <f t="shared" ref="BA233:BA252" si="84">IF(X233="","",IF(W233="","",ROUND(W233*X233%,0)))</f>
        <v/>
      </c>
    </row>
    <row r="234" spans="2:53" s="7" customFormat="1" ht="28.5" hidden="1" customHeight="1" outlineLevel="1">
      <c r="B234" s="64"/>
      <c r="C234" s="649">
        <v>218</v>
      </c>
      <c r="D234" s="1855"/>
      <c r="E234" s="1856"/>
      <c r="F234" s="1856"/>
      <c r="G234" s="1856"/>
      <c r="H234" s="1856"/>
      <c r="I234" s="1856"/>
      <c r="J234" s="1856"/>
      <c r="K234" s="1857"/>
      <c r="L234" s="643" t="str">
        <f t="shared" si="53"/>
        <v/>
      </c>
      <c r="M234" s="664"/>
      <c r="N234" s="665"/>
      <c r="O234" s="267"/>
      <c r="P234" s="666"/>
      <c r="Q234" s="667"/>
      <c r="R234" s="667"/>
      <c r="S234" s="1035"/>
      <c r="T234" s="668"/>
      <c r="U234" s="668"/>
      <c r="V234" s="668"/>
      <c r="W234" s="668"/>
      <c r="X234" s="669"/>
      <c r="Y234" s="670"/>
      <c r="Z234" s="671"/>
      <c r="AA234" s="644"/>
      <c r="AB234" s="978"/>
      <c r="AC234" s="992"/>
      <c r="AD234" s="89"/>
      <c r="AE234" s="89"/>
      <c r="AF234" s="645" t="str">
        <f t="shared" si="58"/>
        <v/>
      </c>
      <c r="AG234" s="1037" t="str">
        <f t="shared" si="59"/>
        <v/>
      </c>
      <c r="AH234" s="1037" t="str">
        <f t="shared" si="60"/>
        <v/>
      </c>
      <c r="AI234" s="1037" t="str">
        <f>IF(AF234="","",VLOOKUP(AF234,リスト!BD:BE,2,0))</f>
        <v/>
      </c>
      <c r="AJ234" s="1037" t="str">
        <f t="shared" si="74"/>
        <v/>
      </c>
      <c r="AK234" s="1037" t="str">
        <f>IF(AJ234="","",VLOOKUP(AJ234,リスト!BW:BX,2,0))</f>
        <v/>
      </c>
      <c r="AL234" s="1037" t="str">
        <f t="shared" si="54"/>
        <v/>
      </c>
      <c r="AM234" s="646" t="str">
        <f t="shared" si="75"/>
        <v/>
      </c>
      <c r="AN234" s="646" t="str">
        <f t="shared" si="76"/>
        <v/>
      </c>
      <c r="AO234" s="647" t="str">
        <f t="shared" si="77"/>
        <v/>
      </c>
      <c r="AP234" s="647" t="str">
        <f t="shared" si="78"/>
        <v/>
      </c>
      <c r="AQ234" s="647" t="str">
        <f t="shared" si="79"/>
        <v/>
      </c>
      <c r="AR234" s="647" t="str">
        <f t="shared" si="57"/>
        <v/>
      </c>
      <c r="AS234" s="647" t="str">
        <f t="shared" si="80"/>
        <v/>
      </c>
      <c r="AT234" s="647" t="str">
        <f t="shared" si="61"/>
        <v/>
      </c>
      <c r="AU234" s="647" t="str">
        <f t="shared" si="62"/>
        <v/>
      </c>
      <c r="AV234" s="647" t="str">
        <f t="shared" si="55"/>
        <v/>
      </c>
      <c r="AW234" s="647" t="str">
        <f t="shared" si="81"/>
        <v/>
      </c>
      <c r="AX234" s="647" t="str">
        <f t="shared" si="82"/>
        <v/>
      </c>
      <c r="AY234" s="647" t="str">
        <f t="shared" si="83"/>
        <v/>
      </c>
      <c r="AZ234" s="647" t="str">
        <f t="shared" si="56"/>
        <v/>
      </c>
      <c r="BA234" s="647" t="str">
        <f t="shared" si="84"/>
        <v/>
      </c>
    </row>
    <row r="235" spans="2:53" s="7" customFormat="1" ht="28.5" hidden="1" customHeight="1" outlineLevel="1">
      <c r="B235" s="64"/>
      <c r="C235" s="649">
        <v>219</v>
      </c>
      <c r="D235" s="1855"/>
      <c r="E235" s="1856"/>
      <c r="F235" s="1856"/>
      <c r="G235" s="1856"/>
      <c r="H235" s="1856"/>
      <c r="I235" s="1856"/>
      <c r="J235" s="1856"/>
      <c r="K235" s="1857"/>
      <c r="L235" s="643" t="str">
        <f t="shared" si="53"/>
        <v/>
      </c>
      <c r="M235" s="664"/>
      <c r="N235" s="665"/>
      <c r="O235" s="267"/>
      <c r="P235" s="666"/>
      <c r="Q235" s="667"/>
      <c r="R235" s="667"/>
      <c r="S235" s="1035"/>
      <c r="T235" s="668"/>
      <c r="U235" s="668"/>
      <c r="V235" s="668"/>
      <c r="W235" s="668"/>
      <c r="X235" s="669"/>
      <c r="Y235" s="670"/>
      <c r="Z235" s="671"/>
      <c r="AA235" s="644"/>
      <c r="AB235" s="978"/>
      <c r="AC235" s="992"/>
      <c r="AD235" s="89"/>
      <c r="AE235" s="89"/>
      <c r="AF235" s="645" t="str">
        <f t="shared" si="58"/>
        <v/>
      </c>
      <c r="AG235" s="1037" t="str">
        <f t="shared" si="59"/>
        <v/>
      </c>
      <c r="AH235" s="1037" t="str">
        <f t="shared" si="60"/>
        <v/>
      </c>
      <c r="AI235" s="1037" t="str">
        <f>IF(AF235="","",VLOOKUP(AF235,リスト!BD:BE,2,0))</f>
        <v/>
      </c>
      <c r="AJ235" s="1037" t="str">
        <f t="shared" si="74"/>
        <v/>
      </c>
      <c r="AK235" s="1037" t="str">
        <f>IF(AJ235="","",VLOOKUP(AJ235,リスト!BW:BX,2,0))</f>
        <v/>
      </c>
      <c r="AL235" s="1037" t="str">
        <f t="shared" si="54"/>
        <v/>
      </c>
      <c r="AM235" s="646" t="str">
        <f t="shared" si="75"/>
        <v/>
      </c>
      <c r="AN235" s="646" t="str">
        <f t="shared" si="76"/>
        <v/>
      </c>
      <c r="AO235" s="647" t="str">
        <f t="shared" si="77"/>
        <v/>
      </c>
      <c r="AP235" s="647" t="str">
        <f t="shared" si="78"/>
        <v/>
      </c>
      <c r="AQ235" s="647" t="str">
        <f t="shared" si="79"/>
        <v/>
      </c>
      <c r="AR235" s="647" t="str">
        <f t="shared" si="57"/>
        <v/>
      </c>
      <c r="AS235" s="647" t="str">
        <f t="shared" si="80"/>
        <v/>
      </c>
      <c r="AT235" s="647" t="str">
        <f t="shared" si="61"/>
        <v/>
      </c>
      <c r="AU235" s="647" t="str">
        <f t="shared" si="62"/>
        <v/>
      </c>
      <c r="AV235" s="647" t="str">
        <f t="shared" si="55"/>
        <v/>
      </c>
      <c r="AW235" s="647" t="str">
        <f t="shared" si="81"/>
        <v/>
      </c>
      <c r="AX235" s="647" t="str">
        <f t="shared" si="82"/>
        <v/>
      </c>
      <c r="AY235" s="647" t="str">
        <f t="shared" si="83"/>
        <v/>
      </c>
      <c r="AZ235" s="647" t="str">
        <f t="shared" si="56"/>
        <v/>
      </c>
      <c r="BA235" s="647" t="str">
        <f t="shared" si="84"/>
        <v/>
      </c>
    </row>
    <row r="236" spans="2:53" s="7" customFormat="1" ht="28.5" hidden="1" customHeight="1" outlineLevel="1">
      <c r="B236" s="64"/>
      <c r="C236" s="649">
        <v>220</v>
      </c>
      <c r="D236" s="1855"/>
      <c r="E236" s="1856"/>
      <c r="F236" s="1856"/>
      <c r="G236" s="1856"/>
      <c r="H236" s="1856"/>
      <c r="I236" s="1856"/>
      <c r="J236" s="1856"/>
      <c r="K236" s="1857"/>
      <c r="L236" s="643" t="str">
        <f t="shared" si="53"/>
        <v/>
      </c>
      <c r="M236" s="664"/>
      <c r="N236" s="665"/>
      <c r="O236" s="267"/>
      <c r="P236" s="666"/>
      <c r="Q236" s="667"/>
      <c r="R236" s="667"/>
      <c r="S236" s="1035"/>
      <c r="T236" s="668"/>
      <c r="U236" s="668"/>
      <c r="V236" s="668"/>
      <c r="W236" s="668"/>
      <c r="X236" s="669"/>
      <c r="Y236" s="670"/>
      <c r="Z236" s="671"/>
      <c r="AA236" s="644"/>
      <c r="AB236" s="978"/>
      <c r="AC236" s="992"/>
      <c r="AD236" s="89"/>
      <c r="AE236" s="89"/>
      <c r="AF236" s="645" t="str">
        <f t="shared" si="58"/>
        <v/>
      </c>
      <c r="AG236" s="1037" t="str">
        <f t="shared" si="59"/>
        <v/>
      </c>
      <c r="AH236" s="1037" t="str">
        <f t="shared" si="60"/>
        <v/>
      </c>
      <c r="AI236" s="1037" t="str">
        <f>IF(AF236="","",VLOOKUP(AF236,リスト!BD:BE,2,0))</f>
        <v/>
      </c>
      <c r="AJ236" s="1037" t="str">
        <f t="shared" si="74"/>
        <v/>
      </c>
      <c r="AK236" s="1037" t="str">
        <f>IF(AJ236="","",VLOOKUP(AJ236,リスト!BW:BX,2,0))</f>
        <v/>
      </c>
      <c r="AL236" s="1037" t="str">
        <f t="shared" si="54"/>
        <v/>
      </c>
      <c r="AM236" s="646" t="str">
        <f t="shared" si="75"/>
        <v/>
      </c>
      <c r="AN236" s="646" t="str">
        <f t="shared" si="76"/>
        <v/>
      </c>
      <c r="AO236" s="647" t="str">
        <f t="shared" si="77"/>
        <v/>
      </c>
      <c r="AP236" s="647" t="str">
        <f t="shared" si="78"/>
        <v/>
      </c>
      <c r="AQ236" s="647" t="str">
        <f t="shared" si="79"/>
        <v/>
      </c>
      <c r="AR236" s="647" t="str">
        <f t="shared" si="57"/>
        <v/>
      </c>
      <c r="AS236" s="647" t="str">
        <f t="shared" si="80"/>
        <v/>
      </c>
      <c r="AT236" s="647" t="str">
        <f t="shared" si="61"/>
        <v/>
      </c>
      <c r="AU236" s="647" t="str">
        <f t="shared" si="62"/>
        <v/>
      </c>
      <c r="AV236" s="647" t="str">
        <f t="shared" si="55"/>
        <v/>
      </c>
      <c r="AW236" s="647" t="str">
        <f t="shared" si="81"/>
        <v/>
      </c>
      <c r="AX236" s="647" t="str">
        <f t="shared" si="82"/>
        <v/>
      </c>
      <c r="AY236" s="647" t="str">
        <f t="shared" si="83"/>
        <v/>
      </c>
      <c r="AZ236" s="647" t="str">
        <f t="shared" si="56"/>
        <v/>
      </c>
      <c r="BA236" s="647" t="str">
        <f t="shared" si="84"/>
        <v/>
      </c>
    </row>
    <row r="237" spans="2:53" s="7" customFormat="1" ht="28.5" hidden="1" customHeight="1" outlineLevel="1">
      <c r="B237" s="64"/>
      <c r="C237" s="649">
        <v>221</v>
      </c>
      <c r="D237" s="1855"/>
      <c r="E237" s="1856"/>
      <c r="F237" s="1856"/>
      <c r="G237" s="1856"/>
      <c r="H237" s="1856"/>
      <c r="I237" s="1856"/>
      <c r="J237" s="1856"/>
      <c r="K237" s="1857"/>
      <c r="L237" s="643" t="str">
        <f t="shared" si="53"/>
        <v/>
      </c>
      <c r="M237" s="664"/>
      <c r="N237" s="665"/>
      <c r="O237" s="267"/>
      <c r="P237" s="666"/>
      <c r="Q237" s="667"/>
      <c r="R237" s="667"/>
      <c r="S237" s="1035"/>
      <c r="T237" s="668"/>
      <c r="U237" s="668"/>
      <c r="V237" s="668"/>
      <c r="W237" s="668"/>
      <c r="X237" s="669"/>
      <c r="Y237" s="670"/>
      <c r="Z237" s="671"/>
      <c r="AA237" s="644"/>
      <c r="AB237" s="978"/>
      <c r="AC237" s="992"/>
      <c r="AD237" s="89"/>
      <c r="AE237" s="89"/>
      <c r="AF237" s="645" t="str">
        <f t="shared" si="58"/>
        <v/>
      </c>
      <c r="AG237" s="1037" t="str">
        <f t="shared" si="59"/>
        <v/>
      </c>
      <c r="AH237" s="1037" t="str">
        <f t="shared" si="60"/>
        <v/>
      </c>
      <c r="AI237" s="1037" t="str">
        <f>IF(AF237="","",VLOOKUP(AF237,リスト!BD:BE,2,0))</f>
        <v/>
      </c>
      <c r="AJ237" s="1037" t="str">
        <f t="shared" si="74"/>
        <v/>
      </c>
      <c r="AK237" s="1037" t="str">
        <f>IF(AJ237="","",VLOOKUP(AJ237,リスト!BW:BX,2,0))</f>
        <v/>
      </c>
      <c r="AL237" s="1037" t="str">
        <f t="shared" si="54"/>
        <v/>
      </c>
      <c r="AM237" s="646" t="str">
        <f t="shared" si="75"/>
        <v/>
      </c>
      <c r="AN237" s="646" t="str">
        <f t="shared" si="76"/>
        <v/>
      </c>
      <c r="AO237" s="647" t="str">
        <f t="shared" si="77"/>
        <v/>
      </c>
      <c r="AP237" s="647" t="str">
        <f t="shared" si="78"/>
        <v/>
      </c>
      <c r="AQ237" s="647" t="str">
        <f t="shared" si="79"/>
        <v/>
      </c>
      <c r="AR237" s="647" t="str">
        <f t="shared" si="57"/>
        <v/>
      </c>
      <c r="AS237" s="647" t="str">
        <f t="shared" si="80"/>
        <v/>
      </c>
      <c r="AT237" s="647" t="str">
        <f t="shared" si="61"/>
        <v/>
      </c>
      <c r="AU237" s="647" t="str">
        <f t="shared" si="62"/>
        <v/>
      </c>
      <c r="AV237" s="647" t="str">
        <f t="shared" si="55"/>
        <v/>
      </c>
      <c r="AW237" s="647" t="str">
        <f t="shared" si="81"/>
        <v/>
      </c>
      <c r="AX237" s="647" t="str">
        <f t="shared" si="82"/>
        <v/>
      </c>
      <c r="AY237" s="647" t="str">
        <f t="shared" si="83"/>
        <v/>
      </c>
      <c r="AZ237" s="647" t="str">
        <f t="shared" si="56"/>
        <v/>
      </c>
      <c r="BA237" s="647" t="str">
        <f t="shared" si="84"/>
        <v/>
      </c>
    </row>
    <row r="238" spans="2:53" s="7" customFormat="1" ht="28.5" hidden="1" customHeight="1" outlineLevel="1">
      <c r="B238" s="64"/>
      <c r="C238" s="649">
        <v>222</v>
      </c>
      <c r="D238" s="1855"/>
      <c r="E238" s="1856"/>
      <c r="F238" s="1856"/>
      <c r="G238" s="1856"/>
      <c r="H238" s="1856"/>
      <c r="I238" s="1856"/>
      <c r="J238" s="1856"/>
      <c r="K238" s="1857"/>
      <c r="L238" s="643" t="str">
        <f t="shared" si="53"/>
        <v/>
      </c>
      <c r="M238" s="664"/>
      <c r="N238" s="665"/>
      <c r="O238" s="267"/>
      <c r="P238" s="666"/>
      <c r="Q238" s="667"/>
      <c r="R238" s="667"/>
      <c r="S238" s="1035"/>
      <c r="T238" s="668"/>
      <c r="U238" s="668"/>
      <c r="V238" s="668"/>
      <c r="W238" s="668"/>
      <c r="X238" s="669"/>
      <c r="Y238" s="670"/>
      <c r="Z238" s="671"/>
      <c r="AA238" s="644"/>
      <c r="AB238" s="978"/>
      <c r="AC238" s="992"/>
      <c r="AD238" s="89"/>
      <c r="AE238" s="89"/>
      <c r="AF238" s="645" t="str">
        <f t="shared" si="58"/>
        <v/>
      </c>
      <c r="AG238" s="1037" t="str">
        <f t="shared" si="59"/>
        <v/>
      </c>
      <c r="AH238" s="1037" t="str">
        <f t="shared" si="60"/>
        <v/>
      </c>
      <c r="AI238" s="1037" t="str">
        <f>IF(AF238="","",VLOOKUP(AF238,リスト!BD:BE,2,0))</f>
        <v/>
      </c>
      <c r="AJ238" s="1037" t="str">
        <f t="shared" si="74"/>
        <v/>
      </c>
      <c r="AK238" s="1037" t="str">
        <f>IF(AJ238="","",VLOOKUP(AJ238,リスト!BW:BX,2,0))</f>
        <v/>
      </c>
      <c r="AL238" s="1037" t="str">
        <f t="shared" si="54"/>
        <v/>
      </c>
      <c r="AM238" s="646" t="str">
        <f t="shared" si="75"/>
        <v/>
      </c>
      <c r="AN238" s="646" t="str">
        <f t="shared" si="76"/>
        <v/>
      </c>
      <c r="AO238" s="647" t="str">
        <f t="shared" si="77"/>
        <v/>
      </c>
      <c r="AP238" s="647" t="str">
        <f t="shared" si="78"/>
        <v/>
      </c>
      <c r="AQ238" s="647" t="str">
        <f t="shared" si="79"/>
        <v/>
      </c>
      <c r="AR238" s="647" t="str">
        <f t="shared" si="57"/>
        <v/>
      </c>
      <c r="AS238" s="647" t="str">
        <f t="shared" si="80"/>
        <v/>
      </c>
      <c r="AT238" s="647" t="str">
        <f t="shared" si="61"/>
        <v/>
      </c>
      <c r="AU238" s="647" t="str">
        <f t="shared" si="62"/>
        <v/>
      </c>
      <c r="AV238" s="647" t="str">
        <f t="shared" si="55"/>
        <v/>
      </c>
      <c r="AW238" s="647" t="str">
        <f t="shared" si="81"/>
        <v/>
      </c>
      <c r="AX238" s="647" t="str">
        <f t="shared" si="82"/>
        <v/>
      </c>
      <c r="AY238" s="647" t="str">
        <f t="shared" si="83"/>
        <v/>
      </c>
      <c r="AZ238" s="647" t="str">
        <f t="shared" si="56"/>
        <v/>
      </c>
      <c r="BA238" s="647" t="str">
        <f t="shared" si="84"/>
        <v/>
      </c>
    </row>
    <row r="239" spans="2:53" s="7" customFormat="1" ht="28.5" hidden="1" customHeight="1" outlineLevel="1">
      <c r="B239" s="64"/>
      <c r="C239" s="649">
        <v>223</v>
      </c>
      <c r="D239" s="1855"/>
      <c r="E239" s="1856"/>
      <c r="F239" s="1856"/>
      <c r="G239" s="1856"/>
      <c r="H239" s="1856"/>
      <c r="I239" s="1856"/>
      <c r="J239" s="1856"/>
      <c r="K239" s="1857"/>
      <c r="L239" s="643" t="str">
        <f t="shared" si="53"/>
        <v/>
      </c>
      <c r="M239" s="664"/>
      <c r="N239" s="665"/>
      <c r="O239" s="267"/>
      <c r="P239" s="666"/>
      <c r="Q239" s="667"/>
      <c r="R239" s="667"/>
      <c r="S239" s="1035"/>
      <c r="T239" s="668"/>
      <c r="U239" s="668"/>
      <c r="V239" s="668"/>
      <c r="W239" s="668"/>
      <c r="X239" s="669"/>
      <c r="Y239" s="670"/>
      <c r="Z239" s="671"/>
      <c r="AA239" s="644"/>
      <c r="AB239" s="978"/>
      <c r="AC239" s="992"/>
      <c r="AD239" s="89"/>
      <c r="AE239" s="89"/>
      <c r="AF239" s="645" t="str">
        <f t="shared" si="58"/>
        <v/>
      </c>
      <c r="AG239" s="1037" t="str">
        <f t="shared" si="59"/>
        <v/>
      </c>
      <c r="AH239" s="1037" t="str">
        <f t="shared" si="60"/>
        <v/>
      </c>
      <c r="AI239" s="1037" t="str">
        <f>IF(AF239="","",VLOOKUP(AF239,リスト!BD:BE,2,0))</f>
        <v/>
      </c>
      <c r="AJ239" s="1037" t="str">
        <f t="shared" si="74"/>
        <v/>
      </c>
      <c r="AK239" s="1037" t="str">
        <f>IF(AJ239="","",VLOOKUP(AJ239,リスト!BW:BX,2,0))</f>
        <v/>
      </c>
      <c r="AL239" s="1037" t="str">
        <f t="shared" si="54"/>
        <v/>
      </c>
      <c r="AM239" s="646" t="str">
        <f t="shared" si="75"/>
        <v/>
      </c>
      <c r="AN239" s="646" t="str">
        <f t="shared" si="76"/>
        <v/>
      </c>
      <c r="AO239" s="647" t="str">
        <f t="shared" si="77"/>
        <v/>
      </c>
      <c r="AP239" s="647" t="str">
        <f t="shared" si="78"/>
        <v/>
      </c>
      <c r="AQ239" s="647" t="str">
        <f t="shared" si="79"/>
        <v/>
      </c>
      <c r="AR239" s="647" t="str">
        <f t="shared" si="57"/>
        <v/>
      </c>
      <c r="AS239" s="647" t="str">
        <f t="shared" si="80"/>
        <v/>
      </c>
      <c r="AT239" s="647" t="str">
        <f t="shared" si="61"/>
        <v/>
      </c>
      <c r="AU239" s="647" t="str">
        <f t="shared" si="62"/>
        <v/>
      </c>
      <c r="AV239" s="647" t="str">
        <f t="shared" si="55"/>
        <v/>
      </c>
      <c r="AW239" s="647" t="str">
        <f t="shared" si="81"/>
        <v/>
      </c>
      <c r="AX239" s="647" t="str">
        <f t="shared" si="82"/>
        <v/>
      </c>
      <c r="AY239" s="647" t="str">
        <f t="shared" si="83"/>
        <v/>
      </c>
      <c r="AZ239" s="647" t="str">
        <f t="shared" si="56"/>
        <v/>
      </c>
      <c r="BA239" s="647" t="str">
        <f t="shared" si="84"/>
        <v/>
      </c>
    </row>
    <row r="240" spans="2:53" s="7" customFormat="1" ht="28.5" hidden="1" customHeight="1" outlineLevel="1">
      <c r="B240" s="64"/>
      <c r="C240" s="649">
        <v>224</v>
      </c>
      <c r="D240" s="1855"/>
      <c r="E240" s="1856"/>
      <c r="F240" s="1856"/>
      <c r="G240" s="1856"/>
      <c r="H240" s="1856"/>
      <c r="I240" s="1856"/>
      <c r="J240" s="1856"/>
      <c r="K240" s="1857"/>
      <c r="L240" s="643" t="str">
        <f t="shared" si="53"/>
        <v/>
      </c>
      <c r="M240" s="664"/>
      <c r="N240" s="665"/>
      <c r="O240" s="267"/>
      <c r="P240" s="666"/>
      <c r="Q240" s="667"/>
      <c r="R240" s="667"/>
      <c r="S240" s="1035"/>
      <c r="T240" s="668"/>
      <c r="U240" s="668"/>
      <c r="V240" s="668"/>
      <c r="W240" s="668"/>
      <c r="X240" s="669"/>
      <c r="Y240" s="670"/>
      <c r="Z240" s="671"/>
      <c r="AA240" s="644"/>
      <c r="AB240" s="978"/>
      <c r="AC240" s="992"/>
      <c r="AD240" s="89"/>
      <c r="AE240" s="89"/>
      <c r="AF240" s="645" t="str">
        <f t="shared" si="58"/>
        <v/>
      </c>
      <c r="AG240" s="1037" t="str">
        <f t="shared" si="59"/>
        <v/>
      </c>
      <c r="AH240" s="1037" t="str">
        <f t="shared" si="60"/>
        <v/>
      </c>
      <c r="AI240" s="1037" t="str">
        <f>IF(AF240="","",VLOOKUP(AF240,リスト!BD:BE,2,0))</f>
        <v/>
      </c>
      <c r="AJ240" s="1037" t="str">
        <f t="shared" si="74"/>
        <v/>
      </c>
      <c r="AK240" s="1037" t="str">
        <f>IF(AJ240="","",VLOOKUP(AJ240,リスト!BW:BX,2,0))</f>
        <v/>
      </c>
      <c r="AL240" s="1037" t="str">
        <f t="shared" si="54"/>
        <v/>
      </c>
      <c r="AM240" s="646" t="str">
        <f t="shared" si="75"/>
        <v/>
      </c>
      <c r="AN240" s="646" t="str">
        <f t="shared" si="76"/>
        <v/>
      </c>
      <c r="AO240" s="647" t="str">
        <f t="shared" si="77"/>
        <v/>
      </c>
      <c r="AP240" s="647" t="str">
        <f t="shared" si="78"/>
        <v/>
      </c>
      <c r="AQ240" s="647" t="str">
        <f t="shared" si="79"/>
        <v/>
      </c>
      <c r="AR240" s="647" t="str">
        <f t="shared" si="57"/>
        <v/>
      </c>
      <c r="AS240" s="647" t="str">
        <f t="shared" si="80"/>
        <v/>
      </c>
      <c r="AT240" s="647" t="str">
        <f t="shared" si="61"/>
        <v/>
      </c>
      <c r="AU240" s="647" t="str">
        <f t="shared" si="62"/>
        <v/>
      </c>
      <c r="AV240" s="647" t="str">
        <f t="shared" si="55"/>
        <v/>
      </c>
      <c r="AW240" s="647" t="str">
        <f t="shared" si="81"/>
        <v/>
      </c>
      <c r="AX240" s="647" t="str">
        <f t="shared" si="82"/>
        <v/>
      </c>
      <c r="AY240" s="647" t="str">
        <f t="shared" si="83"/>
        <v/>
      </c>
      <c r="AZ240" s="647" t="str">
        <f t="shared" si="56"/>
        <v/>
      </c>
      <c r="BA240" s="647" t="str">
        <f t="shared" si="84"/>
        <v/>
      </c>
    </row>
    <row r="241" spans="2:53" s="7" customFormat="1" ht="28.5" hidden="1" customHeight="1" outlineLevel="1">
      <c r="B241" s="64"/>
      <c r="C241" s="649">
        <v>225</v>
      </c>
      <c r="D241" s="1855"/>
      <c r="E241" s="1856"/>
      <c r="F241" s="1856"/>
      <c r="G241" s="1856"/>
      <c r="H241" s="1856"/>
      <c r="I241" s="1856"/>
      <c r="J241" s="1856"/>
      <c r="K241" s="1857"/>
      <c r="L241" s="643" t="str">
        <f t="shared" si="53"/>
        <v/>
      </c>
      <c r="M241" s="664"/>
      <c r="N241" s="665"/>
      <c r="O241" s="267"/>
      <c r="P241" s="666"/>
      <c r="Q241" s="667"/>
      <c r="R241" s="667"/>
      <c r="S241" s="1035"/>
      <c r="T241" s="668"/>
      <c r="U241" s="668"/>
      <c r="V241" s="668"/>
      <c r="W241" s="668"/>
      <c r="X241" s="669"/>
      <c r="Y241" s="670"/>
      <c r="Z241" s="671"/>
      <c r="AA241" s="644"/>
      <c r="AB241" s="978"/>
      <c r="AC241" s="992"/>
      <c r="AD241" s="89"/>
      <c r="AE241" s="89"/>
      <c r="AF241" s="645" t="str">
        <f t="shared" si="58"/>
        <v/>
      </c>
      <c r="AG241" s="1037" t="str">
        <f t="shared" si="59"/>
        <v/>
      </c>
      <c r="AH241" s="1037" t="str">
        <f t="shared" si="60"/>
        <v/>
      </c>
      <c r="AI241" s="1037" t="str">
        <f>IF(AF241="","",VLOOKUP(AF241,リスト!BD:BE,2,0))</f>
        <v/>
      </c>
      <c r="AJ241" s="1037" t="str">
        <f t="shared" si="74"/>
        <v/>
      </c>
      <c r="AK241" s="1037" t="str">
        <f>IF(AJ241="","",VLOOKUP(AJ241,リスト!BW:BX,2,0))</f>
        <v/>
      </c>
      <c r="AL241" s="1037" t="str">
        <f t="shared" si="54"/>
        <v/>
      </c>
      <c r="AM241" s="646" t="str">
        <f t="shared" si="75"/>
        <v/>
      </c>
      <c r="AN241" s="646" t="str">
        <f t="shared" si="76"/>
        <v/>
      </c>
      <c r="AO241" s="647" t="str">
        <f t="shared" si="77"/>
        <v/>
      </c>
      <c r="AP241" s="647" t="str">
        <f t="shared" si="78"/>
        <v/>
      </c>
      <c r="AQ241" s="647" t="str">
        <f t="shared" si="79"/>
        <v/>
      </c>
      <c r="AR241" s="647" t="str">
        <f t="shared" si="57"/>
        <v/>
      </c>
      <c r="AS241" s="647" t="str">
        <f t="shared" si="80"/>
        <v/>
      </c>
      <c r="AT241" s="647" t="str">
        <f t="shared" si="61"/>
        <v/>
      </c>
      <c r="AU241" s="647" t="str">
        <f t="shared" si="62"/>
        <v/>
      </c>
      <c r="AV241" s="647" t="str">
        <f t="shared" si="55"/>
        <v/>
      </c>
      <c r="AW241" s="647" t="str">
        <f t="shared" si="81"/>
        <v/>
      </c>
      <c r="AX241" s="647" t="str">
        <f t="shared" si="82"/>
        <v/>
      </c>
      <c r="AY241" s="647" t="str">
        <f t="shared" si="83"/>
        <v/>
      </c>
      <c r="AZ241" s="647" t="str">
        <f t="shared" si="56"/>
        <v/>
      </c>
      <c r="BA241" s="647" t="str">
        <f t="shared" si="84"/>
        <v/>
      </c>
    </row>
    <row r="242" spans="2:53" s="7" customFormat="1" ht="28.5" hidden="1" customHeight="1" outlineLevel="1">
      <c r="B242" s="64"/>
      <c r="C242" s="649">
        <v>226</v>
      </c>
      <c r="D242" s="1855"/>
      <c r="E242" s="1856"/>
      <c r="F242" s="1856"/>
      <c r="G242" s="1856"/>
      <c r="H242" s="1856"/>
      <c r="I242" s="1856"/>
      <c r="J242" s="1856"/>
      <c r="K242" s="1857"/>
      <c r="L242" s="643" t="str">
        <f t="shared" si="53"/>
        <v/>
      </c>
      <c r="M242" s="664"/>
      <c r="N242" s="665"/>
      <c r="O242" s="267"/>
      <c r="P242" s="666"/>
      <c r="Q242" s="667"/>
      <c r="R242" s="667"/>
      <c r="S242" s="1035"/>
      <c r="T242" s="668"/>
      <c r="U242" s="668"/>
      <c r="V242" s="668"/>
      <c r="W242" s="668"/>
      <c r="X242" s="669"/>
      <c r="Y242" s="670"/>
      <c r="Z242" s="671"/>
      <c r="AA242" s="644"/>
      <c r="AB242" s="978"/>
      <c r="AC242" s="992"/>
      <c r="AD242" s="89"/>
      <c r="AE242" s="89"/>
      <c r="AF242" s="645" t="str">
        <f t="shared" si="58"/>
        <v/>
      </c>
      <c r="AG242" s="1037" t="str">
        <f t="shared" si="59"/>
        <v/>
      </c>
      <c r="AH242" s="1037" t="str">
        <f t="shared" si="60"/>
        <v/>
      </c>
      <c r="AI242" s="1037" t="str">
        <f>IF(AF242="","",VLOOKUP(AF242,リスト!BD:BE,2,0))</f>
        <v/>
      </c>
      <c r="AJ242" s="1037" t="str">
        <f t="shared" si="74"/>
        <v/>
      </c>
      <c r="AK242" s="1037" t="str">
        <f>IF(AJ242="","",VLOOKUP(AJ242,リスト!BW:BX,2,0))</f>
        <v/>
      </c>
      <c r="AL242" s="1037" t="str">
        <f t="shared" si="54"/>
        <v/>
      </c>
      <c r="AM242" s="646" t="str">
        <f t="shared" si="75"/>
        <v/>
      </c>
      <c r="AN242" s="646" t="str">
        <f t="shared" si="76"/>
        <v/>
      </c>
      <c r="AO242" s="647" t="str">
        <f t="shared" si="77"/>
        <v/>
      </c>
      <c r="AP242" s="647" t="str">
        <f t="shared" si="78"/>
        <v/>
      </c>
      <c r="AQ242" s="647" t="str">
        <f t="shared" si="79"/>
        <v/>
      </c>
      <c r="AR242" s="647" t="str">
        <f t="shared" si="57"/>
        <v/>
      </c>
      <c r="AS242" s="647" t="str">
        <f t="shared" si="80"/>
        <v/>
      </c>
      <c r="AT242" s="647" t="str">
        <f t="shared" si="61"/>
        <v/>
      </c>
      <c r="AU242" s="647" t="str">
        <f t="shared" si="62"/>
        <v/>
      </c>
      <c r="AV242" s="647" t="str">
        <f t="shared" si="55"/>
        <v/>
      </c>
      <c r="AW242" s="647" t="str">
        <f t="shared" si="81"/>
        <v/>
      </c>
      <c r="AX242" s="647" t="str">
        <f t="shared" si="82"/>
        <v/>
      </c>
      <c r="AY242" s="647" t="str">
        <f t="shared" si="83"/>
        <v/>
      </c>
      <c r="AZ242" s="647" t="str">
        <f t="shared" si="56"/>
        <v/>
      </c>
      <c r="BA242" s="647" t="str">
        <f t="shared" si="84"/>
        <v/>
      </c>
    </row>
    <row r="243" spans="2:53" s="7" customFormat="1" ht="28.5" hidden="1" customHeight="1" outlineLevel="1">
      <c r="B243" s="64"/>
      <c r="C243" s="649">
        <v>227</v>
      </c>
      <c r="D243" s="1855"/>
      <c r="E243" s="1856"/>
      <c r="F243" s="1856"/>
      <c r="G243" s="1856"/>
      <c r="H243" s="1856"/>
      <c r="I243" s="1856"/>
      <c r="J243" s="1856"/>
      <c r="K243" s="1857"/>
      <c r="L243" s="643" t="str">
        <f t="shared" si="53"/>
        <v/>
      </c>
      <c r="M243" s="664"/>
      <c r="N243" s="665"/>
      <c r="O243" s="267"/>
      <c r="P243" s="666"/>
      <c r="Q243" s="667"/>
      <c r="R243" s="667"/>
      <c r="S243" s="1035"/>
      <c r="T243" s="668"/>
      <c r="U243" s="668"/>
      <c r="V243" s="668"/>
      <c r="W243" s="668"/>
      <c r="X243" s="669"/>
      <c r="Y243" s="670"/>
      <c r="Z243" s="671"/>
      <c r="AA243" s="644"/>
      <c r="AB243" s="978"/>
      <c r="AC243" s="992"/>
      <c r="AD243" s="89"/>
      <c r="AE243" s="89"/>
      <c r="AF243" s="645" t="str">
        <f t="shared" si="58"/>
        <v/>
      </c>
      <c r="AG243" s="1037" t="str">
        <f t="shared" si="59"/>
        <v/>
      </c>
      <c r="AH243" s="1037" t="str">
        <f t="shared" si="60"/>
        <v/>
      </c>
      <c r="AI243" s="1037" t="str">
        <f>IF(AF243="","",VLOOKUP(AF243,リスト!BD:BE,2,0))</f>
        <v/>
      </c>
      <c r="AJ243" s="1037" t="str">
        <f t="shared" si="74"/>
        <v/>
      </c>
      <c r="AK243" s="1037" t="str">
        <f>IF(AJ243="","",VLOOKUP(AJ243,リスト!BW:BX,2,0))</f>
        <v/>
      </c>
      <c r="AL243" s="1037" t="str">
        <f t="shared" si="54"/>
        <v/>
      </c>
      <c r="AM243" s="646" t="str">
        <f t="shared" si="75"/>
        <v/>
      </c>
      <c r="AN243" s="646" t="str">
        <f t="shared" si="76"/>
        <v/>
      </c>
      <c r="AO243" s="647" t="str">
        <f t="shared" si="77"/>
        <v/>
      </c>
      <c r="AP243" s="647" t="str">
        <f t="shared" si="78"/>
        <v/>
      </c>
      <c r="AQ243" s="647" t="str">
        <f t="shared" si="79"/>
        <v/>
      </c>
      <c r="AR243" s="647" t="str">
        <f t="shared" si="57"/>
        <v/>
      </c>
      <c r="AS243" s="647" t="str">
        <f t="shared" si="80"/>
        <v/>
      </c>
      <c r="AT243" s="647" t="str">
        <f t="shared" si="61"/>
        <v/>
      </c>
      <c r="AU243" s="647" t="str">
        <f t="shared" si="62"/>
        <v/>
      </c>
      <c r="AV243" s="647" t="str">
        <f t="shared" si="55"/>
        <v/>
      </c>
      <c r="AW243" s="647" t="str">
        <f t="shared" si="81"/>
        <v/>
      </c>
      <c r="AX243" s="647" t="str">
        <f t="shared" si="82"/>
        <v/>
      </c>
      <c r="AY243" s="647" t="str">
        <f t="shared" si="83"/>
        <v/>
      </c>
      <c r="AZ243" s="647" t="str">
        <f t="shared" si="56"/>
        <v/>
      </c>
      <c r="BA243" s="647" t="str">
        <f t="shared" si="84"/>
        <v/>
      </c>
    </row>
    <row r="244" spans="2:53" s="7" customFormat="1" ht="28.5" hidden="1" customHeight="1" outlineLevel="1">
      <c r="B244" s="64"/>
      <c r="C244" s="649">
        <v>228</v>
      </c>
      <c r="D244" s="1855"/>
      <c r="E244" s="1856"/>
      <c r="F244" s="1856"/>
      <c r="G244" s="1856"/>
      <c r="H244" s="1856"/>
      <c r="I244" s="1856"/>
      <c r="J244" s="1856"/>
      <c r="K244" s="1857"/>
      <c r="L244" s="643" t="str">
        <f t="shared" si="53"/>
        <v/>
      </c>
      <c r="M244" s="664"/>
      <c r="N244" s="665"/>
      <c r="O244" s="267"/>
      <c r="P244" s="666"/>
      <c r="Q244" s="667"/>
      <c r="R244" s="667"/>
      <c r="S244" s="1035"/>
      <c r="T244" s="668"/>
      <c r="U244" s="668"/>
      <c r="V244" s="668"/>
      <c r="W244" s="668"/>
      <c r="X244" s="669"/>
      <c r="Y244" s="670"/>
      <c r="Z244" s="671"/>
      <c r="AA244" s="644"/>
      <c r="AB244" s="978"/>
      <c r="AC244" s="992"/>
      <c r="AD244" s="89"/>
      <c r="AE244" s="89"/>
      <c r="AF244" s="645" t="str">
        <f t="shared" si="58"/>
        <v/>
      </c>
      <c r="AG244" s="1037" t="str">
        <f t="shared" si="59"/>
        <v/>
      </c>
      <c r="AH244" s="1037" t="str">
        <f t="shared" si="60"/>
        <v/>
      </c>
      <c r="AI244" s="1037" t="str">
        <f>IF(AF244="","",VLOOKUP(AF244,リスト!BD:BE,2,0))</f>
        <v/>
      </c>
      <c r="AJ244" s="1037" t="str">
        <f t="shared" si="74"/>
        <v/>
      </c>
      <c r="AK244" s="1037" t="str">
        <f>IF(AJ244="","",VLOOKUP(AJ244,リスト!BW:BX,2,0))</f>
        <v/>
      </c>
      <c r="AL244" s="1037" t="str">
        <f t="shared" si="54"/>
        <v/>
      </c>
      <c r="AM244" s="646" t="str">
        <f t="shared" si="75"/>
        <v/>
      </c>
      <c r="AN244" s="646" t="str">
        <f t="shared" si="76"/>
        <v/>
      </c>
      <c r="AO244" s="647" t="str">
        <f t="shared" si="77"/>
        <v/>
      </c>
      <c r="AP244" s="647" t="str">
        <f t="shared" si="78"/>
        <v/>
      </c>
      <c r="AQ244" s="647" t="str">
        <f t="shared" si="79"/>
        <v/>
      </c>
      <c r="AR244" s="647" t="str">
        <f t="shared" si="57"/>
        <v/>
      </c>
      <c r="AS244" s="647" t="str">
        <f t="shared" si="80"/>
        <v/>
      </c>
      <c r="AT244" s="647" t="str">
        <f t="shared" si="61"/>
        <v/>
      </c>
      <c r="AU244" s="647" t="str">
        <f t="shared" si="62"/>
        <v/>
      </c>
      <c r="AV244" s="647" t="str">
        <f t="shared" si="55"/>
        <v/>
      </c>
      <c r="AW244" s="647" t="str">
        <f t="shared" si="81"/>
        <v/>
      </c>
      <c r="AX244" s="647" t="str">
        <f t="shared" si="82"/>
        <v/>
      </c>
      <c r="AY244" s="647" t="str">
        <f t="shared" si="83"/>
        <v/>
      </c>
      <c r="AZ244" s="647" t="str">
        <f t="shared" si="56"/>
        <v/>
      </c>
      <c r="BA244" s="647" t="str">
        <f t="shared" si="84"/>
        <v/>
      </c>
    </row>
    <row r="245" spans="2:53" s="7" customFormat="1" ht="28.5" hidden="1" customHeight="1" outlineLevel="1">
      <c r="B245" s="64"/>
      <c r="C245" s="649">
        <v>229</v>
      </c>
      <c r="D245" s="1855"/>
      <c r="E245" s="1856"/>
      <c r="F245" s="1856"/>
      <c r="G245" s="1856"/>
      <c r="H245" s="1856"/>
      <c r="I245" s="1856"/>
      <c r="J245" s="1856"/>
      <c r="K245" s="1857"/>
      <c r="L245" s="643" t="str">
        <f t="shared" si="53"/>
        <v/>
      </c>
      <c r="M245" s="664"/>
      <c r="N245" s="665"/>
      <c r="O245" s="267"/>
      <c r="P245" s="666"/>
      <c r="Q245" s="667"/>
      <c r="R245" s="667"/>
      <c r="S245" s="1035"/>
      <c r="T245" s="668"/>
      <c r="U245" s="668"/>
      <c r="V245" s="668"/>
      <c r="W245" s="668"/>
      <c r="X245" s="669"/>
      <c r="Y245" s="670"/>
      <c r="Z245" s="671"/>
      <c r="AA245" s="644"/>
      <c r="AB245" s="978"/>
      <c r="AC245" s="992"/>
      <c r="AD245" s="89"/>
      <c r="AE245" s="89"/>
      <c r="AF245" s="645" t="str">
        <f t="shared" si="58"/>
        <v/>
      </c>
      <c r="AG245" s="1037" t="str">
        <f t="shared" si="59"/>
        <v/>
      </c>
      <c r="AH245" s="1037" t="str">
        <f t="shared" si="60"/>
        <v/>
      </c>
      <c r="AI245" s="1037" t="str">
        <f>IF(AF245="","",VLOOKUP(AF245,リスト!BD:BE,2,0))</f>
        <v/>
      </c>
      <c r="AJ245" s="1037" t="str">
        <f t="shared" si="74"/>
        <v/>
      </c>
      <c r="AK245" s="1037" t="str">
        <f>IF(AJ245="","",VLOOKUP(AJ245,リスト!BW:BX,2,0))</f>
        <v/>
      </c>
      <c r="AL245" s="1037" t="str">
        <f t="shared" si="54"/>
        <v/>
      </c>
      <c r="AM245" s="646" t="str">
        <f t="shared" si="75"/>
        <v/>
      </c>
      <c r="AN245" s="646" t="str">
        <f t="shared" si="76"/>
        <v/>
      </c>
      <c r="AO245" s="647" t="str">
        <f t="shared" si="77"/>
        <v/>
      </c>
      <c r="AP245" s="647" t="str">
        <f t="shared" si="78"/>
        <v/>
      </c>
      <c r="AQ245" s="647" t="str">
        <f t="shared" si="79"/>
        <v/>
      </c>
      <c r="AR245" s="647" t="str">
        <f t="shared" si="57"/>
        <v/>
      </c>
      <c r="AS245" s="647" t="str">
        <f t="shared" si="80"/>
        <v/>
      </c>
      <c r="AT245" s="647" t="str">
        <f t="shared" si="61"/>
        <v/>
      </c>
      <c r="AU245" s="647" t="str">
        <f t="shared" si="62"/>
        <v/>
      </c>
      <c r="AV245" s="647" t="str">
        <f t="shared" si="55"/>
        <v/>
      </c>
      <c r="AW245" s="647" t="str">
        <f t="shared" si="81"/>
        <v/>
      </c>
      <c r="AX245" s="647" t="str">
        <f t="shared" si="82"/>
        <v/>
      </c>
      <c r="AY245" s="647" t="str">
        <f t="shared" si="83"/>
        <v/>
      </c>
      <c r="AZ245" s="647" t="str">
        <f t="shared" si="56"/>
        <v/>
      </c>
      <c r="BA245" s="647" t="str">
        <f t="shared" si="84"/>
        <v/>
      </c>
    </row>
    <row r="246" spans="2:53" s="7" customFormat="1" ht="28.5" hidden="1" customHeight="1" outlineLevel="1">
      <c r="B246" s="64"/>
      <c r="C246" s="649">
        <v>230</v>
      </c>
      <c r="D246" s="1855"/>
      <c r="E246" s="1856"/>
      <c r="F246" s="1856"/>
      <c r="G246" s="1856"/>
      <c r="H246" s="1856"/>
      <c r="I246" s="1856"/>
      <c r="J246" s="1856"/>
      <c r="K246" s="1857"/>
      <c r="L246" s="643" t="str">
        <f t="shared" si="53"/>
        <v/>
      </c>
      <c r="M246" s="664"/>
      <c r="N246" s="665"/>
      <c r="O246" s="267"/>
      <c r="P246" s="666"/>
      <c r="Q246" s="667"/>
      <c r="R246" s="667"/>
      <c r="S246" s="1035"/>
      <c r="T246" s="668"/>
      <c r="U246" s="668"/>
      <c r="V246" s="668"/>
      <c r="W246" s="668"/>
      <c r="X246" s="669"/>
      <c r="Y246" s="670"/>
      <c r="Z246" s="671"/>
      <c r="AA246" s="644"/>
      <c r="AB246" s="978"/>
      <c r="AC246" s="992"/>
      <c r="AD246" s="89"/>
      <c r="AE246" s="89"/>
      <c r="AF246" s="645" t="str">
        <f t="shared" si="58"/>
        <v/>
      </c>
      <c r="AG246" s="1037" t="str">
        <f t="shared" si="59"/>
        <v/>
      </c>
      <c r="AH246" s="1037" t="str">
        <f t="shared" si="60"/>
        <v/>
      </c>
      <c r="AI246" s="1037" t="str">
        <f>IF(AF246="","",VLOOKUP(AF246,リスト!BD:BE,2,0))</f>
        <v/>
      </c>
      <c r="AJ246" s="1037" t="str">
        <f t="shared" si="74"/>
        <v/>
      </c>
      <c r="AK246" s="1037" t="str">
        <f>IF(AJ246="","",VLOOKUP(AJ246,リスト!BW:BX,2,0))</f>
        <v/>
      </c>
      <c r="AL246" s="1037" t="str">
        <f t="shared" si="54"/>
        <v/>
      </c>
      <c r="AM246" s="646" t="str">
        <f t="shared" si="75"/>
        <v/>
      </c>
      <c r="AN246" s="646" t="str">
        <f t="shared" si="76"/>
        <v/>
      </c>
      <c r="AO246" s="647" t="str">
        <f t="shared" si="77"/>
        <v/>
      </c>
      <c r="AP246" s="647" t="str">
        <f t="shared" si="78"/>
        <v/>
      </c>
      <c r="AQ246" s="647" t="str">
        <f t="shared" si="79"/>
        <v/>
      </c>
      <c r="AR246" s="647" t="str">
        <f t="shared" si="57"/>
        <v/>
      </c>
      <c r="AS246" s="647" t="str">
        <f t="shared" si="80"/>
        <v/>
      </c>
      <c r="AT246" s="647" t="str">
        <f t="shared" si="61"/>
        <v/>
      </c>
      <c r="AU246" s="647" t="str">
        <f t="shared" si="62"/>
        <v/>
      </c>
      <c r="AV246" s="647" t="str">
        <f t="shared" si="55"/>
        <v/>
      </c>
      <c r="AW246" s="647" t="str">
        <f t="shared" si="81"/>
        <v/>
      </c>
      <c r="AX246" s="647" t="str">
        <f t="shared" si="82"/>
        <v/>
      </c>
      <c r="AY246" s="647" t="str">
        <f t="shared" si="83"/>
        <v/>
      </c>
      <c r="AZ246" s="647" t="str">
        <f t="shared" si="56"/>
        <v/>
      </c>
      <c r="BA246" s="647" t="str">
        <f t="shared" si="84"/>
        <v/>
      </c>
    </row>
    <row r="247" spans="2:53" s="7" customFormat="1" ht="28.5" hidden="1" customHeight="1" outlineLevel="1">
      <c r="B247" s="64"/>
      <c r="C247" s="649">
        <v>231</v>
      </c>
      <c r="D247" s="1855"/>
      <c r="E247" s="1856"/>
      <c r="F247" s="1856"/>
      <c r="G247" s="1856"/>
      <c r="H247" s="1856"/>
      <c r="I247" s="1856"/>
      <c r="J247" s="1856"/>
      <c r="K247" s="1857"/>
      <c r="L247" s="643" t="str">
        <f t="shared" si="53"/>
        <v/>
      </c>
      <c r="M247" s="664"/>
      <c r="N247" s="665"/>
      <c r="O247" s="267"/>
      <c r="P247" s="666"/>
      <c r="Q247" s="667"/>
      <c r="R247" s="667"/>
      <c r="S247" s="1035"/>
      <c r="T247" s="668"/>
      <c r="U247" s="668"/>
      <c r="V247" s="668"/>
      <c r="W247" s="668"/>
      <c r="X247" s="669"/>
      <c r="Y247" s="670"/>
      <c r="Z247" s="671"/>
      <c r="AA247" s="644"/>
      <c r="AB247" s="978"/>
      <c r="AC247" s="992"/>
      <c r="AD247" s="89"/>
      <c r="AE247" s="89"/>
      <c r="AF247" s="645" t="str">
        <f t="shared" si="58"/>
        <v/>
      </c>
      <c r="AG247" s="1037" t="str">
        <f t="shared" si="59"/>
        <v/>
      </c>
      <c r="AH247" s="1037" t="str">
        <f t="shared" si="60"/>
        <v/>
      </c>
      <c r="AI247" s="1037" t="str">
        <f>IF(AF247="","",VLOOKUP(AF247,リスト!BD:BE,2,0))</f>
        <v/>
      </c>
      <c r="AJ247" s="1037" t="str">
        <f t="shared" si="74"/>
        <v/>
      </c>
      <c r="AK247" s="1037" t="str">
        <f>IF(AJ247="","",VLOOKUP(AJ247,リスト!BW:BX,2,0))</f>
        <v/>
      </c>
      <c r="AL247" s="1037" t="str">
        <f t="shared" si="54"/>
        <v/>
      </c>
      <c r="AM247" s="646" t="str">
        <f t="shared" si="75"/>
        <v/>
      </c>
      <c r="AN247" s="646" t="str">
        <f t="shared" si="76"/>
        <v/>
      </c>
      <c r="AO247" s="647" t="str">
        <f t="shared" si="77"/>
        <v/>
      </c>
      <c r="AP247" s="647" t="str">
        <f t="shared" si="78"/>
        <v/>
      </c>
      <c r="AQ247" s="647" t="str">
        <f t="shared" si="79"/>
        <v/>
      </c>
      <c r="AR247" s="647" t="str">
        <f t="shared" si="57"/>
        <v/>
      </c>
      <c r="AS247" s="647" t="str">
        <f t="shared" si="80"/>
        <v/>
      </c>
      <c r="AT247" s="647" t="str">
        <f t="shared" si="61"/>
        <v/>
      </c>
      <c r="AU247" s="647" t="str">
        <f t="shared" si="62"/>
        <v/>
      </c>
      <c r="AV247" s="647" t="str">
        <f t="shared" si="55"/>
        <v/>
      </c>
      <c r="AW247" s="647" t="str">
        <f t="shared" si="81"/>
        <v/>
      </c>
      <c r="AX247" s="647" t="str">
        <f t="shared" si="82"/>
        <v/>
      </c>
      <c r="AY247" s="647" t="str">
        <f t="shared" si="83"/>
        <v/>
      </c>
      <c r="AZ247" s="647" t="str">
        <f t="shared" si="56"/>
        <v/>
      </c>
      <c r="BA247" s="647" t="str">
        <f t="shared" si="84"/>
        <v/>
      </c>
    </row>
    <row r="248" spans="2:53" s="7" customFormat="1" ht="28.5" hidden="1" customHeight="1" outlineLevel="1">
      <c r="B248" s="64"/>
      <c r="C248" s="649">
        <v>232</v>
      </c>
      <c r="D248" s="1855"/>
      <c r="E248" s="1856"/>
      <c r="F248" s="1856"/>
      <c r="G248" s="1856"/>
      <c r="H248" s="1856"/>
      <c r="I248" s="1856"/>
      <c r="J248" s="1856"/>
      <c r="K248" s="1857"/>
      <c r="L248" s="643" t="str">
        <f t="shared" si="53"/>
        <v/>
      </c>
      <c r="M248" s="664"/>
      <c r="N248" s="665"/>
      <c r="O248" s="267"/>
      <c r="P248" s="666"/>
      <c r="Q248" s="667"/>
      <c r="R248" s="667"/>
      <c r="S248" s="1035"/>
      <c r="T248" s="668"/>
      <c r="U248" s="668"/>
      <c r="V248" s="668"/>
      <c r="W248" s="668"/>
      <c r="X248" s="669"/>
      <c r="Y248" s="670"/>
      <c r="Z248" s="671"/>
      <c r="AA248" s="644"/>
      <c r="AB248" s="978"/>
      <c r="AC248" s="992"/>
      <c r="AD248" s="89"/>
      <c r="AE248" s="89"/>
      <c r="AF248" s="645" t="str">
        <f t="shared" si="58"/>
        <v/>
      </c>
      <c r="AG248" s="1037" t="str">
        <f t="shared" si="59"/>
        <v/>
      </c>
      <c r="AH248" s="1037" t="str">
        <f t="shared" si="60"/>
        <v/>
      </c>
      <c r="AI248" s="1037" t="str">
        <f>IF(AF248="","",VLOOKUP(AF248,リスト!BD:BE,2,0))</f>
        <v/>
      </c>
      <c r="AJ248" s="1037" t="str">
        <f t="shared" si="74"/>
        <v/>
      </c>
      <c r="AK248" s="1037" t="str">
        <f>IF(AJ248="","",VLOOKUP(AJ248,リスト!BW:BX,2,0))</f>
        <v/>
      </c>
      <c r="AL248" s="1037" t="str">
        <f t="shared" si="54"/>
        <v/>
      </c>
      <c r="AM248" s="646" t="str">
        <f t="shared" si="75"/>
        <v/>
      </c>
      <c r="AN248" s="646" t="str">
        <f t="shared" si="76"/>
        <v/>
      </c>
      <c r="AO248" s="647" t="str">
        <f t="shared" si="77"/>
        <v/>
      </c>
      <c r="AP248" s="647" t="str">
        <f t="shared" si="78"/>
        <v/>
      </c>
      <c r="AQ248" s="647" t="str">
        <f t="shared" si="79"/>
        <v/>
      </c>
      <c r="AR248" s="647" t="str">
        <f t="shared" si="57"/>
        <v/>
      </c>
      <c r="AS248" s="647" t="str">
        <f t="shared" si="80"/>
        <v/>
      </c>
      <c r="AT248" s="647" t="str">
        <f t="shared" si="61"/>
        <v/>
      </c>
      <c r="AU248" s="647" t="str">
        <f t="shared" si="62"/>
        <v/>
      </c>
      <c r="AV248" s="647" t="str">
        <f t="shared" si="55"/>
        <v/>
      </c>
      <c r="AW248" s="647" t="str">
        <f t="shared" si="81"/>
        <v/>
      </c>
      <c r="AX248" s="647" t="str">
        <f t="shared" si="82"/>
        <v/>
      </c>
      <c r="AY248" s="647" t="str">
        <f t="shared" si="83"/>
        <v/>
      </c>
      <c r="AZ248" s="647" t="str">
        <f t="shared" si="56"/>
        <v/>
      </c>
      <c r="BA248" s="647" t="str">
        <f t="shared" si="84"/>
        <v/>
      </c>
    </row>
    <row r="249" spans="2:53" s="7" customFormat="1" ht="28.5" hidden="1" customHeight="1" outlineLevel="1">
      <c r="B249" s="64"/>
      <c r="C249" s="649">
        <v>233</v>
      </c>
      <c r="D249" s="1855"/>
      <c r="E249" s="1856"/>
      <c r="F249" s="1856"/>
      <c r="G249" s="1856"/>
      <c r="H249" s="1856"/>
      <c r="I249" s="1856"/>
      <c r="J249" s="1856"/>
      <c r="K249" s="1857"/>
      <c r="L249" s="643" t="str">
        <f t="shared" si="53"/>
        <v/>
      </c>
      <c r="M249" s="664"/>
      <c r="N249" s="665"/>
      <c r="O249" s="267"/>
      <c r="P249" s="666"/>
      <c r="Q249" s="667"/>
      <c r="R249" s="667"/>
      <c r="S249" s="1035"/>
      <c r="T249" s="668"/>
      <c r="U249" s="668"/>
      <c r="V249" s="668"/>
      <c r="W249" s="668"/>
      <c r="X249" s="669"/>
      <c r="Y249" s="670"/>
      <c r="Z249" s="671"/>
      <c r="AA249" s="644"/>
      <c r="AB249" s="978"/>
      <c r="AC249" s="992"/>
      <c r="AD249" s="89"/>
      <c r="AE249" s="89"/>
      <c r="AF249" s="645" t="str">
        <f t="shared" si="58"/>
        <v/>
      </c>
      <c r="AG249" s="1037" t="str">
        <f t="shared" si="59"/>
        <v/>
      </c>
      <c r="AH249" s="1037" t="str">
        <f t="shared" si="60"/>
        <v/>
      </c>
      <c r="AI249" s="1037" t="str">
        <f>IF(AF249="","",VLOOKUP(AF249,リスト!BD:BE,2,0))</f>
        <v/>
      </c>
      <c r="AJ249" s="1037" t="str">
        <f t="shared" si="74"/>
        <v/>
      </c>
      <c r="AK249" s="1037" t="str">
        <f>IF(AJ249="","",VLOOKUP(AJ249,リスト!BW:BX,2,0))</f>
        <v/>
      </c>
      <c r="AL249" s="1037" t="str">
        <f t="shared" si="54"/>
        <v/>
      </c>
      <c r="AM249" s="646" t="str">
        <f t="shared" si="75"/>
        <v/>
      </c>
      <c r="AN249" s="646" t="str">
        <f t="shared" si="76"/>
        <v/>
      </c>
      <c r="AO249" s="647" t="str">
        <f t="shared" si="77"/>
        <v/>
      </c>
      <c r="AP249" s="647" t="str">
        <f t="shared" si="78"/>
        <v/>
      </c>
      <c r="AQ249" s="647" t="str">
        <f t="shared" si="79"/>
        <v/>
      </c>
      <c r="AR249" s="647" t="str">
        <f t="shared" si="57"/>
        <v/>
      </c>
      <c r="AS249" s="647" t="str">
        <f t="shared" si="80"/>
        <v/>
      </c>
      <c r="AT249" s="647" t="str">
        <f t="shared" si="61"/>
        <v/>
      </c>
      <c r="AU249" s="647" t="str">
        <f t="shared" si="62"/>
        <v/>
      </c>
      <c r="AV249" s="647" t="str">
        <f t="shared" si="55"/>
        <v/>
      </c>
      <c r="AW249" s="647" t="str">
        <f t="shared" si="81"/>
        <v/>
      </c>
      <c r="AX249" s="647" t="str">
        <f t="shared" si="82"/>
        <v/>
      </c>
      <c r="AY249" s="647" t="str">
        <f t="shared" si="83"/>
        <v/>
      </c>
      <c r="AZ249" s="647" t="str">
        <f t="shared" si="56"/>
        <v/>
      </c>
      <c r="BA249" s="647" t="str">
        <f t="shared" si="84"/>
        <v/>
      </c>
    </row>
    <row r="250" spans="2:53" s="7" customFormat="1" ht="28.5" hidden="1" customHeight="1" outlineLevel="1">
      <c r="B250" s="64"/>
      <c r="C250" s="649">
        <v>234</v>
      </c>
      <c r="D250" s="1855"/>
      <c r="E250" s="1856"/>
      <c r="F250" s="1856"/>
      <c r="G250" s="1856"/>
      <c r="H250" s="1856"/>
      <c r="I250" s="1856"/>
      <c r="J250" s="1856"/>
      <c r="K250" s="1857"/>
      <c r="L250" s="643" t="str">
        <f t="shared" si="53"/>
        <v/>
      </c>
      <c r="M250" s="664"/>
      <c r="N250" s="665"/>
      <c r="O250" s="267"/>
      <c r="P250" s="666"/>
      <c r="Q250" s="667"/>
      <c r="R250" s="667"/>
      <c r="S250" s="1035"/>
      <c r="T250" s="668"/>
      <c r="U250" s="668"/>
      <c r="V250" s="668"/>
      <c r="W250" s="668"/>
      <c r="X250" s="669"/>
      <c r="Y250" s="670"/>
      <c r="Z250" s="671"/>
      <c r="AA250" s="644"/>
      <c r="AB250" s="978"/>
      <c r="AC250" s="992"/>
      <c r="AD250" s="89"/>
      <c r="AE250" s="89"/>
      <c r="AF250" s="645" t="str">
        <f t="shared" si="58"/>
        <v/>
      </c>
      <c r="AG250" s="1037" t="str">
        <f t="shared" si="59"/>
        <v/>
      </c>
      <c r="AH250" s="1037" t="str">
        <f t="shared" si="60"/>
        <v/>
      </c>
      <c r="AI250" s="1037" t="str">
        <f>IF(AF250="","",VLOOKUP(AF250,リスト!BD:BE,2,0))</f>
        <v/>
      </c>
      <c r="AJ250" s="1037" t="str">
        <f t="shared" si="74"/>
        <v/>
      </c>
      <c r="AK250" s="1037" t="str">
        <f>IF(AJ250="","",VLOOKUP(AJ250,リスト!BW:BX,2,0))</f>
        <v/>
      </c>
      <c r="AL250" s="1037" t="str">
        <f t="shared" si="54"/>
        <v/>
      </c>
      <c r="AM250" s="646" t="str">
        <f t="shared" si="75"/>
        <v/>
      </c>
      <c r="AN250" s="646" t="str">
        <f t="shared" si="76"/>
        <v/>
      </c>
      <c r="AO250" s="647" t="str">
        <f t="shared" si="77"/>
        <v/>
      </c>
      <c r="AP250" s="647" t="str">
        <f t="shared" si="78"/>
        <v/>
      </c>
      <c r="AQ250" s="647" t="str">
        <f t="shared" si="79"/>
        <v/>
      </c>
      <c r="AR250" s="647" t="str">
        <f t="shared" si="57"/>
        <v/>
      </c>
      <c r="AS250" s="647" t="str">
        <f t="shared" si="80"/>
        <v/>
      </c>
      <c r="AT250" s="647" t="str">
        <f t="shared" si="61"/>
        <v/>
      </c>
      <c r="AU250" s="647" t="str">
        <f t="shared" si="62"/>
        <v/>
      </c>
      <c r="AV250" s="647" t="str">
        <f t="shared" si="55"/>
        <v/>
      </c>
      <c r="AW250" s="647" t="str">
        <f t="shared" si="81"/>
        <v/>
      </c>
      <c r="AX250" s="647" t="str">
        <f t="shared" si="82"/>
        <v/>
      </c>
      <c r="AY250" s="647" t="str">
        <f t="shared" si="83"/>
        <v/>
      </c>
      <c r="AZ250" s="647" t="str">
        <f t="shared" si="56"/>
        <v/>
      </c>
      <c r="BA250" s="647" t="str">
        <f t="shared" si="84"/>
        <v/>
      </c>
    </row>
    <row r="251" spans="2:53" s="7" customFormat="1" ht="28.5" hidden="1" customHeight="1" outlineLevel="1">
      <c r="B251" s="64"/>
      <c r="C251" s="649">
        <v>235</v>
      </c>
      <c r="D251" s="1855"/>
      <c r="E251" s="1856"/>
      <c r="F251" s="1856"/>
      <c r="G251" s="1856"/>
      <c r="H251" s="1856"/>
      <c r="I251" s="1856"/>
      <c r="J251" s="1856"/>
      <c r="K251" s="1857"/>
      <c r="L251" s="643" t="str">
        <f t="shared" si="53"/>
        <v/>
      </c>
      <c r="M251" s="664"/>
      <c r="N251" s="665"/>
      <c r="O251" s="267"/>
      <c r="P251" s="666"/>
      <c r="Q251" s="667"/>
      <c r="R251" s="667"/>
      <c r="S251" s="1035"/>
      <c r="T251" s="668"/>
      <c r="U251" s="668"/>
      <c r="V251" s="668"/>
      <c r="W251" s="668"/>
      <c r="X251" s="669"/>
      <c r="Y251" s="670"/>
      <c r="Z251" s="671"/>
      <c r="AA251" s="644"/>
      <c r="AB251" s="978"/>
      <c r="AC251" s="992"/>
      <c r="AD251" s="89"/>
      <c r="AE251" s="89"/>
      <c r="AF251" s="645" t="str">
        <f t="shared" si="58"/>
        <v/>
      </c>
      <c r="AG251" s="1037" t="str">
        <f t="shared" si="59"/>
        <v/>
      </c>
      <c r="AH251" s="1037" t="str">
        <f t="shared" si="60"/>
        <v/>
      </c>
      <c r="AI251" s="1037" t="str">
        <f>IF(AF251="","",VLOOKUP(AF251,リスト!BD:BE,2,0))</f>
        <v/>
      </c>
      <c r="AJ251" s="1037" t="str">
        <f t="shared" si="74"/>
        <v/>
      </c>
      <c r="AK251" s="1037" t="str">
        <f>IF(AJ251="","",VLOOKUP(AJ251,リスト!BW:BX,2,0))</f>
        <v/>
      </c>
      <c r="AL251" s="1037" t="str">
        <f t="shared" si="54"/>
        <v/>
      </c>
      <c r="AM251" s="646" t="str">
        <f t="shared" si="75"/>
        <v/>
      </c>
      <c r="AN251" s="646" t="str">
        <f t="shared" si="76"/>
        <v/>
      </c>
      <c r="AO251" s="647" t="str">
        <f t="shared" si="77"/>
        <v/>
      </c>
      <c r="AP251" s="647" t="str">
        <f t="shared" si="78"/>
        <v/>
      </c>
      <c r="AQ251" s="647" t="str">
        <f t="shared" si="79"/>
        <v/>
      </c>
      <c r="AR251" s="647" t="str">
        <f t="shared" si="57"/>
        <v/>
      </c>
      <c r="AS251" s="647" t="str">
        <f t="shared" si="80"/>
        <v/>
      </c>
      <c r="AT251" s="647" t="str">
        <f t="shared" si="61"/>
        <v/>
      </c>
      <c r="AU251" s="647" t="str">
        <f t="shared" si="62"/>
        <v/>
      </c>
      <c r="AV251" s="647" t="str">
        <f t="shared" si="55"/>
        <v/>
      </c>
      <c r="AW251" s="647" t="str">
        <f t="shared" si="81"/>
        <v/>
      </c>
      <c r="AX251" s="647" t="str">
        <f t="shared" si="82"/>
        <v/>
      </c>
      <c r="AY251" s="647" t="str">
        <f t="shared" si="83"/>
        <v/>
      </c>
      <c r="AZ251" s="647" t="str">
        <f t="shared" si="56"/>
        <v/>
      </c>
      <c r="BA251" s="647" t="str">
        <f t="shared" si="84"/>
        <v/>
      </c>
    </row>
    <row r="252" spans="2:53" s="7" customFormat="1" ht="28.5" hidden="1" customHeight="1" outlineLevel="1">
      <c r="B252" s="64"/>
      <c r="C252" s="649">
        <v>236</v>
      </c>
      <c r="D252" s="1855"/>
      <c r="E252" s="1856"/>
      <c r="F252" s="1856"/>
      <c r="G252" s="1856"/>
      <c r="H252" s="1856"/>
      <c r="I252" s="1856"/>
      <c r="J252" s="1856"/>
      <c r="K252" s="1857"/>
      <c r="L252" s="643" t="str">
        <f t="shared" si="53"/>
        <v/>
      </c>
      <c r="M252" s="664"/>
      <c r="N252" s="665"/>
      <c r="O252" s="267"/>
      <c r="P252" s="666"/>
      <c r="Q252" s="667"/>
      <c r="R252" s="667"/>
      <c r="S252" s="1035"/>
      <c r="T252" s="668"/>
      <c r="U252" s="668"/>
      <c r="V252" s="668"/>
      <c r="W252" s="668"/>
      <c r="X252" s="669"/>
      <c r="Y252" s="670"/>
      <c r="Z252" s="671"/>
      <c r="AA252" s="644"/>
      <c r="AB252" s="978"/>
      <c r="AC252" s="992"/>
      <c r="AD252" s="89"/>
      <c r="AE252" s="89"/>
      <c r="AF252" s="645" t="str">
        <f t="shared" si="58"/>
        <v/>
      </c>
      <c r="AG252" s="1037" t="str">
        <f t="shared" si="59"/>
        <v/>
      </c>
      <c r="AH252" s="1037" t="str">
        <f t="shared" si="60"/>
        <v/>
      </c>
      <c r="AI252" s="1037" t="str">
        <f>IF(AF252="","",VLOOKUP(AF252,リスト!BD:BE,2,0))</f>
        <v/>
      </c>
      <c r="AJ252" s="1037" t="str">
        <f t="shared" si="74"/>
        <v/>
      </c>
      <c r="AK252" s="1037" t="str">
        <f>IF(AJ252="","",VLOOKUP(AJ252,リスト!BW:BX,2,0))</f>
        <v/>
      </c>
      <c r="AL252" s="1037" t="str">
        <f t="shared" si="54"/>
        <v/>
      </c>
      <c r="AM252" s="646" t="str">
        <f t="shared" si="75"/>
        <v/>
      </c>
      <c r="AN252" s="646" t="str">
        <f t="shared" si="76"/>
        <v/>
      </c>
      <c r="AO252" s="647" t="str">
        <f t="shared" si="77"/>
        <v/>
      </c>
      <c r="AP252" s="647" t="str">
        <f t="shared" si="78"/>
        <v/>
      </c>
      <c r="AQ252" s="647" t="str">
        <f t="shared" si="79"/>
        <v/>
      </c>
      <c r="AR252" s="647" t="str">
        <f t="shared" si="57"/>
        <v/>
      </c>
      <c r="AS252" s="647" t="str">
        <f t="shared" si="80"/>
        <v/>
      </c>
      <c r="AT252" s="647" t="str">
        <f t="shared" si="61"/>
        <v/>
      </c>
      <c r="AU252" s="647" t="str">
        <f t="shared" si="62"/>
        <v/>
      </c>
      <c r="AV252" s="647" t="str">
        <f t="shared" si="55"/>
        <v/>
      </c>
      <c r="AW252" s="647" t="str">
        <f t="shared" si="81"/>
        <v/>
      </c>
      <c r="AX252" s="647" t="str">
        <f t="shared" si="82"/>
        <v/>
      </c>
      <c r="AY252" s="647" t="str">
        <f t="shared" si="83"/>
        <v/>
      </c>
      <c r="AZ252" s="647" t="str">
        <f t="shared" si="56"/>
        <v/>
      </c>
      <c r="BA252" s="647" t="str">
        <f t="shared" si="84"/>
        <v/>
      </c>
    </row>
    <row r="253" spans="2:53" s="7" customFormat="1" ht="28.5" hidden="1" customHeight="1" outlineLevel="1">
      <c r="B253" s="64"/>
      <c r="C253" s="649">
        <v>237</v>
      </c>
      <c r="D253" s="1855"/>
      <c r="E253" s="1856"/>
      <c r="F253" s="1856"/>
      <c r="G253" s="1856"/>
      <c r="H253" s="1856"/>
      <c r="I253" s="1856"/>
      <c r="J253" s="1856"/>
      <c r="K253" s="1857"/>
      <c r="L253" s="643" t="str">
        <f t="shared" si="53"/>
        <v/>
      </c>
      <c r="M253" s="664"/>
      <c r="N253" s="665"/>
      <c r="O253" s="267"/>
      <c r="P253" s="666"/>
      <c r="Q253" s="667"/>
      <c r="R253" s="667"/>
      <c r="S253" s="1035"/>
      <c r="T253" s="668"/>
      <c r="U253" s="668"/>
      <c r="V253" s="668"/>
      <c r="W253" s="668"/>
      <c r="X253" s="669"/>
      <c r="Y253" s="670"/>
      <c r="Z253" s="671"/>
      <c r="AA253" s="644"/>
      <c r="AB253" s="978"/>
      <c r="AC253" s="992"/>
      <c r="AD253" s="89"/>
      <c r="AE253" s="89"/>
      <c r="AF253" s="645" t="str">
        <f t="shared" si="58"/>
        <v/>
      </c>
      <c r="AG253" s="1037" t="str">
        <f t="shared" si="59"/>
        <v/>
      </c>
      <c r="AH253" s="1037" t="str">
        <f t="shared" si="60"/>
        <v/>
      </c>
      <c r="AI253" s="1037" t="str">
        <f>IF(AF253="","",VLOOKUP(AF253,リスト!BD:BE,2,0))</f>
        <v/>
      </c>
      <c r="AJ253" s="1037" t="str">
        <f t="shared" si="2"/>
        <v/>
      </c>
      <c r="AK253" s="1037" t="str">
        <f>IF(AJ253="","",VLOOKUP(AJ253,リスト!BW:BX,2,0))</f>
        <v/>
      </c>
      <c r="AL253" s="1037" t="str">
        <f t="shared" si="54"/>
        <v/>
      </c>
      <c r="AM253" s="646" t="str">
        <f t="shared" si="4"/>
        <v/>
      </c>
      <c r="AN253" s="646" t="str">
        <f t="shared" si="5"/>
        <v/>
      </c>
      <c r="AO253" s="647" t="str">
        <f t="shared" si="6"/>
        <v/>
      </c>
      <c r="AP253" s="647" t="str">
        <f t="shared" si="7"/>
        <v/>
      </c>
      <c r="AQ253" s="647" t="str">
        <f t="shared" si="8"/>
        <v/>
      </c>
      <c r="AR253" s="647" t="str">
        <f t="shared" si="57"/>
        <v/>
      </c>
      <c r="AS253" s="647" t="str">
        <f t="shared" si="9"/>
        <v/>
      </c>
      <c r="AT253" s="647" t="str">
        <f t="shared" si="61"/>
        <v/>
      </c>
      <c r="AU253" s="647" t="str">
        <f t="shared" si="62"/>
        <v/>
      </c>
      <c r="AV253" s="647" t="str">
        <f t="shared" si="55"/>
        <v/>
      </c>
      <c r="AW253" s="647" t="str">
        <f t="shared" si="11"/>
        <v/>
      </c>
      <c r="AX253" s="647" t="str">
        <f t="shared" si="12"/>
        <v/>
      </c>
      <c r="AY253" s="647" t="str">
        <f t="shared" si="13"/>
        <v/>
      </c>
      <c r="AZ253" s="647" t="str">
        <f t="shared" si="56"/>
        <v/>
      </c>
      <c r="BA253" s="647" t="str">
        <f t="shared" si="15"/>
        <v/>
      </c>
    </row>
    <row r="254" spans="2:53" s="7" customFormat="1" ht="28.5" hidden="1" customHeight="1" outlineLevel="1">
      <c r="B254" s="64"/>
      <c r="C254" s="649">
        <v>238</v>
      </c>
      <c r="D254" s="1855"/>
      <c r="E254" s="1856"/>
      <c r="F254" s="1856"/>
      <c r="G254" s="1856"/>
      <c r="H254" s="1856"/>
      <c r="I254" s="1856"/>
      <c r="J254" s="1856"/>
      <c r="K254" s="1857"/>
      <c r="L254" s="643" t="str">
        <f t="shared" si="53"/>
        <v/>
      </c>
      <c r="M254" s="664"/>
      <c r="N254" s="665"/>
      <c r="O254" s="267"/>
      <c r="P254" s="666"/>
      <c r="Q254" s="667"/>
      <c r="R254" s="667"/>
      <c r="S254" s="1035"/>
      <c r="T254" s="668"/>
      <c r="U254" s="668"/>
      <c r="V254" s="668"/>
      <c r="W254" s="668"/>
      <c r="X254" s="669"/>
      <c r="Y254" s="670"/>
      <c r="Z254" s="671"/>
      <c r="AA254" s="644"/>
      <c r="AB254" s="978"/>
      <c r="AC254" s="992"/>
      <c r="AD254" s="89"/>
      <c r="AE254" s="89"/>
      <c r="AF254" s="645" t="str">
        <f t="shared" si="58"/>
        <v/>
      </c>
      <c r="AG254" s="1037" t="str">
        <f t="shared" si="59"/>
        <v/>
      </c>
      <c r="AH254" s="1037" t="str">
        <f t="shared" si="60"/>
        <v/>
      </c>
      <c r="AI254" s="1037" t="str">
        <f>IF(AF254="","",VLOOKUP(AF254,リスト!BD:BE,2,0))</f>
        <v/>
      </c>
      <c r="AJ254" s="1037" t="str">
        <f t="shared" si="2"/>
        <v/>
      </c>
      <c r="AK254" s="1037" t="str">
        <f>IF(AJ254="","",VLOOKUP(AJ254,リスト!BW:BX,2,0))</f>
        <v/>
      </c>
      <c r="AL254" s="1037" t="str">
        <f t="shared" si="54"/>
        <v/>
      </c>
      <c r="AM254" s="646" t="str">
        <f t="shared" si="4"/>
        <v/>
      </c>
      <c r="AN254" s="646" t="str">
        <f t="shared" si="5"/>
        <v/>
      </c>
      <c r="AO254" s="647" t="str">
        <f t="shared" si="6"/>
        <v/>
      </c>
      <c r="AP254" s="647" t="str">
        <f t="shared" si="7"/>
        <v/>
      </c>
      <c r="AQ254" s="647" t="str">
        <f t="shared" si="8"/>
        <v/>
      </c>
      <c r="AR254" s="647" t="str">
        <f t="shared" si="57"/>
        <v/>
      </c>
      <c r="AS254" s="647" t="str">
        <f t="shared" si="9"/>
        <v/>
      </c>
      <c r="AT254" s="647" t="str">
        <f t="shared" si="61"/>
        <v/>
      </c>
      <c r="AU254" s="647" t="str">
        <f t="shared" si="62"/>
        <v/>
      </c>
      <c r="AV254" s="647" t="str">
        <f t="shared" si="55"/>
        <v/>
      </c>
      <c r="AW254" s="647" t="str">
        <f t="shared" si="11"/>
        <v/>
      </c>
      <c r="AX254" s="647" t="str">
        <f t="shared" si="12"/>
        <v/>
      </c>
      <c r="AY254" s="647" t="str">
        <f t="shared" si="13"/>
        <v/>
      </c>
      <c r="AZ254" s="647" t="str">
        <f t="shared" si="56"/>
        <v/>
      </c>
      <c r="BA254" s="647" t="str">
        <f t="shared" si="15"/>
        <v/>
      </c>
    </row>
    <row r="255" spans="2:53" s="7" customFormat="1" ht="28.5" hidden="1" customHeight="1" outlineLevel="1">
      <c r="B255" s="64"/>
      <c r="C255" s="649">
        <v>239</v>
      </c>
      <c r="D255" s="1855"/>
      <c r="E255" s="1856"/>
      <c r="F255" s="1856"/>
      <c r="G255" s="1856"/>
      <c r="H255" s="1856"/>
      <c r="I255" s="1856"/>
      <c r="J255" s="1856"/>
      <c r="K255" s="1857"/>
      <c r="L255" s="643" t="str">
        <f t="shared" si="53"/>
        <v/>
      </c>
      <c r="M255" s="664"/>
      <c r="N255" s="665"/>
      <c r="O255" s="267"/>
      <c r="P255" s="666"/>
      <c r="Q255" s="667"/>
      <c r="R255" s="667"/>
      <c r="S255" s="1035"/>
      <c r="T255" s="668"/>
      <c r="U255" s="668"/>
      <c r="V255" s="668"/>
      <c r="W255" s="668"/>
      <c r="X255" s="669"/>
      <c r="Y255" s="670"/>
      <c r="Z255" s="671"/>
      <c r="AA255" s="644"/>
      <c r="AB255" s="978"/>
      <c r="AC255" s="992"/>
      <c r="AD255" s="89"/>
      <c r="AE255" s="89"/>
      <c r="AF255" s="645" t="str">
        <f t="shared" si="58"/>
        <v/>
      </c>
      <c r="AG255" s="1037" t="str">
        <f t="shared" si="59"/>
        <v/>
      </c>
      <c r="AH255" s="1037" t="str">
        <f t="shared" si="60"/>
        <v/>
      </c>
      <c r="AI255" s="1037" t="str">
        <f>IF(AF255="","",VLOOKUP(AF255,リスト!BD:BE,2,0))</f>
        <v/>
      </c>
      <c r="AJ255" s="1037" t="str">
        <f t="shared" si="2"/>
        <v/>
      </c>
      <c r="AK255" s="1037" t="str">
        <f>IF(AJ255="","",VLOOKUP(AJ255,リスト!BW:BX,2,0))</f>
        <v/>
      </c>
      <c r="AL255" s="1037" t="str">
        <f t="shared" si="54"/>
        <v/>
      </c>
      <c r="AM255" s="646" t="str">
        <f t="shared" si="4"/>
        <v/>
      </c>
      <c r="AN255" s="646" t="str">
        <f t="shared" si="5"/>
        <v/>
      </c>
      <c r="AO255" s="647" t="str">
        <f t="shared" si="6"/>
        <v/>
      </c>
      <c r="AP255" s="647" t="str">
        <f t="shared" si="7"/>
        <v/>
      </c>
      <c r="AQ255" s="647" t="str">
        <f t="shared" si="8"/>
        <v/>
      </c>
      <c r="AR255" s="647" t="str">
        <f t="shared" si="57"/>
        <v/>
      </c>
      <c r="AS255" s="647" t="str">
        <f t="shared" si="9"/>
        <v/>
      </c>
      <c r="AT255" s="647" t="str">
        <f t="shared" si="61"/>
        <v/>
      </c>
      <c r="AU255" s="647" t="str">
        <f t="shared" si="62"/>
        <v/>
      </c>
      <c r="AV255" s="647" t="str">
        <f t="shared" si="55"/>
        <v/>
      </c>
      <c r="AW255" s="647" t="str">
        <f t="shared" si="11"/>
        <v/>
      </c>
      <c r="AX255" s="647" t="str">
        <f t="shared" si="12"/>
        <v/>
      </c>
      <c r="AY255" s="647" t="str">
        <f t="shared" si="13"/>
        <v/>
      </c>
      <c r="AZ255" s="647" t="str">
        <f t="shared" si="56"/>
        <v/>
      </c>
      <c r="BA255" s="647" t="str">
        <f t="shared" si="15"/>
        <v/>
      </c>
    </row>
    <row r="256" spans="2:53" s="7" customFormat="1" ht="28.5" hidden="1" customHeight="1" outlineLevel="1">
      <c r="B256" s="64"/>
      <c r="C256" s="649">
        <v>240</v>
      </c>
      <c r="D256" s="1855"/>
      <c r="E256" s="1856"/>
      <c r="F256" s="1856"/>
      <c r="G256" s="1856"/>
      <c r="H256" s="1856"/>
      <c r="I256" s="1856"/>
      <c r="J256" s="1856"/>
      <c r="K256" s="1857"/>
      <c r="L256" s="643" t="str">
        <f t="shared" si="53"/>
        <v/>
      </c>
      <c r="M256" s="664"/>
      <c r="N256" s="665"/>
      <c r="O256" s="267"/>
      <c r="P256" s="666"/>
      <c r="Q256" s="667"/>
      <c r="R256" s="667"/>
      <c r="S256" s="1035"/>
      <c r="T256" s="668"/>
      <c r="U256" s="668"/>
      <c r="V256" s="668"/>
      <c r="W256" s="668"/>
      <c r="X256" s="669"/>
      <c r="Y256" s="670"/>
      <c r="Z256" s="671"/>
      <c r="AA256" s="644"/>
      <c r="AB256" s="978"/>
      <c r="AC256" s="992"/>
      <c r="AD256" s="89"/>
      <c r="AE256" s="89"/>
      <c r="AF256" s="645" t="str">
        <f t="shared" si="58"/>
        <v/>
      </c>
      <c r="AG256" s="1037" t="str">
        <f t="shared" si="59"/>
        <v/>
      </c>
      <c r="AH256" s="1037" t="str">
        <f t="shared" si="60"/>
        <v/>
      </c>
      <c r="AI256" s="1037" t="str">
        <f>IF(AF256="","",VLOOKUP(AF256,リスト!BD:BE,2,0))</f>
        <v/>
      </c>
      <c r="AJ256" s="1037" t="str">
        <f t="shared" ref="AJ256:AJ296" si="85">IF(AH256=1,3,IF(P256="2：中古",MIN(AI256,Q256),IF(N256="[8]その他",MIN(AI256,Q256),AI256)))</f>
        <v/>
      </c>
      <c r="AK256" s="1037" t="str">
        <f>IF(AJ256="","",VLOOKUP(AJ256,リスト!BW:BX,2,0))</f>
        <v/>
      </c>
      <c r="AL256" s="1037" t="str">
        <f t="shared" si="54"/>
        <v/>
      </c>
      <c r="AM256" s="646" t="str">
        <f t="shared" ref="AM256:AM296" si="86">IF(OR(AF256="",AG256=1),"",
IF(AND(AJ256&gt;0,AL256&lt;AJ256,AN256&lt;=ROUND((T256-1)*AK256,0)),ROUND(AN256*IF(Y256="2：部分取り壊し",IFERROR(1-(AC256/O256),1),1),0),
IF(AND(AJ256&gt;0,AL256&lt;AJ256),ROUND((T256-1)*AK256*IF(Y256="2：部分取り壊し",IFERROR(1-(AC256/O256),1),1),0),
"")))</f>
        <v/>
      </c>
      <c r="AN256" s="646" t="str">
        <f t="shared" ref="AN256:AN296" si="87">IF(OR(AF256="",AG256=1),"",
IF(AND(AJ256&gt;0,AL256&lt;AJ256),T256-ROUND((T256-1)*AK256*AL256,0),1
))</f>
        <v/>
      </c>
      <c r="AO256" s="647" t="str">
        <f t="shared" ref="AO256:AO296" si="88">IF(OR(AF256="",AG256=1),"",
IF(Y256="",AM256,
IF(Y256="1：取り壊し",SUM(AN256,Z256),
IF(Y256="3：売　却",AN256-Z256,
IF(AND(Y256="2：部分取り壊し",AN256&gt;1),SUM(ROUND(AN256*(AC256/O256),0),Z256,AM256),
IF(AND(Z256="",AM256=""),"",SUM(Z256,AM256)))))))</f>
        <v/>
      </c>
      <c r="AP256" s="647" t="str">
        <f t="shared" ref="AP256:AP296" si="89">IF(AND(AO256="",AM256=""),"",
IF(OR(Y256="1：取り壊し",Y256="2：部分取り壊し",Y256="3：売　却"),SUM(AO256)-SUM(AM256),""))</f>
        <v/>
      </c>
      <c r="AQ256" s="647" t="str">
        <f t="shared" ref="AQ256:AQ296" si="90">IF(OR(AG256=1,U256=""),"",
IF(AND(AJ256&gt;0,U256&gt;0,AL256&lt;AJ256),U256-ROUND(U256*AK256*AL256,0),""
))</f>
        <v/>
      </c>
      <c r="AR256" s="647" t="str">
        <f t="shared" si="57"/>
        <v/>
      </c>
      <c r="AS256" s="647" t="str">
        <f t="shared" ref="AS256:AS296" si="91">IF(Y256="2：部分取り壊し",O256-AC256,"")</f>
        <v/>
      </c>
      <c r="AT256" s="647" t="str">
        <f t="shared" si="61"/>
        <v/>
      </c>
      <c r="AU256" s="647" t="str">
        <f t="shared" si="62"/>
        <v/>
      </c>
      <c r="AV256" s="647" t="str">
        <f t="shared" si="55"/>
        <v/>
      </c>
      <c r="AW256" s="647" t="str">
        <f t="shared" ref="AW256:AW296" si="92">IF(X256="","",IF(AO256="","",ROUND(AO256*X256%,0)))</f>
        <v/>
      </c>
      <c r="AX256" s="647" t="str">
        <f t="shared" ref="AX256:AX296" si="93">IF(X256="","",IF(AP256="","",ROUND(AP256*X256%,0)))</f>
        <v/>
      </c>
      <c r="AY256" s="647" t="str">
        <f t="shared" ref="AY256:AY296" si="94">IF(X256="","",IF(AN256="","",ROUND(AN256*X256%,0)))</f>
        <v/>
      </c>
      <c r="AZ256" s="647" t="str">
        <f t="shared" si="56"/>
        <v/>
      </c>
      <c r="BA256" s="647" t="str">
        <f t="shared" ref="BA256:BA296" si="95">IF(X256="","",IF(W256="","",ROUND(W256*X256%,0)))</f>
        <v/>
      </c>
    </row>
    <row r="257" spans="2:53" s="7" customFormat="1" ht="28.5" hidden="1" customHeight="1" outlineLevel="1">
      <c r="B257" s="64"/>
      <c r="C257" s="649">
        <v>241</v>
      </c>
      <c r="D257" s="1855"/>
      <c r="E257" s="1856"/>
      <c r="F257" s="1856"/>
      <c r="G257" s="1856"/>
      <c r="H257" s="1856"/>
      <c r="I257" s="1856"/>
      <c r="J257" s="1856"/>
      <c r="K257" s="1857"/>
      <c r="L257" s="643" t="str">
        <f t="shared" si="53"/>
        <v/>
      </c>
      <c r="M257" s="664"/>
      <c r="N257" s="665"/>
      <c r="O257" s="267"/>
      <c r="P257" s="666"/>
      <c r="Q257" s="667"/>
      <c r="R257" s="667"/>
      <c r="S257" s="1035"/>
      <c r="T257" s="668"/>
      <c r="U257" s="668"/>
      <c r="V257" s="668"/>
      <c r="W257" s="668"/>
      <c r="X257" s="669"/>
      <c r="Y257" s="670"/>
      <c r="Z257" s="671"/>
      <c r="AA257" s="644"/>
      <c r="AB257" s="978"/>
      <c r="AC257" s="992"/>
      <c r="AD257" s="89"/>
      <c r="AE257" s="89"/>
      <c r="AF257" s="645" t="str">
        <f t="shared" si="58"/>
        <v/>
      </c>
      <c r="AG257" s="1037" t="str">
        <f t="shared" si="59"/>
        <v/>
      </c>
      <c r="AH257" s="1037" t="str">
        <f t="shared" si="60"/>
        <v/>
      </c>
      <c r="AI257" s="1037" t="str">
        <f>IF(AF257="","",VLOOKUP(AF257,リスト!BD:BE,2,0))</f>
        <v/>
      </c>
      <c r="AJ257" s="1037" t="str">
        <f t="shared" si="85"/>
        <v/>
      </c>
      <c r="AK257" s="1037" t="str">
        <f>IF(AJ257="","",VLOOKUP(AJ257,リスト!BW:BX,2,0))</f>
        <v/>
      </c>
      <c r="AL257" s="1037" t="str">
        <f t="shared" si="54"/>
        <v/>
      </c>
      <c r="AM257" s="646" t="str">
        <f t="shared" si="86"/>
        <v/>
      </c>
      <c r="AN257" s="646" t="str">
        <f t="shared" si="87"/>
        <v/>
      </c>
      <c r="AO257" s="647" t="str">
        <f t="shared" si="88"/>
        <v/>
      </c>
      <c r="AP257" s="647" t="str">
        <f t="shared" si="89"/>
        <v/>
      </c>
      <c r="AQ257" s="647" t="str">
        <f t="shared" si="90"/>
        <v/>
      </c>
      <c r="AR257" s="647" t="str">
        <f t="shared" si="57"/>
        <v/>
      </c>
      <c r="AS257" s="647" t="str">
        <f t="shared" si="91"/>
        <v/>
      </c>
      <c r="AT257" s="647" t="str">
        <f t="shared" si="61"/>
        <v/>
      </c>
      <c r="AU257" s="647" t="str">
        <f t="shared" si="62"/>
        <v/>
      </c>
      <c r="AV257" s="647" t="str">
        <f t="shared" si="55"/>
        <v/>
      </c>
      <c r="AW257" s="647" t="str">
        <f t="shared" si="92"/>
        <v/>
      </c>
      <c r="AX257" s="647" t="str">
        <f t="shared" si="93"/>
        <v/>
      </c>
      <c r="AY257" s="647" t="str">
        <f t="shared" si="94"/>
        <v/>
      </c>
      <c r="AZ257" s="647" t="str">
        <f t="shared" si="56"/>
        <v/>
      </c>
      <c r="BA257" s="647" t="str">
        <f t="shared" si="95"/>
        <v/>
      </c>
    </row>
    <row r="258" spans="2:53" s="7" customFormat="1" ht="28.5" hidden="1" customHeight="1" outlineLevel="1">
      <c r="B258" s="64"/>
      <c r="C258" s="649">
        <v>242</v>
      </c>
      <c r="D258" s="1855"/>
      <c r="E258" s="1856"/>
      <c r="F258" s="1856"/>
      <c r="G258" s="1856"/>
      <c r="H258" s="1856"/>
      <c r="I258" s="1856"/>
      <c r="J258" s="1856"/>
      <c r="K258" s="1857"/>
      <c r="L258" s="643" t="str">
        <f t="shared" si="53"/>
        <v/>
      </c>
      <c r="M258" s="664"/>
      <c r="N258" s="665"/>
      <c r="O258" s="267"/>
      <c r="P258" s="666"/>
      <c r="Q258" s="667"/>
      <c r="R258" s="667"/>
      <c r="S258" s="1035"/>
      <c r="T258" s="668"/>
      <c r="U258" s="668"/>
      <c r="V258" s="668"/>
      <c r="W258" s="668"/>
      <c r="X258" s="669"/>
      <c r="Y258" s="670"/>
      <c r="Z258" s="671"/>
      <c r="AA258" s="644"/>
      <c r="AB258" s="978"/>
      <c r="AC258" s="992"/>
      <c r="AD258" s="89"/>
      <c r="AE258" s="89"/>
      <c r="AF258" s="645" t="str">
        <f t="shared" si="58"/>
        <v/>
      </c>
      <c r="AG258" s="1037" t="str">
        <f t="shared" si="59"/>
        <v/>
      </c>
      <c r="AH258" s="1037" t="str">
        <f t="shared" si="60"/>
        <v/>
      </c>
      <c r="AI258" s="1037" t="str">
        <f>IF(AF258="","",VLOOKUP(AF258,リスト!BD:BE,2,0))</f>
        <v/>
      </c>
      <c r="AJ258" s="1037" t="str">
        <f t="shared" si="85"/>
        <v/>
      </c>
      <c r="AK258" s="1037" t="str">
        <f>IF(AJ258="","",VLOOKUP(AJ258,リスト!BW:BX,2,0))</f>
        <v/>
      </c>
      <c r="AL258" s="1037" t="str">
        <f t="shared" si="54"/>
        <v/>
      </c>
      <c r="AM258" s="646" t="str">
        <f t="shared" si="86"/>
        <v/>
      </c>
      <c r="AN258" s="646" t="str">
        <f t="shared" si="87"/>
        <v/>
      </c>
      <c r="AO258" s="647" t="str">
        <f t="shared" si="88"/>
        <v/>
      </c>
      <c r="AP258" s="647" t="str">
        <f t="shared" si="89"/>
        <v/>
      </c>
      <c r="AQ258" s="647" t="str">
        <f t="shared" si="90"/>
        <v/>
      </c>
      <c r="AR258" s="647" t="str">
        <f t="shared" si="57"/>
        <v/>
      </c>
      <c r="AS258" s="647" t="str">
        <f t="shared" si="91"/>
        <v/>
      </c>
      <c r="AT258" s="647" t="str">
        <f t="shared" si="61"/>
        <v/>
      </c>
      <c r="AU258" s="647" t="str">
        <f t="shared" si="62"/>
        <v/>
      </c>
      <c r="AV258" s="647" t="str">
        <f t="shared" si="55"/>
        <v/>
      </c>
      <c r="AW258" s="647" t="str">
        <f t="shared" si="92"/>
        <v/>
      </c>
      <c r="AX258" s="647" t="str">
        <f t="shared" si="93"/>
        <v/>
      </c>
      <c r="AY258" s="647" t="str">
        <f t="shared" si="94"/>
        <v/>
      </c>
      <c r="AZ258" s="647" t="str">
        <f t="shared" si="56"/>
        <v/>
      </c>
      <c r="BA258" s="647" t="str">
        <f t="shared" si="95"/>
        <v/>
      </c>
    </row>
    <row r="259" spans="2:53" s="7" customFormat="1" ht="28.5" hidden="1" customHeight="1" outlineLevel="1">
      <c r="B259" s="64"/>
      <c r="C259" s="649">
        <v>243</v>
      </c>
      <c r="D259" s="1855"/>
      <c r="E259" s="1856"/>
      <c r="F259" s="1856"/>
      <c r="G259" s="1856"/>
      <c r="H259" s="1856"/>
      <c r="I259" s="1856"/>
      <c r="J259" s="1856"/>
      <c r="K259" s="1857"/>
      <c r="L259" s="643" t="str">
        <f t="shared" si="53"/>
        <v/>
      </c>
      <c r="M259" s="664"/>
      <c r="N259" s="665"/>
      <c r="O259" s="267"/>
      <c r="P259" s="666"/>
      <c r="Q259" s="667"/>
      <c r="R259" s="667"/>
      <c r="S259" s="1035"/>
      <c r="T259" s="668"/>
      <c r="U259" s="668"/>
      <c r="V259" s="668"/>
      <c r="W259" s="668"/>
      <c r="X259" s="669"/>
      <c r="Y259" s="670"/>
      <c r="Z259" s="671"/>
      <c r="AA259" s="644"/>
      <c r="AB259" s="978"/>
      <c r="AC259" s="992"/>
      <c r="AD259" s="89"/>
      <c r="AE259" s="89"/>
      <c r="AF259" s="645" t="str">
        <f t="shared" si="58"/>
        <v/>
      </c>
      <c r="AG259" s="1037" t="str">
        <f t="shared" si="59"/>
        <v/>
      </c>
      <c r="AH259" s="1037" t="str">
        <f t="shared" si="60"/>
        <v/>
      </c>
      <c r="AI259" s="1037" t="str">
        <f>IF(AF259="","",VLOOKUP(AF259,リスト!BD:BE,2,0))</f>
        <v/>
      </c>
      <c r="AJ259" s="1037" t="str">
        <f t="shared" si="85"/>
        <v/>
      </c>
      <c r="AK259" s="1037" t="str">
        <f>IF(AJ259="","",VLOOKUP(AJ259,リスト!BW:BX,2,0))</f>
        <v/>
      </c>
      <c r="AL259" s="1037" t="str">
        <f t="shared" si="54"/>
        <v/>
      </c>
      <c r="AM259" s="646" t="str">
        <f t="shared" si="86"/>
        <v/>
      </c>
      <c r="AN259" s="646" t="str">
        <f t="shared" si="87"/>
        <v/>
      </c>
      <c r="AO259" s="647" t="str">
        <f t="shared" si="88"/>
        <v/>
      </c>
      <c r="AP259" s="647" t="str">
        <f t="shared" si="89"/>
        <v/>
      </c>
      <c r="AQ259" s="647" t="str">
        <f t="shared" si="90"/>
        <v/>
      </c>
      <c r="AR259" s="647" t="str">
        <f t="shared" si="57"/>
        <v/>
      </c>
      <c r="AS259" s="647" t="str">
        <f t="shared" si="91"/>
        <v/>
      </c>
      <c r="AT259" s="647" t="str">
        <f t="shared" si="61"/>
        <v/>
      </c>
      <c r="AU259" s="647" t="str">
        <f t="shared" si="62"/>
        <v/>
      </c>
      <c r="AV259" s="647" t="str">
        <f t="shared" si="55"/>
        <v/>
      </c>
      <c r="AW259" s="647" t="str">
        <f t="shared" si="92"/>
        <v/>
      </c>
      <c r="AX259" s="647" t="str">
        <f t="shared" si="93"/>
        <v/>
      </c>
      <c r="AY259" s="647" t="str">
        <f t="shared" si="94"/>
        <v/>
      </c>
      <c r="AZ259" s="647" t="str">
        <f t="shared" si="56"/>
        <v/>
      </c>
      <c r="BA259" s="647" t="str">
        <f t="shared" si="95"/>
        <v/>
      </c>
    </row>
    <row r="260" spans="2:53" s="7" customFormat="1" ht="28.5" hidden="1" customHeight="1" outlineLevel="1">
      <c r="B260" s="64"/>
      <c r="C260" s="649">
        <v>244</v>
      </c>
      <c r="D260" s="1855"/>
      <c r="E260" s="1856"/>
      <c r="F260" s="1856"/>
      <c r="G260" s="1856"/>
      <c r="H260" s="1856"/>
      <c r="I260" s="1856"/>
      <c r="J260" s="1856"/>
      <c r="K260" s="1857"/>
      <c r="L260" s="643" t="str">
        <f t="shared" si="53"/>
        <v/>
      </c>
      <c r="M260" s="664"/>
      <c r="N260" s="665"/>
      <c r="O260" s="267"/>
      <c r="P260" s="666"/>
      <c r="Q260" s="667"/>
      <c r="R260" s="667"/>
      <c r="S260" s="1035"/>
      <c r="T260" s="668"/>
      <c r="U260" s="668"/>
      <c r="V260" s="668"/>
      <c r="W260" s="668"/>
      <c r="X260" s="669"/>
      <c r="Y260" s="670"/>
      <c r="Z260" s="671"/>
      <c r="AA260" s="644"/>
      <c r="AB260" s="978"/>
      <c r="AC260" s="992"/>
      <c r="AD260" s="89"/>
      <c r="AE260" s="89"/>
      <c r="AF260" s="645" t="str">
        <f t="shared" si="58"/>
        <v/>
      </c>
      <c r="AG260" s="1037" t="str">
        <f t="shared" si="59"/>
        <v/>
      </c>
      <c r="AH260" s="1037" t="str">
        <f t="shared" si="60"/>
        <v/>
      </c>
      <c r="AI260" s="1037" t="str">
        <f>IF(AF260="","",VLOOKUP(AF260,リスト!BD:BE,2,0))</f>
        <v/>
      </c>
      <c r="AJ260" s="1037" t="str">
        <f t="shared" si="85"/>
        <v/>
      </c>
      <c r="AK260" s="1037" t="str">
        <f>IF(AJ260="","",VLOOKUP(AJ260,リスト!BW:BX,2,0))</f>
        <v/>
      </c>
      <c r="AL260" s="1037" t="str">
        <f t="shared" si="54"/>
        <v/>
      </c>
      <c r="AM260" s="646" t="str">
        <f t="shared" si="86"/>
        <v/>
      </c>
      <c r="AN260" s="646" t="str">
        <f t="shared" si="87"/>
        <v/>
      </c>
      <c r="AO260" s="647" t="str">
        <f t="shared" si="88"/>
        <v/>
      </c>
      <c r="AP260" s="647" t="str">
        <f t="shared" si="89"/>
        <v/>
      </c>
      <c r="AQ260" s="647" t="str">
        <f t="shared" si="90"/>
        <v/>
      </c>
      <c r="AR260" s="647" t="str">
        <f t="shared" si="57"/>
        <v/>
      </c>
      <c r="AS260" s="647" t="str">
        <f t="shared" si="91"/>
        <v/>
      </c>
      <c r="AT260" s="647" t="str">
        <f t="shared" si="61"/>
        <v/>
      </c>
      <c r="AU260" s="647" t="str">
        <f t="shared" si="62"/>
        <v/>
      </c>
      <c r="AV260" s="647" t="str">
        <f t="shared" si="55"/>
        <v/>
      </c>
      <c r="AW260" s="647" t="str">
        <f t="shared" si="92"/>
        <v/>
      </c>
      <c r="AX260" s="647" t="str">
        <f t="shared" si="93"/>
        <v/>
      </c>
      <c r="AY260" s="647" t="str">
        <f t="shared" si="94"/>
        <v/>
      </c>
      <c r="AZ260" s="647" t="str">
        <f t="shared" si="56"/>
        <v/>
      </c>
      <c r="BA260" s="647" t="str">
        <f t="shared" si="95"/>
        <v/>
      </c>
    </row>
    <row r="261" spans="2:53" s="7" customFormat="1" ht="28.5" hidden="1" customHeight="1" outlineLevel="1">
      <c r="B261" s="64"/>
      <c r="C261" s="649">
        <v>245</v>
      </c>
      <c r="D261" s="1855"/>
      <c r="E261" s="1856"/>
      <c r="F261" s="1856"/>
      <c r="G261" s="1856"/>
      <c r="H261" s="1856"/>
      <c r="I261" s="1856"/>
      <c r="J261" s="1856"/>
      <c r="K261" s="1857"/>
      <c r="L261" s="643" t="str">
        <f t="shared" si="53"/>
        <v/>
      </c>
      <c r="M261" s="664"/>
      <c r="N261" s="665"/>
      <c r="O261" s="267"/>
      <c r="P261" s="666"/>
      <c r="Q261" s="667"/>
      <c r="R261" s="667"/>
      <c r="S261" s="1035"/>
      <c r="T261" s="668"/>
      <c r="U261" s="668"/>
      <c r="V261" s="668"/>
      <c r="W261" s="668"/>
      <c r="X261" s="669"/>
      <c r="Y261" s="670"/>
      <c r="Z261" s="671"/>
      <c r="AA261" s="644"/>
      <c r="AB261" s="978"/>
      <c r="AC261" s="992"/>
      <c r="AD261" s="89"/>
      <c r="AE261" s="89"/>
      <c r="AF261" s="645" t="str">
        <f t="shared" si="58"/>
        <v/>
      </c>
      <c r="AG261" s="1037" t="str">
        <f t="shared" si="59"/>
        <v/>
      </c>
      <c r="AH261" s="1037" t="str">
        <f t="shared" si="60"/>
        <v/>
      </c>
      <c r="AI261" s="1037" t="str">
        <f>IF(AF261="","",VLOOKUP(AF261,リスト!BD:BE,2,0))</f>
        <v/>
      </c>
      <c r="AJ261" s="1037" t="str">
        <f t="shared" si="85"/>
        <v/>
      </c>
      <c r="AK261" s="1037" t="str">
        <f>IF(AJ261="","",VLOOKUP(AJ261,リスト!BW:BX,2,0))</f>
        <v/>
      </c>
      <c r="AL261" s="1037" t="str">
        <f t="shared" si="54"/>
        <v/>
      </c>
      <c r="AM261" s="646" t="str">
        <f t="shared" si="86"/>
        <v/>
      </c>
      <c r="AN261" s="646" t="str">
        <f t="shared" si="87"/>
        <v/>
      </c>
      <c r="AO261" s="647" t="str">
        <f t="shared" si="88"/>
        <v/>
      </c>
      <c r="AP261" s="647" t="str">
        <f t="shared" si="89"/>
        <v/>
      </c>
      <c r="AQ261" s="647" t="str">
        <f t="shared" si="90"/>
        <v/>
      </c>
      <c r="AR261" s="647" t="str">
        <f t="shared" si="57"/>
        <v/>
      </c>
      <c r="AS261" s="647" t="str">
        <f t="shared" si="91"/>
        <v/>
      </c>
      <c r="AT261" s="647" t="str">
        <f t="shared" si="61"/>
        <v/>
      </c>
      <c r="AU261" s="647" t="str">
        <f t="shared" si="62"/>
        <v/>
      </c>
      <c r="AV261" s="647" t="str">
        <f t="shared" si="55"/>
        <v/>
      </c>
      <c r="AW261" s="647" t="str">
        <f t="shared" si="92"/>
        <v/>
      </c>
      <c r="AX261" s="647" t="str">
        <f t="shared" si="93"/>
        <v/>
      </c>
      <c r="AY261" s="647" t="str">
        <f t="shared" si="94"/>
        <v/>
      </c>
      <c r="AZ261" s="647" t="str">
        <f t="shared" si="56"/>
        <v/>
      </c>
      <c r="BA261" s="647" t="str">
        <f t="shared" si="95"/>
        <v/>
      </c>
    </row>
    <row r="262" spans="2:53" s="7" customFormat="1" ht="28.5" hidden="1" customHeight="1" outlineLevel="1">
      <c r="B262" s="64"/>
      <c r="C262" s="649">
        <v>246</v>
      </c>
      <c r="D262" s="1855"/>
      <c r="E262" s="1856"/>
      <c r="F262" s="1856"/>
      <c r="G262" s="1856"/>
      <c r="H262" s="1856"/>
      <c r="I262" s="1856"/>
      <c r="J262" s="1856"/>
      <c r="K262" s="1857"/>
      <c r="L262" s="643" t="str">
        <f t="shared" si="53"/>
        <v/>
      </c>
      <c r="M262" s="664"/>
      <c r="N262" s="665"/>
      <c r="O262" s="267"/>
      <c r="P262" s="666"/>
      <c r="Q262" s="667"/>
      <c r="R262" s="667"/>
      <c r="S262" s="1035"/>
      <c r="T262" s="668"/>
      <c r="U262" s="668"/>
      <c r="V262" s="668"/>
      <c r="W262" s="668"/>
      <c r="X262" s="669"/>
      <c r="Y262" s="670"/>
      <c r="Z262" s="671"/>
      <c r="AA262" s="644"/>
      <c r="AB262" s="978"/>
      <c r="AC262" s="992"/>
      <c r="AD262" s="89"/>
      <c r="AE262" s="89"/>
      <c r="AF262" s="645" t="str">
        <f t="shared" si="58"/>
        <v/>
      </c>
      <c r="AG262" s="1037" t="str">
        <f t="shared" si="59"/>
        <v/>
      </c>
      <c r="AH262" s="1037" t="str">
        <f t="shared" si="60"/>
        <v/>
      </c>
      <c r="AI262" s="1037" t="str">
        <f>IF(AF262="","",VLOOKUP(AF262,リスト!BD:BE,2,0))</f>
        <v/>
      </c>
      <c r="AJ262" s="1037" t="str">
        <f t="shared" si="85"/>
        <v/>
      </c>
      <c r="AK262" s="1037" t="str">
        <f>IF(AJ262="","",VLOOKUP(AJ262,リスト!BW:BX,2,0))</f>
        <v/>
      </c>
      <c r="AL262" s="1037" t="str">
        <f t="shared" si="54"/>
        <v/>
      </c>
      <c r="AM262" s="646" t="str">
        <f t="shared" si="86"/>
        <v/>
      </c>
      <c r="AN262" s="646" t="str">
        <f t="shared" si="87"/>
        <v/>
      </c>
      <c r="AO262" s="647" t="str">
        <f t="shared" si="88"/>
        <v/>
      </c>
      <c r="AP262" s="647" t="str">
        <f t="shared" si="89"/>
        <v/>
      </c>
      <c r="AQ262" s="647" t="str">
        <f t="shared" si="90"/>
        <v/>
      </c>
      <c r="AR262" s="647" t="str">
        <f t="shared" si="57"/>
        <v/>
      </c>
      <c r="AS262" s="647" t="str">
        <f t="shared" si="91"/>
        <v/>
      </c>
      <c r="AT262" s="647" t="str">
        <f t="shared" si="61"/>
        <v/>
      </c>
      <c r="AU262" s="647" t="str">
        <f t="shared" si="62"/>
        <v/>
      </c>
      <c r="AV262" s="647" t="str">
        <f t="shared" si="55"/>
        <v/>
      </c>
      <c r="AW262" s="647" t="str">
        <f t="shared" si="92"/>
        <v/>
      </c>
      <c r="AX262" s="647" t="str">
        <f t="shared" si="93"/>
        <v/>
      </c>
      <c r="AY262" s="647" t="str">
        <f t="shared" si="94"/>
        <v/>
      </c>
      <c r="AZ262" s="647" t="str">
        <f t="shared" si="56"/>
        <v/>
      </c>
      <c r="BA262" s="647" t="str">
        <f t="shared" si="95"/>
        <v/>
      </c>
    </row>
    <row r="263" spans="2:53" s="7" customFormat="1" ht="28.5" hidden="1" customHeight="1" outlineLevel="1">
      <c r="B263" s="64"/>
      <c r="C263" s="649">
        <v>247</v>
      </c>
      <c r="D263" s="1855"/>
      <c r="E263" s="1856"/>
      <c r="F263" s="1856"/>
      <c r="G263" s="1856"/>
      <c r="H263" s="1856"/>
      <c r="I263" s="1856"/>
      <c r="J263" s="1856"/>
      <c r="K263" s="1857"/>
      <c r="L263" s="643" t="str">
        <f t="shared" si="53"/>
        <v/>
      </c>
      <c r="M263" s="664"/>
      <c r="N263" s="665"/>
      <c r="O263" s="267"/>
      <c r="P263" s="666"/>
      <c r="Q263" s="667"/>
      <c r="R263" s="667"/>
      <c r="S263" s="1035"/>
      <c r="T263" s="668"/>
      <c r="U263" s="668"/>
      <c r="V263" s="668"/>
      <c r="W263" s="668"/>
      <c r="X263" s="669"/>
      <c r="Y263" s="670"/>
      <c r="Z263" s="671"/>
      <c r="AA263" s="644"/>
      <c r="AB263" s="978"/>
      <c r="AC263" s="992"/>
      <c r="AD263" s="89"/>
      <c r="AE263" s="89"/>
      <c r="AF263" s="645" t="str">
        <f t="shared" si="58"/>
        <v/>
      </c>
      <c r="AG263" s="1037" t="str">
        <f t="shared" si="59"/>
        <v/>
      </c>
      <c r="AH263" s="1037" t="str">
        <f t="shared" si="60"/>
        <v/>
      </c>
      <c r="AI263" s="1037" t="str">
        <f>IF(AF263="","",VLOOKUP(AF263,リスト!BD:BE,2,0))</f>
        <v/>
      </c>
      <c r="AJ263" s="1037" t="str">
        <f t="shared" si="85"/>
        <v/>
      </c>
      <c r="AK263" s="1037" t="str">
        <f>IF(AJ263="","",VLOOKUP(AJ263,リスト!BW:BX,2,0))</f>
        <v/>
      </c>
      <c r="AL263" s="1037" t="str">
        <f t="shared" si="54"/>
        <v/>
      </c>
      <c r="AM263" s="646" t="str">
        <f t="shared" si="86"/>
        <v/>
      </c>
      <c r="AN263" s="646" t="str">
        <f t="shared" si="87"/>
        <v/>
      </c>
      <c r="AO263" s="647" t="str">
        <f t="shared" si="88"/>
        <v/>
      </c>
      <c r="AP263" s="647" t="str">
        <f t="shared" si="89"/>
        <v/>
      </c>
      <c r="AQ263" s="647" t="str">
        <f t="shared" si="90"/>
        <v/>
      </c>
      <c r="AR263" s="647" t="str">
        <f t="shared" si="57"/>
        <v/>
      </c>
      <c r="AS263" s="647" t="str">
        <f t="shared" si="91"/>
        <v/>
      </c>
      <c r="AT263" s="647" t="str">
        <f t="shared" si="61"/>
        <v/>
      </c>
      <c r="AU263" s="647" t="str">
        <f t="shared" si="62"/>
        <v/>
      </c>
      <c r="AV263" s="647" t="str">
        <f t="shared" si="55"/>
        <v/>
      </c>
      <c r="AW263" s="647" t="str">
        <f t="shared" si="92"/>
        <v/>
      </c>
      <c r="AX263" s="647" t="str">
        <f t="shared" si="93"/>
        <v/>
      </c>
      <c r="AY263" s="647" t="str">
        <f t="shared" si="94"/>
        <v/>
      </c>
      <c r="AZ263" s="647" t="str">
        <f t="shared" si="56"/>
        <v/>
      </c>
      <c r="BA263" s="647" t="str">
        <f t="shared" si="95"/>
        <v/>
      </c>
    </row>
    <row r="264" spans="2:53" s="7" customFormat="1" ht="28.5" hidden="1" customHeight="1" outlineLevel="1">
      <c r="B264" s="64"/>
      <c r="C264" s="649">
        <v>248</v>
      </c>
      <c r="D264" s="1855"/>
      <c r="E264" s="1856"/>
      <c r="F264" s="1856"/>
      <c r="G264" s="1856"/>
      <c r="H264" s="1856"/>
      <c r="I264" s="1856"/>
      <c r="J264" s="1856"/>
      <c r="K264" s="1857"/>
      <c r="L264" s="643" t="str">
        <f t="shared" si="53"/>
        <v/>
      </c>
      <c r="M264" s="664"/>
      <c r="N264" s="665"/>
      <c r="O264" s="267"/>
      <c r="P264" s="666"/>
      <c r="Q264" s="667"/>
      <c r="R264" s="667"/>
      <c r="S264" s="1035"/>
      <c r="T264" s="668"/>
      <c r="U264" s="668"/>
      <c r="V264" s="668"/>
      <c r="W264" s="668"/>
      <c r="X264" s="669"/>
      <c r="Y264" s="670"/>
      <c r="Z264" s="671"/>
      <c r="AA264" s="644"/>
      <c r="AB264" s="978"/>
      <c r="AC264" s="992"/>
      <c r="AD264" s="89"/>
      <c r="AE264" s="89"/>
      <c r="AF264" s="645" t="str">
        <f t="shared" si="58"/>
        <v/>
      </c>
      <c r="AG264" s="1037" t="str">
        <f t="shared" si="59"/>
        <v/>
      </c>
      <c r="AH264" s="1037" t="str">
        <f t="shared" si="60"/>
        <v/>
      </c>
      <c r="AI264" s="1037" t="str">
        <f>IF(AF264="","",VLOOKUP(AF264,リスト!BD:BE,2,0))</f>
        <v/>
      </c>
      <c r="AJ264" s="1037" t="str">
        <f t="shared" ref="AJ264:AJ277" si="96">IF(AH264=1,3,IF(P264="2：中古",MIN(AI264,Q264),IF(N264="[8]その他",MIN(AI264,Q264),AI264)))</f>
        <v/>
      </c>
      <c r="AK264" s="1037" t="str">
        <f>IF(AJ264="","",VLOOKUP(AJ264,リスト!BW:BX,2,0))</f>
        <v/>
      </c>
      <c r="AL264" s="1037" t="str">
        <f t="shared" si="54"/>
        <v/>
      </c>
      <c r="AM264" s="646" t="str">
        <f t="shared" ref="AM264:AM277" si="97">IF(OR(AF264="",AG264=1),"",
IF(AND(AJ264&gt;0,AL264&lt;AJ264,AN264&lt;=ROUND((T264-1)*AK264,0)),ROUND(AN264*IF(Y264="2：部分取り壊し",IFERROR(1-(AC264/O264),1),1),0),
IF(AND(AJ264&gt;0,AL264&lt;AJ264),ROUND((T264-1)*AK264*IF(Y264="2：部分取り壊し",IFERROR(1-(AC264/O264),1),1),0),
"")))</f>
        <v/>
      </c>
      <c r="AN264" s="646" t="str">
        <f t="shared" ref="AN264:AN277" si="98">IF(OR(AF264="",AG264=1),"",
IF(AND(AJ264&gt;0,AL264&lt;AJ264),T264-ROUND((T264-1)*AK264*AL264,0),1
))</f>
        <v/>
      </c>
      <c r="AO264" s="647" t="str">
        <f t="shared" ref="AO264:AO277" si="99">IF(OR(AF264="",AG264=1),"",
IF(Y264="",AM264,
IF(Y264="1：取り壊し",SUM(AN264,Z264),
IF(Y264="3：売　却",AN264-Z264,
IF(AND(Y264="2：部分取り壊し",AN264&gt;1),SUM(ROUND(AN264*(AC264/O264),0),Z264,AM264),
IF(AND(Z264="",AM264=""),"",SUM(Z264,AM264)))))))</f>
        <v/>
      </c>
      <c r="AP264" s="647" t="str">
        <f t="shared" ref="AP264:AP277" si="100">IF(AND(AO264="",AM264=""),"",
IF(OR(Y264="1：取り壊し",Y264="2：部分取り壊し",Y264="3：売　却"),SUM(AO264)-SUM(AM264),""))</f>
        <v/>
      </c>
      <c r="AQ264" s="647" t="str">
        <f t="shared" ref="AQ264:AQ277" si="101">IF(OR(AG264=1,U264=""),"",
IF(AND(AJ264&gt;0,U264&gt;0,AL264&lt;AJ264),U264-ROUND(U264*AK264*AL264,0),""
))</f>
        <v/>
      </c>
      <c r="AR264" s="647" t="str">
        <f t="shared" si="57"/>
        <v/>
      </c>
      <c r="AS264" s="647" t="str">
        <f t="shared" ref="AS264:AS277" si="102">IF(Y264="2：部分取り壊し",O264-AC264,"")</f>
        <v/>
      </c>
      <c r="AT264" s="647" t="str">
        <f t="shared" si="61"/>
        <v/>
      </c>
      <c r="AU264" s="647" t="str">
        <f t="shared" si="62"/>
        <v/>
      </c>
      <c r="AV264" s="647" t="str">
        <f t="shared" si="55"/>
        <v/>
      </c>
      <c r="AW264" s="647" t="str">
        <f t="shared" ref="AW264:AW277" si="103">IF(X264="","",IF(AO264="","",ROUND(AO264*X264%,0)))</f>
        <v/>
      </c>
      <c r="AX264" s="647" t="str">
        <f t="shared" ref="AX264:AX277" si="104">IF(X264="","",IF(AP264="","",ROUND(AP264*X264%,0)))</f>
        <v/>
      </c>
      <c r="AY264" s="647" t="str">
        <f t="shared" ref="AY264:AY277" si="105">IF(X264="","",IF(AN264="","",ROUND(AN264*X264%,0)))</f>
        <v/>
      </c>
      <c r="AZ264" s="647" t="str">
        <f t="shared" si="56"/>
        <v/>
      </c>
      <c r="BA264" s="647" t="str">
        <f t="shared" ref="BA264:BA277" si="106">IF(X264="","",IF(W264="","",ROUND(W264*X264%,0)))</f>
        <v/>
      </c>
    </row>
    <row r="265" spans="2:53" s="7" customFormat="1" ht="28.5" hidden="1" customHeight="1" outlineLevel="1">
      <c r="B265" s="64"/>
      <c r="C265" s="649">
        <v>249</v>
      </c>
      <c r="D265" s="1855"/>
      <c r="E265" s="1856"/>
      <c r="F265" s="1856"/>
      <c r="G265" s="1856"/>
      <c r="H265" s="1856"/>
      <c r="I265" s="1856"/>
      <c r="J265" s="1856"/>
      <c r="K265" s="1857"/>
      <c r="L265" s="643" t="str">
        <f t="shared" si="53"/>
        <v/>
      </c>
      <c r="M265" s="664"/>
      <c r="N265" s="665"/>
      <c r="O265" s="267"/>
      <c r="P265" s="666"/>
      <c r="Q265" s="667"/>
      <c r="R265" s="667"/>
      <c r="S265" s="1035"/>
      <c r="T265" s="668"/>
      <c r="U265" s="668"/>
      <c r="V265" s="668"/>
      <c r="W265" s="668"/>
      <c r="X265" s="669"/>
      <c r="Y265" s="670"/>
      <c r="Z265" s="671"/>
      <c r="AA265" s="644"/>
      <c r="AB265" s="978"/>
      <c r="AC265" s="992"/>
      <c r="AD265" s="89"/>
      <c r="AE265" s="89"/>
      <c r="AF265" s="645" t="str">
        <f t="shared" si="58"/>
        <v/>
      </c>
      <c r="AG265" s="1037" t="str">
        <f t="shared" si="59"/>
        <v/>
      </c>
      <c r="AH265" s="1037" t="str">
        <f t="shared" si="60"/>
        <v/>
      </c>
      <c r="AI265" s="1037" t="str">
        <f>IF(AF265="","",VLOOKUP(AF265,リスト!BD:BE,2,0))</f>
        <v/>
      </c>
      <c r="AJ265" s="1037" t="str">
        <f t="shared" si="96"/>
        <v/>
      </c>
      <c r="AK265" s="1037" t="str">
        <f>IF(AJ265="","",VLOOKUP(AJ265,リスト!BW:BX,2,0))</f>
        <v/>
      </c>
      <c r="AL265" s="1037" t="str">
        <f t="shared" si="54"/>
        <v/>
      </c>
      <c r="AM265" s="646" t="str">
        <f t="shared" si="97"/>
        <v/>
      </c>
      <c r="AN265" s="646" t="str">
        <f t="shared" si="98"/>
        <v/>
      </c>
      <c r="AO265" s="647" t="str">
        <f t="shared" si="99"/>
        <v/>
      </c>
      <c r="AP265" s="647" t="str">
        <f t="shared" si="100"/>
        <v/>
      </c>
      <c r="AQ265" s="647" t="str">
        <f t="shared" si="101"/>
        <v/>
      </c>
      <c r="AR265" s="647" t="str">
        <f t="shared" si="57"/>
        <v/>
      </c>
      <c r="AS265" s="647" t="str">
        <f t="shared" si="102"/>
        <v/>
      </c>
      <c r="AT265" s="647" t="str">
        <f t="shared" si="61"/>
        <v/>
      </c>
      <c r="AU265" s="647" t="str">
        <f t="shared" si="62"/>
        <v/>
      </c>
      <c r="AV265" s="647" t="str">
        <f t="shared" si="55"/>
        <v/>
      </c>
      <c r="AW265" s="647" t="str">
        <f t="shared" si="103"/>
        <v/>
      </c>
      <c r="AX265" s="647" t="str">
        <f t="shared" si="104"/>
        <v/>
      </c>
      <c r="AY265" s="647" t="str">
        <f t="shared" si="105"/>
        <v/>
      </c>
      <c r="AZ265" s="647" t="str">
        <f t="shared" si="56"/>
        <v/>
      </c>
      <c r="BA265" s="647" t="str">
        <f t="shared" si="106"/>
        <v/>
      </c>
    </row>
    <row r="266" spans="2:53" s="7" customFormat="1" ht="28.5" hidden="1" customHeight="1" outlineLevel="1">
      <c r="B266" s="64"/>
      <c r="C266" s="649">
        <v>250</v>
      </c>
      <c r="D266" s="1855"/>
      <c r="E266" s="1856"/>
      <c r="F266" s="1856"/>
      <c r="G266" s="1856"/>
      <c r="H266" s="1856"/>
      <c r="I266" s="1856"/>
      <c r="J266" s="1856"/>
      <c r="K266" s="1857"/>
      <c r="L266" s="643" t="str">
        <f t="shared" si="53"/>
        <v/>
      </c>
      <c r="M266" s="664"/>
      <c r="N266" s="665"/>
      <c r="O266" s="267"/>
      <c r="P266" s="666"/>
      <c r="Q266" s="667"/>
      <c r="R266" s="667"/>
      <c r="S266" s="1035"/>
      <c r="T266" s="668"/>
      <c r="U266" s="668"/>
      <c r="V266" s="668"/>
      <c r="W266" s="668"/>
      <c r="X266" s="669"/>
      <c r="Y266" s="670"/>
      <c r="Z266" s="671"/>
      <c r="AA266" s="644"/>
      <c r="AB266" s="978"/>
      <c r="AC266" s="992"/>
      <c r="AD266" s="89"/>
      <c r="AE266" s="89"/>
      <c r="AF266" s="645" t="str">
        <f t="shared" si="58"/>
        <v/>
      </c>
      <c r="AG266" s="1037" t="str">
        <f t="shared" si="59"/>
        <v/>
      </c>
      <c r="AH266" s="1037" t="str">
        <f t="shared" si="60"/>
        <v/>
      </c>
      <c r="AI266" s="1037" t="str">
        <f>IF(AF266="","",VLOOKUP(AF266,リスト!BD:BE,2,0))</f>
        <v/>
      </c>
      <c r="AJ266" s="1037" t="str">
        <f t="shared" si="96"/>
        <v/>
      </c>
      <c r="AK266" s="1037" t="str">
        <f>IF(AJ266="","",VLOOKUP(AJ266,リスト!BW:BX,2,0))</f>
        <v/>
      </c>
      <c r="AL266" s="1037" t="str">
        <f t="shared" si="54"/>
        <v/>
      </c>
      <c r="AM266" s="646" t="str">
        <f t="shared" si="97"/>
        <v/>
      </c>
      <c r="AN266" s="646" t="str">
        <f t="shared" si="98"/>
        <v/>
      </c>
      <c r="AO266" s="647" t="str">
        <f t="shared" si="99"/>
        <v/>
      </c>
      <c r="AP266" s="647" t="str">
        <f t="shared" si="100"/>
        <v/>
      </c>
      <c r="AQ266" s="647" t="str">
        <f t="shared" si="101"/>
        <v/>
      </c>
      <c r="AR266" s="647" t="str">
        <f t="shared" si="57"/>
        <v/>
      </c>
      <c r="AS266" s="647" t="str">
        <f t="shared" si="102"/>
        <v/>
      </c>
      <c r="AT266" s="647" t="str">
        <f t="shared" si="61"/>
        <v/>
      </c>
      <c r="AU266" s="647" t="str">
        <f t="shared" si="62"/>
        <v/>
      </c>
      <c r="AV266" s="647" t="str">
        <f t="shared" si="55"/>
        <v/>
      </c>
      <c r="AW266" s="647" t="str">
        <f t="shared" si="103"/>
        <v/>
      </c>
      <c r="AX266" s="647" t="str">
        <f t="shared" si="104"/>
        <v/>
      </c>
      <c r="AY266" s="647" t="str">
        <f t="shared" si="105"/>
        <v/>
      </c>
      <c r="AZ266" s="647" t="str">
        <f t="shared" si="56"/>
        <v/>
      </c>
      <c r="BA266" s="647" t="str">
        <f t="shared" si="106"/>
        <v/>
      </c>
    </row>
    <row r="267" spans="2:53" s="7" customFormat="1" ht="28.5" hidden="1" customHeight="1" outlineLevel="1">
      <c r="B267" s="64"/>
      <c r="C267" s="649">
        <v>251</v>
      </c>
      <c r="D267" s="1855"/>
      <c r="E267" s="1856"/>
      <c r="F267" s="1856"/>
      <c r="G267" s="1856"/>
      <c r="H267" s="1856"/>
      <c r="I267" s="1856"/>
      <c r="J267" s="1856"/>
      <c r="K267" s="1857"/>
      <c r="L267" s="643" t="str">
        <f t="shared" si="53"/>
        <v/>
      </c>
      <c r="M267" s="664"/>
      <c r="N267" s="665"/>
      <c r="O267" s="267"/>
      <c r="P267" s="666"/>
      <c r="Q267" s="667"/>
      <c r="R267" s="667"/>
      <c r="S267" s="1035"/>
      <c r="T267" s="668"/>
      <c r="U267" s="668"/>
      <c r="V267" s="668"/>
      <c r="W267" s="668"/>
      <c r="X267" s="669"/>
      <c r="Y267" s="670"/>
      <c r="Z267" s="671"/>
      <c r="AA267" s="644"/>
      <c r="AB267" s="978"/>
      <c r="AC267" s="992"/>
      <c r="AD267" s="89"/>
      <c r="AE267" s="89"/>
      <c r="AF267" s="645" t="str">
        <f t="shared" si="58"/>
        <v/>
      </c>
      <c r="AG267" s="1037" t="str">
        <f t="shared" si="59"/>
        <v/>
      </c>
      <c r="AH267" s="1037" t="str">
        <f t="shared" si="60"/>
        <v/>
      </c>
      <c r="AI267" s="1037" t="str">
        <f>IF(AF267="","",VLOOKUP(AF267,リスト!BD:BE,2,0))</f>
        <v/>
      </c>
      <c r="AJ267" s="1037" t="str">
        <f t="shared" si="96"/>
        <v/>
      </c>
      <c r="AK267" s="1037" t="str">
        <f>IF(AJ267="","",VLOOKUP(AJ267,リスト!BW:BX,2,0))</f>
        <v/>
      </c>
      <c r="AL267" s="1037" t="str">
        <f t="shared" si="54"/>
        <v/>
      </c>
      <c r="AM267" s="646" t="str">
        <f t="shared" si="97"/>
        <v/>
      </c>
      <c r="AN267" s="646" t="str">
        <f t="shared" si="98"/>
        <v/>
      </c>
      <c r="AO267" s="647" t="str">
        <f t="shared" si="99"/>
        <v/>
      </c>
      <c r="AP267" s="647" t="str">
        <f t="shared" si="100"/>
        <v/>
      </c>
      <c r="AQ267" s="647" t="str">
        <f t="shared" si="101"/>
        <v/>
      </c>
      <c r="AR267" s="647" t="str">
        <f t="shared" si="57"/>
        <v/>
      </c>
      <c r="AS267" s="647" t="str">
        <f t="shared" si="102"/>
        <v/>
      </c>
      <c r="AT267" s="647" t="str">
        <f t="shared" si="61"/>
        <v/>
      </c>
      <c r="AU267" s="647" t="str">
        <f t="shared" si="62"/>
        <v/>
      </c>
      <c r="AV267" s="647" t="str">
        <f t="shared" si="55"/>
        <v/>
      </c>
      <c r="AW267" s="647" t="str">
        <f t="shared" si="103"/>
        <v/>
      </c>
      <c r="AX267" s="647" t="str">
        <f t="shared" si="104"/>
        <v/>
      </c>
      <c r="AY267" s="647" t="str">
        <f t="shared" si="105"/>
        <v/>
      </c>
      <c r="AZ267" s="647" t="str">
        <f t="shared" si="56"/>
        <v/>
      </c>
      <c r="BA267" s="647" t="str">
        <f t="shared" si="106"/>
        <v/>
      </c>
    </row>
    <row r="268" spans="2:53" s="7" customFormat="1" ht="28.5" hidden="1" customHeight="1" outlineLevel="1">
      <c r="B268" s="64"/>
      <c r="C268" s="649">
        <v>252</v>
      </c>
      <c r="D268" s="1855"/>
      <c r="E268" s="1856"/>
      <c r="F268" s="1856"/>
      <c r="G268" s="1856"/>
      <c r="H268" s="1856"/>
      <c r="I268" s="1856"/>
      <c r="J268" s="1856"/>
      <c r="K268" s="1857"/>
      <c r="L268" s="643" t="str">
        <f t="shared" si="53"/>
        <v/>
      </c>
      <c r="M268" s="664"/>
      <c r="N268" s="665"/>
      <c r="O268" s="267"/>
      <c r="P268" s="666"/>
      <c r="Q268" s="667"/>
      <c r="R268" s="667"/>
      <c r="S268" s="1035"/>
      <c r="T268" s="668"/>
      <c r="U268" s="668"/>
      <c r="V268" s="668"/>
      <c r="W268" s="668"/>
      <c r="X268" s="669"/>
      <c r="Y268" s="670"/>
      <c r="Z268" s="671"/>
      <c r="AA268" s="644"/>
      <c r="AB268" s="978"/>
      <c r="AC268" s="992"/>
      <c r="AD268" s="89"/>
      <c r="AE268" s="89"/>
      <c r="AF268" s="645" t="str">
        <f t="shared" si="58"/>
        <v/>
      </c>
      <c r="AG268" s="1037" t="str">
        <f t="shared" si="59"/>
        <v/>
      </c>
      <c r="AH268" s="1037" t="str">
        <f t="shared" si="60"/>
        <v/>
      </c>
      <c r="AI268" s="1037" t="str">
        <f>IF(AF268="","",VLOOKUP(AF268,リスト!BD:BE,2,0))</f>
        <v/>
      </c>
      <c r="AJ268" s="1037" t="str">
        <f t="shared" si="96"/>
        <v/>
      </c>
      <c r="AK268" s="1037" t="str">
        <f>IF(AJ268="","",VLOOKUP(AJ268,リスト!BW:BX,2,0))</f>
        <v/>
      </c>
      <c r="AL268" s="1037" t="str">
        <f t="shared" si="54"/>
        <v/>
      </c>
      <c r="AM268" s="646" t="str">
        <f t="shared" si="97"/>
        <v/>
      </c>
      <c r="AN268" s="646" t="str">
        <f t="shared" si="98"/>
        <v/>
      </c>
      <c r="AO268" s="647" t="str">
        <f t="shared" si="99"/>
        <v/>
      </c>
      <c r="AP268" s="647" t="str">
        <f t="shared" si="100"/>
        <v/>
      </c>
      <c r="AQ268" s="647" t="str">
        <f t="shared" si="101"/>
        <v/>
      </c>
      <c r="AR268" s="647" t="str">
        <f t="shared" si="57"/>
        <v/>
      </c>
      <c r="AS268" s="647" t="str">
        <f t="shared" si="102"/>
        <v/>
      </c>
      <c r="AT268" s="647" t="str">
        <f t="shared" si="61"/>
        <v/>
      </c>
      <c r="AU268" s="647" t="str">
        <f t="shared" si="62"/>
        <v/>
      </c>
      <c r="AV268" s="647" t="str">
        <f t="shared" si="55"/>
        <v/>
      </c>
      <c r="AW268" s="647" t="str">
        <f t="shared" si="103"/>
        <v/>
      </c>
      <c r="AX268" s="647" t="str">
        <f t="shared" si="104"/>
        <v/>
      </c>
      <c r="AY268" s="647" t="str">
        <f t="shared" si="105"/>
        <v/>
      </c>
      <c r="AZ268" s="647" t="str">
        <f t="shared" si="56"/>
        <v/>
      </c>
      <c r="BA268" s="647" t="str">
        <f t="shared" si="106"/>
        <v/>
      </c>
    </row>
    <row r="269" spans="2:53" s="7" customFormat="1" ht="28.5" hidden="1" customHeight="1" outlineLevel="1">
      <c r="B269" s="64"/>
      <c r="C269" s="649">
        <v>253</v>
      </c>
      <c r="D269" s="1855"/>
      <c r="E269" s="1856"/>
      <c r="F269" s="1856"/>
      <c r="G269" s="1856"/>
      <c r="H269" s="1856"/>
      <c r="I269" s="1856"/>
      <c r="J269" s="1856"/>
      <c r="K269" s="1857"/>
      <c r="L269" s="643" t="str">
        <f t="shared" si="53"/>
        <v/>
      </c>
      <c r="M269" s="664"/>
      <c r="N269" s="665"/>
      <c r="O269" s="267"/>
      <c r="P269" s="666"/>
      <c r="Q269" s="667"/>
      <c r="R269" s="667"/>
      <c r="S269" s="1035"/>
      <c r="T269" s="668"/>
      <c r="U269" s="668"/>
      <c r="V269" s="668"/>
      <c r="W269" s="668"/>
      <c r="X269" s="669"/>
      <c r="Y269" s="670"/>
      <c r="Z269" s="671"/>
      <c r="AA269" s="644"/>
      <c r="AB269" s="978"/>
      <c r="AC269" s="992"/>
      <c r="AD269" s="89"/>
      <c r="AE269" s="89"/>
      <c r="AF269" s="645" t="str">
        <f t="shared" si="58"/>
        <v/>
      </c>
      <c r="AG269" s="1037" t="str">
        <f t="shared" si="59"/>
        <v/>
      </c>
      <c r="AH269" s="1037" t="str">
        <f t="shared" si="60"/>
        <v/>
      </c>
      <c r="AI269" s="1037" t="str">
        <f>IF(AF269="","",VLOOKUP(AF269,リスト!BD:BE,2,0))</f>
        <v/>
      </c>
      <c r="AJ269" s="1037" t="str">
        <f t="shared" si="96"/>
        <v/>
      </c>
      <c r="AK269" s="1037" t="str">
        <f>IF(AJ269="","",VLOOKUP(AJ269,リスト!BW:BX,2,0))</f>
        <v/>
      </c>
      <c r="AL269" s="1037" t="str">
        <f t="shared" si="54"/>
        <v/>
      </c>
      <c r="AM269" s="646" t="str">
        <f t="shared" si="97"/>
        <v/>
      </c>
      <c r="AN269" s="646" t="str">
        <f t="shared" si="98"/>
        <v/>
      </c>
      <c r="AO269" s="647" t="str">
        <f t="shared" si="99"/>
        <v/>
      </c>
      <c r="AP269" s="647" t="str">
        <f t="shared" si="100"/>
        <v/>
      </c>
      <c r="AQ269" s="647" t="str">
        <f t="shared" si="101"/>
        <v/>
      </c>
      <c r="AR269" s="647" t="str">
        <f t="shared" si="57"/>
        <v/>
      </c>
      <c r="AS269" s="647" t="str">
        <f t="shared" si="102"/>
        <v/>
      </c>
      <c r="AT269" s="647" t="str">
        <f t="shared" si="61"/>
        <v/>
      </c>
      <c r="AU269" s="647" t="str">
        <f t="shared" si="62"/>
        <v/>
      </c>
      <c r="AV269" s="647" t="str">
        <f t="shared" si="55"/>
        <v/>
      </c>
      <c r="AW269" s="647" t="str">
        <f t="shared" si="103"/>
        <v/>
      </c>
      <c r="AX269" s="647" t="str">
        <f t="shared" si="104"/>
        <v/>
      </c>
      <c r="AY269" s="647" t="str">
        <f t="shared" si="105"/>
        <v/>
      </c>
      <c r="AZ269" s="647" t="str">
        <f t="shared" si="56"/>
        <v/>
      </c>
      <c r="BA269" s="647" t="str">
        <f t="shared" si="106"/>
        <v/>
      </c>
    </row>
    <row r="270" spans="2:53" s="7" customFormat="1" ht="28.5" hidden="1" customHeight="1" outlineLevel="1">
      <c r="B270" s="64"/>
      <c r="C270" s="649">
        <v>254</v>
      </c>
      <c r="D270" s="1855"/>
      <c r="E270" s="1856"/>
      <c r="F270" s="1856"/>
      <c r="G270" s="1856"/>
      <c r="H270" s="1856"/>
      <c r="I270" s="1856"/>
      <c r="J270" s="1856"/>
      <c r="K270" s="1857"/>
      <c r="L270" s="643" t="str">
        <f t="shared" si="53"/>
        <v/>
      </c>
      <c r="M270" s="664"/>
      <c r="N270" s="665"/>
      <c r="O270" s="267"/>
      <c r="P270" s="666"/>
      <c r="Q270" s="667"/>
      <c r="R270" s="667"/>
      <c r="S270" s="1035"/>
      <c r="T270" s="668"/>
      <c r="U270" s="668"/>
      <c r="V270" s="668"/>
      <c r="W270" s="668"/>
      <c r="X270" s="669"/>
      <c r="Y270" s="670"/>
      <c r="Z270" s="671"/>
      <c r="AA270" s="644"/>
      <c r="AB270" s="978"/>
      <c r="AC270" s="992"/>
      <c r="AD270" s="89"/>
      <c r="AE270" s="89"/>
      <c r="AF270" s="645" t="str">
        <f t="shared" si="58"/>
        <v/>
      </c>
      <c r="AG270" s="1037" t="str">
        <f t="shared" si="59"/>
        <v/>
      </c>
      <c r="AH270" s="1037" t="str">
        <f t="shared" si="60"/>
        <v/>
      </c>
      <c r="AI270" s="1037" t="str">
        <f>IF(AF270="","",VLOOKUP(AF270,リスト!BD:BE,2,0))</f>
        <v/>
      </c>
      <c r="AJ270" s="1037" t="str">
        <f t="shared" si="96"/>
        <v/>
      </c>
      <c r="AK270" s="1037" t="str">
        <f>IF(AJ270="","",VLOOKUP(AJ270,リスト!BW:BX,2,0))</f>
        <v/>
      </c>
      <c r="AL270" s="1037" t="str">
        <f t="shared" si="54"/>
        <v/>
      </c>
      <c r="AM270" s="646" t="str">
        <f t="shared" si="97"/>
        <v/>
      </c>
      <c r="AN270" s="646" t="str">
        <f t="shared" si="98"/>
        <v/>
      </c>
      <c r="AO270" s="647" t="str">
        <f t="shared" si="99"/>
        <v/>
      </c>
      <c r="AP270" s="647" t="str">
        <f t="shared" si="100"/>
        <v/>
      </c>
      <c r="AQ270" s="647" t="str">
        <f t="shared" si="101"/>
        <v/>
      </c>
      <c r="AR270" s="647" t="str">
        <f t="shared" si="57"/>
        <v/>
      </c>
      <c r="AS270" s="647" t="str">
        <f t="shared" si="102"/>
        <v/>
      </c>
      <c r="AT270" s="647" t="str">
        <f t="shared" si="61"/>
        <v/>
      </c>
      <c r="AU270" s="647" t="str">
        <f t="shared" si="62"/>
        <v/>
      </c>
      <c r="AV270" s="647" t="str">
        <f t="shared" si="55"/>
        <v/>
      </c>
      <c r="AW270" s="647" t="str">
        <f t="shared" si="103"/>
        <v/>
      </c>
      <c r="AX270" s="647" t="str">
        <f t="shared" si="104"/>
        <v/>
      </c>
      <c r="AY270" s="647" t="str">
        <f t="shared" si="105"/>
        <v/>
      </c>
      <c r="AZ270" s="647" t="str">
        <f t="shared" si="56"/>
        <v/>
      </c>
      <c r="BA270" s="647" t="str">
        <f t="shared" si="106"/>
        <v/>
      </c>
    </row>
    <row r="271" spans="2:53" s="7" customFormat="1" ht="28.5" hidden="1" customHeight="1" outlineLevel="1">
      <c r="B271" s="64"/>
      <c r="C271" s="649">
        <v>255</v>
      </c>
      <c r="D271" s="1855"/>
      <c r="E271" s="1856"/>
      <c r="F271" s="1856"/>
      <c r="G271" s="1856"/>
      <c r="H271" s="1856"/>
      <c r="I271" s="1856"/>
      <c r="J271" s="1856"/>
      <c r="K271" s="1857"/>
      <c r="L271" s="643" t="str">
        <f t="shared" si="53"/>
        <v/>
      </c>
      <c r="M271" s="664"/>
      <c r="N271" s="665"/>
      <c r="O271" s="267"/>
      <c r="P271" s="666"/>
      <c r="Q271" s="667"/>
      <c r="R271" s="667"/>
      <c r="S271" s="1035"/>
      <c r="T271" s="668"/>
      <c r="U271" s="668"/>
      <c r="V271" s="668"/>
      <c r="W271" s="668"/>
      <c r="X271" s="669"/>
      <c r="Y271" s="670"/>
      <c r="Z271" s="671"/>
      <c r="AA271" s="644"/>
      <c r="AB271" s="978"/>
      <c r="AC271" s="992"/>
      <c r="AD271" s="89"/>
      <c r="AE271" s="89"/>
      <c r="AF271" s="645" t="str">
        <f t="shared" si="58"/>
        <v/>
      </c>
      <c r="AG271" s="1037" t="str">
        <f t="shared" si="59"/>
        <v/>
      </c>
      <c r="AH271" s="1037" t="str">
        <f t="shared" si="60"/>
        <v/>
      </c>
      <c r="AI271" s="1037" t="str">
        <f>IF(AF271="","",VLOOKUP(AF271,リスト!BD:BE,2,0))</f>
        <v/>
      </c>
      <c r="AJ271" s="1037" t="str">
        <f t="shared" si="96"/>
        <v/>
      </c>
      <c r="AK271" s="1037" t="str">
        <f>IF(AJ271="","",VLOOKUP(AJ271,リスト!BW:BX,2,0))</f>
        <v/>
      </c>
      <c r="AL271" s="1037" t="str">
        <f t="shared" si="54"/>
        <v/>
      </c>
      <c r="AM271" s="646" t="str">
        <f t="shared" si="97"/>
        <v/>
      </c>
      <c r="AN271" s="646" t="str">
        <f t="shared" si="98"/>
        <v/>
      </c>
      <c r="AO271" s="647" t="str">
        <f t="shared" si="99"/>
        <v/>
      </c>
      <c r="AP271" s="647" t="str">
        <f t="shared" si="100"/>
        <v/>
      </c>
      <c r="AQ271" s="647" t="str">
        <f t="shared" si="101"/>
        <v/>
      </c>
      <c r="AR271" s="647" t="str">
        <f t="shared" si="57"/>
        <v/>
      </c>
      <c r="AS271" s="647" t="str">
        <f t="shared" si="102"/>
        <v/>
      </c>
      <c r="AT271" s="647" t="str">
        <f t="shared" si="61"/>
        <v/>
      </c>
      <c r="AU271" s="647" t="str">
        <f t="shared" si="62"/>
        <v/>
      </c>
      <c r="AV271" s="647" t="str">
        <f t="shared" si="55"/>
        <v/>
      </c>
      <c r="AW271" s="647" t="str">
        <f t="shared" si="103"/>
        <v/>
      </c>
      <c r="AX271" s="647" t="str">
        <f t="shared" si="104"/>
        <v/>
      </c>
      <c r="AY271" s="647" t="str">
        <f t="shared" si="105"/>
        <v/>
      </c>
      <c r="AZ271" s="647" t="str">
        <f t="shared" si="56"/>
        <v/>
      </c>
      <c r="BA271" s="647" t="str">
        <f t="shared" si="106"/>
        <v/>
      </c>
    </row>
    <row r="272" spans="2:53" s="7" customFormat="1" ht="28.5" hidden="1" customHeight="1" outlineLevel="1">
      <c r="B272" s="64"/>
      <c r="C272" s="649">
        <v>256</v>
      </c>
      <c r="D272" s="1855"/>
      <c r="E272" s="1856"/>
      <c r="F272" s="1856"/>
      <c r="G272" s="1856"/>
      <c r="H272" s="1856"/>
      <c r="I272" s="1856"/>
      <c r="J272" s="1856"/>
      <c r="K272" s="1857"/>
      <c r="L272" s="643" t="str">
        <f t="shared" si="53"/>
        <v/>
      </c>
      <c r="M272" s="664"/>
      <c r="N272" s="665"/>
      <c r="O272" s="267"/>
      <c r="P272" s="666"/>
      <c r="Q272" s="667"/>
      <c r="R272" s="667"/>
      <c r="S272" s="1035"/>
      <c r="T272" s="668"/>
      <c r="U272" s="668"/>
      <c r="V272" s="668"/>
      <c r="W272" s="668"/>
      <c r="X272" s="669"/>
      <c r="Y272" s="670"/>
      <c r="Z272" s="671"/>
      <c r="AA272" s="644"/>
      <c r="AB272" s="978"/>
      <c r="AC272" s="992"/>
      <c r="AD272" s="89"/>
      <c r="AE272" s="89"/>
      <c r="AF272" s="645" t="str">
        <f t="shared" si="58"/>
        <v/>
      </c>
      <c r="AG272" s="1037" t="str">
        <f t="shared" si="59"/>
        <v/>
      </c>
      <c r="AH272" s="1037" t="str">
        <f t="shared" si="60"/>
        <v/>
      </c>
      <c r="AI272" s="1037" t="str">
        <f>IF(AF272="","",VLOOKUP(AF272,リスト!BD:BE,2,0))</f>
        <v/>
      </c>
      <c r="AJ272" s="1037" t="str">
        <f t="shared" si="96"/>
        <v/>
      </c>
      <c r="AK272" s="1037" t="str">
        <f>IF(AJ272="","",VLOOKUP(AJ272,リスト!BW:BX,2,0))</f>
        <v/>
      </c>
      <c r="AL272" s="1037" t="str">
        <f t="shared" si="54"/>
        <v/>
      </c>
      <c r="AM272" s="646" t="str">
        <f t="shared" si="97"/>
        <v/>
      </c>
      <c r="AN272" s="646" t="str">
        <f t="shared" si="98"/>
        <v/>
      </c>
      <c r="AO272" s="647" t="str">
        <f t="shared" si="99"/>
        <v/>
      </c>
      <c r="AP272" s="647" t="str">
        <f t="shared" si="100"/>
        <v/>
      </c>
      <c r="AQ272" s="647" t="str">
        <f t="shared" si="101"/>
        <v/>
      </c>
      <c r="AR272" s="647" t="str">
        <f t="shared" si="57"/>
        <v/>
      </c>
      <c r="AS272" s="647" t="str">
        <f t="shared" si="102"/>
        <v/>
      </c>
      <c r="AT272" s="647" t="str">
        <f t="shared" si="61"/>
        <v/>
      </c>
      <c r="AU272" s="647" t="str">
        <f t="shared" si="62"/>
        <v/>
      </c>
      <c r="AV272" s="647" t="str">
        <f t="shared" si="55"/>
        <v/>
      </c>
      <c r="AW272" s="647" t="str">
        <f t="shared" si="103"/>
        <v/>
      </c>
      <c r="AX272" s="647" t="str">
        <f t="shared" si="104"/>
        <v/>
      </c>
      <c r="AY272" s="647" t="str">
        <f t="shared" si="105"/>
        <v/>
      </c>
      <c r="AZ272" s="647" t="str">
        <f t="shared" si="56"/>
        <v/>
      </c>
      <c r="BA272" s="647" t="str">
        <f t="shared" si="106"/>
        <v/>
      </c>
    </row>
    <row r="273" spans="2:53" s="7" customFormat="1" ht="28.5" hidden="1" customHeight="1" outlineLevel="1">
      <c r="B273" s="64"/>
      <c r="C273" s="649">
        <v>257</v>
      </c>
      <c r="D273" s="1855"/>
      <c r="E273" s="1856"/>
      <c r="F273" s="1856"/>
      <c r="G273" s="1856"/>
      <c r="H273" s="1856"/>
      <c r="I273" s="1856"/>
      <c r="J273" s="1856"/>
      <c r="K273" s="1857"/>
      <c r="L273" s="643" t="str">
        <f t="shared" ref="L273:L314" si="107">IF(M273&gt;0,IF(COUNTIF(建築物種類コード,M273),"建築物","構築物"),"")</f>
        <v/>
      </c>
      <c r="M273" s="664"/>
      <c r="N273" s="665"/>
      <c r="O273" s="267"/>
      <c r="P273" s="666"/>
      <c r="Q273" s="667"/>
      <c r="R273" s="667"/>
      <c r="S273" s="1035"/>
      <c r="T273" s="668"/>
      <c r="U273" s="668"/>
      <c r="V273" s="668"/>
      <c r="W273" s="668"/>
      <c r="X273" s="669"/>
      <c r="Y273" s="670"/>
      <c r="Z273" s="671"/>
      <c r="AA273" s="644"/>
      <c r="AB273" s="978"/>
      <c r="AC273" s="992"/>
      <c r="AD273" s="89"/>
      <c r="AE273" s="89"/>
      <c r="AF273" s="645" t="str">
        <f t="shared" si="58"/>
        <v/>
      </c>
      <c r="AG273" s="1037" t="str">
        <f t="shared" si="59"/>
        <v/>
      </c>
      <c r="AH273" s="1037" t="str">
        <f t="shared" si="60"/>
        <v/>
      </c>
      <c r="AI273" s="1037" t="str">
        <f>IF(AF273="","",VLOOKUP(AF273,リスト!BD:BE,2,0))</f>
        <v/>
      </c>
      <c r="AJ273" s="1037" t="str">
        <f t="shared" si="96"/>
        <v/>
      </c>
      <c r="AK273" s="1037" t="str">
        <f>IF(AJ273="","",VLOOKUP(AJ273,リスト!BW:BX,2,0))</f>
        <v/>
      </c>
      <c r="AL273" s="1037" t="str">
        <f t="shared" ref="AL273:AL316" si="108">IF(AF273="","",調査年-R273)</f>
        <v/>
      </c>
      <c r="AM273" s="646" t="str">
        <f t="shared" si="97"/>
        <v/>
      </c>
      <c r="AN273" s="646" t="str">
        <f t="shared" si="98"/>
        <v/>
      </c>
      <c r="AO273" s="647" t="str">
        <f t="shared" si="99"/>
        <v/>
      </c>
      <c r="AP273" s="647" t="str">
        <f t="shared" si="100"/>
        <v/>
      </c>
      <c r="AQ273" s="647" t="str">
        <f t="shared" si="101"/>
        <v/>
      </c>
      <c r="AR273" s="647" t="str">
        <f t="shared" si="57"/>
        <v/>
      </c>
      <c r="AS273" s="647" t="str">
        <f t="shared" si="102"/>
        <v/>
      </c>
      <c r="AT273" s="647" t="str">
        <f t="shared" si="61"/>
        <v/>
      </c>
      <c r="AU273" s="647" t="str">
        <f t="shared" si="62"/>
        <v/>
      </c>
      <c r="AV273" s="647" t="str">
        <f t="shared" ref="AV273:AV316" si="109">IF(X273="","",IF(OR(R273=調査年,AN273=""),"",ROUND(AN273*X273%,0)))</f>
        <v/>
      </c>
      <c r="AW273" s="647" t="str">
        <f t="shared" si="103"/>
        <v/>
      </c>
      <c r="AX273" s="647" t="str">
        <f t="shared" si="104"/>
        <v/>
      </c>
      <c r="AY273" s="647" t="str">
        <f t="shared" si="105"/>
        <v/>
      </c>
      <c r="AZ273" s="647" t="str">
        <f t="shared" ref="AZ273:AZ316" si="110">IF(OR(X273="",AND(OR(R273&lt;&gt;調査年,AG273=0),V273="",AR273="",W273="")),"",
SUM(
IF(AND(R273=調査年,AG273=1),ROUND(T273*X273%,0),),
ROUND(V273*X273%,0),
ROUND(SUM(AR273)*X273%,0),
))</f>
        <v/>
      </c>
      <c r="BA273" s="647" t="str">
        <f t="shared" si="106"/>
        <v/>
      </c>
    </row>
    <row r="274" spans="2:53" s="7" customFormat="1" ht="28.5" hidden="1" customHeight="1" outlineLevel="1">
      <c r="B274" s="64"/>
      <c r="C274" s="649">
        <v>258</v>
      </c>
      <c r="D274" s="1855"/>
      <c r="E274" s="1856"/>
      <c r="F274" s="1856"/>
      <c r="G274" s="1856"/>
      <c r="H274" s="1856"/>
      <c r="I274" s="1856"/>
      <c r="J274" s="1856"/>
      <c r="K274" s="1857"/>
      <c r="L274" s="643" t="str">
        <f t="shared" si="107"/>
        <v/>
      </c>
      <c r="M274" s="664"/>
      <c r="N274" s="665"/>
      <c r="O274" s="267"/>
      <c r="P274" s="666"/>
      <c r="Q274" s="667"/>
      <c r="R274" s="667"/>
      <c r="S274" s="1035"/>
      <c r="T274" s="668"/>
      <c r="U274" s="668"/>
      <c r="V274" s="668"/>
      <c r="W274" s="668"/>
      <c r="X274" s="669"/>
      <c r="Y274" s="670"/>
      <c r="Z274" s="671"/>
      <c r="AA274" s="644"/>
      <c r="AB274" s="978"/>
      <c r="AC274" s="992"/>
      <c r="AD274" s="89"/>
      <c r="AE274" s="89"/>
      <c r="AF274" s="645" t="str">
        <f t="shared" si="58"/>
        <v/>
      </c>
      <c r="AG274" s="1037" t="str">
        <f t="shared" si="59"/>
        <v/>
      </c>
      <c r="AH274" s="1037" t="str">
        <f t="shared" si="60"/>
        <v/>
      </c>
      <c r="AI274" s="1037" t="str">
        <f>IF(AF274="","",VLOOKUP(AF274,リスト!BD:BE,2,0))</f>
        <v/>
      </c>
      <c r="AJ274" s="1037" t="str">
        <f t="shared" si="96"/>
        <v/>
      </c>
      <c r="AK274" s="1037" t="str">
        <f>IF(AJ274="","",VLOOKUP(AJ274,リスト!BW:BX,2,0))</f>
        <v/>
      </c>
      <c r="AL274" s="1037" t="str">
        <f t="shared" si="108"/>
        <v/>
      </c>
      <c r="AM274" s="646" t="str">
        <f t="shared" si="97"/>
        <v/>
      </c>
      <c r="AN274" s="646" t="str">
        <f t="shared" si="98"/>
        <v/>
      </c>
      <c r="AO274" s="647" t="str">
        <f t="shared" si="99"/>
        <v/>
      </c>
      <c r="AP274" s="647" t="str">
        <f t="shared" si="100"/>
        <v/>
      </c>
      <c r="AQ274" s="647" t="str">
        <f t="shared" si="101"/>
        <v/>
      </c>
      <c r="AR274" s="647" t="str">
        <f t="shared" ref="AR274:AR316" si="111">IF(OR(AF274="",AG274=1),IF(AND(AG274=1,AL274=0),U274,""),
IF(AND(AJ274&gt;0,AL274&lt;AJ274,SUM(AQ274)&gt;0,AQ274&lt;=ROUND(U274*AK274,0)),ROUND(AQ274*IF(Y274="2：部分取り壊し",IFERROR(1-(AC274/O274),1),1),),
IF(AND(AJ274&gt;0,AL274&lt;AJ274,SUM(U274)&gt;0),ROUND(U274*AK274*IF(Y274="2：部分取り壊し",IFERROR(1-(AC274/O274),1),1),0),"")))</f>
        <v/>
      </c>
      <c r="AS274" s="647" t="str">
        <f t="shared" si="102"/>
        <v/>
      </c>
      <c r="AT274" s="647" t="str">
        <f t="shared" si="61"/>
        <v/>
      </c>
      <c r="AU274" s="647" t="str">
        <f t="shared" si="62"/>
        <v/>
      </c>
      <c r="AV274" s="647" t="str">
        <f t="shared" si="109"/>
        <v/>
      </c>
      <c r="AW274" s="647" t="str">
        <f t="shared" si="103"/>
        <v/>
      </c>
      <c r="AX274" s="647" t="str">
        <f t="shared" si="104"/>
        <v/>
      </c>
      <c r="AY274" s="647" t="str">
        <f t="shared" si="105"/>
        <v/>
      </c>
      <c r="AZ274" s="647" t="str">
        <f t="shared" si="110"/>
        <v/>
      </c>
      <c r="BA274" s="647" t="str">
        <f t="shared" si="106"/>
        <v/>
      </c>
    </row>
    <row r="275" spans="2:53" s="7" customFormat="1" ht="28.5" hidden="1" customHeight="1" outlineLevel="1">
      <c r="B275" s="64"/>
      <c r="C275" s="649">
        <v>259</v>
      </c>
      <c r="D275" s="1855"/>
      <c r="E275" s="1856"/>
      <c r="F275" s="1856"/>
      <c r="G275" s="1856"/>
      <c r="H275" s="1856"/>
      <c r="I275" s="1856"/>
      <c r="J275" s="1856"/>
      <c r="K275" s="1857"/>
      <c r="L275" s="643" t="str">
        <f t="shared" si="107"/>
        <v/>
      </c>
      <c r="M275" s="664"/>
      <c r="N275" s="665"/>
      <c r="O275" s="267"/>
      <c r="P275" s="666"/>
      <c r="Q275" s="667"/>
      <c r="R275" s="667"/>
      <c r="S275" s="1035"/>
      <c r="T275" s="668"/>
      <c r="U275" s="668"/>
      <c r="V275" s="668"/>
      <c r="W275" s="668"/>
      <c r="X275" s="669"/>
      <c r="Y275" s="670"/>
      <c r="Z275" s="671"/>
      <c r="AA275" s="644"/>
      <c r="AB275" s="978"/>
      <c r="AC275" s="992"/>
      <c r="AD275" s="89"/>
      <c r="AE275" s="89"/>
      <c r="AF275" s="645" t="str">
        <f t="shared" ref="AF275:AF316" si="112">IF(AND(M275="",N275=""),"","["&amp;RIGHT(LEFT(M275,3),2)&amp;RIGHT(LEFT(N275,FIND("]",N275)-1),IF(FIND("]",N275)-1&gt;2,2,1))&amp;"]")</f>
        <v/>
      </c>
      <c r="AG275" s="1037" t="str">
        <f t="shared" ref="AG275:AG316" si="113">IF(AF275="","",IF(T275+U275&lt;100000,1,0))</f>
        <v/>
      </c>
      <c r="AH275" s="1037" t="str">
        <f t="shared" ref="AH275:AH316" si="114">IF(AF275="","",IF(AND(AG275=0,T275+U275&lt;200000),1,))</f>
        <v/>
      </c>
      <c r="AI275" s="1037" t="str">
        <f>IF(AF275="","",VLOOKUP(AF275,リスト!BD:BE,2,0))</f>
        <v/>
      </c>
      <c r="AJ275" s="1037" t="str">
        <f t="shared" si="96"/>
        <v/>
      </c>
      <c r="AK275" s="1037" t="str">
        <f>IF(AJ275="","",VLOOKUP(AJ275,リスト!BW:BX,2,0))</f>
        <v/>
      </c>
      <c r="AL275" s="1037" t="str">
        <f t="shared" si="108"/>
        <v/>
      </c>
      <c r="AM275" s="646" t="str">
        <f t="shared" si="97"/>
        <v/>
      </c>
      <c r="AN275" s="646" t="str">
        <f t="shared" si="98"/>
        <v/>
      </c>
      <c r="AO275" s="647" t="str">
        <f t="shared" si="99"/>
        <v/>
      </c>
      <c r="AP275" s="647" t="str">
        <f t="shared" si="100"/>
        <v/>
      </c>
      <c r="AQ275" s="647" t="str">
        <f t="shared" si="101"/>
        <v/>
      </c>
      <c r="AR275" s="647" t="str">
        <f t="shared" si="111"/>
        <v/>
      </c>
      <c r="AS275" s="647" t="str">
        <f t="shared" si="102"/>
        <v/>
      </c>
      <c r="AT275" s="647" t="str">
        <f t="shared" ref="AT275:AT316" si="115">IF(Y275="2：部分取り壊し",ROUND(T275*(1-(AC275/O275)),0),"")</f>
        <v/>
      </c>
      <c r="AU275" s="647" t="str">
        <f t="shared" ref="AU275:AU316" si="116">IF(Y275="2：部分取り壊し",ROUND(U275*(1-(AC275/O275)),0),"")</f>
        <v/>
      </c>
      <c r="AV275" s="647" t="str">
        <f t="shared" si="109"/>
        <v/>
      </c>
      <c r="AW275" s="647" t="str">
        <f t="shared" si="103"/>
        <v/>
      </c>
      <c r="AX275" s="647" t="str">
        <f t="shared" si="104"/>
        <v/>
      </c>
      <c r="AY275" s="647" t="str">
        <f t="shared" si="105"/>
        <v/>
      </c>
      <c r="AZ275" s="647" t="str">
        <f t="shared" si="110"/>
        <v/>
      </c>
      <c r="BA275" s="647" t="str">
        <f t="shared" si="106"/>
        <v/>
      </c>
    </row>
    <row r="276" spans="2:53" s="7" customFormat="1" ht="28.5" hidden="1" customHeight="1" outlineLevel="1">
      <c r="B276" s="64"/>
      <c r="C276" s="649">
        <v>260</v>
      </c>
      <c r="D276" s="1855"/>
      <c r="E276" s="1856"/>
      <c r="F276" s="1856"/>
      <c r="G276" s="1856"/>
      <c r="H276" s="1856"/>
      <c r="I276" s="1856"/>
      <c r="J276" s="1856"/>
      <c r="K276" s="1857"/>
      <c r="L276" s="643" t="str">
        <f t="shared" si="107"/>
        <v/>
      </c>
      <c r="M276" s="664"/>
      <c r="N276" s="665"/>
      <c r="O276" s="267"/>
      <c r="P276" s="666"/>
      <c r="Q276" s="667"/>
      <c r="R276" s="667"/>
      <c r="S276" s="1035"/>
      <c r="T276" s="668"/>
      <c r="U276" s="668"/>
      <c r="V276" s="668"/>
      <c r="W276" s="668"/>
      <c r="X276" s="669"/>
      <c r="Y276" s="670"/>
      <c r="Z276" s="671"/>
      <c r="AA276" s="644"/>
      <c r="AB276" s="978"/>
      <c r="AC276" s="992"/>
      <c r="AD276" s="89"/>
      <c r="AE276" s="89"/>
      <c r="AF276" s="645" t="str">
        <f t="shared" si="112"/>
        <v/>
      </c>
      <c r="AG276" s="1037" t="str">
        <f t="shared" si="113"/>
        <v/>
      </c>
      <c r="AH276" s="1037" t="str">
        <f t="shared" si="114"/>
        <v/>
      </c>
      <c r="AI276" s="1037" t="str">
        <f>IF(AF276="","",VLOOKUP(AF276,リスト!BD:BE,2,0))</f>
        <v/>
      </c>
      <c r="AJ276" s="1037" t="str">
        <f t="shared" si="96"/>
        <v/>
      </c>
      <c r="AK276" s="1037" t="str">
        <f>IF(AJ276="","",VLOOKUP(AJ276,リスト!BW:BX,2,0))</f>
        <v/>
      </c>
      <c r="AL276" s="1037" t="str">
        <f t="shared" si="108"/>
        <v/>
      </c>
      <c r="AM276" s="646" t="str">
        <f t="shared" si="97"/>
        <v/>
      </c>
      <c r="AN276" s="646" t="str">
        <f t="shared" si="98"/>
        <v/>
      </c>
      <c r="AO276" s="647" t="str">
        <f t="shared" si="99"/>
        <v/>
      </c>
      <c r="AP276" s="647" t="str">
        <f t="shared" si="100"/>
        <v/>
      </c>
      <c r="AQ276" s="647" t="str">
        <f t="shared" si="101"/>
        <v/>
      </c>
      <c r="AR276" s="647" t="str">
        <f t="shared" si="111"/>
        <v/>
      </c>
      <c r="AS276" s="647" t="str">
        <f t="shared" si="102"/>
        <v/>
      </c>
      <c r="AT276" s="647" t="str">
        <f t="shared" si="115"/>
        <v/>
      </c>
      <c r="AU276" s="647" t="str">
        <f t="shared" si="116"/>
        <v/>
      </c>
      <c r="AV276" s="647" t="str">
        <f t="shared" si="109"/>
        <v/>
      </c>
      <c r="AW276" s="647" t="str">
        <f t="shared" si="103"/>
        <v/>
      </c>
      <c r="AX276" s="647" t="str">
        <f t="shared" si="104"/>
        <v/>
      </c>
      <c r="AY276" s="647" t="str">
        <f t="shared" si="105"/>
        <v/>
      </c>
      <c r="AZ276" s="647" t="str">
        <f t="shared" si="110"/>
        <v/>
      </c>
      <c r="BA276" s="647" t="str">
        <f t="shared" si="106"/>
        <v/>
      </c>
    </row>
    <row r="277" spans="2:53" s="7" customFormat="1" ht="28.5" hidden="1" customHeight="1" outlineLevel="1">
      <c r="B277" s="64"/>
      <c r="C277" s="649">
        <v>261</v>
      </c>
      <c r="D277" s="1855"/>
      <c r="E277" s="1856"/>
      <c r="F277" s="1856"/>
      <c r="G277" s="1856"/>
      <c r="H277" s="1856"/>
      <c r="I277" s="1856"/>
      <c r="J277" s="1856"/>
      <c r="K277" s="1857"/>
      <c r="L277" s="643" t="str">
        <f t="shared" si="107"/>
        <v/>
      </c>
      <c r="M277" s="664"/>
      <c r="N277" s="665"/>
      <c r="O277" s="267"/>
      <c r="P277" s="666"/>
      <c r="Q277" s="667"/>
      <c r="R277" s="667"/>
      <c r="S277" s="1035"/>
      <c r="T277" s="668"/>
      <c r="U277" s="668"/>
      <c r="V277" s="668"/>
      <c r="W277" s="668"/>
      <c r="X277" s="669"/>
      <c r="Y277" s="670"/>
      <c r="Z277" s="671"/>
      <c r="AA277" s="644"/>
      <c r="AB277" s="978"/>
      <c r="AC277" s="992"/>
      <c r="AD277" s="89"/>
      <c r="AE277" s="89"/>
      <c r="AF277" s="645" t="str">
        <f t="shared" si="112"/>
        <v/>
      </c>
      <c r="AG277" s="1037" t="str">
        <f t="shared" si="113"/>
        <v/>
      </c>
      <c r="AH277" s="1037" t="str">
        <f t="shared" si="114"/>
        <v/>
      </c>
      <c r="AI277" s="1037" t="str">
        <f>IF(AF277="","",VLOOKUP(AF277,リスト!BD:BE,2,0))</f>
        <v/>
      </c>
      <c r="AJ277" s="1037" t="str">
        <f t="shared" si="96"/>
        <v/>
      </c>
      <c r="AK277" s="1037" t="str">
        <f>IF(AJ277="","",VLOOKUP(AJ277,リスト!BW:BX,2,0))</f>
        <v/>
      </c>
      <c r="AL277" s="1037" t="str">
        <f t="shared" si="108"/>
        <v/>
      </c>
      <c r="AM277" s="646" t="str">
        <f t="shared" si="97"/>
        <v/>
      </c>
      <c r="AN277" s="646" t="str">
        <f t="shared" si="98"/>
        <v/>
      </c>
      <c r="AO277" s="647" t="str">
        <f t="shared" si="99"/>
        <v/>
      </c>
      <c r="AP277" s="647" t="str">
        <f t="shared" si="100"/>
        <v/>
      </c>
      <c r="AQ277" s="647" t="str">
        <f t="shared" si="101"/>
        <v/>
      </c>
      <c r="AR277" s="647" t="str">
        <f t="shared" si="111"/>
        <v/>
      </c>
      <c r="AS277" s="647" t="str">
        <f t="shared" si="102"/>
        <v/>
      </c>
      <c r="AT277" s="647" t="str">
        <f t="shared" si="115"/>
        <v/>
      </c>
      <c r="AU277" s="647" t="str">
        <f t="shared" si="116"/>
        <v/>
      </c>
      <c r="AV277" s="647" t="str">
        <f t="shared" si="109"/>
        <v/>
      </c>
      <c r="AW277" s="647" t="str">
        <f t="shared" si="103"/>
        <v/>
      </c>
      <c r="AX277" s="647" t="str">
        <f t="shared" si="104"/>
        <v/>
      </c>
      <c r="AY277" s="647" t="str">
        <f t="shared" si="105"/>
        <v/>
      </c>
      <c r="AZ277" s="647" t="str">
        <f t="shared" si="110"/>
        <v/>
      </c>
      <c r="BA277" s="647" t="str">
        <f t="shared" si="106"/>
        <v/>
      </c>
    </row>
    <row r="278" spans="2:53" s="7" customFormat="1" ht="28.5" hidden="1" customHeight="1" outlineLevel="1">
      <c r="B278" s="64"/>
      <c r="C278" s="649">
        <v>262</v>
      </c>
      <c r="D278" s="1855"/>
      <c r="E278" s="1856"/>
      <c r="F278" s="1856"/>
      <c r="G278" s="1856"/>
      <c r="H278" s="1856"/>
      <c r="I278" s="1856"/>
      <c r="J278" s="1856"/>
      <c r="K278" s="1857"/>
      <c r="L278" s="643" t="str">
        <f t="shared" si="107"/>
        <v/>
      </c>
      <c r="M278" s="664"/>
      <c r="N278" s="665"/>
      <c r="O278" s="267"/>
      <c r="P278" s="666"/>
      <c r="Q278" s="667"/>
      <c r="R278" s="667"/>
      <c r="S278" s="1035"/>
      <c r="T278" s="668"/>
      <c r="U278" s="668"/>
      <c r="V278" s="668"/>
      <c r="W278" s="668"/>
      <c r="X278" s="669"/>
      <c r="Y278" s="670"/>
      <c r="Z278" s="671"/>
      <c r="AA278" s="644"/>
      <c r="AB278" s="978"/>
      <c r="AC278" s="992"/>
      <c r="AD278" s="89"/>
      <c r="AE278" s="89"/>
      <c r="AF278" s="645" t="str">
        <f t="shared" si="112"/>
        <v/>
      </c>
      <c r="AG278" s="1037" t="str">
        <f t="shared" si="113"/>
        <v/>
      </c>
      <c r="AH278" s="1037" t="str">
        <f t="shared" si="114"/>
        <v/>
      </c>
      <c r="AI278" s="1037" t="str">
        <f>IF(AF278="","",VLOOKUP(AF278,リスト!BD:BE,2,0))</f>
        <v/>
      </c>
      <c r="AJ278" s="1037" t="str">
        <f t="shared" si="85"/>
        <v/>
      </c>
      <c r="AK278" s="1037" t="str">
        <f>IF(AJ278="","",VLOOKUP(AJ278,リスト!BW:BX,2,0))</f>
        <v/>
      </c>
      <c r="AL278" s="1037" t="str">
        <f t="shared" si="108"/>
        <v/>
      </c>
      <c r="AM278" s="646" t="str">
        <f t="shared" si="86"/>
        <v/>
      </c>
      <c r="AN278" s="646" t="str">
        <f t="shared" si="87"/>
        <v/>
      </c>
      <c r="AO278" s="647" t="str">
        <f t="shared" si="88"/>
        <v/>
      </c>
      <c r="AP278" s="647" t="str">
        <f t="shared" si="89"/>
        <v/>
      </c>
      <c r="AQ278" s="647" t="str">
        <f t="shared" si="90"/>
        <v/>
      </c>
      <c r="AR278" s="647" t="str">
        <f t="shared" si="111"/>
        <v/>
      </c>
      <c r="AS278" s="647" t="str">
        <f t="shared" si="91"/>
        <v/>
      </c>
      <c r="AT278" s="647" t="str">
        <f t="shared" si="115"/>
        <v/>
      </c>
      <c r="AU278" s="647" t="str">
        <f t="shared" si="116"/>
        <v/>
      </c>
      <c r="AV278" s="647" t="str">
        <f t="shared" si="109"/>
        <v/>
      </c>
      <c r="AW278" s="647" t="str">
        <f t="shared" si="92"/>
        <v/>
      </c>
      <c r="AX278" s="647" t="str">
        <f t="shared" si="93"/>
        <v/>
      </c>
      <c r="AY278" s="647" t="str">
        <f t="shared" si="94"/>
        <v/>
      </c>
      <c r="AZ278" s="647" t="str">
        <f t="shared" si="110"/>
        <v/>
      </c>
      <c r="BA278" s="647" t="str">
        <f t="shared" si="95"/>
        <v/>
      </c>
    </row>
    <row r="279" spans="2:53" s="7" customFormat="1" ht="28.5" hidden="1" customHeight="1" outlineLevel="1">
      <c r="B279" s="64"/>
      <c r="C279" s="649">
        <v>263</v>
      </c>
      <c r="D279" s="1855"/>
      <c r="E279" s="1856"/>
      <c r="F279" s="1856"/>
      <c r="G279" s="1856"/>
      <c r="H279" s="1856"/>
      <c r="I279" s="1856"/>
      <c r="J279" s="1856"/>
      <c r="K279" s="1857"/>
      <c r="L279" s="643" t="str">
        <f t="shared" si="107"/>
        <v/>
      </c>
      <c r="M279" s="664"/>
      <c r="N279" s="665"/>
      <c r="O279" s="267"/>
      <c r="P279" s="666"/>
      <c r="Q279" s="667"/>
      <c r="R279" s="667"/>
      <c r="S279" s="1035"/>
      <c r="T279" s="668"/>
      <c r="U279" s="668"/>
      <c r="V279" s="668"/>
      <c r="W279" s="668"/>
      <c r="X279" s="669"/>
      <c r="Y279" s="670"/>
      <c r="Z279" s="671"/>
      <c r="AA279" s="644"/>
      <c r="AB279" s="978"/>
      <c r="AC279" s="992"/>
      <c r="AD279" s="89"/>
      <c r="AE279" s="89"/>
      <c r="AF279" s="645" t="str">
        <f t="shared" si="112"/>
        <v/>
      </c>
      <c r="AG279" s="1037" t="str">
        <f t="shared" si="113"/>
        <v/>
      </c>
      <c r="AH279" s="1037" t="str">
        <f t="shared" si="114"/>
        <v/>
      </c>
      <c r="AI279" s="1037" t="str">
        <f>IF(AF279="","",VLOOKUP(AF279,リスト!BD:BE,2,0))</f>
        <v/>
      </c>
      <c r="AJ279" s="1037" t="str">
        <f t="shared" ref="AJ279:AJ288" si="117">IF(AH279=1,3,IF(P279="2：中古",MIN(AI279,Q279),IF(N279="[8]その他",MIN(AI279,Q279),AI279)))</f>
        <v/>
      </c>
      <c r="AK279" s="1037" t="str">
        <f>IF(AJ279="","",VLOOKUP(AJ279,リスト!BW:BX,2,0))</f>
        <v/>
      </c>
      <c r="AL279" s="1037" t="str">
        <f t="shared" si="108"/>
        <v/>
      </c>
      <c r="AM279" s="646" t="str">
        <f t="shared" ref="AM279:AM288" si="118">IF(OR(AF279="",AG279=1),"",
IF(AND(AJ279&gt;0,AL279&lt;AJ279,AN279&lt;=ROUND((T279-1)*AK279,0)),ROUND(AN279*IF(Y279="2：部分取り壊し",IFERROR(1-(AC279/O279),1),1),0),
IF(AND(AJ279&gt;0,AL279&lt;AJ279),ROUND((T279-1)*AK279*IF(Y279="2：部分取り壊し",IFERROR(1-(AC279/O279),1),1),0),
"")))</f>
        <v/>
      </c>
      <c r="AN279" s="646" t="str">
        <f t="shared" ref="AN279:AN288" si="119">IF(OR(AF279="",AG279=1),"",
IF(AND(AJ279&gt;0,AL279&lt;AJ279),T279-ROUND((T279-1)*AK279*AL279,0),1
))</f>
        <v/>
      </c>
      <c r="AO279" s="647" t="str">
        <f t="shared" ref="AO279:AO288" si="120">IF(OR(AF279="",AG279=1),"",
IF(Y279="",AM279,
IF(Y279="1：取り壊し",SUM(AN279,Z279),
IF(Y279="3：売　却",AN279-Z279,
IF(AND(Y279="2：部分取り壊し",AN279&gt;1),SUM(ROUND(AN279*(AC279/O279),0),Z279,AM279),
IF(AND(Z279="",AM279=""),"",SUM(Z279,AM279)))))))</f>
        <v/>
      </c>
      <c r="AP279" s="647" t="str">
        <f t="shared" ref="AP279:AP288" si="121">IF(AND(AO279="",AM279=""),"",
IF(OR(Y279="1：取り壊し",Y279="2：部分取り壊し",Y279="3：売　却"),SUM(AO279)-SUM(AM279),""))</f>
        <v/>
      </c>
      <c r="AQ279" s="647" t="str">
        <f t="shared" ref="AQ279:AQ288" si="122">IF(OR(AG279=1,U279=""),"",
IF(AND(AJ279&gt;0,U279&gt;0,AL279&lt;AJ279),U279-ROUND(U279*AK279*AL279,0),""
))</f>
        <v/>
      </c>
      <c r="AR279" s="647" t="str">
        <f t="shared" si="111"/>
        <v/>
      </c>
      <c r="AS279" s="647" t="str">
        <f t="shared" ref="AS279:AS288" si="123">IF(Y279="2：部分取り壊し",O279-AC279,"")</f>
        <v/>
      </c>
      <c r="AT279" s="647" t="str">
        <f t="shared" si="115"/>
        <v/>
      </c>
      <c r="AU279" s="647" t="str">
        <f t="shared" si="116"/>
        <v/>
      </c>
      <c r="AV279" s="647" t="str">
        <f t="shared" si="109"/>
        <v/>
      </c>
      <c r="AW279" s="647" t="str">
        <f t="shared" ref="AW279:AW288" si="124">IF(X279="","",IF(AO279="","",ROUND(AO279*X279%,0)))</f>
        <v/>
      </c>
      <c r="AX279" s="647" t="str">
        <f t="shared" ref="AX279:AX288" si="125">IF(X279="","",IF(AP279="","",ROUND(AP279*X279%,0)))</f>
        <v/>
      </c>
      <c r="AY279" s="647" t="str">
        <f t="shared" ref="AY279:AY288" si="126">IF(X279="","",IF(AN279="","",ROUND(AN279*X279%,0)))</f>
        <v/>
      </c>
      <c r="AZ279" s="647" t="str">
        <f t="shared" si="110"/>
        <v/>
      </c>
      <c r="BA279" s="647" t="str">
        <f t="shared" ref="BA279:BA288" si="127">IF(X279="","",IF(W279="","",ROUND(W279*X279%,0)))</f>
        <v/>
      </c>
    </row>
    <row r="280" spans="2:53" s="7" customFormat="1" ht="28.5" hidden="1" customHeight="1" outlineLevel="1">
      <c r="B280" s="64"/>
      <c r="C280" s="649">
        <v>264</v>
      </c>
      <c r="D280" s="1855"/>
      <c r="E280" s="1856"/>
      <c r="F280" s="1856"/>
      <c r="G280" s="1856"/>
      <c r="H280" s="1856"/>
      <c r="I280" s="1856"/>
      <c r="J280" s="1856"/>
      <c r="K280" s="1857"/>
      <c r="L280" s="643" t="str">
        <f t="shared" si="107"/>
        <v/>
      </c>
      <c r="M280" s="664"/>
      <c r="N280" s="665"/>
      <c r="O280" s="267"/>
      <c r="P280" s="666"/>
      <c r="Q280" s="667"/>
      <c r="R280" s="667"/>
      <c r="S280" s="1035"/>
      <c r="T280" s="668"/>
      <c r="U280" s="668"/>
      <c r="V280" s="668"/>
      <c r="W280" s="668"/>
      <c r="X280" s="669"/>
      <c r="Y280" s="670"/>
      <c r="Z280" s="671"/>
      <c r="AA280" s="644"/>
      <c r="AB280" s="978"/>
      <c r="AC280" s="992"/>
      <c r="AD280" s="89"/>
      <c r="AE280" s="89"/>
      <c r="AF280" s="645" t="str">
        <f t="shared" si="112"/>
        <v/>
      </c>
      <c r="AG280" s="1037" t="str">
        <f t="shared" si="113"/>
        <v/>
      </c>
      <c r="AH280" s="1037" t="str">
        <f t="shared" si="114"/>
        <v/>
      </c>
      <c r="AI280" s="1037" t="str">
        <f>IF(AF280="","",VLOOKUP(AF280,リスト!BD:BE,2,0))</f>
        <v/>
      </c>
      <c r="AJ280" s="1037" t="str">
        <f t="shared" si="117"/>
        <v/>
      </c>
      <c r="AK280" s="1037" t="str">
        <f>IF(AJ280="","",VLOOKUP(AJ280,リスト!BW:BX,2,0))</f>
        <v/>
      </c>
      <c r="AL280" s="1037" t="str">
        <f t="shared" si="108"/>
        <v/>
      </c>
      <c r="AM280" s="646" t="str">
        <f t="shared" si="118"/>
        <v/>
      </c>
      <c r="AN280" s="646" t="str">
        <f t="shared" si="119"/>
        <v/>
      </c>
      <c r="AO280" s="647" t="str">
        <f t="shared" si="120"/>
        <v/>
      </c>
      <c r="AP280" s="647" t="str">
        <f t="shared" si="121"/>
        <v/>
      </c>
      <c r="AQ280" s="647" t="str">
        <f t="shared" si="122"/>
        <v/>
      </c>
      <c r="AR280" s="647" t="str">
        <f t="shared" si="111"/>
        <v/>
      </c>
      <c r="AS280" s="647" t="str">
        <f t="shared" si="123"/>
        <v/>
      </c>
      <c r="AT280" s="647" t="str">
        <f t="shared" si="115"/>
        <v/>
      </c>
      <c r="AU280" s="647" t="str">
        <f t="shared" si="116"/>
        <v/>
      </c>
      <c r="AV280" s="647" t="str">
        <f t="shared" si="109"/>
        <v/>
      </c>
      <c r="AW280" s="647" t="str">
        <f t="shared" si="124"/>
        <v/>
      </c>
      <c r="AX280" s="647" t="str">
        <f t="shared" si="125"/>
        <v/>
      </c>
      <c r="AY280" s="647" t="str">
        <f t="shared" si="126"/>
        <v/>
      </c>
      <c r="AZ280" s="647" t="str">
        <f t="shared" si="110"/>
        <v/>
      </c>
      <c r="BA280" s="647" t="str">
        <f t="shared" si="127"/>
        <v/>
      </c>
    </row>
    <row r="281" spans="2:53" s="7" customFormat="1" ht="28.5" hidden="1" customHeight="1" outlineLevel="1">
      <c r="B281" s="64"/>
      <c r="C281" s="649">
        <v>265</v>
      </c>
      <c r="D281" s="1855"/>
      <c r="E281" s="1856"/>
      <c r="F281" s="1856"/>
      <c r="G281" s="1856"/>
      <c r="H281" s="1856"/>
      <c r="I281" s="1856"/>
      <c r="J281" s="1856"/>
      <c r="K281" s="1857"/>
      <c r="L281" s="643" t="str">
        <f t="shared" si="107"/>
        <v/>
      </c>
      <c r="M281" s="664"/>
      <c r="N281" s="665"/>
      <c r="O281" s="267"/>
      <c r="P281" s="666"/>
      <c r="Q281" s="667"/>
      <c r="R281" s="667"/>
      <c r="S281" s="1035"/>
      <c r="T281" s="668"/>
      <c r="U281" s="668"/>
      <c r="V281" s="668"/>
      <c r="W281" s="668"/>
      <c r="X281" s="669"/>
      <c r="Y281" s="670"/>
      <c r="Z281" s="671"/>
      <c r="AA281" s="644"/>
      <c r="AB281" s="978"/>
      <c r="AC281" s="992"/>
      <c r="AD281" s="89"/>
      <c r="AE281" s="89"/>
      <c r="AF281" s="645" t="str">
        <f t="shared" si="112"/>
        <v/>
      </c>
      <c r="AG281" s="1037" t="str">
        <f t="shared" si="113"/>
        <v/>
      </c>
      <c r="AH281" s="1037" t="str">
        <f t="shared" si="114"/>
        <v/>
      </c>
      <c r="AI281" s="1037" t="str">
        <f>IF(AF281="","",VLOOKUP(AF281,リスト!BD:BE,2,0))</f>
        <v/>
      </c>
      <c r="AJ281" s="1037" t="str">
        <f t="shared" si="117"/>
        <v/>
      </c>
      <c r="AK281" s="1037" t="str">
        <f>IF(AJ281="","",VLOOKUP(AJ281,リスト!BW:BX,2,0))</f>
        <v/>
      </c>
      <c r="AL281" s="1037" t="str">
        <f t="shared" si="108"/>
        <v/>
      </c>
      <c r="AM281" s="646" t="str">
        <f t="shared" si="118"/>
        <v/>
      </c>
      <c r="AN281" s="646" t="str">
        <f t="shared" si="119"/>
        <v/>
      </c>
      <c r="AO281" s="647" t="str">
        <f t="shared" si="120"/>
        <v/>
      </c>
      <c r="AP281" s="647" t="str">
        <f t="shared" si="121"/>
        <v/>
      </c>
      <c r="AQ281" s="647" t="str">
        <f t="shared" si="122"/>
        <v/>
      </c>
      <c r="AR281" s="647" t="str">
        <f t="shared" si="111"/>
        <v/>
      </c>
      <c r="AS281" s="647" t="str">
        <f t="shared" si="123"/>
        <v/>
      </c>
      <c r="AT281" s="647" t="str">
        <f t="shared" si="115"/>
        <v/>
      </c>
      <c r="AU281" s="647" t="str">
        <f t="shared" si="116"/>
        <v/>
      </c>
      <c r="AV281" s="647" t="str">
        <f t="shared" si="109"/>
        <v/>
      </c>
      <c r="AW281" s="647" t="str">
        <f t="shared" si="124"/>
        <v/>
      </c>
      <c r="AX281" s="647" t="str">
        <f t="shared" si="125"/>
        <v/>
      </c>
      <c r="AY281" s="647" t="str">
        <f t="shared" si="126"/>
        <v/>
      </c>
      <c r="AZ281" s="647" t="str">
        <f t="shared" si="110"/>
        <v/>
      </c>
      <c r="BA281" s="647" t="str">
        <f t="shared" si="127"/>
        <v/>
      </c>
    </row>
    <row r="282" spans="2:53" s="7" customFormat="1" ht="28.5" hidden="1" customHeight="1" outlineLevel="1">
      <c r="B282" s="64"/>
      <c r="C282" s="649">
        <v>266</v>
      </c>
      <c r="D282" s="1855"/>
      <c r="E282" s="1856"/>
      <c r="F282" s="1856"/>
      <c r="G282" s="1856"/>
      <c r="H282" s="1856"/>
      <c r="I282" s="1856"/>
      <c r="J282" s="1856"/>
      <c r="K282" s="1857"/>
      <c r="L282" s="643" t="str">
        <f t="shared" si="107"/>
        <v/>
      </c>
      <c r="M282" s="664"/>
      <c r="N282" s="665"/>
      <c r="O282" s="267"/>
      <c r="P282" s="666"/>
      <c r="Q282" s="667"/>
      <c r="R282" s="667"/>
      <c r="S282" s="1035"/>
      <c r="T282" s="668"/>
      <c r="U282" s="668"/>
      <c r="V282" s="668"/>
      <c r="W282" s="668"/>
      <c r="X282" s="669"/>
      <c r="Y282" s="670"/>
      <c r="Z282" s="671"/>
      <c r="AA282" s="644"/>
      <c r="AB282" s="978"/>
      <c r="AC282" s="992"/>
      <c r="AD282" s="89"/>
      <c r="AE282" s="89"/>
      <c r="AF282" s="645" t="str">
        <f t="shared" si="112"/>
        <v/>
      </c>
      <c r="AG282" s="1037" t="str">
        <f t="shared" si="113"/>
        <v/>
      </c>
      <c r="AH282" s="1037" t="str">
        <f t="shared" si="114"/>
        <v/>
      </c>
      <c r="AI282" s="1037" t="str">
        <f>IF(AF282="","",VLOOKUP(AF282,リスト!BD:BE,2,0))</f>
        <v/>
      </c>
      <c r="AJ282" s="1037" t="str">
        <f t="shared" si="117"/>
        <v/>
      </c>
      <c r="AK282" s="1037" t="str">
        <f>IF(AJ282="","",VLOOKUP(AJ282,リスト!BW:BX,2,0))</f>
        <v/>
      </c>
      <c r="AL282" s="1037" t="str">
        <f t="shared" si="108"/>
        <v/>
      </c>
      <c r="AM282" s="646" t="str">
        <f t="shared" si="118"/>
        <v/>
      </c>
      <c r="AN282" s="646" t="str">
        <f t="shared" si="119"/>
        <v/>
      </c>
      <c r="AO282" s="647" t="str">
        <f t="shared" si="120"/>
        <v/>
      </c>
      <c r="AP282" s="647" t="str">
        <f t="shared" si="121"/>
        <v/>
      </c>
      <c r="AQ282" s="647" t="str">
        <f t="shared" si="122"/>
        <v/>
      </c>
      <c r="AR282" s="647" t="str">
        <f t="shared" si="111"/>
        <v/>
      </c>
      <c r="AS282" s="647" t="str">
        <f t="shared" si="123"/>
        <v/>
      </c>
      <c r="AT282" s="647" t="str">
        <f t="shared" si="115"/>
        <v/>
      </c>
      <c r="AU282" s="647" t="str">
        <f t="shared" si="116"/>
        <v/>
      </c>
      <c r="AV282" s="647" t="str">
        <f t="shared" si="109"/>
        <v/>
      </c>
      <c r="AW282" s="647" t="str">
        <f t="shared" si="124"/>
        <v/>
      </c>
      <c r="AX282" s="647" t="str">
        <f t="shared" si="125"/>
        <v/>
      </c>
      <c r="AY282" s="647" t="str">
        <f t="shared" si="126"/>
        <v/>
      </c>
      <c r="AZ282" s="647" t="str">
        <f t="shared" si="110"/>
        <v/>
      </c>
      <c r="BA282" s="647" t="str">
        <f t="shared" si="127"/>
        <v/>
      </c>
    </row>
    <row r="283" spans="2:53" s="7" customFormat="1" ht="28.5" hidden="1" customHeight="1" outlineLevel="1">
      <c r="B283" s="64"/>
      <c r="C283" s="649">
        <v>267</v>
      </c>
      <c r="D283" s="1855"/>
      <c r="E283" s="1856"/>
      <c r="F283" s="1856"/>
      <c r="G283" s="1856"/>
      <c r="H283" s="1856"/>
      <c r="I283" s="1856"/>
      <c r="J283" s="1856"/>
      <c r="K283" s="1857"/>
      <c r="L283" s="643" t="str">
        <f t="shared" si="107"/>
        <v/>
      </c>
      <c r="M283" s="664"/>
      <c r="N283" s="665"/>
      <c r="O283" s="267"/>
      <c r="P283" s="666"/>
      <c r="Q283" s="667"/>
      <c r="R283" s="667"/>
      <c r="S283" s="1035"/>
      <c r="T283" s="668"/>
      <c r="U283" s="668"/>
      <c r="V283" s="668"/>
      <c r="W283" s="668"/>
      <c r="X283" s="669"/>
      <c r="Y283" s="670"/>
      <c r="Z283" s="671"/>
      <c r="AA283" s="644"/>
      <c r="AB283" s="978"/>
      <c r="AC283" s="992"/>
      <c r="AD283" s="89"/>
      <c r="AE283" s="89"/>
      <c r="AF283" s="645" t="str">
        <f t="shared" si="112"/>
        <v/>
      </c>
      <c r="AG283" s="1037" t="str">
        <f t="shared" si="113"/>
        <v/>
      </c>
      <c r="AH283" s="1037" t="str">
        <f t="shared" si="114"/>
        <v/>
      </c>
      <c r="AI283" s="1037" t="str">
        <f>IF(AF283="","",VLOOKUP(AF283,リスト!BD:BE,2,0))</f>
        <v/>
      </c>
      <c r="AJ283" s="1037" t="str">
        <f t="shared" si="117"/>
        <v/>
      </c>
      <c r="AK283" s="1037" t="str">
        <f>IF(AJ283="","",VLOOKUP(AJ283,リスト!BW:BX,2,0))</f>
        <v/>
      </c>
      <c r="AL283" s="1037" t="str">
        <f t="shared" si="108"/>
        <v/>
      </c>
      <c r="AM283" s="646" t="str">
        <f t="shared" si="118"/>
        <v/>
      </c>
      <c r="AN283" s="646" t="str">
        <f t="shared" si="119"/>
        <v/>
      </c>
      <c r="AO283" s="647" t="str">
        <f t="shared" si="120"/>
        <v/>
      </c>
      <c r="AP283" s="647" t="str">
        <f t="shared" si="121"/>
        <v/>
      </c>
      <c r="AQ283" s="647" t="str">
        <f t="shared" si="122"/>
        <v/>
      </c>
      <c r="AR283" s="647" t="str">
        <f t="shared" si="111"/>
        <v/>
      </c>
      <c r="AS283" s="647" t="str">
        <f t="shared" si="123"/>
        <v/>
      </c>
      <c r="AT283" s="647" t="str">
        <f t="shared" si="115"/>
        <v/>
      </c>
      <c r="AU283" s="647" t="str">
        <f t="shared" si="116"/>
        <v/>
      </c>
      <c r="AV283" s="647" t="str">
        <f t="shared" si="109"/>
        <v/>
      </c>
      <c r="AW283" s="647" t="str">
        <f t="shared" si="124"/>
        <v/>
      </c>
      <c r="AX283" s="647" t="str">
        <f t="shared" si="125"/>
        <v/>
      </c>
      <c r="AY283" s="647" t="str">
        <f t="shared" si="126"/>
        <v/>
      </c>
      <c r="AZ283" s="647" t="str">
        <f t="shared" si="110"/>
        <v/>
      </c>
      <c r="BA283" s="647" t="str">
        <f t="shared" si="127"/>
        <v/>
      </c>
    </row>
    <row r="284" spans="2:53" s="7" customFormat="1" ht="28.5" hidden="1" customHeight="1" outlineLevel="1">
      <c r="B284" s="64"/>
      <c r="C284" s="649">
        <v>268</v>
      </c>
      <c r="D284" s="1855"/>
      <c r="E284" s="1856"/>
      <c r="F284" s="1856"/>
      <c r="G284" s="1856"/>
      <c r="H284" s="1856"/>
      <c r="I284" s="1856"/>
      <c r="J284" s="1856"/>
      <c r="K284" s="1857"/>
      <c r="L284" s="643" t="str">
        <f t="shared" si="107"/>
        <v/>
      </c>
      <c r="M284" s="664"/>
      <c r="N284" s="665"/>
      <c r="O284" s="267"/>
      <c r="P284" s="666"/>
      <c r="Q284" s="667"/>
      <c r="R284" s="667"/>
      <c r="S284" s="1035"/>
      <c r="T284" s="668"/>
      <c r="U284" s="668"/>
      <c r="V284" s="668"/>
      <c r="W284" s="668"/>
      <c r="X284" s="669"/>
      <c r="Y284" s="670"/>
      <c r="Z284" s="671"/>
      <c r="AA284" s="644"/>
      <c r="AB284" s="978"/>
      <c r="AC284" s="992"/>
      <c r="AD284" s="89"/>
      <c r="AE284" s="89"/>
      <c r="AF284" s="645" t="str">
        <f t="shared" si="112"/>
        <v/>
      </c>
      <c r="AG284" s="1037" t="str">
        <f t="shared" si="113"/>
        <v/>
      </c>
      <c r="AH284" s="1037" t="str">
        <f t="shared" si="114"/>
        <v/>
      </c>
      <c r="AI284" s="1037" t="str">
        <f>IF(AF284="","",VLOOKUP(AF284,リスト!BD:BE,2,0))</f>
        <v/>
      </c>
      <c r="AJ284" s="1037" t="str">
        <f t="shared" si="117"/>
        <v/>
      </c>
      <c r="AK284" s="1037" t="str">
        <f>IF(AJ284="","",VLOOKUP(AJ284,リスト!BW:BX,2,0))</f>
        <v/>
      </c>
      <c r="AL284" s="1037" t="str">
        <f t="shared" si="108"/>
        <v/>
      </c>
      <c r="AM284" s="646" t="str">
        <f t="shared" si="118"/>
        <v/>
      </c>
      <c r="AN284" s="646" t="str">
        <f t="shared" si="119"/>
        <v/>
      </c>
      <c r="AO284" s="647" t="str">
        <f t="shared" si="120"/>
        <v/>
      </c>
      <c r="AP284" s="647" t="str">
        <f t="shared" si="121"/>
        <v/>
      </c>
      <c r="AQ284" s="647" t="str">
        <f t="shared" si="122"/>
        <v/>
      </c>
      <c r="AR284" s="647" t="str">
        <f t="shared" si="111"/>
        <v/>
      </c>
      <c r="AS284" s="647" t="str">
        <f t="shared" si="123"/>
        <v/>
      </c>
      <c r="AT284" s="647" t="str">
        <f t="shared" si="115"/>
        <v/>
      </c>
      <c r="AU284" s="647" t="str">
        <f t="shared" si="116"/>
        <v/>
      </c>
      <c r="AV284" s="647" t="str">
        <f t="shared" si="109"/>
        <v/>
      </c>
      <c r="AW284" s="647" t="str">
        <f t="shared" si="124"/>
        <v/>
      </c>
      <c r="AX284" s="647" t="str">
        <f t="shared" si="125"/>
        <v/>
      </c>
      <c r="AY284" s="647" t="str">
        <f t="shared" si="126"/>
        <v/>
      </c>
      <c r="AZ284" s="647" t="str">
        <f t="shared" si="110"/>
        <v/>
      </c>
      <c r="BA284" s="647" t="str">
        <f t="shared" si="127"/>
        <v/>
      </c>
    </row>
    <row r="285" spans="2:53" s="7" customFormat="1" ht="28.5" hidden="1" customHeight="1" outlineLevel="1">
      <c r="B285" s="64"/>
      <c r="C285" s="649">
        <v>269</v>
      </c>
      <c r="D285" s="1855"/>
      <c r="E285" s="1856"/>
      <c r="F285" s="1856"/>
      <c r="G285" s="1856"/>
      <c r="H285" s="1856"/>
      <c r="I285" s="1856"/>
      <c r="J285" s="1856"/>
      <c r="K285" s="1857"/>
      <c r="L285" s="643" t="str">
        <f t="shared" si="107"/>
        <v/>
      </c>
      <c r="M285" s="664"/>
      <c r="N285" s="665"/>
      <c r="O285" s="267"/>
      <c r="P285" s="666"/>
      <c r="Q285" s="667"/>
      <c r="R285" s="667"/>
      <c r="S285" s="1035"/>
      <c r="T285" s="668"/>
      <c r="U285" s="668"/>
      <c r="V285" s="668"/>
      <c r="W285" s="668"/>
      <c r="X285" s="669"/>
      <c r="Y285" s="670"/>
      <c r="Z285" s="671"/>
      <c r="AA285" s="644"/>
      <c r="AB285" s="978"/>
      <c r="AC285" s="992"/>
      <c r="AD285" s="89"/>
      <c r="AE285" s="89"/>
      <c r="AF285" s="645" t="str">
        <f t="shared" si="112"/>
        <v/>
      </c>
      <c r="AG285" s="1037" t="str">
        <f t="shared" si="113"/>
        <v/>
      </c>
      <c r="AH285" s="1037" t="str">
        <f t="shared" si="114"/>
        <v/>
      </c>
      <c r="AI285" s="1037" t="str">
        <f>IF(AF285="","",VLOOKUP(AF285,リスト!BD:BE,2,0))</f>
        <v/>
      </c>
      <c r="AJ285" s="1037" t="str">
        <f t="shared" si="117"/>
        <v/>
      </c>
      <c r="AK285" s="1037" t="str">
        <f>IF(AJ285="","",VLOOKUP(AJ285,リスト!BW:BX,2,0))</f>
        <v/>
      </c>
      <c r="AL285" s="1037" t="str">
        <f t="shared" si="108"/>
        <v/>
      </c>
      <c r="AM285" s="646" t="str">
        <f t="shared" si="118"/>
        <v/>
      </c>
      <c r="AN285" s="646" t="str">
        <f t="shared" si="119"/>
        <v/>
      </c>
      <c r="AO285" s="647" t="str">
        <f t="shared" si="120"/>
        <v/>
      </c>
      <c r="AP285" s="647" t="str">
        <f t="shared" si="121"/>
        <v/>
      </c>
      <c r="AQ285" s="647" t="str">
        <f t="shared" si="122"/>
        <v/>
      </c>
      <c r="AR285" s="647" t="str">
        <f t="shared" si="111"/>
        <v/>
      </c>
      <c r="AS285" s="647" t="str">
        <f t="shared" si="123"/>
        <v/>
      </c>
      <c r="AT285" s="647" t="str">
        <f t="shared" si="115"/>
        <v/>
      </c>
      <c r="AU285" s="647" t="str">
        <f t="shared" si="116"/>
        <v/>
      </c>
      <c r="AV285" s="647" t="str">
        <f t="shared" si="109"/>
        <v/>
      </c>
      <c r="AW285" s="647" t="str">
        <f t="shared" si="124"/>
        <v/>
      </c>
      <c r="AX285" s="647" t="str">
        <f t="shared" si="125"/>
        <v/>
      </c>
      <c r="AY285" s="647" t="str">
        <f t="shared" si="126"/>
        <v/>
      </c>
      <c r="AZ285" s="647" t="str">
        <f t="shared" si="110"/>
        <v/>
      </c>
      <c r="BA285" s="647" t="str">
        <f t="shared" si="127"/>
        <v/>
      </c>
    </row>
    <row r="286" spans="2:53" s="7" customFormat="1" ht="28.5" hidden="1" customHeight="1" outlineLevel="1">
      <c r="B286" s="64"/>
      <c r="C286" s="649">
        <v>270</v>
      </c>
      <c r="D286" s="1855"/>
      <c r="E286" s="1856"/>
      <c r="F286" s="1856"/>
      <c r="G286" s="1856"/>
      <c r="H286" s="1856"/>
      <c r="I286" s="1856"/>
      <c r="J286" s="1856"/>
      <c r="K286" s="1857"/>
      <c r="L286" s="643" t="str">
        <f t="shared" si="107"/>
        <v/>
      </c>
      <c r="M286" s="664"/>
      <c r="N286" s="665"/>
      <c r="O286" s="267"/>
      <c r="P286" s="666"/>
      <c r="Q286" s="667"/>
      <c r="R286" s="667"/>
      <c r="S286" s="1035"/>
      <c r="T286" s="668"/>
      <c r="U286" s="668"/>
      <c r="V286" s="668"/>
      <c r="W286" s="668"/>
      <c r="X286" s="669"/>
      <c r="Y286" s="670"/>
      <c r="Z286" s="671"/>
      <c r="AA286" s="644"/>
      <c r="AB286" s="978"/>
      <c r="AC286" s="992"/>
      <c r="AD286" s="89"/>
      <c r="AE286" s="89"/>
      <c r="AF286" s="645" t="str">
        <f t="shared" si="112"/>
        <v/>
      </c>
      <c r="AG286" s="1037" t="str">
        <f t="shared" si="113"/>
        <v/>
      </c>
      <c r="AH286" s="1037" t="str">
        <f t="shared" si="114"/>
        <v/>
      </c>
      <c r="AI286" s="1037" t="str">
        <f>IF(AF286="","",VLOOKUP(AF286,リスト!BD:BE,2,0))</f>
        <v/>
      </c>
      <c r="AJ286" s="1037" t="str">
        <f t="shared" si="117"/>
        <v/>
      </c>
      <c r="AK286" s="1037" t="str">
        <f>IF(AJ286="","",VLOOKUP(AJ286,リスト!BW:BX,2,0))</f>
        <v/>
      </c>
      <c r="AL286" s="1037" t="str">
        <f t="shared" si="108"/>
        <v/>
      </c>
      <c r="AM286" s="646" t="str">
        <f t="shared" si="118"/>
        <v/>
      </c>
      <c r="AN286" s="646" t="str">
        <f t="shared" si="119"/>
        <v/>
      </c>
      <c r="AO286" s="647" t="str">
        <f t="shared" si="120"/>
        <v/>
      </c>
      <c r="AP286" s="647" t="str">
        <f t="shared" si="121"/>
        <v/>
      </c>
      <c r="AQ286" s="647" t="str">
        <f t="shared" si="122"/>
        <v/>
      </c>
      <c r="AR286" s="647" t="str">
        <f t="shared" si="111"/>
        <v/>
      </c>
      <c r="AS286" s="647" t="str">
        <f t="shared" si="123"/>
        <v/>
      </c>
      <c r="AT286" s="647" t="str">
        <f t="shared" si="115"/>
        <v/>
      </c>
      <c r="AU286" s="647" t="str">
        <f t="shared" si="116"/>
        <v/>
      </c>
      <c r="AV286" s="647" t="str">
        <f t="shared" si="109"/>
        <v/>
      </c>
      <c r="AW286" s="647" t="str">
        <f t="shared" si="124"/>
        <v/>
      </c>
      <c r="AX286" s="647" t="str">
        <f t="shared" si="125"/>
        <v/>
      </c>
      <c r="AY286" s="647" t="str">
        <f t="shared" si="126"/>
        <v/>
      </c>
      <c r="AZ286" s="647" t="str">
        <f t="shared" si="110"/>
        <v/>
      </c>
      <c r="BA286" s="647" t="str">
        <f t="shared" si="127"/>
        <v/>
      </c>
    </row>
    <row r="287" spans="2:53" s="7" customFormat="1" ht="28.5" hidden="1" customHeight="1" outlineLevel="1">
      <c r="B287" s="64"/>
      <c r="C287" s="649">
        <v>271</v>
      </c>
      <c r="D287" s="1855"/>
      <c r="E287" s="1856"/>
      <c r="F287" s="1856"/>
      <c r="G287" s="1856"/>
      <c r="H287" s="1856"/>
      <c r="I287" s="1856"/>
      <c r="J287" s="1856"/>
      <c r="K287" s="1857"/>
      <c r="L287" s="643" t="str">
        <f t="shared" si="107"/>
        <v/>
      </c>
      <c r="M287" s="664"/>
      <c r="N287" s="665"/>
      <c r="O287" s="267"/>
      <c r="P287" s="666"/>
      <c r="Q287" s="667"/>
      <c r="R287" s="667"/>
      <c r="S287" s="1035"/>
      <c r="T287" s="668"/>
      <c r="U287" s="668"/>
      <c r="V287" s="668"/>
      <c r="W287" s="668"/>
      <c r="X287" s="669"/>
      <c r="Y287" s="670"/>
      <c r="Z287" s="671"/>
      <c r="AA287" s="644"/>
      <c r="AB287" s="978"/>
      <c r="AC287" s="992"/>
      <c r="AD287" s="89"/>
      <c r="AE287" s="89"/>
      <c r="AF287" s="645" t="str">
        <f t="shared" si="112"/>
        <v/>
      </c>
      <c r="AG287" s="1037" t="str">
        <f t="shared" si="113"/>
        <v/>
      </c>
      <c r="AH287" s="1037" t="str">
        <f t="shared" si="114"/>
        <v/>
      </c>
      <c r="AI287" s="1037" t="str">
        <f>IF(AF287="","",VLOOKUP(AF287,リスト!BD:BE,2,0))</f>
        <v/>
      </c>
      <c r="AJ287" s="1037" t="str">
        <f t="shared" si="117"/>
        <v/>
      </c>
      <c r="AK287" s="1037" t="str">
        <f>IF(AJ287="","",VLOOKUP(AJ287,リスト!BW:BX,2,0))</f>
        <v/>
      </c>
      <c r="AL287" s="1037" t="str">
        <f t="shared" si="108"/>
        <v/>
      </c>
      <c r="AM287" s="646" t="str">
        <f t="shared" si="118"/>
        <v/>
      </c>
      <c r="AN287" s="646" t="str">
        <f t="shared" si="119"/>
        <v/>
      </c>
      <c r="AO287" s="647" t="str">
        <f t="shared" si="120"/>
        <v/>
      </c>
      <c r="AP287" s="647" t="str">
        <f t="shared" si="121"/>
        <v/>
      </c>
      <c r="AQ287" s="647" t="str">
        <f t="shared" si="122"/>
        <v/>
      </c>
      <c r="AR287" s="647" t="str">
        <f t="shared" si="111"/>
        <v/>
      </c>
      <c r="AS287" s="647" t="str">
        <f t="shared" si="123"/>
        <v/>
      </c>
      <c r="AT287" s="647" t="str">
        <f t="shared" si="115"/>
        <v/>
      </c>
      <c r="AU287" s="647" t="str">
        <f t="shared" si="116"/>
        <v/>
      </c>
      <c r="AV287" s="647" t="str">
        <f t="shared" si="109"/>
        <v/>
      </c>
      <c r="AW287" s="647" t="str">
        <f t="shared" si="124"/>
        <v/>
      </c>
      <c r="AX287" s="647" t="str">
        <f t="shared" si="125"/>
        <v/>
      </c>
      <c r="AY287" s="647" t="str">
        <f t="shared" si="126"/>
        <v/>
      </c>
      <c r="AZ287" s="647" t="str">
        <f t="shared" si="110"/>
        <v/>
      </c>
      <c r="BA287" s="647" t="str">
        <f t="shared" si="127"/>
        <v/>
      </c>
    </row>
    <row r="288" spans="2:53" s="7" customFormat="1" ht="28.5" hidden="1" customHeight="1" outlineLevel="1">
      <c r="B288" s="64"/>
      <c r="C288" s="649">
        <v>272</v>
      </c>
      <c r="D288" s="1855"/>
      <c r="E288" s="1856"/>
      <c r="F288" s="1856"/>
      <c r="G288" s="1856"/>
      <c r="H288" s="1856"/>
      <c r="I288" s="1856"/>
      <c r="J288" s="1856"/>
      <c r="K288" s="1857"/>
      <c r="L288" s="643" t="str">
        <f t="shared" si="107"/>
        <v/>
      </c>
      <c r="M288" s="664"/>
      <c r="N288" s="665"/>
      <c r="O288" s="267"/>
      <c r="P288" s="666"/>
      <c r="Q288" s="667"/>
      <c r="R288" s="667"/>
      <c r="S288" s="1035"/>
      <c r="T288" s="668"/>
      <c r="U288" s="668"/>
      <c r="V288" s="668"/>
      <c r="W288" s="668"/>
      <c r="X288" s="669"/>
      <c r="Y288" s="670"/>
      <c r="Z288" s="671"/>
      <c r="AA288" s="644"/>
      <c r="AB288" s="978"/>
      <c r="AC288" s="992"/>
      <c r="AD288" s="89"/>
      <c r="AE288" s="89"/>
      <c r="AF288" s="645" t="str">
        <f t="shared" si="112"/>
        <v/>
      </c>
      <c r="AG288" s="1037" t="str">
        <f t="shared" si="113"/>
        <v/>
      </c>
      <c r="AH288" s="1037" t="str">
        <f t="shared" si="114"/>
        <v/>
      </c>
      <c r="AI288" s="1037" t="str">
        <f>IF(AF288="","",VLOOKUP(AF288,リスト!BD:BE,2,0))</f>
        <v/>
      </c>
      <c r="AJ288" s="1037" t="str">
        <f t="shared" si="117"/>
        <v/>
      </c>
      <c r="AK288" s="1037" t="str">
        <f>IF(AJ288="","",VLOOKUP(AJ288,リスト!BW:BX,2,0))</f>
        <v/>
      </c>
      <c r="AL288" s="1037" t="str">
        <f t="shared" si="108"/>
        <v/>
      </c>
      <c r="AM288" s="646" t="str">
        <f t="shared" si="118"/>
        <v/>
      </c>
      <c r="AN288" s="646" t="str">
        <f t="shared" si="119"/>
        <v/>
      </c>
      <c r="AO288" s="647" t="str">
        <f t="shared" si="120"/>
        <v/>
      </c>
      <c r="AP288" s="647" t="str">
        <f t="shared" si="121"/>
        <v/>
      </c>
      <c r="AQ288" s="647" t="str">
        <f t="shared" si="122"/>
        <v/>
      </c>
      <c r="AR288" s="647" t="str">
        <f t="shared" si="111"/>
        <v/>
      </c>
      <c r="AS288" s="647" t="str">
        <f t="shared" si="123"/>
        <v/>
      </c>
      <c r="AT288" s="647" t="str">
        <f t="shared" si="115"/>
        <v/>
      </c>
      <c r="AU288" s="647" t="str">
        <f t="shared" si="116"/>
        <v/>
      </c>
      <c r="AV288" s="647" t="str">
        <f t="shared" si="109"/>
        <v/>
      </c>
      <c r="AW288" s="647" t="str">
        <f t="shared" si="124"/>
        <v/>
      </c>
      <c r="AX288" s="647" t="str">
        <f t="shared" si="125"/>
        <v/>
      </c>
      <c r="AY288" s="647" t="str">
        <f t="shared" si="126"/>
        <v/>
      </c>
      <c r="AZ288" s="647" t="str">
        <f t="shared" si="110"/>
        <v/>
      </c>
      <c r="BA288" s="647" t="str">
        <f t="shared" si="127"/>
        <v/>
      </c>
    </row>
    <row r="289" spans="2:53" s="7" customFormat="1" ht="28.5" hidden="1" customHeight="1" outlineLevel="1">
      <c r="B289" s="64"/>
      <c r="C289" s="649">
        <v>273</v>
      </c>
      <c r="D289" s="1855"/>
      <c r="E289" s="1856"/>
      <c r="F289" s="1856"/>
      <c r="G289" s="1856"/>
      <c r="H289" s="1856"/>
      <c r="I289" s="1856"/>
      <c r="J289" s="1856"/>
      <c r="K289" s="1857"/>
      <c r="L289" s="643" t="str">
        <f t="shared" si="107"/>
        <v/>
      </c>
      <c r="M289" s="664"/>
      <c r="N289" s="665"/>
      <c r="O289" s="267"/>
      <c r="P289" s="666"/>
      <c r="Q289" s="667"/>
      <c r="R289" s="667"/>
      <c r="S289" s="1035"/>
      <c r="T289" s="668"/>
      <c r="U289" s="668"/>
      <c r="V289" s="668"/>
      <c r="W289" s="668"/>
      <c r="X289" s="669"/>
      <c r="Y289" s="670"/>
      <c r="Z289" s="671"/>
      <c r="AA289" s="644"/>
      <c r="AB289" s="978"/>
      <c r="AC289" s="992"/>
      <c r="AD289" s="89"/>
      <c r="AE289" s="89"/>
      <c r="AF289" s="645" t="str">
        <f t="shared" si="112"/>
        <v/>
      </c>
      <c r="AG289" s="1037" t="str">
        <f t="shared" si="113"/>
        <v/>
      </c>
      <c r="AH289" s="1037" t="str">
        <f t="shared" si="114"/>
        <v/>
      </c>
      <c r="AI289" s="1037" t="str">
        <f>IF(AF289="","",VLOOKUP(AF289,リスト!BD:BE,2,0))</f>
        <v/>
      </c>
      <c r="AJ289" s="1037" t="str">
        <f t="shared" si="85"/>
        <v/>
      </c>
      <c r="AK289" s="1037" t="str">
        <f>IF(AJ289="","",VLOOKUP(AJ289,リスト!BW:BX,2,0))</f>
        <v/>
      </c>
      <c r="AL289" s="1037" t="str">
        <f t="shared" si="108"/>
        <v/>
      </c>
      <c r="AM289" s="646" t="str">
        <f t="shared" si="86"/>
        <v/>
      </c>
      <c r="AN289" s="646" t="str">
        <f t="shared" si="87"/>
        <v/>
      </c>
      <c r="AO289" s="647" t="str">
        <f t="shared" si="88"/>
        <v/>
      </c>
      <c r="AP289" s="647" t="str">
        <f t="shared" si="89"/>
        <v/>
      </c>
      <c r="AQ289" s="647" t="str">
        <f t="shared" si="90"/>
        <v/>
      </c>
      <c r="AR289" s="647" t="str">
        <f t="shared" si="111"/>
        <v/>
      </c>
      <c r="AS289" s="647" t="str">
        <f t="shared" si="91"/>
        <v/>
      </c>
      <c r="AT289" s="647" t="str">
        <f t="shared" si="115"/>
        <v/>
      </c>
      <c r="AU289" s="647" t="str">
        <f t="shared" si="116"/>
        <v/>
      </c>
      <c r="AV289" s="647" t="str">
        <f t="shared" si="109"/>
        <v/>
      </c>
      <c r="AW289" s="647" t="str">
        <f t="shared" si="92"/>
        <v/>
      </c>
      <c r="AX289" s="647" t="str">
        <f t="shared" si="93"/>
        <v/>
      </c>
      <c r="AY289" s="647" t="str">
        <f t="shared" si="94"/>
        <v/>
      </c>
      <c r="AZ289" s="647" t="str">
        <f t="shared" si="110"/>
        <v/>
      </c>
      <c r="BA289" s="647" t="str">
        <f t="shared" si="95"/>
        <v/>
      </c>
    </row>
    <row r="290" spans="2:53" s="7" customFormat="1" ht="28.5" hidden="1" customHeight="1" outlineLevel="1">
      <c r="B290" s="64"/>
      <c r="C290" s="649">
        <v>274</v>
      </c>
      <c r="D290" s="1855"/>
      <c r="E290" s="1856"/>
      <c r="F290" s="1856"/>
      <c r="G290" s="1856"/>
      <c r="H290" s="1856"/>
      <c r="I290" s="1856"/>
      <c r="J290" s="1856"/>
      <c r="K290" s="1857"/>
      <c r="L290" s="643" t="str">
        <f t="shared" si="107"/>
        <v/>
      </c>
      <c r="M290" s="664"/>
      <c r="N290" s="665"/>
      <c r="O290" s="267"/>
      <c r="P290" s="666"/>
      <c r="Q290" s="667"/>
      <c r="R290" s="667"/>
      <c r="S290" s="1035"/>
      <c r="T290" s="668"/>
      <c r="U290" s="668"/>
      <c r="V290" s="668"/>
      <c r="W290" s="668"/>
      <c r="X290" s="669"/>
      <c r="Y290" s="670"/>
      <c r="Z290" s="671"/>
      <c r="AA290" s="644"/>
      <c r="AB290" s="978"/>
      <c r="AC290" s="992"/>
      <c r="AD290" s="89"/>
      <c r="AE290" s="89"/>
      <c r="AF290" s="645" t="str">
        <f t="shared" si="112"/>
        <v/>
      </c>
      <c r="AG290" s="1037" t="str">
        <f t="shared" si="113"/>
        <v/>
      </c>
      <c r="AH290" s="1037" t="str">
        <f t="shared" si="114"/>
        <v/>
      </c>
      <c r="AI290" s="1037" t="str">
        <f>IF(AF290="","",VLOOKUP(AF290,リスト!BD:BE,2,0))</f>
        <v/>
      </c>
      <c r="AJ290" s="1037" t="str">
        <f t="shared" si="85"/>
        <v/>
      </c>
      <c r="AK290" s="1037" t="str">
        <f>IF(AJ290="","",VLOOKUP(AJ290,リスト!BW:BX,2,0))</f>
        <v/>
      </c>
      <c r="AL290" s="1037" t="str">
        <f t="shared" si="108"/>
        <v/>
      </c>
      <c r="AM290" s="646" t="str">
        <f t="shared" si="86"/>
        <v/>
      </c>
      <c r="AN290" s="646" t="str">
        <f t="shared" si="87"/>
        <v/>
      </c>
      <c r="AO290" s="647" t="str">
        <f t="shared" si="88"/>
        <v/>
      </c>
      <c r="AP290" s="647" t="str">
        <f t="shared" si="89"/>
        <v/>
      </c>
      <c r="AQ290" s="647" t="str">
        <f t="shared" si="90"/>
        <v/>
      </c>
      <c r="AR290" s="647" t="str">
        <f t="shared" si="111"/>
        <v/>
      </c>
      <c r="AS290" s="647" t="str">
        <f t="shared" si="91"/>
        <v/>
      </c>
      <c r="AT290" s="647" t="str">
        <f t="shared" si="115"/>
        <v/>
      </c>
      <c r="AU290" s="647" t="str">
        <f t="shared" si="116"/>
        <v/>
      </c>
      <c r="AV290" s="647" t="str">
        <f t="shared" si="109"/>
        <v/>
      </c>
      <c r="AW290" s="647" t="str">
        <f t="shared" si="92"/>
        <v/>
      </c>
      <c r="AX290" s="647" t="str">
        <f t="shared" si="93"/>
        <v/>
      </c>
      <c r="AY290" s="647" t="str">
        <f t="shared" si="94"/>
        <v/>
      </c>
      <c r="AZ290" s="647" t="str">
        <f t="shared" si="110"/>
        <v/>
      </c>
      <c r="BA290" s="647" t="str">
        <f t="shared" si="95"/>
        <v/>
      </c>
    </row>
    <row r="291" spans="2:53" s="7" customFormat="1" ht="28.5" hidden="1" customHeight="1" outlineLevel="1">
      <c r="B291" s="64"/>
      <c r="C291" s="649">
        <v>275</v>
      </c>
      <c r="D291" s="1855"/>
      <c r="E291" s="1856"/>
      <c r="F291" s="1856"/>
      <c r="G291" s="1856"/>
      <c r="H291" s="1856"/>
      <c r="I291" s="1856"/>
      <c r="J291" s="1856"/>
      <c r="K291" s="1857"/>
      <c r="L291" s="643" t="str">
        <f t="shared" si="107"/>
        <v/>
      </c>
      <c r="M291" s="664"/>
      <c r="N291" s="665"/>
      <c r="O291" s="267"/>
      <c r="P291" s="666"/>
      <c r="Q291" s="667"/>
      <c r="R291" s="667"/>
      <c r="S291" s="1035"/>
      <c r="T291" s="668"/>
      <c r="U291" s="668"/>
      <c r="V291" s="668"/>
      <c r="W291" s="668"/>
      <c r="X291" s="669"/>
      <c r="Y291" s="670"/>
      <c r="Z291" s="671"/>
      <c r="AA291" s="644"/>
      <c r="AB291" s="978"/>
      <c r="AC291" s="992"/>
      <c r="AD291" s="89"/>
      <c r="AE291" s="89"/>
      <c r="AF291" s="645" t="str">
        <f t="shared" si="112"/>
        <v/>
      </c>
      <c r="AG291" s="1037" t="str">
        <f t="shared" si="113"/>
        <v/>
      </c>
      <c r="AH291" s="1037" t="str">
        <f t="shared" si="114"/>
        <v/>
      </c>
      <c r="AI291" s="1037" t="str">
        <f>IF(AF291="","",VLOOKUP(AF291,リスト!BD:BE,2,0))</f>
        <v/>
      </c>
      <c r="AJ291" s="1037" t="str">
        <f t="shared" si="85"/>
        <v/>
      </c>
      <c r="AK291" s="1037" t="str">
        <f>IF(AJ291="","",VLOOKUP(AJ291,リスト!BW:BX,2,0))</f>
        <v/>
      </c>
      <c r="AL291" s="1037" t="str">
        <f t="shared" si="108"/>
        <v/>
      </c>
      <c r="AM291" s="646" t="str">
        <f t="shared" si="86"/>
        <v/>
      </c>
      <c r="AN291" s="646" t="str">
        <f t="shared" si="87"/>
        <v/>
      </c>
      <c r="AO291" s="647" t="str">
        <f t="shared" si="88"/>
        <v/>
      </c>
      <c r="AP291" s="647" t="str">
        <f t="shared" si="89"/>
        <v/>
      </c>
      <c r="AQ291" s="647" t="str">
        <f t="shared" si="90"/>
        <v/>
      </c>
      <c r="AR291" s="647" t="str">
        <f t="shared" si="111"/>
        <v/>
      </c>
      <c r="AS291" s="647" t="str">
        <f t="shared" si="91"/>
        <v/>
      </c>
      <c r="AT291" s="647" t="str">
        <f t="shared" si="115"/>
        <v/>
      </c>
      <c r="AU291" s="647" t="str">
        <f t="shared" si="116"/>
        <v/>
      </c>
      <c r="AV291" s="647" t="str">
        <f t="shared" si="109"/>
        <v/>
      </c>
      <c r="AW291" s="647" t="str">
        <f t="shared" si="92"/>
        <v/>
      </c>
      <c r="AX291" s="647" t="str">
        <f t="shared" si="93"/>
        <v/>
      </c>
      <c r="AY291" s="647" t="str">
        <f t="shared" si="94"/>
        <v/>
      </c>
      <c r="AZ291" s="647" t="str">
        <f t="shared" si="110"/>
        <v/>
      </c>
      <c r="BA291" s="647" t="str">
        <f t="shared" si="95"/>
        <v/>
      </c>
    </row>
    <row r="292" spans="2:53" s="7" customFormat="1" ht="28.5" hidden="1" customHeight="1" outlineLevel="1">
      <c r="B292" s="64"/>
      <c r="C292" s="649">
        <v>276</v>
      </c>
      <c r="D292" s="1855"/>
      <c r="E292" s="1856"/>
      <c r="F292" s="1856"/>
      <c r="G292" s="1856"/>
      <c r="H292" s="1856"/>
      <c r="I292" s="1856"/>
      <c r="J292" s="1856"/>
      <c r="K292" s="1857"/>
      <c r="L292" s="643" t="str">
        <f t="shared" si="107"/>
        <v/>
      </c>
      <c r="M292" s="664"/>
      <c r="N292" s="665"/>
      <c r="O292" s="267"/>
      <c r="P292" s="666"/>
      <c r="Q292" s="667"/>
      <c r="R292" s="667"/>
      <c r="S292" s="1035"/>
      <c r="T292" s="668"/>
      <c r="U292" s="668"/>
      <c r="V292" s="668"/>
      <c r="W292" s="668"/>
      <c r="X292" s="669"/>
      <c r="Y292" s="670"/>
      <c r="Z292" s="671"/>
      <c r="AA292" s="644"/>
      <c r="AB292" s="978"/>
      <c r="AC292" s="992"/>
      <c r="AD292" s="89"/>
      <c r="AE292" s="89"/>
      <c r="AF292" s="645" t="str">
        <f t="shared" si="112"/>
        <v/>
      </c>
      <c r="AG292" s="1037" t="str">
        <f t="shared" si="113"/>
        <v/>
      </c>
      <c r="AH292" s="1037" t="str">
        <f t="shared" si="114"/>
        <v/>
      </c>
      <c r="AI292" s="1037" t="str">
        <f>IF(AF292="","",VLOOKUP(AF292,リスト!BD:BE,2,0))</f>
        <v/>
      </c>
      <c r="AJ292" s="1037" t="str">
        <f t="shared" si="85"/>
        <v/>
      </c>
      <c r="AK292" s="1037" t="str">
        <f>IF(AJ292="","",VLOOKUP(AJ292,リスト!BW:BX,2,0))</f>
        <v/>
      </c>
      <c r="AL292" s="1037" t="str">
        <f t="shared" si="108"/>
        <v/>
      </c>
      <c r="AM292" s="646" t="str">
        <f t="shared" si="86"/>
        <v/>
      </c>
      <c r="AN292" s="646" t="str">
        <f t="shared" si="87"/>
        <v/>
      </c>
      <c r="AO292" s="647" t="str">
        <f t="shared" si="88"/>
        <v/>
      </c>
      <c r="AP292" s="647" t="str">
        <f t="shared" si="89"/>
        <v/>
      </c>
      <c r="AQ292" s="647" t="str">
        <f t="shared" si="90"/>
        <v/>
      </c>
      <c r="AR292" s="647" t="str">
        <f t="shared" si="111"/>
        <v/>
      </c>
      <c r="AS292" s="647" t="str">
        <f t="shared" si="91"/>
        <v/>
      </c>
      <c r="AT292" s="647" t="str">
        <f t="shared" si="115"/>
        <v/>
      </c>
      <c r="AU292" s="647" t="str">
        <f t="shared" si="116"/>
        <v/>
      </c>
      <c r="AV292" s="647" t="str">
        <f t="shared" si="109"/>
        <v/>
      </c>
      <c r="AW292" s="647" t="str">
        <f t="shared" si="92"/>
        <v/>
      </c>
      <c r="AX292" s="647" t="str">
        <f t="shared" si="93"/>
        <v/>
      </c>
      <c r="AY292" s="647" t="str">
        <f t="shared" si="94"/>
        <v/>
      </c>
      <c r="AZ292" s="647" t="str">
        <f t="shared" si="110"/>
        <v/>
      </c>
      <c r="BA292" s="647" t="str">
        <f t="shared" si="95"/>
        <v/>
      </c>
    </row>
    <row r="293" spans="2:53" s="7" customFormat="1" ht="28.5" hidden="1" customHeight="1" outlineLevel="1">
      <c r="B293" s="64"/>
      <c r="C293" s="649">
        <v>277</v>
      </c>
      <c r="D293" s="1855"/>
      <c r="E293" s="1856"/>
      <c r="F293" s="1856"/>
      <c r="G293" s="1856"/>
      <c r="H293" s="1856"/>
      <c r="I293" s="1856"/>
      <c r="J293" s="1856"/>
      <c r="K293" s="1857"/>
      <c r="L293" s="643" t="str">
        <f t="shared" si="107"/>
        <v/>
      </c>
      <c r="M293" s="664"/>
      <c r="N293" s="665"/>
      <c r="O293" s="267"/>
      <c r="P293" s="666"/>
      <c r="Q293" s="667"/>
      <c r="R293" s="667"/>
      <c r="S293" s="1035"/>
      <c r="T293" s="668"/>
      <c r="U293" s="668"/>
      <c r="V293" s="668"/>
      <c r="W293" s="668"/>
      <c r="X293" s="669"/>
      <c r="Y293" s="670"/>
      <c r="Z293" s="671"/>
      <c r="AA293" s="644"/>
      <c r="AB293" s="978"/>
      <c r="AC293" s="992"/>
      <c r="AD293" s="89"/>
      <c r="AE293" s="89"/>
      <c r="AF293" s="645" t="str">
        <f t="shared" si="112"/>
        <v/>
      </c>
      <c r="AG293" s="1037" t="str">
        <f t="shared" si="113"/>
        <v/>
      </c>
      <c r="AH293" s="1037" t="str">
        <f t="shared" si="114"/>
        <v/>
      </c>
      <c r="AI293" s="1037" t="str">
        <f>IF(AF293="","",VLOOKUP(AF293,リスト!BD:BE,2,0))</f>
        <v/>
      </c>
      <c r="AJ293" s="1037" t="str">
        <f t="shared" si="85"/>
        <v/>
      </c>
      <c r="AK293" s="1037" t="str">
        <f>IF(AJ293="","",VLOOKUP(AJ293,リスト!BW:BX,2,0))</f>
        <v/>
      </c>
      <c r="AL293" s="1037" t="str">
        <f t="shared" si="108"/>
        <v/>
      </c>
      <c r="AM293" s="646" t="str">
        <f t="shared" si="86"/>
        <v/>
      </c>
      <c r="AN293" s="646" t="str">
        <f t="shared" si="87"/>
        <v/>
      </c>
      <c r="AO293" s="647" t="str">
        <f t="shared" si="88"/>
        <v/>
      </c>
      <c r="AP293" s="647" t="str">
        <f t="shared" si="89"/>
        <v/>
      </c>
      <c r="AQ293" s="647" t="str">
        <f t="shared" si="90"/>
        <v/>
      </c>
      <c r="AR293" s="647" t="str">
        <f t="shared" si="111"/>
        <v/>
      </c>
      <c r="AS293" s="647" t="str">
        <f t="shared" si="91"/>
        <v/>
      </c>
      <c r="AT293" s="647" t="str">
        <f t="shared" si="115"/>
        <v/>
      </c>
      <c r="AU293" s="647" t="str">
        <f t="shared" si="116"/>
        <v/>
      </c>
      <c r="AV293" s="647" t="str">
        <f t="shared" si="109"/>
        <v/>
      </c>
      <c r="AW293" s="647" t="str">
        <f t="shared" si="92"/>
        <v/>
      </c>
      <c r="AX293" s="647" t="str">
        <f t="shared" si="93"/>
        <v/>
      </c>
      <c r="AY293" s="647" t="str">
        <f t="shared" si="94"/>
        <v/>
      </c>
      <c r="AZ293" s="647" t="str">
        <f t="shared" si="110"/>
        <v/>
      </c>
      <c r="BA293" s="647" t="str">
        <f t="shared" si="95"/>
        <v/>
      </c>
    </row>
    <row r="294" spans="2:53" s="7" customFormat="1" ht="28.5" hidden="1" customHeight="1" outlineLevel="1">
      <c r="B294" s="64"/>
      <c r="C294" s="649">
        <v>278</v>
      </c>
      <c r="D294" s="1855"/>
      <c r="E294" s="1856"/>
      <c r="F294" s="1856"/>
      <c r="G294" s="1856"/>
      <c r="H294" s="1856"/>
      <c r="I294" s="1856"/>
      <c r="J294" s="1856"/>
      <c r="K294" s="1857"/>
      <c r="L294" s="643" t="str">
        <f t="shared" si="107"/>
        <v/>
      </c>
      <c r="M294" s="664"/>
      <c r="N294" s="665"/>
      <c r="O294" s="267"/>
      <c r="P294" s="666"/>
      <c r="Q294" s="667"/>
      <c r="R294" s="667"/>
      <c r="S294" s="1035"/>
      <c r="T294" s="668"/>
      <c r="U294" s="668"/>
      <c r="V294" s="668"/>
      <c r="W294" s="668"/>
      <c r="X294" s="669"/>
      <c r="Y294" s="670"/>
      <c r="Z294" s="671"/>
      <c r="AA294" s="644"/>
      <c r="AB294" s="978"/>
      <c r="AC294" s="992"/>
      <c r="AD294" s="89"/>
      <c r="AE294" s="89"/>
      <c r="AF294" s="645" t="str">
        <f t="shared" si="112"/>
        <v/>
      </c>
      <c r="AG294" s="1037" t="str">
        <f t="shared" si="113"/>
        <v/>
      </c>
      <c r="AH294" s="1037" t="str">
        <f t="shared" si="114"/>
        <v/>
      </c>
      <c r="AI294" s="1037" t="str">
        <f>IF(AF294="","",VLOOKUP(AF294,リスト!BD:BE,2,0))</f>
        <v/>
      </c>
      <c r="AJ294" s="1037" t="str">
        <f t="shared" si="85"/>
        <v/>
      </c>
      <c r="AK294" s="1037" t="str">
        <f>IF(AJ294="","",VLOOKUP(AJ294,リスト!BW:BX,2,0))</f>
        <v/>
      </c>
      <c r="AL294" s="1037" t="str">
        <f t="shared" si="108"/>
        <v/>
      </c>
      <c r="AM294" s="646" t="str">
        <f t="shared" si="86"/>
        <v/>
      </c>
      <c r="AN294" s="646" t="str">
        <f t="shared" si="87"/>
        <v/>
      </c>
      <c r="AO294" s="647" t="str">
        <f t="shared" si="88"/>
        <v/>
      </c>
      <c r="AP294" s="647" t="str">
        <f t="shared" si="89"/>
        <v/>
      </c>
      <c r="AQ294" s="647" t="str">
        <f t="shared" si="90"/>
        <v/>
      </c>
      <c r="AR294" s="647" t="str">
        <f t="shared" si="111"/>
        <v/>
      </c>
      <c r="AS294" s="647" t="str">
        <f t="shared" si="91"/>
        <v/>
      </c>
      <c r="AT294" s="647" t="str">
        <f t="shared" si="115"/>
        <v/>
      </c>
      <c r="AU294" s="647" t="str">
        <f t="shared" si="116"/>
        <v/>
      </c>
      <c r="AV294" s="647" t="str">
        <f t="shared" si="109"/>
        <v/>
      </c>
      <c r="AW294" s="647" t="str">
        <f t="shared" si="92"/>
        <v/>
      </c>
      <c r="AX294" s="647" t="str">
        <f t="shared" si="93"/>
        <v/>
      </c>
      <c r="AY294" s="647" t="str">
        <f t="shared" si="94"/>
        <v/>
      </c>
      <c r="AZ294" s="647" t="str">
        <f t="shared" si="110"/>
        <v/>
      </c>
      <c r="BA294" s="647" t="str">
        <f t="shared" si="95"/>
        <v/>
      </c>
    </row>
    <row r="295" spans="2:53" s="7" customFormat="1" ht="28.5" hidden="1" customHeight="1" outlineLevel="1">
      <c r="B295" s="64"/>
      <c r="C295" s="649">
        <v>279</v>
      </c>
      <c r="D295" s="1855"/>
      <c r="E295" s="1856"/>
      <c r="F295" s="1856"/>
      <c r="G295" s="1856"/>
      <c r="H295" s="1856"/>
      <c r="I295" s="1856"/>
      <c r="J295" s="1856"/>
      <c r="K295" s="1857"/>
      <c r="L295" s="643" t="str">
        <f t="shared" si="107"/>
        <v/>
      </c>
      <c r="M295" s="664"/>
      <c r="N295" s="665"/>
      <c r="O295" s="267"/>
      <c r="P295" s="666"/>
      <c r="Q295" s="667"/>
      <c r="R295" s="667"/>
      <c r="S295" s="1035"/>
      <c r="T295" s="668"/>
      <c r="U295" s="668"/>
      <c r="V295" s="668"/>
      <c r="W295" s="668"/>
      <c r="X295" s="669"/>
      <c r="Y295" s="670"/>
      <c r="Z295" s="671"/>
      <c r="AA295" s="644"/>
      <c r="AB295" s="978"/>
      <c r="AC295" s="992"/>
      <c r="AD295" s="89"/>
      <c r="AE295" s="89"/>
      <c r="AF295" s="645" t="str">
        <f t="shared" si="112"/>
        <v/>
      </c>
      <c r="AG295" s="1037" t="str">
        <f t="shared" si="113"/>
        <v/>
      </c>
      <c r="AH295" s="1037" t="str">
        <f t="shared" si="114"/>
        <v/>
      </c>
      <c r="AI295" s="1037" t="str">
        <f>IF(AF295="","",VLOOKUP(AF295,リスト!BD:BE,2,0))</f>
        <v/>
      </c>
      <c r="AJ295" s="1037" t="str">
        <f t="shared" si="85"/>
        <v/>
      </c>
      <c r="AK295" s="1037" t="str">
        <f>IF(AJ295="","",VLOOKUP(AJ295,リスト!BW:BX,2,0))</f>
        <v/>
      </c>
      <c r="AL295" s="1037" t="str">
        <f t="shared" si="108"/>
        <v/>
      </c>
      <c r="AM295" s="646" t="str">
        <f t="shared" si="86"/>
        <v/>
      </c>
      <c r="AN295" s="646" t="str">
        <f t="shared" si="87"/>
        <v/>
      </c>
      <c r="AO295" s="647" t="str">
        <f t="shared" si="88"/>
        <v/>
      </c>
      <c r="AP295" s="647" t="str">
        <f t="shared" si="89"/>
        <v/>
      </c>
      <c r="AQ295" s="647" t="str">
        <f t="shared" si="90"/>
        <v/>
      </c>
      <c r="AR295" s="647" t="str">
        <f t="shared" si="111"/>
        <v/>
      </c>
      <c r="AS295" s="647" t="str">
        <f t="shared" si="91"/>
        <v/>
      </c>
      <c r="AT295" s="647" t="str">
        <f t="shared" si="115"/>
        <v/>
      </c>
      <c r="AU295" s="647" t="str">
        <f t="shared" si="116"/>
        <v/>
      </c>
      <c r="AV295" s="647" t="str">
        <f t="shared" si="109"/>
        <v/>
      </c>
      <c r="AW295" s="647" t="str">
        <f t="shared" si="92"/>
        <v/>
      </c>
      <c r="AX295" s="647" t="str">
        <f t="shared" si="93"/>
        <v/>
      </c>
      <c r="AY295" s="647" t="str">
        <f t="shared" si="94"/>
        <v/>
      </c>
      <c r="AZ295" s="647" t="str">
        <f t="shared" si="110"/>
        <v/>
      </c>
      <c r="BA295" s="647" t="str">
        <f t="shared" si="95"/>
        <v/>
      </c>
    </row>
    <row r="296" spans="2:53" s="7" customFormat="1" ht="28.5" hidden="1" customHeight="1" outlineLevel="1">
      <c r="B296" s="64"/>
      <c r="C296" s="649">
        <v>280</v>
      </c>
      <c r="D296" s="1855"/>
      <c r="E296" s="1856"/>
      <c r="F296" s="1856"/>
      <c r="G296" s="1856"/>
      <c r="H296" s="1856"/>
      <c r="I296" s="1856"/>
      <c r="J296" s="1856"/>
      <c r="K296" s="1857"/>
      <c r="L296" s="643" t="str">
        <f t="shared" si="107"/>
        <v/>
      </c>
      <c r="M296" s="664"/>
      <c r="N296" s="665"/>
      <c r="O296" s="267"/>
      <c r="P296" s="666"/>
      <c r="Q296" s="667"/>
      <c r="R296" s="667"/>
      <c r="S296" s="1035"/>
      <c r="T296" s="668"/>
      <c r="U296" s="668"/>
      <c r="V296" s="668"/>
      <c r="W296" s="668"/>
      <c r="X296" s="669"/>
      <c r="Y296" s="670"/>
      <c r="Z296" s="671"/>
      <c r="AA296" s="644"/>
      <c r="AB296" s="978"/>
      <c r="AC296" s="992"/>
      <c r="AD296" s="89"/>
      <c r="AE296" s="89"/>
      <c r="AF296" s="645" t="str">
        <f t="shared" si="112"/>
        <v/>
      </c>
      <c r="AG296" s="1037" t="str">
        <f t="shared" si="113"/>
        <v/>
      </c>
      <c r="AH296" s="1037" t="str">
        <f t="shared" si="114"/>
        <v/>
      </c>
      <c r="AI296" s="1037" t="str">
        <f>IF(AF296="","",VLOOKUP(AF296,リスト!BD:BE,2,0))</f>
        <v/>
      </c>
      <c r="AJ296" s="1037" t="str">
        <f t="shared" si="85"/>
        <v/>
      </c>
      <c r="AK296" s="1037" t="str">
        <f>IF(AJ296="","",VLOOKUP(AJ296,リスト!BW:BX,2,0))</f>
        <v/>
      </c>
      <c r="AL296" s="1037" t="str">
        <f t="shared" si="108"/>
        <v/>
      </c>
      <c r="AM296" s="646" t="str">
        <f t="shared" si="86"/>
        <v/>
      </c>
      <c r="AN296" s="646" t="str">
        <f t="shared" si="87"/>
        <v/>
      </c>
      <c r="AO296" s="647" t="str">
        <f t="shared" si="88"/>
        <v/>
      </c>
      <c r="AP296" s="647" t="str">
        <f t="shared" si="89"/>
        <v/>
      </c>
      <c r="AQ296" s="647" t="str">
        <f t="shared" si="90"/>
        <v/>
      </c>
      <c r="AR296" s="647" t="str">
        <f t="shared" si="111"/>
        <v/>
      </c>
      <c r="AS296" s="647" t="str">
        <f t="shared" si="91"/>
        <v/>
      </c>
      <c r="AT296" s="647" t="str">
        <f t="shared" si="115"/>
        <v/>
      </c>
      <c r="AU296" s="647" t="str">
        <f t="shared" si="116"/>
        <v/>
      </c>
      <c r="AV296" s="647" t="str">
        <f t="shared" si="109"/>
        <v/>
      </c>
      <c r="AW296" s="647" t="str">
        <f t="shared" si="92"/>
        <v/>
      </c>
      <c r="AX296" s="647" t="str">
        <f t="shared" si="93"/>
        <v/>
      </c>
      <c r="AY296" s="647" t="str">
        <f t="shared" si="94"/>
        <v/>
      </c>
      <c r="AZ296" s="647" t="str">
        <f t="shared" si="110"/>
        <v/>
      </c>
      <c r="BA296" s="647" t="str">
        <f t="shared" si="95"/>
        <v/>
      </c>
    </row>
    <row r="297" spans="2:53" s="7" customFormat="1" ht="28.5" hidden="1" customHeight="1" outlineLevel="1">
      <c r="B297" s="64"/>
      <c r="C297" s="649">
        <v>281</v>
      </c>
      <c r="D297" s="1855"/>
      <c r="E297" s="1856"/>
      <c r="F297" s="1856"/>
      <c r="G297" s="1856"/>
      <c r="H297" s="1856"/>
      <c r="I297" s="1856"/>
      <c r="J297" s="1856"/>
      <c r="K297" s="1857"/>
      <c r="L297" s="643" t="str">
        <f t="shared" si="107"/>
        <v/>
      </c>
      <c r="M297" s="664"/>
      <c r="N297" s="665"/>
      <c r="O297" s="267"/>
      <c r="P297" s="666"/>
      <c r="Q297" s="667"/>
      <c r="R297" s="667"/>
      <c r="S297" s="1035"/>
      <c r="T297" s="668"/>
      <c r="U297" s="668"/>
      <c r="V297" s="668"/>
      <c r="W297" s="668"/>
      <c r="X297" s="669"/>
      <c r="Y297" s="670"/>
      <c r="Z297" s="671"/>
      <c r="AA297" s="644"/>
      <c r="AB297" s="978"/>
      <c r="AC297" s="992"/>
      <c r="AD297" s="89"/>
      <c r="AE297" s="89"/>
      <c r="AF297" s="645" t="str">
        <f t="shared" si="112"/>
        <v/>
      </c>
      <c r="AG297" s="1037" t="str">
        <f t="shared" si="113"/>
        <v/>
      </c>
      <c r="AH297" s="1037" t="str">
        <f t="shared" si="114"/>
        <v/>
      </c>
      <c r="AI297" s="1037" t="str">
        <f>IF(AF297="","",VLOOKUP(AF297,リスト!BD:BE,2,0))</f>
        <v/>
      </c>
      <c r="AJ297" s="1037" t="str">
        <f t="shared" si="2"/>
        <v/>
      </c>
      <c r="AK297" s="1037" t="str">
        <f>IF(AJ297="","",VLOOKUP(AJ297,リスト!BW:BX,2,0))</f>
        <v/>
      </c>
      <c r="AL297" s="1037" t="str">
        <f t="shared" si="108"/>
        <v/>
      </c>
      <c r="AM297" s="646" t="str">
        <f t="shared" si="4"/>
        <v/>
      </c>
      <c r="AN297" s="646" t="str">
        <f t="shared" si="5"/>
        <v/>
      </c>
      <c r="AO297" s="647" t="str">
        <f t="shared" si="6"/>
        <v/>
      </c>
      <c r="AP297" s="647" t="str">
        <f t="shared" si="7"/>
        <v/>
      </c>
      <c r="AQ297" s="647" t="str">
        <f t="shared" si="8"/>
        <v/>
      </c>
      <c r="AR297" s="647" t="str">
        <f t="shared" si="111"/>
        <v/>
      </c>
      <c r="AS297" s="647" t="str">
        <f t="shared" si="9"/>
        <v/>
      </c>
      <c r="AT297" s="647" t="str">
        <f t="shared" si="115"/>
        <v/>
      </c>
      <c r="AU297" s="647" t="str">
        <f t="shared" si="116"/>
        <v/>
      </c>
      <c r="AV297" s="647" t="str">
        <f t="shared" si="109"/>
        <v/>
      </c>
      <c r="AW297" s="647" t="str">
        <f t="shared" si="11"/>
        <v/>
      </c>
      <c r="AX297" s="647" t="str">
        <f t="shared" si="12"/>
        <v/>
      </c>
      <c r="AY297" s="647" t="str">
        <f t="shared" si="13"/>
        <v/>
      </c>
      <c r="AZ297" s="647" t="str">
        <f t="shared" si="110"/>
        <v/>
      </c>
      <c r="BA297" s="647" t="str">
        <f t="shared" si="15"/>
        <v/>
      </c>
    </row>
    <row r="298" spans="2:53" s="7" customFormat="1" ht="28.5" hidden="1" customHeight="1" outlineLevel="1">
      <c r="B298" s="64"/>
      <c r="C298" s="649">
        <v>282</v>
      </c>
      <c r="D298" s="1855"/>
      <c r="E298" s="1856"/>
      <c r="F298" s="1856"/>
      <c r="G298" s="1856"/>
      <c r="H298" s="1856"/>
      <c r="I298" s="1856"/>
      <c r="J298" s="1856"/>
      <c r="K298" s="1857"/>
      <c r="L298" s="643" t="str">
        <f t="shared" si="107"/>
        <v/>
      </c>
      <c r="M298" s="664"/>
      <c r="N298" s="665"/>
      <c r="O298" s="267"/>
      <c r="P298" s="666"/>
      <c r="Q298" s="667"/>
      <c r="R298" s="667"/>
      <c r="S298" s="1035"/>
      <c r="T298" s="668"/>
      <c r="U298" s="668"/>
      <c r="V298" s="668"/>
      <c r="W298" s="668"/>
      <c r="X298" s="669"/>
      <c r="Y298" s="670"/>
      <c r="Z298" s="671"/>
      <c r="AA298" s="644"/>
      <c r="AB298" s="978"/>
      <c r="AC298" s="992"/>
      <c r="AD298" s="89"/>
      <c r="AE298" s="89"/>
      <c r="AF298" s="645" t="str">
        <f t="shared" si="112"/>
        <v/>
      </c>
      <c r="AG298" s="1037" t="str">
        <f t="shared" si="113"/>
        <v/>
      </c>
      <c r="AH298" s="1037" t="str">
        <f t="shared" si="114"/>
        <v/>
      </c>
      <c r="AI298" s="1037" t="str">
        <f>IF(AF298="","",VLOOKUP(AF298,リスト!BD:BE,2,0))</f>
        <v/>
      </c>
      <c r="AJ298" s="1037" t="str">
        <f t="shared" si="2"/>
        <v/>
      </c>
      <c r="AK298" s="1037" t="str">
        <f>IF(AJ298="","",VLOOKUP(AJ298,リスト!BW:BX,2,0))</f>
        <v/>
      </c>
      <c r="AL298" s="1037" t="str">
        <f t="shared" si="108"/>
        <v/>
      </c>
      <c r="AM298" s="646" t="str">
        <f t="shared" si="4"/>
        <v/>
      </c>
      <c r="AN298" s="646" t="str">
        <f t="shared" si="5"/>
        <v/>
      </c>
      <c r="AO298" s="647" t="str">
        <f t="shared" si="6"/>
        <v/>
      </c>
      <c r="AP298" s="647" t="str">
        <f t="shared" si="7"/>
        <v/>
      </c>
      <c r="AQ298" s="647" t="str">
        <f t="shared" si="8"/>
        <v/>
      </c>
      <c r="AR298" s="647" t="str">
        <f t="shared" si="111"/>
        <v/>
      </c>
      <c r="AS298" s="647" t="str">
        <f t="shared" si="9"/>
        <v/>
      </c>
      <c r="AT298" s="647" t="str">
        <f t="shared" si="115"/>
        <v/>
      </c>
      <c r="AU298" s="647" t="str">
        <f t="shared" si="116"/>
        <v/>
      </c>
      <c r="AV298" s="647" t="str">
        <f t="shared" si="109"/>
        <v/>
      </c>
      <c r="AW298" s="647" t="str">
        <f t="shared" si="11"/>
        <v/>
      </c>
      <c r="AX298" s="647" t="str">
        <f t="shared" si="12"/>
        <v/>
      </c>
      <c r="AY298" s="647" t="str">
        <f t="shared" si="13"/>
        <v/>
      </c>
      <c r="AZ298" s="647" t="str">
        <f t="shared" si="110"/>
        <v/>
      </c>
      <c r="BA298" s="647" t="str">
        <f t="shared" si="15"/>
        <v/>
      </c>
    </row>
    <row r="299" spans="2:53" s="7" customFormat="1" ht="28.5" hidden="1" customHeight="1" outlineLevel="1">
      <c r="B299" s="64"/>
      <c r="C299" s="649">
        <v>283</v>
      </c>
      <c r="D299" s="1855"/>
      <c r="E299" s="1856"/>
      <c r="F299" s="1856"/>
      <c r="G299" s="1856"/>
      <c r="H299" s="1856"/>
      <c r="I299" s="1856"/>
      <c r="J299" s="1856"/>
      <c r="K299" s="1857"/>
      <c r="L299" s="643" t="str">
        <f t="shared" si="107"/>
        <v/>
      </c>
      <c r="M299" s="664"/>
      <c r="N299" s="665"/>
      <c r="O299" s="267"/>
      <c r="P299" s="666"/>
      <c r="Q299" s="667"/>
      <c r="R299" s="667"/>
      <c r="S299" s="1035"/>
      <c r="T299" s="668"/>
      <c r="U299" s="668"/>
      <c r="V299" s="668"/>
      <c r="W299" s="668"/>
      <c r="X299" s="669"/>
      <c r="Y299" s="670"/>
      <c r="Z299" s="671"/>
      <c r="AA299" s="644"/>
      <c r="AB299" s="978"/>
      <c r="AC299" s="992"/>
      <c r="AD299" s="89"/>
      <c r="AE299" s="89"/>
      <c r="AF299" s="645" t="str">
        <f t="shared" si="112"/>
        <v/>
      </c>
      <c r="AG299" s="1037" t="str">
        <f t="shared" si="113"/>
        <v/>
      </c>
      <c r="AH299" s="1037" t="str">
        <f t="shared" si="114"/>
        <v/>
      </c>
      <c r="AI299" s="1037" t="str">
        <f>IF(AF299="","",VLOOKUP(AF299,リスト!BD:BE,2,0))</f>
        <v/>
      </c>
      <c r="AJ299" s="1037" t="str">
        <f t="shared" ref="AJ299:AJ303" si="128">IF(AH299=1,3,IF(P299="2：中古",MIN(AI299,Q299),IF(N299="[8]その他",MIN(AI299,Q299),AI299)))</f>
        <v/>
      </c>
      <c r="AK299" s="1037" t="str">
        <f>IF(AJ299="","",VLOOKUP(AJ299,リスト!BW:BX,2,0))</f>
        <v/>
      </c>
      <c r="AL299" s="1037" t="str">
        <f t="shared" si="108"/>
        <v/>
      </c>
      <c r="AM299" s="646" t="str">
        <f t="shared" ref="AM299:AM303" si="129">IF(OR(AF299="",AG299=1),"",
IF(AND(AJ299&gt;0,AL299&lt;AJ299,AN299&lt;=ROUND((T299-1)*AK299,0)),ROUND(AN299*IF(Y299="2：部分取り壊し",IFERROR(1-(AC299/O299),1),1),0),
IF(AND(AJ299&gt;0,AL299&lt;AJ299),ROUND((T299-1)*AK299*IF(Y299="2：部分取り壊し",IFERROR(1-(AC299/O299),1),1),0),
"")))</f>
        <v/>
      </c>
      <c r="AN299" s="646" t="str">
        <f t="shared" ref="AN299:AN303" si="130">IF(OR(AF299="",AG299=1),"",
IF(AND(AJ299&gt;0,AL299&lt;AJ299),T299-ROUND((T299-1)*AK299*AL299,0),1
))</f>
        <v/>
      </c>
      <c r="AO299" s="647" t="str">
        <f t="shared" ref="AO299:AO303" si="131">IF(OR(AF299="",AG299=1),"",
IF(Y299="",AM299,
IF(Y299="1：取り壊し",SUM(AN299,Z299),
IF(Y299="3：売　却",AN299-Z299,
IF(AND(Y299="2：部分取り壊し",AN299&gt;1),SUM(ROUND(AN299*(AC299/O299),0),Z299,AM299),
IF(AND(Z299="",AM299=""),"",SUM(Z299,AM299)))))))</f>
        <v/>
      </c>
      <c r="AP299" s="647" t="str">
        <f t="shared" ref="AP299:AP303" si="132">IF(AND(AO299="",AM299=""),"",
IF(OR(Y299="1：取り壊し",Y299="2：部分取り壊し",Y299="3：売　却"),SUM(AO299)-SUM(AM299),""))</f>
        <v/>
      </c>
      <c r="AQ299" s="647" t="str">
        <f t="shared" ref="AQ299:AQ303" si="133">IF(OR(AG299=1,U299=""),"",
IF(AND(AJ299&gt;0,U299&gt;0,AL299&lt;AJ299),U299-ROUND(U299*AK299*AL299,0),""
))</f>
        <v/>
      </c>
      <c r="AR299" s="647" t="str">
        <f t="shared" si="111"/>
        <v/>
      </c>
      <c r="AS299" s="647" t="str">
        <f t="shared" ref="AS299:AS303" si="134">IF(Y299="2：部分取り壊し",O299-AC299,"")</f>
        <v/>
      </c>
      <c r="AT299" s="647" t="str">
        <f t="shared" si="115"/>
        <v/>
      </c>
      <c r="AU299" s="647" t="str">
        <f t="shared" si="116"/>
        <v/>
      </c>
      <c r="AV299" s="647" t="str">
        <f t="shared" si="109"/>
        <v/>
      </c>
      <c r="AW299" s="647" t="str">
        <f t="shared" ref="AW299:AW303" si="135">IF(X299="","",IF(AO299="","",ROUND(AO299*X299%,0)))</f>
        <v/>
      </c>
      <c r="AX299" s="647" t="str">
        <f t="shared" ref="AX299:AX303" si="136">IF(X299="","",IF(AP299="","",ROUND(AP299*X299%,0)))</f>
        <v/>
      </c>
      <c r="AY299" s="647" t="str">
        <f t="shared" ref="AY299:AY303" si="137">IF(X299="","",IF(AN299="","",ROUND(AN299*X299%,0)))</f>
        <v/>
      </c>
      <c r="AZ299" s="647" t="str">
        <f t="shared" si="110"/>
        <v/>
      </c>
      <c r="BA299" s="647" t="str">
        <f t="shared" ref="BA299:BA303" si="138">IF(X299="","",IF(W299="","",ROUND(W299*X299%,0)))</f>
        <v/>
      </c>
    </row>
    <row r="300" spans="2:53" s="7" customFormat="1" ht="28.5" hidden="1" customHeight="1" outlineLevel="1">
      <c r="B300" s="64"/>
      <c r="C300" s="649">
        <v>284</v>
      </c>
      <c r="D300" s="1855"/>
      <c r="E300" s="1856"/>
      <c r="F300" s="1856"/>
      <c r="G300" s="1856"/>
      <c r="H300" s="1856"/>
      <c r="I300" s="1856"/>
      <c r="J300" s="1856"/>
      <c r="K300" s="1857"/>
      <c r="L300" s="643" t="str">
        <f t="shared" si="107"/>
        <v/>
      </c>
      <c r="M300" s="664"/>
      <c r="N300" s="665"/>
      <c r="O300" s="267"/>
      <c r="P300" s="666"/>
      <c r="Q300" s="667"/>
      <c r="R300" s="667"/>
      <c r="S300" s="1035"/>
      <c r="T300" s="668"/>
      <c r="U300" s="668"/>
      <c r="V300" s="668"/>
      <c r="W300" s="668"/>
      <c r="X300" s="669"/>
      <c r="Y300" s="670"/>
      <c r="Z300" s="671"/>
      <c r="AA300" s="644"/>
      <c r="AB300" s="978"/>
      <c r="AC300" s="992"/>
      <c r="AD300" s="89"/>
      <c r="AE300" s="89"/>
      <c r="AF300" s="645" t="str">
        <f t="shared" si="112"/>
        <v/>
      </c>
      <c r="AG300" s="1037" t="str">
        <f t="shared" si="113"/>
        <v/>
      </c>
      <c r="AH300" s="1037" t="str">
        <f t="shared" si="114"/>
        <v/>
      </c>
      <c r="AI300" s="1037" t="str">
        <f>IF(AF300="","",VLOOKUP(AF300,リスト!BD:BE,2,0))</f>
        <v/>
      </c>
      <c r="AJ300" s="1037" t="str">
        <f t="shared" si="128"/>
        <v/>
      </c>
      <c r="AK300" s="1037" t="str">
        <f>IF(AJ300="","",VLOOKUP(AJ300,リスト!BW:BX,2,0))</f>
        <v/>
      </c>
      <c r="AL300" s="1037" t="str">
        <f t="shared" si="108"/>
        <v/>
      </c>
      <c r="AM300" s="646" t="str">
        <f t="shared" si="129"/>
        <v/>
      </c>
      <c r="AN300" s="646" t="str">
        <f t="shared" si="130"/>
        <v/>
      </c>
      <c r="AO300" s="647" t="str">
        <f t="shared" si="131"/>
        <v/>
      </c>
      <c r="AP300" s="647" t="str">
        <f t="shared" si="132"/>
        <v/>
      </c>
      <c r="AQ300" s="647" t="str">
        <f t="shared" si="133"/>
        <v/>
      </c>
      <c r="AR300" s="647" t="str">
        <f t="shared" si="111"/>
        <v/>
      </c>
      <c r="AS300" s="647" t="str">
        <f t="shared" si="134"/>
        <v/>
      </c>
      <c r="AT300" s="647" t="str">
        <f t="shared" si="115"/>
        <v/>
      </c>
      <c r="AU300" s="647" t="str">
        <f t="shared" si="116"/>
        <v/>
      </c>
      <c r="AV300" s="647" t="str">
        <f t="shared" si="109"/>
        <v/>
      </c>
      <c r="AW300" s="647" t="str">
        <f t="shared" si="135"/>
        <v/>
      </c>
      <c r="AX300" s="647" t="str">
        <f t="shared" si="136"/>
        <v/>
      </c>
      <c r="AY300" s="647" t="str">
        <f t="shared" si="137"/>
        <v/>
      </c>
      <c r="AZ300" s="647" t="str">
        <f t="shared" si="110"/>
        <v/>
      </c>
      <c r="BA300" s="647" t="str">
        <f t="shared" si="138"/>
        <v/>
      </c>
    </row>
    <row r="301" spans="2:53" s="7" customFormat="1" ht="28.5" hidden="1" customHeight="1" outlineLevel="1">
      <c r="B301" s="64"/>
      <c r="C301" s="649">
        <v>285</v>
      </c>
      <c r="D301" s="1855"/>
      <c r="E301" s="1856"/>
      <c r="F301" s="1856"/>
      <c r="G301" s="1856"/>
      <c r="H301" s="1856"/>
      <c r="I301" s="1856"/>
      <c r="J301" s="1856"/>
      <c r="K301" s="1857"/>
      <c r="L301" s="643" t="str">
        <f t="shared" si="107"/>
        <v/>
      </c>
      <c r="M301" s="664"/>
      <c r="N301" s="665"/>
      <c r="O301" s="267"/>
      <c r="P301" s="666"/>
      <c r="Q301" s="667"/>
      <c r="R301" s="667"/>
      <c r="S301" s="1035"/>
      <c r="T301" s="668"/>
      <c r="U301" s="668"/>
      <c r="V301" s="668"/>
      <c r="W301" s="668"/>
      <c r="X301" s="669"/>
      <c r="Y301" s="670"/>
      <c r="Z301" s="671"/>
      <c r="AA301" s="644"/>
      <c r="AB301" s="978"/>
      <c r="AC301" s="992"/>
      <c r="AD301" s="89"/>
      <c r="AE301" s="89"/>
      <c r="AF301" s="645" t="str">
        <f t="shared" si="112"/>
        <v/>
      </c>
      <c r="AG301" s="1037" t="str">
        <f t="shared" si="113"/>
        <v/>
      </c>
      <c r="AH301" s="1037" t="str">
        <f t="shared" si="114"/>
        <v/>
      </c>
      <c r="AI301" s="1037" t="str">
        <f>IF(AF301="","",VLOOKUP(AF301,リスト!BD:BE,2,0))</f>
        <v/>
      </c>
      <c r="AJ301" s="1037" t="str">
        <f t="shared" si="128"/>
        <v/>
      </c>
      <c r="AK301" s="1037" t="str">
        <f>IF(AJ301="","",VLOOKUP(AJ301,リスト!BW:BX,2,0))</f>
        <v/>
      </c>
      <c r="AL301" s="1037" t="str">
        <f t="shared" si="108"/>
        <v/>
      </c>
      <c r="AM301" s="646" t="str">
        <f t="shared" si="129"/>
        <v/>
      </c>
      <c r="AN301" s="646" t="str">
        <f t="shared" si="130"/>
        <v/>
      </c>
      <c r="AO301" s="647" t="str">
        <f t="shared" si="131"/>
        <v/>
      </c>
      <c r="AP301" s="647" t="str">
        <f t="shared" si="132"/>
        <v/>
      </c>
      <c r="AQ301" s="647" t="str">
        <f t="shared" si="133"/>
        <v/>
      </c>
      <c r="AR301" s="647" t="str">
        <f t="shared" si="111"/>
        <v/>
      </c>
      <c r="AS301" s="647" t="str">
        <f t="shared" si="134"/>
        <v/>
      </c>
      <c r="AT301" s="647" t="str">
        <f t="shared" si="115"/>
        <v/>
      </c>
      <c r="AU301" s="647" t="str">
        <f t="shared" si="116"/>
        <v/>
      </c>
      <c r="AV301" s="647" t="str">
        <f t="shared" si="109"/>
        <v/>
      </c>
      <c r="AW301" s="647" t="str">
        <f t="shared" si="135"/>
        <v/>
      </c>
      <c r="AX301" s="647" t="str">
        <f t="shared" si="136"/>
        <v/>
      </c>
      <c r="AY301" s="647" t="str">
        <f t="shared" si="137"/>
        <v/>
      </c>
      <c r="AZ301" s="647" t="str">
        <f t="shared" si="110"/>
        <v/>
      </c>
      <c r="BA301" s="647" t="str">
        <f t="shared" si="138"/>
        <v/>
      </c>
    </row>
    <row r="302" spans="2:53" s="7" customFormat="1" ht="28.5" hidden="1" customHeight="1" outlineLevel="1">
      <c r="B302" s="64"/>
      <c r="C302" s="649">
        <v>286</v>
      </c>
      <c r="D302" s="1855"/>
      <c r="E302" s="1856"/>
      <c r="F302" s="1856"/>
      <c r="G302" s="1856"/>
      <c r="H302" s="1856"/>
      <c r="I302" s="1856"/>
      <c r="J302" s="1856"/>
      <c r="K302" s="1857"/>
      <c r="L302" s="643" t="str">
        <f t="shared" si="107"/>
        <v/>
      </c>
      <c r="M302" s="664"/>
      <c r="N302" s="665"/>
      <c r="O302" s="267"/>
      <c r="P302" s="666"/>
      <c r="Q302" s="667"/>
      <c r="R302" s="667"/>
      <c r="S302" s="1035"/>
      <c r="T302" s="668"/>
      <c r="U302" s="668"/>
      <c r="V302" s="668"/>
      <c r="W302" s="668"/>
      <c r="X302" s="669"/>
      <c r="Y302" s="670"/>
      <c r="Z302" s="671"/>
      <c r="AA302" s="644"/>
      <c r="AB302" s="978"/>
      <c r="AC302" s="992"/>
      <c r="AD302" s="89"/>
      <c r="AE302" s="89"/>
      <c r="AF302" s="645" t="str">
        <f t="shared" si="112"/>
        <v/>
      </c>
      <c r="AG302" s="1037" t="str">
        <f t="shared" si="113"/>
        <v/>
      </c>
      <c r="AH302" s="1037" t="str">
        <f t="shared" si="114"/>
        <v/>
      </c>
      <c r="AI302" s="1037" t="str">
        <f>IF(AF302="","",VLOOKUP(AF302,リスト!BD:BE,2,0))</f>
        <v/>
      </c>
      <c r="AJ302" s="1037" t="str">
        <f t="shared" si="128"/>
        <v/>
      </c>
      <c r="AK302" s="1037" t="str">
        <f>IF(AJ302="","",VLOOKUP(AJ302,リスト!BW:BX,2,0))</f>
        <v/>
      </c>
      <c r="AL302" s="1037" t="str">
        <f t="shared" si="108"/>
        <v/>
      </c>
      <c r="AM302" s="646" t="str">
        <f t="shared" si="129"/>
        <v/>
      </c>
      <c r="AN302" s="646" t="str">
        <f t="shared" si="130"/>
        <v/>
      </c>
      <c r="AO302" s="647" t="str">
        <f t="shared" si="131"/>
        <v/>
      </c>
      <c r="AP302" s="647" t="str">
        <f t="shared" si="132"/>
        <v/>
      </c>
      <c r="AQ302" s="647" t="str">
        <f t="shared" si="133"/>
        <v/>
      </c>
      <c r="AR302" s="647" t="str">
        <f t="shared" si="111"/>
        <v/>
      </c>
      <c r="AS302" s="647" t="str">
        <f t="shared" si="134"/>
        <v/>
      </c>
      <c r="AT302" s="647" t="str">
        <f t="shared" si="115"/>
        <v/>
      </c>
      <c r="AU302" s="647" t="str">
        <f t="shared" si="116"/>
        <v/>
      </c>
      <c r="AV302" s="647" t="str">
        <f t="shared" si="109"/>
        <v/>
      </c>
      <c r="AW302" s="647" t="str">
        <f t="shared" si="135"/>
        <v/>
      </c>
      <c r="AX302" s="647" t="str">
        <f t="shared" si="136"/>
        <v/>
      </c>
      <c r="AY302" s="647" t="str">
        <f t="shared" si="137"/>
        <v/>
      </c>
      <c r="AZ302" s="647" t="str">
        <f t="shared" si="110"/>
        <v/>
      </c>
      <c r="BA302" s="647" t="str">
        <f t="shared" si="138"/>
        <v/>
      </c>
    </row>
    <row r="303" spans="2:53" s="7" customFormat="1" ht="28.5" hidden="1" customHeight="1" outlineLevel="1">
      <c r="B303" s="64"/>
      <c r="C303" s="649">
        <v>287</v>
      </c>
      <c r="D303" s="1855"/>
      <c r="E303" s="1856"/>
      <c r="F303" s="1856"/>
      <c r="G303" s="1856"/>
      <c r="H303" s="1856"/>
      <c r="I303" s="1856"/>
      <c r="J303" s="1856"/>
      <c r="K303" s="1857"/>
      <c r="L303" s="643" t="str">
        <f t="shared" si="107"/>
        <v/>
      </c>
      <c r="M303" s="664"/>
      <c r="N303" s="665"/>
      <c r="O303" s="267"/>
      <c r="P303" s="666"/>
      <c r="Q303" s="667"/>
      <c r="R303" s="667"/>
      <c r="S303" s="1035"/>
      <c r="T303" s="668"/>
      <c r="U303" s="668"/>
      <c r="V303" s="668"/>
      <c r="W303" s="668"/>
      <c r="X303" s="669"/>
      <c r="Y303" s="670"/>
      <c r="Z303" s="671"/>
      <c r="AA303" s="644"/>
      <c r="AB303" s="978"/>
      <c r="AC303" s="992"/>
      <c r="AD303" s="89"/>
      <c r="AE303" s="89"/>
      <c r="AF303" s="645" t="str">
        <f t="shared" si="112"/>
        <v/>
      </c>
      <c r="AG303" s="1037" t="str">
        <f t="shared" si="113"/>
        <v/>
      </c>
      <c r="AH303" s="1037" t="str">
        <f t="shared" si="114"/>
        <v/>
      </c>
      <c r="AI303" s="1037" t="str">
        <f>IF(AF303="","",VLOOKUP(AF303,リスト!BD:BE,2,0))</f>
        <v/>
      </c>
      <c r="AJ303" s="1037" t="str">
        <f t="shared" si="128"/>
        <v/>
      </c>
      <c r="AK303" s="1037" t="str">
        <f>IF(AJ303="","",VLOOKUP(AJ303,リスト!BW:BX,2,0))</f>
        <v/>
      </c>
      <c r="AL303" s="1037" t="str">
        <f t="shared" si="108"/>
        <v/>
      </c>
      <c r="AM303" s="646" t="str">
        <f t="shared" si="129"/>
        <v/>
      </c>
      <c r="AN303" s="646" t="str">
        <f t="shared" si="130"/>
        <v/>
      </c>
      <c r="AO303" s="647" t="str">
        <f t="shared" si="131"/>
        <v/>
      </c>
      <c r="AP303" s="647" t="str">
        <f t="shared" si="132"/>
        <v/>
      </c>
      <c r="AQ303" s="647" t="str">
        <f t="shared" si="133"/>
        <v/>
      </c>
      <c r="AR303" s="647" t="str">
        <f t="shared" si="111"/>
        <v/>
      </c>
      <c r="AS303" s="647" t="str">
        <f t="shared" si="134"/>
        <v/>
      </c>
      <c r="AT303" s="647" t="str">
        <f t="shared" si="115"/>
        <v/>
      </c>
      <c r="AU303" s="647" t="str">
        <f t="shared" si="116"/>
        <v/>
      </c>
      <c r="AV303" s="647" t="str">
        <f t="shared" si="109"/>
        <v/>
      </c>
      <c r="AW303" s="647" t="str">
        <f t="shared" si="135"/>
        <v/>
      </c>
      <c r="AX303" s="647" t="str">
        <f t="shared" si="136"/>
        <v/>
      </c>
      <c r="AY303" s="647" t="str">
        <f t="shared" si="137"/>
        <v/>
      </c>
      <c r="AZ303" s="647" t="str">
        <f t="shared" si="110"/>
        <v/>
      </c>
      <c r="BA303" s="647" t="str">
        <f t="shared" si="138"/>
        <v/>
      </c>
    </row>
    <row r="304" spans="2:53" s="7" customFormat="1" ht="28.5" hidden="1" customHeight="1" outlineLevel="1">
      <c r="B304" s="64"/>
      <c r="C304" s="649">
        <v>288</v>
      </c>
      <c r="D304" s="1855"/>
      <c r="E304" s="1856"/>
      <c r="F304" s="1856"/>
      <c r="G304" s="1856"/>
      <c r="H304" s="1856"/>
      <c r="I304" s="1856"/>
      <c r="J304" s="1856"/>
      <c r="K304" s="1857"/>
      <c r="L304" s="643" t="str">
        <f t="shared" si="107"/>
        <v/>
      </c>
      <c r="M304" s="664"/>
      <c r="N304" s="665"/>
      <c r="O304" s="267"/>
      <c r="P304" s="666"/>
      <c r="Q304" s="667"/>
      <c r="R304" s="667"/>
      <c r="S304" s="1035"/>
      <c r="T304" s="668"/>
      <c r="U304" s="668"/>
      <c r="V304" s="668"/>
      <c r="W304" s="668"/>
      <c r="X304" s="669"/>
      <c r="Y304" s="670"/>
      <c r="Z304" s="671"/>
      <c r="AA304" s="644"/>
      <c r="AB304" s="978"/>
      <c r="AC304" s="992"/>
      <c r="AD304" s="89"/>
      <c r="AE304" s="89"/>
      <c r="AF304" s="645" t="str">
        <f t="shared" si="112"/>
        <v/>
      </c>
      <c r="AG304" s="1037" t="str">
        <f t="shared" si="113"/>
        <v/>
      </c>
      <c r="AH304" s="1037" t="str">
        <f t="shared" si="114"/>
        <v/>
      </c>
      <c r="AI304" s="1037" t="str">
        <f>IF(AF304="","",VLOOKUP(AF304,リスト!BD:BE,2,0))</f>
        <v/>
      </c>
      <c r="AJ304" s="1037" t="str">
        <f t="shared" ref="AJ304:AJ308" si="139">IF(AH304=1,3,IF(P304="2：中古",MIN(AI304,Q304),IF(N304="[8]その他",MIN(AI304,Q304),AI304)))</f>
        <v/>
      </c>
      <c r="AK304" s="1037" t="str">
        <f>IF(AJ304="","",VLOOKUP(AJ304,リスト!BW:BX,2,0))</f>
        <v/>
      </c>
      <c r="AL304" s="1037" t="str">
        <f t="shared" si="108"/>
        <v/>
      </c>
      <c r="AM304" s="646" t="str">
        <f t="shared" ref="AM304:AM308" si="140">IF(OR(AF304="",AG304=1),"",
IF(AND(AJ304&gt;0,AL304&lt;AJ304,AN304&lt;=ROUND((T304-1)*AK304,0)),ROUND(AN304*IF(Y304="2：部分取り壊し",IFERROR(1-(AC304/O304),1),1),0),
IF(AND(AJ304&gt;0,AL304&lt;AJ304),ROUND((T304-1)*AK304*IF(Y304="2：部分取り壊し",IFERROR(1-(AC304/O304),1),1),0),
"")))</f>
        <v/>
      </c>
      <c r="AN304" s="646" t="str">
        <f t="shared" ref="AN304:AN308" si="141">IF(OR(AF304="",AG304=1),"",
IF(AND(AJ304&gt;0,AL304&lt;AJ304),T304-ROUND((T304-1)*AK304*AL304,0),1
))</f>
        <v/>
      </c>
      <c r="AO304" s="647" t="str">
        <f t="shared" ref="AO304:AO308" si="142">IF(OR(AF304="",AG304=1),"",
IF(Y304="",AM304,
IF(Y304="1：取り壊し",SUM(AN304,Z304),
IF(Y304="3：売　却",AN304-Z304,
IF(AND(Y304="2：部分取り壊し",AN304&gt;1),SUM(ROUND(AN304*(AC304/O304),0),Z304,AM304),
IF(AND(Z304="",AM304=""),"",SUM(Z304,AM304)))))))</f>
        <v/>
      </c>
      <c r="AP304" s="647" t="str">
        <f t="shared" ref="AP304:AP308" si="143">IF(AND(AO304="",AM304=""),"",
IF(OR(Y304="1：取り壊し",Y304="2：部分取り壊し",Y304="3：売　却"),SUM(AO304)-SUM(AM304),""))</f>
        <v/>
      </c>
      <c r="AQ304" s="647" t="str">
        <f t="shared" ref="AQ304:AQ308" si="144">IF(OR(AG304=1,U304=""),"",
IF(AND(AJ304&gt;0,U304&gt;0,AL304&lt;AJ304),U304-ROUND(U304*AK304*AL304,0),""
))</f>
        <v/>
      </c>
      <c r="AR304" s="647" t="str">
        <f t="shared" si="111"/>
        <v/>
      </c>
      <c r="AS304" s="647" t="str">
        <f t="shared" ref="AS304:AS308" si="145">IF(Y304="2：部分取り壊し",O304-AC304,"")</f>
        <v/>
      </c>
      <c r="AT304" s="647" t="str">
        <f t="shared" si="115"/>
        <v/>
      </c>
      <c r="AU304" s="647" t="str">
        <f t="shared" si="116"/>
        <v/>
      </c>
      <c r="AV304" s="647" t="str">
        <f t="shared" si="109"/>
        <v/>
      </c>
      <c r="AW304" s="647" t="str">
        <f t="shared" ref="AW304:AW308" si="146">IF(X304="","",IF(AO304="","",ROUND(AO304*X304%,0)))</f>
        <v/>
      </c>
      <c r="AX304" s="647" t="str">
        <f t="shared" ref="AX304:AX308" si="147">IF(X304="","",IF(AP304="","",ROUND(AP304*X304%,0)))</f>
        <v/>
      </c>
      <c r="AY304" s="647" t="str">
        <f t="shared" ref="AY304:AY308" si="148">IF(X304="","",IF(AN304="","",ROUND(AN304*X304%,0)))</f>
        <v/>
      </c>
      <c r="AZ304" s="647" t="str">
        <f t="shared" si="110"/>
        <v/>
      </c>
      <c r="BA304" s="647" t="str">
        <f t="shared" ref="BA304:BA308" si="149">IF(X304="","",IF(W304="","",ROUND(W304*X304%,0)))</f>
        <v/>
      </c>
    </row>
    <row r="305" spans="2:53" s="7" customFormat="1" ht="28.5" hidden="1" customHeight="1" outlineLevel="1">
      <c r="B305" s="64"/>
      <c r="C305" s="649">
        <v>289</v>
      </c>
      <c r="D305" s="1855"/>
      <c r="E305" s="1856"/>
      <c r="F305" s="1856"/>
      <c r="G305" s="1856"/>
      <c r="H305" s="1856"/>
      <c r="I305" s="1856"/>
      <c r="J305" s="1856"/>
      <c r="K305" s="1857"/>
      <c r="L305" s="643" t="str">
        <f t="shared" si="107"/>
        <v/>
      </c>
      <c r="M305" s="664"/>
      <c r="N305" s="665"/>
      <c r="O305" s="267"/>
      <c r="P305" s="666"/>
      <c r="Q305" s="667"/>
      <c r="R305" s="667"/>
      <c r="S305" s="1035"/>
      <c r="T305" s="668"/>
      <c r="U305" s="668"/>
      <c r="V305" s="668"/>
      <c r="W305" s="668"/>
      <c r="X305" s="669"/>
      <c r="Y305" s="670"/>
      <c r="Z305" s="671"/>
      <c r="AA305" s="644"/>
      <c r="AB305" s="978"/>
      <c r="AC305" s="992"/>
      <c r="AD305" s="89"/>
      <c r="AE305" s="89"/>
      <c r="AF305" s="645" t="str">
        <f t="shared" si="112"/>
        <v/>
      </c>
      <c r="AG305" s="1037" t="str">
        <f t="shared" si="113"/>
        <v/>
      </c>
      <c r="AH305" s="1037" t="str">
        <f t="shared" si="114"/>
        <v/>
      </c>
      <c r="AI305" s="1037" t="str">
        <f>IF(AF305="","",VLOOKUP(AF305,リスト!BD:BE,2,0))</f>
        <v/>
      </c>
      <c r="AJ305" s="1037" t="str">
        <f t="shared" si="139"/>
        <v/>
      </c>
      <c r="AK305" s="1037" t="str">
        <f>IF(AJ305="","",VLOOKUP(AJ305,リスト!BW:BX,2,0))</f>
        <v/>
      </c>
      <c r="AL305" s="1037" t="str">
        <f t="shared" si="108"/>
        <v/>
      </c>
      <c r="AM305" s="646" t="str">
        <f t="shared" si="140"/>
        <v/>
      </c>
      <c r="AN305" s="646" t="str">
        <f t="shared" si="141"/>
        <v/>
      </c>
      <c r="AO305" s="647" t="str">
        <f t="shared" si="142"/>
        <v/>
      </c>
      <c r="AP305" s="647" t="str">
        <f t="shared" si="143"/>
        <v/>
      </c>
      <c r="AQ305" s="647" t="str">
        <f t="shared" si="144"/>
        <v/>
      </c>
      <c r="AR305" s="647" t="str">
        <f t="shared" si="111"/>
        <v/>
      </c>
      <c r="AS305" s="647" t="str">
        <f t="shared" si="145"/>
        <v/>
      </c>
      <c r="AT305" s="647" t="str">
        <f t="shared" si="115"/>
        <v/>
      </c>
      <c r="AU305" s="647" t="str">
        <f t="shared" si="116"/>
        <v/>
      </c>
      <c r="AV305" s="647" t="str">
        <f t="shared" si="109"/>
        <v/>
      </c>
      <c r="AW305" s="647" t="str">
        <f t="shared" si="146"/>
        <v/>
      </c>
      <c r="AX305" s="647" t="str">
        <f t="shared" si="147"/>
        <v/>
      </c>
      <c r="AY305" s="647" t="str">
        <f t="shared" si="148"/>
        <v/>
      </c>
      <c r="AZ305" s="647" t="str">
        <f t="shared" si="110"/>
        <v/>
      </c>
      <c r="BA305" s="647" t="str">
        <f t="shared" si="149"/>
        <v/>
      </c>
    </row>
    <row r="306" spans="2:53" s="7" customFormat="1" ht="28.5" hidden="1" customHeight="1" outlineLevel="1">
      <c r="B306" s="64"/>
      <c r="C306" s="649">
        <v>290</v>
      </c>
      <c r="D306" s="1855"/>
      <c r="E306" s="1856"/>
      <c r="F306" s="1856"/>
      <c r="G306" s="1856"/>
      <c r="H306" s="1856"/>
      <c r="I306" s="1856"/>
      <c r="J306" s="1856"/>
      <c r="K306" s="1857"/>
      <c r="L306" s="643" t="str">
        <f t="shared" si="107"/>
        <v/>
      </c>
      <c r="M306" s="664"/>
      <c r="N306" s="665"/>
      <c r="O306" s="267"/>
      <c r="P306" s="666"/>
      <c r="Q306" s="667"/>
      <c r="R306" s="667"/>
      <c r="S306" s="1035"/>
      <c r="T306" s="668"/>
      <c r="U306" s="668"/>
      <c r="V306" s="668"/>
      <c r="W306" s="668"/>
      <c r="X306" s="669"/>
      <c r="Y306" s="670"/>
      <c r="Z306" s="671"/>
      <c r="AA306" s="644"/>
      <c r="AB306" s="978"/>
      <c r="AC306" s="992"/>
      <c r="AD306" s="89"/>
      <c r="AE306" s="89"/>
      <c r="AF306" s="645" t="str">
        <f t="shared" si="112"/>
        <v/>
      </c>
      <c r="AG306" s="1037" t="str">
        <f t="shared" si="113"/>
        <v/>
      </c>
      <c r="AH306" s="1037" t="str">
        <f t="shared" si="114"/>
        <v/>
      </c>
      <c r="AI306" s="1037" t="str">
        <f>IF(AF306="","",VLOOKUP(AF306,リスト!BD:BE,2,0))</f>
        <v/>
      </c>
      <c r="AJ306" s="1037" t="str">
        <f t="shared" si="139"/>
        <v/>
      </c>
      <c r="AK306" s="1037" t="str">
        <f>IF(AJ306="","",VLOOKUP(AJ306,リスト!BW:BX,2,0))</f>
        <v/>
      </c>
      <c r="AL306" s="1037" t="str">
        <f t="shared" si="108"/>
        <v/>
      </c>
      <c r="AM306" s="646" t="str">
        <f t="shared" si="140"/>
        <v/>
      </c>
      <c r="AN306" s="646" t="str">
        <f t="shared" si="141"/>
        <v/>
      </c>
      <c r="AO306" s="647" t="str">
        <f t="shared" si="142"/>
        <v/>
      </c>
      <c r="AP306" s="647" t="str">
        <f t="shared" si="143"/>
        <v/>
      </c>
      <c r="AQ306" s="647" t="str">
        <f t="shared" si="144"/>
        <v/>
      </c>
      <c r="AR306" s="647" t="str">
        <f t="shared" si="111"/>
        <v/>
      </c>
      <c r="AS306" s="647" t="str">
        <f t="shared" si="145"/>
        <v/>
      </c>
      <c r="AT306" s="647" t="str">
        <f t="shared" si="115"/>
        <v/>
      </c>
      <c r="AU306" s="647" t="str">
        <f t="shared" si="116"/>
        <v/>
      </c>
      <c r="AV306" s="647" t="str">
        <f t="shared" si="109"/>
        <v/>
      </c>
      <c r="AW306" s="647" t="str">
        <f t="shared" si="146"/>
        <v/>
      </c>
      <c r="AX306" s="647" t="str">
        <f t="shared" si="147"/>
        <v/>
      </c>
      <c r="AY306" s="647" t="str">
        <f t="shared" si="148"/>
        <v/>
      </c>
      <c r="AZ306" s="647" t="str">
        <f t="shared" si="110"/>
        <v/>
      </c>
      <c r="BA306" s="647" t="str">
        <f t="shared" si="149"/>
        <v/>
      </c>
    </row>
    <row r="307" spans="2:53" s="7" customFormat="1" ht="28.5" hidden="1" customHeight="1" outlineLevel="1">
      <c r="B307" s="64"/>
      <c r="C307" s="649">
        <v>291</v>
      </c>
      <c r="D307" s="1855"/>
      <c r="E307" s="1856"/>
      <c r="F307" s="1856"/>
      <c r="G307" s="1856"/>
      <c r="H307" s="1856"/>
      <c r="I307" s="1856"/>
      <c r="J307" s="1856"/>
      <c r="K307" s="1857"/>
      <c r="L307" s="643" t="str">
        <f t="shared" si="107"/>
        <v/>
      </c>
      <c r="M307" s="664"/>
      <c r="N307" s="665"/>
      <c r="O307" s="267"/>
      <c r="P307" s="666"/>
      <c r="Q307" s="667"/>
      <c r="R307" s="667"/>
      <c r="S307" s="1035"/>
      <c r="T307" s="668"/>
      <c r="U307" s="668"/>
      <c r="V307" s="668"/>
      <c r="W307" s="668"/>
      <c r="X307" s="669"/>
      <c r="Y307" s="670"/>
      <c r="Z307" s="671"/>
      <c r="AA307" s="644"/>
      <c r="AB307" s="978"/>
      <c r="AC307" s="992"/>
      <c r="AD307" s="89"/>
      <c r="AE307" s="89"/>
      <c r="AF307" s="645" t="str">
        <f t="shared" si="112"/>
        <v/>
      </c>
      <c r="AG307" s="1037" t="str">
        <f t="shared" si="113"/>
        <v/>
      </c>
      <c r="AH307" s="1037" t="str">
        <f t="shared" si="114"/>
        <v/>
      </c>
      <c r="AI307" s="1037" t="str">
        <f>IF(AF307="","",VLOOKUP(AF307,リスト!BD:BE,2,0))</f>
        <v/>
      </c>
      <c r="AJ307" s="1037" t="str">
        <f t="shared" si="139"/>
        <v/>
      </c>
      <c r="AK307" s="1037" t="str">
        <f>IF(AJ307="","",VLOOKUP(AJ307,リスト!BW:BX,2,0))</f>
        <v/>
      </c>
      <c r="AL307" s="1037" t="str">
        <f t="shared" si="108"/>
        <v/>
      </c>
      <c r="AM307" s="646" t="str">
        <f t="shared" si="140"/>
        <v/>
      </c>
      <c r="AN307" s="646" t="str">
        <f t="shared" si="141"/>
        <v/>
      </c>
      <c r="AO307" s="647" t="str">
        <f t="shared" si="142"/>
        <v/>
      </c>
      <c r="AP307" s="647" t="str">
        <f t="shared" si="143"/>
        <v/>
      </c>
      <c r="AQ307" s="647" t="str">
        <f t="shared" si="144"/>
        <v/>
      </c>
      <c r="AR307" s="647" t="str">
        <f t="shared" si="111"/>
        <v/>
      </c>
      <c r="AS307" s="647" t="str">
        <f t="shared" si="145"/>
        <v/>
      </c>
      <c r="AT307" s="647" t="str">
        <f t="shared" si="115"/>
        <v/>
      </c>
      <c r="AU307" s="647" t="str">
        <f t="shared" si="116"/>
        <v/>
      </c>
      <c r="AV307" s="647" t="str">
        <f t="shared" si="109"/>
        <v/>
      </c>
      <c r="AW307" s="647" t="str">
        <f t="shared" si="146"/>
        <v/>
      </c>
      <c r="AX307" s="647" t="str">
        <f t="shared" si="147"/>
        <v/>
      </c>
      <c r="AY307" s="647" t="str">
        <f t="shared" si="148"/>
        <v/>
      </c>
      <c r="AZ307" s="647" t="str">
        <f t="shared" si="110"/>
        <v/>
      </c>
      <c r="BA307" s="647" t="str">
        <f t="shared" si="149"/>
        <v/>
      </c>
    </row>
    <row r="308" spans="2:53" s="7" customFormat="1" ht="28.5" hidden="1" customHeight="1" outlineLevel="1">
      <c r="B308" s="64"/>
      <c r="C308" s="649">
        <v>292</v>
      </c>
      <c r="D308" s="1855"/>
      <c r="E308" s="1856"/>
      <c r="F308" s="1856"/>
      <c r="G308" s="1856"/>
      <c r="H308" s="1856"/>
      <c r="I308" s="1856"/>
      <c r="J308" s="1856"/>
      <c r="K308" s="1857"/>
      <c r="L308" s="643" t="str">
        <f t="shared" si="107"/>
        <v/>
      </c>
      <c r="M308" s="664"/>
      <c r="N308" s="665"/>
      <c r="O308" s="267"/>
      <c r="P308" s="666"/>
      <c r="Q308" s="667"/>
      <c r="R308" s="667"/>
      <c r="S308" s="1035"/>
      <c r="T308" s="668"/>
      <c r="U308" s="668"/>
      <c r="V308" s="668"/>
      <c r="W308" s="668"/>
      <c r="X308" s="669"/>
      <c r="Y308" s="670"/>
      <c r="Z308" s="671"/>
      <c r="AA308" s="644"/>
      <c r="AB308" s="978"/>
      <c r="AC308" s="992"/>
      <c r="AD308" s="89"/>
      <c r="AE308" s="89"/>
      <c r="AF308" s="645" t="str">
        <f t="shared" si="112"/>
        <v/>
      </c>
      <c r="AG308" s="1037" t="str">
        <f t="shared" si="113"/>
        <v/>
      </c>
      <c r="AH308" s="1037" t="str">
        <f t="shared" si="114"/>
        <v/>
      </c>
      <c r="AI308" s="1037" t="str">
        <f>IF(AF308="","",VLOOKUP(AF308,リスト!BD:BE,2,0))</f>
        <v/>
      </c>
      <c r="AJ308" s="1037" t="str">
        <f t="shared" si="139"/>
        <v/>
      </c>
      <c r="AK308" s="1037" t="str">
        <f>IF(AJ308="","",VLOOKUP(AJ308,リスト!BW:BX,2,0))</f>
        <v/>
      </c>
      <c r="AL308" s="1037" t="str">
        <f t="shared" si="108"/>
        <v/>
      </c>
      <c r="AM308" s="646" t="str">
        <f t="shared" si="140"/>
        <v/>
      </c>
      <c r="AN308" s="646" t="str">
        <f t="shared" si="141"/>
        <v/>
      </c>
      <c r="AO308" s="647" t="str">
        <f t="shared" si="142"/>
        <v/>
      </c>
      <c r="AP308" s="647" t="str">
        <f t="shared" si="143"/>
        <v/>
      </c>
      <c r="AQ308" s="647" t="str">
        <f t="shared" si="144"/>
        <v/>
      </c>
      <c r="AR308" s="647" t="str">
        <f t="shared" si="111"/>
        <v/>
      </c>
      <c r="AS308" s="647" t="str">
        <f t="shared" si="145"/>
        <v/>
      </c>
      <c r="AT308" s="647" t="str">
        <f t="shared" si="115"/>
        <v/>
      </c>
      <c r="AU308" s="647" t="str">
        <f t="shared" si="116"/>
        <v/>
      </c>
      <c r="AV308" s="647" t="str">
        <f t="shared" si="109"/>
        <v/>
      </c>
      <c r="AW308" s="647" t="str">
        <f t="shared" si="146"/>
        <v/>
      </c>
      <c r="AX308" s="647" t="str">
        <f t="shared" si="147"/>
        <v/>
      </c>
      <c r="AY308" s="647" t="str">
        <f t="shared" si="148"/>
        <v/>
      </c>
      <c r="AZ308" s="647" t="str">
        <f t="shared" si="110"/>
        <v/>
      </c>
      <c r="BA308" s="647" t="str">
        <f t="shared" si="149"/>
        <v/>
      </c>
    </row>
    <row r="309" spans="2:53" s="7" customFormat="1" ht="28.5" hidden="1" customHeight="1" outlineLevel="1">
      <c r="B309" s="64"/>
      <c r="C309" s="649">
        <v>293</v>
      </c>
      <c r="D309" s="1855"/>
      <c r="E309" s="1856"/>
      <c r="F309" s="1856"/>
      <c r="G309" s="1856"/>
      <c r="H309" s="1856"/>
      <c r="I309" s="1856"/>
      <c r="J309" s="1856"/>
      <c r="K309" s="1857"/>
      <c r="L309" s="643" t="str">
        <f t="shared" si="107"/>
        <v/>
      </c>
      <c r="M309" s="664"/>
      <c r="N309" s="665"/>
      <c r="O309" s="267"/>
      <c r="P309" s="666"/>
      <c r="Q309" s="667"/>
      <c r="R309" s="667"/>
      <c r="S309" s="1035"/>
      <c r="T309" s="668"/>
      <c r="U309" s="668"/>
      <c r="V309" s="668"/>
      <c r="W309" s="668"/>
      <c r="X309" s="669"/>
      <c r="Y309" s="670"/>
      <c r="Z309" s="671"/>
      <c r="AA309" s="644"/>
      <c r="AB309" s="978"/>
      <c r="AC309" s="992"/>
      <c r="AD309" s="89"/>
      <c r="AE309" s="89"/>
      <c r="AF309" s="645" t="str">
        <f t="shared" si="112"/>
        <v/>
      </c>
      <c r="AG309" s="1037" t="str">
        <f t="shared" si="113"/>
        <v/>
      </c>
      <c r="AH309" s="1037" t="str">
        <f t="shared" si="114"/>
        <v/>
      </c>
      <c r="AI309" s="1037" t="str">
        <f>IF(AF309="","",VLOOKUP(AF309,リスト!BD:BE,2,0))</f>
        <v/>
      </c>
      <c r="AJ309" s="1037" t="str">
        <f t="shared" si="2"/>
        <v/>
      </c>
      <c r="AK309" s="1037" t="str">
        <f>IF(AJ309="","",VLOOKUP(AJ309,リスト!BW:BX,2,0))</f>
        <v/>
      </c>
      <c r="AL309" s="1037" t="str">
        <f t="shared" si="108"/>
        <v/>
      </c>
      <c r="AM309" s="646" t="str">
        <f t="shared" si="4"/>
        <v/>
      </c>
      <c r="AN309" s="646" t="str">
        <f t="shared" si="5"/>
        <v/>
      </c>
      <c r="AO309" s="647" t="str">
        <f t="shared" si="6"/>
        <v/>
      </c>
      <c r="AP309" s="647" t="str">
        <f t="shared" si="7"/>
        <v/>
      </c>
      <c r="AQ309" s="647" t="str">
        <f t="shared" si="8"/>
        <v/>
      </c>
      <c r="AR309" s="647" t="str">
        <f t="shared" si="111"/>
        <v/>
      </c>
      <c r="AS309" s="647" t="str">
        <f t="shared" si="9"/>
        <v/>
      </c>
      <c r="AT309" s="647" t="str">
        <f t="shared" si="115"/>
        <v/>
      </c>
      <c r="AU309" s="647" t="str">
        <f t="shared" si="116"/>
        <v/>
      </c>
      <c r="AV309" s="647" t="str">
        <f t="shared" si="109"/>
        <v/>
      </c>
      <c r="AW309" s="647" t="str">
        <f t="shared" si="11"/>
        <v/>
      </c>
      <c r="AX309" s="647" t="str">
        <f t="shared" si="12"/>
        <v/>
      </c>
      <c r="AY309" s="647" t="str">
        <f t="shared" si="13"/>
        <v/>
      </c>
      <c r="AZ309" s="647" t="str">
        <f t="shared" si="110"/>
        <v/>
      </c>
      <c r="BA309" s="647" t="str">
        <f t="shared" si="15"/>
        <v/>
      </c>
    </row>
    <row r="310" spans="2:53" s="7" customFormat="1" ht="28.5" hidden="1" customHeight="1" outlineLevel="1">
      <c r="B310" s="64"/>
      <c r="C310" s="649">
        <v>294</v>
      </c>
      <c r="D310" s="1855"/>
      <c r="E310" s="1856"/>
      <c r="F310" s="1856"/>
      <c r="G310" s="1856"/>
      <c r="H310" s="1856"/>
      <c r="I310" s="1856"/>
      <c r="J310" s="1856"/>
      <c r="K310" s="1857"/>
      <c r="L310" s="643" t="str">
        <f t="shared" si="107"/>
        <v/>
      </c>
      <c r="M310" s="664"/>
      <c r="N310" s="665"/>
      <c r="O310" s="267"/>
      <c r="P310" s="666"/>
      <c r="Q310" s="667"/>
      <c r="R310" s="667"/>
      <c r="S310" s="1035"/>
      <c r="T310" s="668"/>
      <c r="U310" s="668"/>
      <c r="V310" s="668"/>
      <c r="W310" s="668"/>
      <c r="X310" s="669"/>
      <c r="Y310" s="670"/>
      <c r="Z310" s="671"/>
      <c r="AA310" s="644"/>
      <c r="AB310" s="978"/>
      <c r="AC310" s="992"/>
      <c r="AD310" s="89"/>
      <c r="AE310" s="89"/>
      <c r="AF310" s="645" t="str">
        <f t="shared" si="112"/>
        <v/>
      </c>
      <c r="AG310" s="1037" t="str">
        <f t="shared" si="113"/>
        <v/>
      </c>
      <c r="AH310" s="1037" t="str">
        <f t="shared" si="114"/>
        <v/>
      </c>
      <c r="AI310" s="1037" t="str">
        <f>IF(AF310="","",VLOOKUP(AF310,リスト!BD:BE,2,0))</f>
        <v/>
      </c>
      <c r="AJ310" s="1037" t="str">
        <f t="shared" ref="AJ310" si="150">IF(AH310=1,3,IF(P310="2：中古",MIN(AI310,Q310),IF(N310="[8]その他",MIN(AI310,Q310),AI310)))</f>
        <v/>
      </c>
      <c r="AK310" s="1037" t="str">
        <f>IF(AJ310="","",VLOOKUP(AJ310,リスト!BW:BX,2,0))</f>
        <v/>
      </c>
      <c r="AL310" s="1037" t="str">
        <f t="shared" si="108"/>
        <v/>
      </c>
      <c r="AM310" s="646" t="str">
        <f t="shared" ref="AM310" si="151">IF(OR(AF310="",AG310=1),"",
IF(AND(AJ310&gt;0,AL310&lt;AJ310,AN310&lt;=ROUND((T310-1)*AK310,0)),ROUND(AN310*IF(Y310="2：部分取り壊し",IFERROR(1-(AC310/O310),1),1),0),
IF(AND(AJ310&gt;0,AL310&lt;AJ310),ROUND((T310-1)*AK310*IF(Y310="2：部分取り壊し",IFERROR(1-(AC310/O310),1),1),0),
"")))</f>
        <v/>
      </c>
      <c r="AN310" s="646" t="str">
        <f t="shared" ref="AN310" si="152">IF(OR(AF310="",AG310=1),"",
IF(AND(AJ310&gt;0,AL310&lt;AJ310),T310-ROUND((T310-1)*AK310*AL310,0),1
))</f>
        <v/>
      </c>
      <c r="AO310" s="647" t="str">
        <f t="shared" ref="AO310" si="153">IF(OR(AF310="",AG310=1),"",
IF(Y310="",AM310,
IF(Y310="1：取り壊し",SUM(AN310,Z310),
IF(Y310="3：売　却",AN310-Z310,
IF(AND(Y310="2：部分取り壊し",AN310&gt;1),SUM(ROUND(AN310*(AC310/O310),0),Z310,AM310),
IF(AND(Z310="",AM310=""),"",SUM(Z310,AM310)))))))</f>
        <v/>
      </c>
      <c r="AP310" s="647" t="str">
        <f t="shared" ref="AP310" si="154">IF(AND(AO310="",AM310=""),"",
IF(OR(Y310="1：取り壊し",Y310="2：部分取り壊し",Y310="3：売　却"),SUM(AO310)-SUM(AM310),""))</f>
        <v/>
      </c>
      <c r="AQ310" s="647" t="str">
        <f t="shared" ref="AQ310" si="155">IF(OR(AG310=1,U310=""),"",
IF(AND(AJ310&gt;0,U310&gt;0,AL310&lt;AJ310),U310-ROUND(U310*AK310*AL310,0),""
))</f>
        <v/>
      </c>
      <c r="AR310" s="647" t="str">
        <f t="shared" si="111"/>
        <v/>
      </c>
      <c r="AS310" s="647" t="str">
        <f t="shared" ref="AS310" si="156">IF(Y310="2：部分取り壊し",O310-AC310,"")</f>
        <v/>
      </c>
      <c r="AT310" s="647" t="str">
        <f t="shared" si="115"/>
        <v/>
      </c>
      <c r="AU310" s="647" t="str">
        <f t="shared" si="116"/>
        <v/>
      </c>
      <c r="AV310" s="647" t="str">
        <f t="shared" si="109"/>
        <v/>
      </c>
      <c r="AW310" s="647" t="str">
        <f t="shared" ref="AW310" si="157">IF(X310="","",IF(AO310="","",ROUND(AO310*X310%,0)))</f>
        <v/>
      </c>
      <c r="AX310" s="647" t="str">
        <f t="shared" ref="AX310" si="158">IF(X310="","",IF(AP310="","",ROUND(AP310*X310%,0)))</f>
        <v/>
      </c>
      <c r="AY310" s="647" t="str">
        <f t="shared" ref="AY310" si="159">IF(X310="","",IF(AN310="","",ROUND(AN310*X310%,0)))</f>
        <v/>
      </c>
      <c r="AZ310" s="647" t="str">
        <f t="shared" si="110"/>
        <v/>
      </c>
      <c r="BA310" s="647" t="str">
        <f t="shared" ref="BA310" si="160">IF(X310="","",IF(W310="","",ROUND(W310*X310%,0)))</f>
        <v/>
      </c>
    </row>
    <row r="311" spans="2:53" s="7" customFormat="1" ht="28.5" hidden="1" customHeight="1" outlineLevel="1">
      <c r="B311" s="64"/>
      <c r="C311" s="649">
        <v>295</v>
      </c>
      <c r="D311" s="1855"/>
      <c r="E311" s="1856"/>
      <c r="F311" s="1856"/>
      <c r="G311" s="1856"/>
      <c r="H311" s="1856"/>
      <c r="I311" s="1856"/>
      <c r="J311" s="1856"/>
      <c r="K311" s="1857"/>
      <c r="L311" s="643" t="str">
        <f t="shared" si="107"/>
        <v/>
      </c>
      <c r="M311" s="664"/>
      <c r="N311" s="665"/>
      <c r="O311" s="267"/>
      <c r="P311" s="666"/>
      <c r="Q311" s="667"/>
      <c r="R311" s="667"/>
      <c r="S311" s="1035"/>
      <c r="T311" s="668"/>
      <c r="U311" s="668"/>
      <c r="V311" s="668"/>
      <c r="W311" s="668"/>
      <c r="X311" s="669"/>
      <c r="Y311" s="670"/>
      <c r="Z311" s="671"/>
      <c r="AA311" s="644"/>
      <c r="AB311" s="978"/>
      <c r="AC311" s="992"/>
      <c r="AD311" s="89"/>
      <c r="AE311" s="89"/>
      <c r="AF311" s="645" t="str">
        <f t="shared" si="112"/>
        <v/>
      </c>
      <c r="AG311" s="1037" t="str">
        <f t="shared" si="113"/>
        <v/>
      </c>
      <c r="AH311" s="1037" t="str">
        <f t="shared" si="114"/>
        <v/>
      </c>
      <c r="AI311" s="1037" t="str">
        <f>IF(AF311="","",VLOOKUP(AF311,リスト!BD:BE,2,0))</f>
        <v/>
      </c>
      <c r="AJ311" s="1037" t="str">
        <f t="shared" si="2"/>
        <v/>
      </c>
      <c r="AK311" s="1037" t="str">
        <f>IF(AJ311="","",VLOOKUP(AJ311,リスト!BW:BX,2,0))</f>
        <v/>
      </c>
      <c r="AL311" s="1037" t="str">
        <f t="shared" si="108"/>
        <v/>
      </c>
      <c r="AM311" s="646" t="str">
        <f t="shared" si="4"/>
        <v/>
      </c>
      <c r="AN311" s="646" t="str">
        <f t="shared" si="5"/>
        <v/>
      </c>
      <c r="AO311" s="647" t="str">
        <f t="shared" si="6"/>
        <v/>
      </c>
      <c r="AP311" s="647" t="str">
        <f t="shared" si="7"/>
        <v/>
      </c>
      <c r="AQ311" s="647" t="str">
        <f t="shared" si="8"/>
        <v/>
      </c>
      <c r="AR311" s="647" t="str">
        <f t="shared" si="111"/>
        <v/>
      </c>
      <c r="AS311" s="647" t="str">
        <f t="shared" si="9"/>
        <v/>
      </c>
      <c r="AT311" s="647" t="str">
        <f t="shared" si="115"/>
        <v/>
      </c>
      <c r="AU311" s="647" t="str">
        <f t="shared" si="116"/>
        <v/>
      </c>
      <c r="AV311" s="647" t="str">
        <f t="shared" si="109"/>
        <v/>
      </c>
      <c r="AW311" s="647" t="str">
        <f t="shared" si="11"/>
        <v/>
      </c>
      <c r="AX311" s="647" t="str">
        <f t="shared" si="12"/>
        <v/>
      </c>
      <c r="AY311" s="647" t="str">
        <f t="shared" si="13"/>
        <v/>
      </c>
      <c r="AZ311" s="647" t="str">
        <f t="shared" si="110"/>
        <v/>
      </c>
      <c r="BA311" s="647" t="str">
        <f t="shared" si="15"/>
        <v/>
      </c>
    </row>
    <row r="312" spans="2:53" s="7" customFormat="1" ht="28.5" hidden="1" customHeight="1" outlineLevel="1">
      <c r="B312" s="64"/>
      <c r="C312" s="649">
        <v>296</v>
      </c>
      <c r="D312" s="1855"/>
      <c r="E312" s="1856"/>
      <c r="F312" s="1856"/>
      <c r="G312" s="1856"/>
      <c r="H312" s="1856"/>
      <c r="I312" s="1856"/>
      <c r="J312" s="1856"/>
      <c r="K312" s="1857"/>
      <c r="L312" s="643" t="str">
        <f t="shared" si="107"/>
        <v/>
      </c>
      <c r="M312" s="664"/>
      <c r="N312" s="665"/>
      <c r="O312" s="267"/>
      <c r="P312" s="666"/>
      <c r="Q312" s="667"/>
      <c r="R312" s="667"/>
      <c r="S312" s="1035"/>
      <c r="T312" s="668"/>
      <c r="U312" s="668"/>
      <c r="V312" s="668"/>
      <c r="W312" s="668"/>
      <c r="X312" s="669"/>
      <c r="Y312" s="670"/>
      <c r="Z312" s="671"/>
      <c r="AA312" s="644"/>
      <c r="AB312" s="978"/>
      <c r="AC312" s="992"/>
      <c r="AD312" s="89"/>
      <c r="AE312" s="89"/>
      <c r="AF312" s="645" t="str">
        <f t="shared" si="112"/>
        <v/>
      </c>
      <c r="AG312" s="1037" t="str">
        <f t="shared" si="113"/>
        <v/>
      </c>
      <c r="AH312" s="1037" t="str">
        <f t="shared" si="114"/>
        <v/>
      </c>
      <c r="AI312" s="1037" t="str">
        <f>IF(AF312="","",VLOOKUP(AF312,リスト!BD:BE,2,0))</f>
        <v/>
      </c>
      <c r="AJ312" s="1037" t="str">
        <f t="shared" ref="AJ312" si="161">IF(AH312=1,3,IF(P312="2：中古",MIN(AI312,Q312),IF(N312="[8]その他",MIN(AI312,Q312),AI312)))</f>
        <v/>
      </c>
      <c r="AK312" s="1037" t="str">
        <f>IF(AJ312="","",VLOOKUP(AJ312,リスト!BW:BX,2,0))</f>
        <v/>
      </c>
      <c r="AL312" s="1037" t="str">
        <f t="shared" si="108"/>
        <v/>
      </c>
      <c r="AM312" s="646" t="str">
        <f t="shared" ref="AM312" si="162">IF(OR(AF312="",AG312=1),"",
IF(AND(AJ312&gt;0,AL312&lt;AJ312,AN312&lt;=ROUND((T312-1)*AK312,0)),ROUND(AN312*IF(Y312="2：部分取り壊し",IFERROR(1-(AC312/O312),1),1),0),
IF(AND(AJ312&gt;0,AL312&lt;AJ312),ROUND((T312-1)*AK312*IF(Y312="2：部分取り壊し",IFERROR(1-(AC312/O312),1),1),0),
"")))</f>
        <v/>
      </c>
      <c r="AN312" s="646" t="str">
        <f t="shared" ref="AN312" si="163">IF(OR(AF312="",AG312=1),"",
IF(AND(AJ312&gt;0,AL312&lt;AJ312),T312-ROUND((T312-1)*AK312*AL312,0),1
))</f>
        <v/>
      </c>
      <c r="AO312" s="647" t="str">
        <f t="shared" ref="AO312" si="164">IF(OR(AF312="",AG312=1),"",
IF(Y312="",AM312,
IF(Y312="1：取り壊し",SUM(AN312,Z312),
IF(Y312="3：売　却",AN312-Z312,
IF(AND(Y312="2：部分取り壊し",AN312&gt;1),SUM(ROUND(AN312*(AC312/O312),0),Z312,AM312),
IF(AND(Z312="",AM312=""),"",SUM(Z312,AM312)))))))</f>
        <v/>
      </c>
      <c r="AP312" s="647" t="str">
        <f t="shared" ref="AP312" si="165">IF(AND(AO312="",AM312=""),"",
IF(OR(Y312="1：取り壊し",Y312="2：部分取り壊し",Y312="3：売　却"),SUM(AO312)-SUM(AM312),""))</f>
        <v/>
      </c>
      <c r="AQ312" s="647" t="str">
        <f t="shared" ref="AQ312" si="166">IF(OR(AG312=1,U312=""),"",
IF(AND(AJ312&gt;0,U312&gt;0,AL312&lt;AJ312),U312-ROUND(U312*AK312*AL312,0),""
))</f>
        <v/>
      </c>
      <c r="AR312" s="647" t="str">
        <f t="shared" si="111"/>
        <v/>
      </c>
      <c r="AS312" s="647" t="str">
        <f t="shared" ref="AS312" si="167">IF(Y312="2：部分取り壊し",O312-AC312,"")</f>
        <v/>
      </c>
      <c r="AT312" s="647" t="str">
        <f t="shared" si="115"/>
        <v/>
      </c>
      <c r="AU312" s="647" t="str">
        <f t="shared" si="116"/>
        <v/>
      </c>
      <c r="AV312" s="647" t="str">
        <f t="shared" si="109"/>
        <v/>
      </c>
      <c r="AW312" s="647" t="str">
        <f t="shared" ref="AW312" si="168">IF(X312="","",IF(AO312="","",ROUND(AO312*X312%,0)))</f>
        <v/>
      </c>
      <c r="AX312" s="647" t="str">
        <f t="shared" ref="AX312" si="169">IF(X312="","",IF(AP312="","",ROUND(AP312*X312%,0)))</f>
        <v/>
      </c>
      <c r="AY312" s="647" t="str">
        <f t="shared" ref="AY312" si="170">IF(X312="","",IF(AN312="","",ROUND(AN312*X312%,0)))</f>
        <v/>
      </c>
      <c r="AZ312" s="647" t="str">
        <f t="shared" si="110"/>
        <v/>
      </c>
      <c r="BA312" s="647" t="str">
        <f t="shared" ref="BA312" si="171">IF(X312="","",IF(W312="","",ROUND(W312*X312%,0)))</f>
        <v/>
      </c>
    </row>
    <row r="313" spans="2:53" s="7" customFormat="1" ht="28.5" hidden="1" customHeight="1" outlineLevel="1">
      <c r="B313" s="64"/>
      <c r="C313" s="649">
        <v>297</v>
      </c>
      <c r="D313" s="1855"/>
      <c r="E313" s="1856"/>
      <c r="F313" s="1856"/>
      <c r="G313" s="1856"/>
      <c r="H313" s="1856"/>
      <c r="I313" s="1856"/>
      <c r="J313" s="1856"/>
      <c r="K313" s="1857"/>
      <c r="L313" s="643" t="str">
        <f t="shared" si="107"/>
        <v/>
      </c>
      <c r="M313" s="664"/>
      <c r="N313" s="665"/>
      <c r="O313" s="267"/>
      <c r="P313" s="666"/>
      <c r="Q313" s="667"/>
      <c r="R313" s="667"/>
      <c r="S313" s="1035"/>
      <c r="T313" s="668"/>
      <c r="U313" s="668"/>
      <c r="V313" s="668"/>
      <c r="W313" s="668"/>
      <c r="X313" s="669"/>
      <c r="Y313" s="670"/>
      <c r="Z313" s="671"/>
      <c r="AA313" s="644"/>
      <c r="AB313" s="978"/>
      <c r="AC313" s="992"/>
      <c r="AD313" s="89"/>
      <c r="AE313" s="89"/>
      <c r="AF313" s="645" t="str">
        <f t="shared" si="112"/>
        <v/>
      </c>
      <c r="AG313" s="1037" t="str">
        <f t="shared" si="113"/>
        <v/>
      </c>
      <c r="AH313" s="1037" t="str">
        <f t="shared" si="114"/>
        <v/>
      </c>
      <c r="AI313" s="1037" t="str">
        <f>IF(AF313="","",VLOOKUP(AF313,リスト!BD:BE,2,0))</f>
        <v/>
      </c>
      <c r="AJ313" s="1037" t="str">
        <f t="shared" si="2"/>
        <v/>
      </c>
      <c r="AK313" s="1037" t="str">
        <f>IF(AJ313="","",VLOOKUP(AJ313,リスト!BW:BX,2,0))</f>
        <v/>
      </c>
      <c r="AL313" s="1037" t="str">
        <f t="shared" si="108"/>
        <v/>
      </c>
      <c r="AM313" s="646" t="str">
        <f t="shared" si="4"/>
        <v/>
      </c>
      <c r="AN313" s="646" t="str">
        <f t="shared" si="5"/>
        <v/>
      </c>
      <c r="AO313" s="647" t="str">
        <f t="shared" si="6"/>
        <v/>
      </c>
      <c r="AP313" s="647" t="str">
        <f t="shared" si="7"/>
        <v/>
      </c>
      <c r="AQ313" s="647" t="str">
        <f t="shared" si="8"/>
        <v/>
      </c>
      <c r="AR313" s="647" t="str">
        <f t="shared" si="111"/>
        <v/>
      </c>
      <c r="AS313" s="647" t="str">
        <f t="shared" si="9"/>
        <v/>
      </c>
      <c r="AT313" s="647" t="str">
        <f t="shared" si="115"/>
        <v/>
      </c>
      <c r="AU313" s="647" t="str">
        <f t="shared" si="116"/>
        <v/>
      </c>
      <c r="AV313" s="647" t="str">
        <f t="shared" si="109"/>
        <v/>
      </c>
      <c r="AW313" s="647" t="str">
        <f t="shared" si="11"/>
        <v/>
      </c>
      <c r="AX313" s="647" t="str">
        <f t="shared" si="12"/>
        <v/>
      </c>
      <c r="AY313" s="647" t="str">
        <f t="shared" si="13"/>
        <v/>
      </c>
      <c r="AZ313" s="647" t="str">
        <f t="shared" si="110"/>
        <v/>
      </c>
      <c r="BA313" s="647" t="str">
        <f t="shared" si="15"/>
        <v/>
      </c>
    </row>
    <row r="314" spans="2:53" s="52" customFormat="1" ht="28.5" hidden="1" customHeight="1" outlineLevel="1">
      <c r="B314" s="64"/>
      <c r="C314" s="649">
        <v>298</v>
      </c>
      <c r="D314" s="1865"/>
      <c r="E314" s="1866"/>
      <c r="F314" s="1866"/>
      <c r="G314" s="1866"/>
      <c r="H314" s="1866"/>
      <c r="I314" s="1866"/>
      <c r="J314" s="1866"/>
      <c r="K314" s="1867"/>
      <c r="L314" s="643" t="str">
        <f t="shared" si="107"/>
        <v/>
      </c>
      <c r="M314" s="672"/>
      <c r="N314" s="665"/>
      <c r="O314" s="267"/>
      <c r="P314" s="666"/>
      <c r="Q314" s="667"/>
      <c r="R314" s="667"/>
      <c r="S314" s="1035"/>
      <c r="T314" s="668"/>
      <c r="U314" s="668"/>
      <c r="V314" s="668"/>
      <c r="W314" s="668"/>
      <c r="X314" s="669"/>
      <c r="Y314" s="670"/>
      <c r="Z314" s="671"/>
      <c r="AA314" s="644"/>
      <c r="AB314" s="978"/>
      <c r="AC314" s="992"/>
      <c r="AD314" s="89"/>
      <c r="AE314" s="89"/>
      <c r="AF314" s="645" t="str">
        <f t="shared" si="112"/>
        <v/>
      </c>
      <c r="AG314" s="1037" t="str">
        <f t="shared" si="113"/>
        <v/>
      </c>
      <c r="AH314" s="1037" t="str">
        <f t="shared" si="114"/>
        <v/>
      </c>
      <c r="AI314" s="1037" t="str">
        <f>IF(AF314="","",VLOOKUP(AF314,リスト!BD:BE,2,0))</f>
        <v/>
      </c>
      <c r="AJ314" s="1037" t="str">
        <f t="shared" si="2"/>
        <v/>
      </c>
      <c r="AK314" s="1037" t="str">
        <f>IF(AJ314="","",VLOOKUP(AJ314,リスト!BW:BX,2,0))</f>
        <v/>
      </c>
      <c r="AL314" s="1037" t="str">
        <f t="shared" si="108"/>
        <v/>
      </c>
      <c r="AM314" s="646" t="str">
        <f t="shared" si="4"/>
        <v/>
      </c>
      <c r="AN314" s="646" t="str">
        <f t="shared" si="5"/>
        <v/>
      </c>
      <c r="AO314" s="647" t="str">
        <f t="shared" si="6"/>
        <v/>
      </c>
      <c r="AP314" s="647" t="str">
        <f t="shared" si="7"/>
        <v/>
      </c>
      <c r="AQ314" s="647" t="str">
        <f t="shared" si="8"/>
        <v/>
      </c>
      <c r="AR314" s="647" t="str">
        <f t="shared" si="111"/>
        <v/>
      </c>
      <c r="AS314" s="647" t="str">
        <f t="shared" si="9"/>
        <v/>
      </c>
      <c r="AT314" s="647" t="str">
        <f t="shared" si="115"/>
        <v/>
      </c>
      <c r="AU314" s="647" t="str">
        <f t="shared" si="116"/>
        <v/>
      </c>
      <c r="AV314" s="647" t="str">
        <f t="shared" si="109"/>
        <v/>
      </c>
      <c r="AW314" s="647" t="str">
        <f t="shared" si="11"/>
        <v/>
      </c>
      <c r="AX314" s="647" t="str">
        <f t="shared" si="12"/>
        <v/>
      </c>
      <c r="AY314" s="647" t="str">
        <f t="shared" si="13"/>
        <v/>
      </c>
      <c r="AZ314" s="647" t="str">
        <f t="shared" si="110"/>
        <v/>
      </c>
      <c r="BA314" s="647" t="str">
        <f t="shared" si="15"/>
        <v/>
      </c>
    </row>
    <row r="315" spans="2:53" s="651" customFormat="1" ht="28.5" hidden="1" customHeight="1" outlineLevel="1">
      <c r="B315" s="64"/>
      <c r="C315" s="649">
        <v>299</v>
      </c>
      <c r="D315" s="1855"/>
      <c r="E315" s="1856"/>
      <c r="F315" s="1856"/>
      <c r="G315" s="1856"/>
      <c r="H315" s="1856"/>
      <c r="I315" s="1856"/>
      <c r="J315" s="1856"/>
      <c r="K315" s="1857"/>
      <c r="L315" s="643" t="str">
        <f>IF(M315&gt;0,IF(COUNTIF(建築物種類コード,M315),"建築物","構築物"),"")</f>
        <v/>
      </c>
      <c r="M315" s="664"/>
      <c r="N315" s="665"/>
      <c r="O315" s="267"/>
      <c r="P315" s="666"/>
      <c r="Q315" s="667"/>
      <c r="R315" s="667"/>
      <c r="S315" s="1035"/>
      <c r="T315" s="668"/>
      <c r="U315" s="668"/>
      <c r="V315" s="668"/>
      <c r="W315" s="668"/>
      <c r="X315" s="669"/>
      <c r="Y315" s="670"/>
      <c r="Z315" s="671"/>
      <c r="AA315" s="644"/>
      <c r="AB315" s="978"/>
      <c r="AC315" s="992"/>
      <c r="AD315" s="89"/>
      <c r="AE315" s="89"/>
      <c r="AF315" s="645" t="str">
        <f t="shared" si="112"/>
        <v/>
      </c>
      <c r="AG315" s="1037" t="str">
        <f t="shared" si="113"/>
        <v/>
      </c>
      <c r="AH315" s="1037" t="str">
        <f t="shared" si="114"/>
        <v/>
      </c>
      <c r="AI315" s="1037" t="str">
        <f>IF(AF315="","",VLOOKUP(AF315,リスト!BD:BE,2,0))</f>
        <v/>
      </c>
      <c r="AJ315" s="1037" t="str">
        <f t="shared" si="2"/>
        <v/>
      </c>
      <c r="AK315" s="1037" t="str">
        <f>IF(AJ315="","",VLOOKUP(AJ315,リスト!BW:BX,2,0))</f>
        <v/>
      </c>
      <c r="AL315" s="1037" t="str">
        <f t="shared" si="108"/>
        <v/>
      </c>
      <c r="AM315" s="646" t="str">
        <f t="shared" si="4"/>
        <v/>
      </c>
      <c r="AN315" s="646" t="str">
        <f t="shared" si="5"/>
        <v/>
      </c>
      <c r="AO315" s="647" t="str">
        <f t="shared" si="6"/>
        <v/>
      </c>
      <c r="AP315" s="647" t="str">
        <f t="shared" si="7"/>
        <v/>
      </c>
      <c r="AQ315" s="647" t="str">
        <f t="shared" si="8"/>
        <v/>
      </c>
      <c r="AR315" s="647" t="str">
        <f t="shared" si="111"/>
        <v/>
      </c>
      <c r="AS315" s="647" t="str">
        <f t="shared" si="9"/>
        <v/>
      </c>
      <c r="AT315" s="647" t="str">
        <f t="shared" si="115"/>
        <v/>
      </c>
      <c r="AU315" s="647" t="str">
        <f t="shared" si="116"/>
        <v/>
      </c>
      <c r="AV315" s="647" t="str">
        <f t="shared" si="109"/>
        <v/>
      </c>
      <c r="AW315" s="647" t="str">
        <f t="shared" si="11"/>
        <v/>
      </c>
      <c r="AX315" s="647" t="str">
        <f t="shared" si="12"/>
        <v/>
      </c>
      <c r="AY315" s="647" t="str">
        <f t="shared" si="13"/>
        <v/>
      </c>
      <c r="AZ315" s="647" t="str">
        <f t="shared" si="110"/>
        <v/>
      </c>
      <c r="BA315" s="647" t="str">
        <f t="shared" si="15"/>
        <v/>
      </c>
    </row>
    <row r="316" spans="2:53" s="651" customFormat="1" ht="28.5" hidden="1" customHeight="1" outlineLevel="1" thickBot="1">
      <c r="B316" s="65"/>
      <c r="C316" s="652">
        <v>300</v>
      </c>
      <c r="D316" s="1858"/>
      <c r="E316" s="1859"/>
      <c r="F316" s="1859"/>
      <c r="G316" s="1859"/>
      <c r="H316" s="1859"/>
      <c r="I316" s="1859"/>
      <c r="J316" s="1859"/>
      <c r="K316" s="1860"/>
      <c r="L316" s="653" t="str">
        <f>IF(M316&gt;0,IF(COUNTIF(建築物種類コード,M316),"建築物","構築物"),"")</f>
        <v/>
      </c>
      <c r="M316" s="690"/>
      <c r="N316" s="691"/>
      <c r="O316" s="123"/>
      <c r="P316" s="692"/>
      <c r="Q316" s="693"/>
      <c r="R316" s="693"/>
      <c r="S316" s="1036"/>
      <c r="T316" s="694"/>
      <c r="U316" s="694"/>
      <c r="V316" s="694"/>
      <c r="W316" s="694"/>
      <c r="X316" s="695"/>
      <c r="Y316" s="696"/>
      <c r="Z316" s="697"/>
      <c r="AA316" s="644"/>
      <c r="AB316" s="978"/>
      <c r="AC316" s="993"/>
      <c r="AD316" s="89"/>
      <c r="AE316" s="89"/>
      <c r="AF316" s="645" t="str">
        <f t="shared" si="112"/>
        <v/>
      </c>
      <c r="AG316" s="1037" t="str">
        <f t="shared" si="113"/>
        <v/>
      </c>
      <c r="AH316" s="1037" t="str">
        <f t="shared" si="114"/>
        <v/>
      </c>
      <c r="AI316" s="1037" t="str">
        <f>IF(AF316="","",VLOOKUP(AF316,リスト!BD:BE,2,0))</f>
        <v/>
      </c>
      <c r="AJ316" s="1037" t="str">
        <f t="shared" si="2"/>
        <v/>
      </c>
      <c r="AK316" s="1037" t="str">
        <f>IF(AJ316="","",VLOOKUP(AJ316,リスト!BW:BX,2,0))</f>
        <v/>
      </c>
      <c r="AL316" s="1037" t="str">
        <f t="shared" si="108"/>
        <v/>
      </c>
      <c r="AM316" s="646" t="str">
        <f t="shared" si="4"/>
        <v/>
      </c>
      <c r="AN316" s="646" t="str">
        <f t="shared" si="5"/>
        <v/>
      </c>
      <c r="AO316" s="647" t="str">
        <f t="shared" si="6"/>
        <v/>
      </c>
      <c r="AP316" s="647" t="str">
        <f t="shared" si="7"/>
        <v/>
      </c>
      <c r="AQ316" s="647" t="str">
        <f t="shared" si="8"/>
        <v/>
      </c>
      <c r="AR316" s="647" t="str">
        <f t="shared" si="111"/>
        <v/>
      </c>
      <c r="AS316" s="647" t="str">
        <f t="shared" si="9"/>
        <v/>
      </c>
      <c r="AT316" s="647" t="str">
        <f t="shared" si="115"/>
        <v/>
      </c>
      <c r="AU316" s="647" t="str">
        <f t="shared" si="116"/>
        <v/>
      </c>
      <c r="AV316" s="647" t="str">
        <f t="shared" si="109"/>
        <v/>
      </c>
      <c r="AW316" s="647" t="str">
        <f t="shared" si="11"/>
        <v/>
      </c>
      <c r="AX316" s="647" t="str">
        <f t="shared" si="12"/>
        <v/>
      </c>
      <c r="AY316" s="647" t="str">
        <f t="shared" si="13"/>
        <v/>
      </c>
      <c r="AZ316" s="647" t="str">
        <f t="shared" si="110"/>
        <v/>
      </c>
      <c r="BA316" s="647" t="str">
        <f t="shared" si="15"/>
        <v/>
      </c>
    </row>
    <row r="317" spans="2:53" s="651" customFormat="1" ht="14.25" customHeight="1">
      <c r="B317" s="65"/>
      <c r="C317" s="89"/>
      <c r="D317" s="89"/>
      <c r="E317" s="89"/>
      <c r="F317" s="89"/>
      <c r="G317" s="89"/>
      <c r="H317" s="89"/>
      <c r="I317" s="89"/>
      <c r="J317" s="89"/>
      <c r="K317" s="89"/>
      <c r="L317" s="89"/>
      <c r="M317" s="89"/>
      <c r="N317" s="89"/>
      <c r="O317" s="89"/>
      <c r="P317" s="89"/>
      <c r="Q317" s="89"/>
      <c r="R317" s="89"/>
      <c r="S317" s="89"/>
      <c r="T317" s="89"/>
      <c r="U317" s="89"/>
      <c r="V317" s="89"/>
      <c r="W317" s="89"/>
      <c r="X317" s="89"/>
      <c r="Y317" s="89"/>
      <c r="Z317" s="89"/>
      <c r="AA317" s="89"/>
      <c r="AB317" s="617"/>
      <c r="AC317" s="89"/>
      <c r="AD317" s="89"/>
      <c r="AE317" s="89"/>
      <c r="AF317" s="89"/>
      <c r="AG317" s="89"/>
      <c r="AH317" s="89"/>
      <c r="AI317" s="89"/>
      <c r="AJ317" s="89"/>
      <c r="AK317" s="89"/>
      <c r="AL317" s="89"/>
      <c r="AM317" s="89"/>
      <c r="AN317" s="89"/>
      <c r="AO317" s="89"/>
      <c r="AP317" s="89"/>
      <c r="AQ317" s="89"/>
      <c r="AR317" s="89"/>
      <c r="AS317" s="89"/>
      <c r="AT317" s="89"/>
      <c r="AU317" s="89"/>
      <c r="AV317" s="89"/>
      <c r="AW317" s="89"/>
      <c r="AX317" s="89"/>
      <c r="AY317" s="89"/>
      <c r="AZ317" s="89"/>
      <c r="BA317" s="89"/>
    </row>
    <row r="318" spans="2:53" s="651" customFormat="1" ht="14.25" customHeight="1">
      <c r="B318" s="65"/>
      <c r="C318" s="89"/>
      <c r="D318" s="89"/>
      <c r="E318" s="89"/>
      <c r="F318" s="89"/>
      <c r="G318" s="89"/>
      <c r="H318" s="89"/>
      <c r="I318" s="89"/>
      <c r="J318" s="89"/>
      <c r="K318" s="89"/>
      <c r="L318" s="89"/>
      <c r="M318" s="89"/>
      <c r="N318" s="89"/>
      <c r="O318" s="89"/>
      <c r="P318" s="89"/>
      <c r="Q318" s="89"/>
      <c r="R318" s="89"/>
      <c r="S318" s="89"/>
      <c r="T318" s="89"/>
      <c r="U318" s="89"/>
      <c r="V318" s="89"/>
      <c r="W318" s="89"/>
      <c r="X318" s="89"/>
      <c r="Y318" s="89"/>
      <c r="Z318" s="89"/>
      <c r="AA318" s="89"/>
      <c r="AB318" s="617"/>
      <c r="AC318" s="89"/>
      <c r="AD318" s="89"/>
      <c r="AE318" s="89"/>
      <c r="AF318" s="89"/>
      <c r="AG318" s="89"/>
      <c r="AH318" s="89"/>
      <c r="AI318" s="89"/>
      <c r="AJ318" s="89"/>
      <c r="AK318" s="89"/>
      <c r="AL318" s="89"/>
      <c r="AM318" s="89"/>
      <c r="AN318" s="89"/>
      <c r="AO318" s="89"/>
      <c r="AP318" s="89"/>
      <c r="AQ318" s="89"/>
      <c r="AR318" s="89"/>
      <c r="AS318" s="89"/>
      <c r="AT318" s="89"/>
      <c r="AU318" s="89"/>
      <c r="AV318" s="89"/>
      <c r="AW318" s="89"/>
      <c r="AX318" s="89"/>
      <c r="AY318" s="89"/>
      <c r="AZ318" s="89"/>
      <c r="BA318" s="89"/>
    </row>
    <row r="319" spans="2:53" s="90" customFormat="1" ht="14.25" customHeight="1">
      <c r="B319" s="91"/>
      <c r="C319" s="92"/>
      <c r="D319" s="92"/>
      <c r="E319" s="92"/>
      <c r="F319" s="92"/>
      <c r="G319" s="92"/>
      <c r="H319" s="92"/>
      <c r="I319" s="92"/>
      <c r="J319" s="92"/>
      <c r="K319" s="92"/>
      <c r="L319" s="92"/>
      <c r="M319" s="92"/>
      <c r="N319" s="92"/>
      <c r="O319" s="92"/>
      <c r="P319" s="92"/>
      <c r="Q319" s="92"/>
      <c r="R319" s="92"/>
      <c r="S319" s="92"/>
      <c r="T319" s="92"/>
      <c r="U319" s="92"/>
      <c r="V319" s="92"/>
      <c r="Y319" s="92"/>
      <c r="Z319" s="92"/>
      <c r="AB319" s="979"/>
    </row>
    <row r="320" spans="2:53" s="90" customFormat="1" ht="14.25" customHeight="1">
      <c r="B320" s="94"/>
      <c r="C320" s="92"/>
      <c r="D320" s="92"/>
      <c r="E320" s="92"/>
      <c r="F320" s="92"/>
      <c r="G320" s="92"/>
      <c r="H320" s="92"/>
      <c r="I320" s="92"/>
      <c r="J320" s="92"/>
      <c r="K320" s="92"/>
      <c r="L320" s="92"/>
      <c r="M320" s="92"/>
      <c r="N320" s="92"/>
      <c r="O320" s="92"/>
      <c r="P320" s="92"/>
      <c r="Q320" s="92"/>
      <c r="R320" s="92"/>
      <c r="S320" s="92"/>
      <c r="T320" s="92"/>
      <c r="U320" s="92"/>
      <c r="V320" s="92"/>
      <c r="Y320" s="92"/>
      <c r="Z320" s="654"/>
      <c r="AB320" s="979"/>
    </row>
    <row r="321" spans="2:53" s="90" customFormat="1" ht="14.25" customHeight="1">
      <c r="B321" s="94"/>
      <c r="C321" s="95"/>
      <c r="D321" s="92"/>
      <c r="E321" s="92"/>
      <c r="F321" s="92"/>
      <c r="G321" s="92"/>
      <c r="H321" s="92"/>
      <c r="I321" s="92"/>
      <c r="J321" s="92"/>
      <c r="K321" s="95"/>
      <c r="L321" s="92"/>
      <c r="M321" s="92"/>
      <c r="N321" s="92"/>
      <c r="O321" s="92"/>
      <c r="P321" s="92"/>
      <c r="Q321" s="92"/>
      <c r="R321" s="92"/>
      <c r="S321" s="92"/>
      <c r="T321" s="92"/>
      <c r="U321" s="93"/>
      <c r="V321" s="93"/>
      <c r="Y321" s="92"/>
      <c r="Z321" s="654"/>
      <c r="AB321" s="979"/>
    </row>
    <row r="322" spans="2:53" s="90" customFormat="1" ht="14.25" customHeight="1">
      <c r="B322" s="94"/>
      <c r="C322" s="95"/>
      <c r="D322" s="92"/>
      <c r="E322" s="92"/>
      <c r="F322" s="92"/>
      <c r="G322" s="92"/>
      <c r="H322" s="92"/>
      <c r="I322" s="92"/>
      <c r="J322" s="92"/>
      <c r="K322" s="95"/>
      <c r="L322" s="92"/>
      <c r="M322" s="92"/>
      <c r="N322" s="92"/>
      <c r="O322" s="92"/>
      <c r="P322" s="92"/>
      <c r="Q322" s="92"/>
      <c r="R322" s="92"/>
      <c r="S322" s="92"/>
      <c r="T322" s="93"/>
      <c r="U322" s="92"/>
      <c r="V322" s="92"/>
      <c r="Y322" s="92"/>
      <c r="Z322" s="654"/>
      <c r="AB322" s="979"/>
    </row>
    <row r="323" spans="2:53" s="90" customFormat="1" ht="14.25" customHeight="1">
      <c r="B323" s="94"/>
      <c r="C323" s="95"/>
      <c r="D323" s="92"/>
      <c r="E323" s="92"/>
      <c r="F323" s="92"/>
      <c r="G323" s="92"/>
      <c r="H323" s="92"/>
      <c r="I323" s="92"/>
      <c r="J323" s="92"/>
      <c r="K323" s="95"/>
      <c r="L323" s="92"/>
      <c r="M323" s="92"/>
      <c r="N323" s="92"/>
      <c r="O323" s="92"/>
      <c r="P323" s="92"/>
      <c r="Q323" s="92"/>
      <c r="R323" s="92"/>
      <c r="S323" s="92"/>
      <c r="T323" s="93"/>
      <c r="U323" s="92"/>
      <c r="V323" s="92"/>
      <c r="Z323" s="96"/>
      <c r="AB323" s="979"/>
    </row>
    <row r="324" spans="2:53" s="90" customFormat="1" ht="14.25" customHeight="1">
      <c r="B324" s="94"/>
      <c r="C324" s="95"/>
      <c r="D324" s="92"/>
      <c r="E324" s="92"/>
      <c r="F324" s="92"/>
      <c r="G324" s="92"/>
      <c r="H324" s="92"/>
      <c r="I324" s="92"/>
      <c r="J324" s="92"/>
      <c r="K324" s="95"/>
      <c r="L324" s="92"/>
      <c r="M324" s="92"/>
      <c r="N324" s="92"/>
      <c r="O324" s="92"/>
      <c r="P324" s="92"/>
      <c r="Q324" s="92"/>
      <c r="R324" s="92"/>
      <c r="S324" s="92"/>
      <c r="T324" s="93"/>
      <c r="U324" s="92"/>
      <c r="V324" s="89"/>
      <c r="Z324" s="96"/>
      <c r="AB324" s="979"/>
    </row>
    <row r="325" spans="2:53" s="90" customFormat="1" ht="14.25" customHeight="1">
      <c r="B325" s="94"/>
      <c r="C325" s="92"/>
      <c r="D325" s="92"/>
      <c r="E325" s="92"/>
      <c r="F325" s="92"/>
      <c r="G325" s="92"/>
      <c r="H325" s="92"/>
      <c r="I325" s="92"/>
      <c r="J325" s="92"/>
      <c r="K325" s="92"/>
      <c r="L325" s="92"/>
      <c r="M325" s="92"/>
      <c r="N325" s="92"/>
      <c r="O325" s="92"/>
      <c r="P325" s="92"/>
      <c r="Q325" s="92"/>
      <c r="R325" s="92"/>
      <c r="S325" s="92"/>
      <c r="T325" s="92"/>
      <c r="U325" s="92"/>
      <c r="V325" s="92"/>
      <c r="W325" s="89"/>
      <c r="X325" s="89"/>
      <c r="Y325" s="89"/>
      <c r="Z325" s="89"/>
      <c r="AA325" s="89"/>
      <c r="AB325" s="617"/>
      <c r="AC325" s="89"/>
      <c r="AF325" s="314"/>
      <c r="AG325" s="314"/>
      <c r="AH325" s="314"/>
      <c r="AI325" s="314"/>
      <c r="AJ325" s="314"/>
      <c r="AK325" s="314"/>
      <c r="AL325" s="314"/>
      <c r="AM325" s="314"/>
      <c r="AN325" s="314"/>
      <c r="AO325" s="314"/>
      <c r="AP325" s="314"/>
      <c r="AQ325" s="314"/>
      <c r="AR325" s="314"/>
      <c r="AS325" s="314"/>
      <c r="AT325" s="314"/>
      <c r="AU325" s="314"/>
      <c r="AV325" s="314"/>
      <c r="AW325" s="314"/>
      <c r="AX325" s="314"/>
      <c r="AY325" s="314"/>
      <c r="AZ325" s="314"/>
      <c r="BA325" s="314"/>
    </row>
    <row r="326" spans="2:53" s="90" customFormat="1" ht="14.25" customHeight="1">
      <c r="B326" s="94"/>
      <c r="C326" s="95"/>
      <c r="D326" s="92"/>
      <c r="E326" s="92"/>
      <c r="F326" s="92"/>
      <c r="G326" s="92"/>
      <c r="H326" s="92"/>
      <c r="I326" s="92"/>
      <c r="J326" s="92"/>
      <c r="K326" s="95"/>
      <c r="L326" s="92"/>
      <c r="M326" s="92"/>
      <c r="N326" s="92"/>
      <c r="O326" s="92"/>
      <c r="P326" s="92"/>
      <c r="Q326" s="92"/>
      <c r="R326" s="92"/>
      <c r="S326" s="92"/>
      <c r="T326" s="92"/>
      <c r="U326" s="93"/>
      <c r="V326" s="93"/>
      <c r="W326" s="89"/>
      <c r="X326" s="89"/>
      <c r="Y326" s="89"/>
      <c r="Z326" s="89"/>
      <c r="AA326" s="89"/>
      <c r="AB326" s="617"/>
      <c r="AC326" s="89"/>
      <c r="AF326" s="314"/>
      <c r="AG326" s="314"/>
      <c r="AH326" s="314"/>
      <c r="AI326" s="314"/>
      <c r="AJ326" s="314"/>
      <c r="AK326" s="314"/>
      <c r="AL326" s="314"/>
      <c r="AM326" s="314"/>
      <c r="AN326" s="314"/>
      <c r="AO326" s="314"/>
      <c r="AP326" s="314"/>
      <c r="AQ326" s="314"/>
      <c r="AR326" s="314"/>
      <c r="AS326" s="314"/>
      <c r="AT326" s="314"/>
      <c r="AU326" s="314"/>
      <c r="AV326" s="314"/>
      <c r="AW326" s="314"/>
      <c r="AX326" s="314"/>
      <c r="AY326" s="314"/>
      <c r="AZ326" s="314"/>
      <c r="BA326" s="314"/>
    </row>
    <row r="327" spans="2:53" s="90" customFormat="1" ht="14.25" customHeight="1">
      <c r="B327" s="94"/>
      <c r="C327" s="95"/>
      <c r="D327" s="92"/>
      <c r="E327" s="92"/>
      <c r="F327" s="92"/>
      <c r="G327" s="92"/>
      <c r="H327" s="92"/>
      <c r="I327" s="92"/>
      <c r="J327" s="92"/>
      <c r="K327" s="95"/>
      <c r="L327" s="92"/>
      <c r="M327" s="92"/>
      <c r="N327" s="92"/>
      <c r="O327" s="92"/>
      <c r="P327" s="92"/>
      <c r="Q327" s="92"/>
      <c r="R327" s="92"/>
      <c r="S327" s="92"/>
      <c r="T327" s="93"/>
      <c r="U327" s="92"/>
      <c r="V327" s="92"/>
      <c r="W327" s="89"/>
      <c r="X327" s="89"/>
      <c r="Y327" s="89"/>
      <c r="Z327" s="89"/>
      <c r="AA327" s="89"/>
      <c r="AB327" s="617"/>
      <c r="AC327" s="89"/>
      <c r="AF327" s="314"/>
      <c r="AG327" s="314"/>
      <c r="AH327" s="314"/>
      <c r="AI327" s="314"/>
      <c r="AJ327" s="314"/>
      <c r="AK327" s="314"/>
      <c r="AL327" s="314"/>
      <c r="AM327" s="314"/>
      <c r="AN327" s="314"/>
      <c r="AO327" s="314"/>
      <c r="AP327" s="314"/>
      <c r="AQ327" s="314"/>
      <c r="AR327" s="314"/>
      <c r="AS327" s="314"/>
      <c r="AT327" s="314"/>
      <c r="AU327" s="314"/>
      <c r="AV327" s="314"/>
      <c r="AW327" s="314"/>
      <c r="AX327" s="314"/>
      <c r="AY327" s="314"/>
      <c r="AZ327" s="314"/>
      <c r="BA327" s="314"/>
    </row>
    <row r="328" spans="2:53" s="90" customFormat="1" ht="14.25" customHeight="1">
      <c r="B328" s="94"/>
      <c r="C328" s="95"/>
      <c r="D328" s="92"/>
      <c r="E328" s="92"/>
      <c r="F328" s="92"/>
      <c r="G328" s="92"/>
      <c r="H328" s="92"/>
      <c r="I328" s="92"/>
      <c r="J328" s="92"/>
      <c r="K328" s="95"/>
      <c r="L328" s="92"/>
      <c r="M328" s="92"/>
      <c r="N328" s="92"/>
      <c r="O328" s="92"/>
      <c r="P328" s="92"/>
      <c r="Q328" s="92"/>
      <c r="R328" s="92"/>
      <c r="S328" s="92"/>
      <c r="T328" s="93"/>
      <c r="U328" s="92"/>
      <c r="V328" s="92"/>
      <c r="W328" s="89"/>
      <c r="X328" s="89"/>
      <c r="Y328" s="89"/>
      <c r="Z328" s="89"/>
      <c r="AA328" s="89"/>
      <c r="AB328" s="617"/>
      <c r="AC328" s="89"/>
      <c r="AF328" s="314"/>
      <c r="AG328" s="314"/>
      <c r="AH328" s="314"/>
      <c r="AI328" s="314"/>
      <c r="AJ328" s="314"/>
      <c r="AK328" s="314"/>
      <c r="AL328" s="314"/>
      <c r="AM328" s="314"/>
      <c r="AN328" s="314"/>
      <c r="AO328" s="314"/>
      <c r="AP328" s="314"/>
      <c r="AQ328" s="314"/>
      <c r="AR328" s="314"/>
      <c r="AS328" s="314"/>
      <c r="AT328" s="314"/>
      <c r="AU328" s="314"/>
      <c r="AV328" s="314"/>
      <c r="AW328" s="314"/>
      <c r="AX328" s="314"/>
      <c r="AY328" s="314"/>
      <c r="AZ328" s="314"/>
      <c r="BA328" s="314"/>
    </row>
    <row r="329" spans="2:53" s="90" customFormat="1" ht="14.25" customHeight="1">
      <c r="B329" s="94"/>
      <c r="C329" s="95"/>
      <c r="D329" s="92"/>
      <c r="E329" s="92"/>
      <c r="F329" s="92"/>
      <c r="G329" s="92"/>
      <c r="H329" s="92"/>
      <c r="I329" s="92"/>
      <c r="J329" s="92"/>
      <c r="K329" s="95"/>
      <c r="L329" s="92"/>
      <c r="M329" s="92"/>
      <c r="N329" s="92"/>
      <c r="O329" s="92"/>
      <c r="P329" s="92"/>
      <c r="Q329" s="92"/>
      <c r="R329" s="92"/>
      <c r="S329" s="92"/>
      <c r="T329" s="93"/>
      <c r="U329" s="92"/>
      <c r="V329" s="92"/>
      <c r="W329" s="89"/>
      <c r="X329" s="89"/>
      <c r="Y329" s="89"/>
      <c r="Z329" s="89"/>
      <c r="AA329" s="89"/>
      <c r="AB329" s="617"/>
      <c r="AC329" s="89"/>
      <c r="AF329" s="314"/>
      <c r="AG329" s="314"/>
      <c r="AH329" s="314"/>
      <c r="AI329" s="314"/>
      <c r="AJ329" s="314"/>
      <c r="AK329" s="314"/>
      <c r="AL329" s="314"/>
      <c r="AM329" s="314"/>
      <c r="AN329" s="314"/>
      <c r="AO329" s="314"/>
      <c r="AP329" s="314"/>
      <c r="AQ329" s="314"/>
      <c r="AR329" s="314"/>
      <c r="AS329" s="314"/>
      <c r="AT329" s="314"/>
      <c r="AU329" s="314"/>
      <c r="AV329" s="314"/>
      <c r="AW329" s="314"/>
      <c r="AX329" s="314"/>
      <c r="AY329" s="314"/>
      <c r="AZ329" s="314"/>
      <c r="BA329" s="314"/>
    </row>
    <row r="330" spans="2:53" s="90" customFormat="1" ht="14.25" customHeight="1">
      <c r="B330" s="91"/>
      <c r="C330" s="655"/>
      <c r="D330" s="655"/>
      <c r="E330" s="655"/>
      <c r="F330" s="655"/>
      <c r="G330" s="655"/>
      <c r="H330" s="655"/>
      <c r="I330" s="655"/>
      <c r="J330" s="655"/>
      <c r="K330" s="655" t="s">
        <v>64</v>
      </c>
      <c r="L330" s="655"/>
      <c r="M330" s="655"/>
      <c r="N330" s="655"/>
      <c r="O330" s="655"/>
      <c r="P330" s="655"/>
      <c r="Q330" s="96"/>
      <c r="R330" s="96"/>
      <c r="S330" s="96"/>
      <c r="T330" s="89"/>
      <c r="U330" s="89"/>
      <c r="V330" s="89"/>
      <c r="AB330" s="979"/>
      <c r="AF330" s="314"/>
      <c r="AG330" s="314"/>
      <c r="AH330" s="314"/>
      <c r="AI330" s="314"/>
      <c r="AJ330" s="314"/>
      <c r="AK330" s="314"/>
      <c r="AL330" s="314"/>
      <c r="AM330" s="314"/>
      <c r="AN330" s="314"/>
      <c r="AO330" s="314"/>
      <c r="AP330" s="314"/>
      <c r="AQ330" s="314"/>
      <c r="AR330" s="314"/>
      <c r="AS330" s="314"/>
      <c r="AT330" s="314"/>
      <c r="AU330" s="314"/>
      <c r="AV330" s="314"/>
      <c r="AW330" s="314"/>
      <c r="AX330" s="314"/>
      <c r="AY330" s="314"/>
      <c r="AZ330" s="314"/>
      <c r="BA330" s="314"/>
    </row>
    <row r="331" spans="2:53" ht="14.25" customHeight="1">
      <c r="AB331" s="617"/>
      <c r="AF331" s="314"/>
      <c r="AG331" s="314"/>
      <c r="AH331" s="314"/>
      <c r="AI331" s="314"/>
      <c r="AJ331" s="314"/>
      <c r="AK331" s="314"/>
      <c r="AL331" s="314"/>
      <c r="AM331" s="314"/>
      <c r="AN331" s="314"/>
      <c r="AO331" s="314"/>
      <c r="AP331" s="314"/>
      <c r="AQ331" s="314"/>
      <c r="AR331" s="314"/>
      <c r="AS331" s="314"/>
      <c r="AT331" s="314"/>
      <c r="AU331" s="314"/>
      <c r="AV331" s="314"/>
      <c r="AW331" s="314"/>
      <c r="AX331" s="314"/>
      <c r="AY331" s="314"/>
      <c r="AZ331" s="314"/>
      <c r="BA331" s="314"/>
    </row>
    <row r="332" spans="2:53" ht="14.25" customHeight="1">
      <c r="AB332" s="617"/>
    </row>
    <row r="333" spans="2:53" ht="14.25" customHeight="1">
      <c r="AB333" s="617"/>
    </row>
    <row r="334" spans="2:53" ht="14.25" customHeight="1">
      <c r="AB334" s="617"/>
    </row>
    <row r="335" spans="2:53" ht="14.25" customHeight="1">
      <c r="AB335" s="617"/>
    </row>
    <row r="336" spans="2:53" ht="14.25" customHeight="1">
      <c r="AB336" s="617"/>
    </row>
    <row r="337" spans="28:28" ht="14.25" customHeight="1">
      <c r="AB337" s="617"/>
    </row>
    <row r="338" spans="28:28" ht="14.25" customHeight="1">
      <c r="AB338" s="617"/>
    </row>
    <row r="339" spans="28:28" ht="14.25" customHeight="1">
      <c r="AB339" s="617"/>
    </row>
    <row r="340" spans="28:28" ht="14.25" customHeight="1">
      <c r="AB340" s="617"/>
    </row>
    <row r="341" spans="28:28" ht="14.25" customHeight="1">
      <c r="AB341" s="617"/>
    </row>
  </sheetData>
  <sheetProtection sheet="1" objects="1" scenarios="1" selectLockedCells="1"/>
  <mergeCells count="347">
    <mergeCell ref="AN9:AP10"/>
    <mergeCell ref="AQ9:AR10"/>
    <mergeCell ref="AS9:AU10"/>
    <mergeCell ref="AH11:AH14"/>
    <mergeCell ref="AI11:AI15"/>
    <mergeCell ref="AJ11:AJ15"/>
    <mergeCell ref="C10:C16"/>
    <mergeCell ref="D10:K16"/>
    <mergeCell ref="L10:M16"/>
    <mergeCell ref="N10:N16"/>
    <mergeCell ref="O10:O16"/>
    <mergeCell ref="AR11:AR15"/>
    <mergeCell ref="R13:R16"/>
    <mergeCell ref="S13:S16"/>
    <mergeCell ref="AN11:AN15"/>
    <mergeCell ref="AO11:AO15"/>
    <mergeCell ref="AQ11:AQ15"/>
    <mergeCell ref="AP12:AP15"/>
    <mergeCell ref="AV9:BA10"/>
    <mergeCell ref="AX12:AX15"/>
    <mergeCell ref="AZ11:AZ15"/>
    <mergeCell ref="BA11:BA15"/>
    <mergeCell ref="AS11:AS15"/>
    <mergeCell ref="AT11:AT15"/>
    <mergeCell ref="AU11:AU15"/>
    <mergeCell ref="AV11:AV15"/>
    <mergeCell ref="AW11:AW15"/>
    <mergeCell ref="AY11:AY15"/>
    <mergeCell ref="D17:K17"/>
    <mergeCell ref="Y12:Y16"/>
    <mergeCell ref="Z12:Z16"/>
    <mergeCell ref="P10:P12"/>
    <mergeCell ref="Q10:Q16"/>
    <mergeCell ref="R10:S12"/>
    <mergeCell ref="T10:T11"/>
    <mergeCell ref="AL11:AL15"/>
    <mergeCell ref="AM11:AM15"/>
    <mergeCell ref="AK11:AK15"/>
    <mergeCell ref="U10:U11"/>
    <mergeCell ref="V10:V11"/>
    <mergeCell ref="W10:W11"/>
    <mergeCell ref="Y10:Z11"/>
    <mergeCell ref="AC10:AC16"/>
    <mergeCell ref="AF11:AF15"/>
    <mergeCell ref="AG11:AG14"/>
    <mergeCell ref="AF9:AM10"/>
    <mergeCell ref="D316:K316"/>
    <mergeCell ref="X10:X16"/>
    <mergeCell ref="D30:K30"/>
    <mergeCell ref="D31:K31"/>
    <mergeCell ref="D32:K32"/>
    <mergeCell ref="D313:K313"/>
    <mergeCell ref="D314:K314"/>
    <mergeCell ref="D315:K315"/>
    <mergeCell ref="D24:K24"/>
    <mergeCell ref="D25:K25"/>
    <mergeCell ref="D26:K26"/>
    <mergeCell ref="D27:K27"/>
    <mergeCell ref="D28:K28"/>
    <mergeCell ref="D29:K29"/>
    <mergeCell ref="D18:K18"/>
    <mergeCell ref="D19:K19"/>
    <mergeCell ref="D20:K20"/>
    <mergeCell ref="D21:K21"/>
    <mergeCell ref="D22:K22"/>
    <mergeCell ref="D23:K23"/>
    <mergeCell ref="P13:P16"/>
    <mergeCell ref="D305:K305"/>
    <mergeCell ref="D312:K312"/>
    <mergeCell ref="D311:K311"/>
    <mergeCell ref="D310:K310"/>
    <mergeCell ref="D309:K309"/>
    <mergeCell ref="D304:K304"/>
    <mergeCell ref="D306:K306"/>
    <mergeCell ref="D307:K307"/>
    <mergeCell ref="D308:K308"/>
    <mergeCell ref="D299:K299"/>
    <mergeCell ref="D300:K300"/>
    <mergeCell ref="D301:K301"/>
    <mergeCell ref="D302:K302"/>
    <mergeCell ref="D303:K303"/>
    <mergeCell ref="D253:K253"/>
    <mergeCell ref="D254:K254"/>
    <mergeCell ref="D255:K255"/>
    <mergeCell ref="D297:K297"/>
    <mergeCell ref="D298:K298"/>
    <mergeCell ref="D256:K256"/>
    <mergeCell ref="D257:K257"/>
    <mergeCell ref="D258:K258"/>
    <mergeCell ref="D259:K259"/>
    <mergeCell ref="D260:K260"/>
    <mergeCell ref="D261:K261"/>
    <mergeCell ref="D262:K262"/>
    <mergeCell ref="D263:K263"/>
    <mergeCell ref="D278:K278"/>
    <mergeCell ref="D289:K289"/>
    <mergeCell ref="D290:K290"/>
    <mergeCell ref="D296:K296"/>
    <mergeCell ref="D264:K264"/>
    <mergeCell ref="D265:K265"/>
    <mergeCell ref="D266:K266"/>
    <mergeCell ref="D267:K267"/>
    <mergeCell ref="D268:K268"/>
    <mergeCell ref="D269:K269"/>
    <mergeCell ref="D270:K270"/>
    <mergeCell ref="D238:K238"/>
    <mergeCell ref="D239:K239"/>
    <mergeCell ref="D240:K240"/>
    <mergeCell ref="D241:K241"/>
    <mergeCell ref="D242:K242"/>
    <mergeCell ref="D233:K233"/>
    <mergeCell ref="D234:K234"/>
    <mergeCell ref="D235:K235"/>
    <mergeCell ref="D236:K236"/>
    <mergeCell ref="D237:K237"/>
    <mergeCell ref="D248:K248"/>
    <mergeCell ref="D249:K249"/>
    <mergeCell ref="D250:K250"/>
    <mergeCell ref="D251:K251"/>
    <mergeCell ref="D252:K252"/>
    <mergeCell ref="D243:K243"/>
    <mergeCell ref="D244:K244"/>
    <mergeCell ref="D245:K245"/>
    <mergeCell ref="D246:K246"/>
    <mergeCell ref="D247:K247"/>
    <mergeCell ref="D198:K198"/>
    <mergeCell ref="D199:K199"/>
    <mergeCell ref="D200:K200"/>
    <mergeCell ref="D201:K201"/>
    <mergeCell ref="D202:K202"/>
    <mergeCell ref="D193:K193"/>
    <mergeCell ref="D194:K194"/>
    <mergeCell ref="D195:K195"/>
    <mergeCell ref="D196:K196"/>
    <mergeCell ref="D197:K197"/>
    <mergeCell ref="D208:K208"/>
    <mergeCell ref="D209:K209"/>
    <mergeCell ref="D210:K210"/>
    <mergeCell ref="D211:K211"/>
    <mergeCell ref="D212:K212"/>
    <mergeCell ref="D203:K203"/>
    <mergeCell ref="D204:K204"/>
    <mergeCell ref="D205:K205"/>
    <mergeCell ref="D206:K206"/>
    <mergeCell ref="D207:K207"/>
    <mergeCell ref="D218:K218"/>
    <mergeCell ref="D219:K219"/>
    <mergeCell ref="D220:K220"/>
    <mergeCell ref="D221:K221"/>
    <mergeCell ref="D222:K222"/>
    <mergeCell ref="D213:K213"/>
    <mergeCell ref="D214:K214"/>
    <mergeCell ref="D215:K215"/>
    <mergeCell ref="D216:K216"/>
    <mergeCell ref="D217:K217"/>
    <mergeCell ref="D228:K228"/>
    <mergeCell ref="D229:K229"/>
    <mergeCell ref="D230:K230"/>
    <mergeCell ref="D231:K231"/>
    <mergeCell ref="D232:K232"/>
    <mergeCell ref="D223:K223"/>
    <mergeCell ref="D224:K224"/>
    <mergeCell ref="D225:K225"/>
    <mergeCell ref="D226:K226"/>
    <mergeCell ref="D227:K227"/>
    <mergeCell ref="D118:K118"/>
    <mergeCell ref="D119:K119"/>
    <mergeCell ref="D120:K120"/>
    <mergeCell ref="D121:K121"/>
    <mergeCell ref="D122:K122"/>
    <mergeCell ref="D113:K113"/>
    <mergeCell ref="D114:K114"/>
    <mergeCell ref="D115:K115"/>
    <mergeCell ref="D116:K116"/>
    <mergeCell ref="D117:K117"/>
    <mergeCell ref="D128:K128"/>
    <mergeCell ref="D129:K129"/>
    <mergeCell ref="D130:K130"/>
    <mergeCell ref="D131:K131"/>
    <mergeCell ref="D132:K132"/>
    <mergeCell ref="D123:K123"/>
    <mergeCell ref="D124:K124"/>
    <mergeCell ref="D125:K125"/>
    <mergeCell ref="D126:K126"/>
    <mergeCell ref="D127:K127"/>
    <mergeCell ref="D138:K138"/>
    <mergeCell ref="D139:K139"/>
    <mergeCell ref="D140:K140"/>
    <mergeCell ref="D141:K141"/>
    <mergeCell ref="D142:K142"/>
    <mergeCell ref="D133:K133"/>
    <mergeCell ref="D134:K134"/>
    <mergeCell ref="D135:K135"/>
    <mergeCell ref="D136:K136"/>
    <mergeCell ref="D137:K137"/>
    <mergeCell ref="D148:K148"/>
    <mergeCell ref="D149:K149"/>
    <mergeCell ref="D150:K150"/>
    <mergeCell ref="D151:K151"/>
    <mergeCell ref="D152:K152"/>
    <mergeCell ref="D143:K143"/>
    <mergeCell ref="D144:K144"/>
    <mergeCell ref="D145:K145"/>
    <mergeCell ref="D146:K146"/>
    <mergeCell ref="D147:K147"/>
    <mergeCell ref="D158:K158"/>
    <mergeCell ref="D159:K159"/>
    <mergeCell ref="D160:K160"/>
    <mergeCell ref="D161:K161"/>
    <mergeCell ref="D162:K162"/>
    <mergeCell ref="D153:K153"/>
    <mergeCell ref="D154:K154"/>
    <mergeCell ref="D155:K155"/>
    <mergeCell ref="D156:K156"/>
    <mergeCell ref="D157:K157"/>
    <mergeCell ref="D168:K168"/>
    <mergeCell ref="D169:K169"/>
    <mergeCell ref="D170:K170"/>
    <mergeCell ref="D171:K171"/>
    <mergeCell ref="D172:K172"/>
    <mergeCell ref="D163:K163"/>
    <mergeCell ref="D164:K164"/>
    <mergeCell ref="D165:K165"/>
    <mergeCell ref="D166:K166"/>
    <mergeCell ref="D167:K167"/>
    <mergeCell ref="D178:K178"/>
    <mergeCell ref="D179:K179"/>
    <mergeCell ref="D180:K180"/>
    <mergeCell ref="D181:K181"/>
    <mergeCell ref="D182:K182"/>
    <mergeCell ref="D173:K173"/>
    <mergeCell ref="D174:K174"/>
    <mergeCell ref="D175:K175"/>
    <mergeCell ref="D176:K176"/>
    <mergeCell ref="D177:K177"/>
    <mergeCell ref="D188:K188"/>
    <mergeCell ref="D189:K189"/>
    <mergeCell ref="D190:K190"/>
    <mergeCell ref="D191:K191"/>
    <mergeCell ref="D192:K192"/>
    <mergeCell ref="D183:K183"/>
    <mergeCell ref="D184:K184"/>
    <mergeCell ref="D185:K185"/>
    <mergeCell ref="D186:K186"/>
    <mergeCell ref="D187:K187"/>
    <mergeCell ref="D38:K38"/>
    <mergeCell ref="D39:K39"/>
    <mergeCell ref="D40:K40"/>
    <mergeCell ref="D41:K41"/>
    <mergeCell ref="D42:K42"/>
    <mergeCell ref="D33:K33"/>
    <mergeCell ref="D34:K34"/>
    <mergeCell ref="D35:K35"/>
    <mergeCell ref="D36:K36"/>
    <mergeCell ref="D37:K37"/>
    <mergeCell ref="D48:K48"/>
    <mergeCell ref="D49:K49"/>
    <mergeCell ref="D50:K50"/>
    <mergeCell ref="D51:K51"/>
    <mergeCell ref="D52:K52"/>
    <mergeCell ref="D43:K43"/>
    <mergeCell ref="D44:K44"/>
    <mergeCell ref="D45:K45"/>
    <mergeCell ref="D46:K46"/>
    <mergeCell ref="D47:K47"/>
    <mergeCell ref="D58:K58"/>
    <mergeCell ref="D59:K59"/>
    <mergeCell ref="D60:K60"/>
    <mergeCell ref="D61:K61"/>
    <mergeCell ref="D62:K62"/>
    <mergeCell ref="D53:K53"/>
    <mergeCell ref="D54:K54"/>
    <mergeCell ref="D55:K55"/>
    <mergeCell ref="D56:K56"/>
    <mergeCell ref="D57:K57"/>
    <mergeCell ref="D68:K68"/>
    <mergeCell ref="D69:K69"/>
    <mergeCell ref="D70:K70"/>
    <mergeCell ref="D71:K71"/>
    <mergeCell ref="D72:K72"/>
    <mergeCell ref="D63:K63"/>
    <mergeCell ref="D64:K64"/>
    <mergeCell ref="D65:K65"/>
    <mergeCell ref="D66:K66"/>
    <mergeCell ref="D67:K67"/>
    <mergeCell ref="D78:K78"/>
    <mergeCell ref="D79:K79"/>
    <mergeCell ref="D80:K80"/>
    <mergeCell ref="D81:K81"/>
    <mergeCell ref="D82:K82"/>
    <mergeCell ref="D73:K73"/>
    <mergeCell ref="D74:K74"/>
    <mergeCell ref="D75:K75"/>
    <mergeCell ref="D76:K76"/>
    <mergeCell ref="D77:K77"/>
    <mergeCell ref="D88:K88"/>
    <mergeCell ref="D89:K89"/>
    <mergeCell ref="D90:K90"/>
    <mergeCell ref="D91:K91"/>
    <mergeCell ref="D92:K92"/>
    <mergeCell ref="D83:K83"/>
    <mergeCell ref="D84:K84"/>
    <mergeCell ref="D85:K85"/>
    <mergeCell ref="D86:K86"/>
    <mergeCell ref="D87:K87"/>
    <mergeCell ref="D98:K98"/>
    <mergeCell ref="D99:K99"/>
    <mergeCell ref="D100:K100"/>
    <mergeCell ref="D101:K101"/>
    <mergeCell ref="D102:K102"/>
    <mergeCell ref="D93:K93"/>
    <mergeCell ref="D94:K94"/>
    <mergeCell ref="D95:K95"/>
    <mergeCell ref="D96:K96"/>
    <mergeCell ref="D97:K97"/>
    <mergeCell ref="D108:K108"/>
    <mergeCell ref="D109:K109"/>
    <mergeCell ref="D110:K110"/>
    <mergeCell ref="D111:K111"/>
    <mergeCell ref="D112:K112"/>
    <mergeCell ref="D103:K103"/>
    <mergeCell ref="D104:K104"/>
    <mergeCell ref="D105:K105"/>
    <mergeCell ref="D106:K106"/>
    <mergeCell ref="D107:K107"/>
    <mergeCell ref="D271:K271"/>
    <mergeCell ref="D272:K272"/>
    <mergeCell ref="D273:K273"/>
    <mergeCell ref="D274:K274"/>
    <mergeCell ref="D275:K275"/>
    <mergeCell ref="D276:K276"/>
    <mergeCell ref="D277:K277"/>
    <mergeCell ref="D279:K279"/>
    <mergeCell ref="D291:K291"/>
    <mergeCell ref="D292:K292"/>
    <mergeCell ref="D293:K293"/>
    <mergeCell ref="D294:K294"/>
    <mergeCell ref="D295:K295"/>
    <mergeCell ref="D285:K285"/>
    <mergeCell ref="D286:K286"/>
    <mergeCell ref="D287:K287"/>
    <mergeCell ref="D288:K288"/>
    <mergeCell ref="D280:K280"/>
    <mergeCell ref="D281:K281"/>
    <mergeCell ref="D282:K282"/>
    <mergeCell ref="D283:K283"/>
    <mergeCell ref="D284:K284"/>
  </mergeCells>
  <phoneticPr fontId="3"/>
  <dataValidations count="6">
    <dataValidation type="list" showInputMessage="1" showErrorMessage="1" sqref="N17:N316" xr:uid="{00000000-0002-0000-0700-000000000000}">
      <formula1>INDIRECT($M17)</formula1>
    </dataValidation>
    <dataValidation type="whole" allowBlank="1" showInputMessage="1" showErrorMessage="1" sqref="S17:S316" xr:uid="{00000000-0002-0000-0700-000001000000}">
      <formula1>1</formula1>
      <formula2>12</formula2>
    </dataValidation>
    <dataValidation type="whole" allowBlank="1" showInputMessage="1" showErrorMessage="1" sqref="R17:R316" xr:uid="{00000000-0002-0000-0700-000002000000}">
      <formula1>1700</formula1>
      <formula2>9999</formula2>
    </dataValidation>
    <dataValidation type="whole" operator="greaterThan" allowBlank="1" showInputMessage="1" showErrorMessage="1" error="整数を入力してください。" sqref="O17:O316 T17:W316 Z17:Z316 AC17:AC316" xr:uid="{00000000-0002-0000-0700-000003000000}">
      <formula1>0</formula1>
    </dataValidation>
    <dataValidation type="whole" allowBlank="1" showInputMessage="1" showErrorMessage="1" sqref="Q17:Q316" xr:uid="{00000000-0002-0000-0700-000004000000}">
      <formula1>2</formula1>
      <formula2>99</formula2>
    </dataValidation>
    <dataValidation type="whole" allowBlank="1" showInputMessage="1" showErrorMessage="1" error="1～100の値を入力してください。" sqref="X17:X316" xr:uid="{00000000-0002-0000-0700-000005000000}">
      <formula1>1</formula1>
      <formula2>100</formula2>
    </dataValidation>
  </dataValidations>
  <printOptions horizontalCentered="1" verticalCentered="1"/>
  <pageMargins left="0" right="0" top="0" bottom="0" header="0" footer="0.19685039370078741"/>
  <pageSetup paperSize="9" scale="50" fitToWidth="0" fitToHeight="0" pageOrder="overThenDown" orientation="landscape" cellComments="asDisplayed" r:id="rId1"/>
  <headerFooter scaleWithDoc="0"/>
  <colBreaks count="1" manualBreakCount="1">
    <brk id="27" max="340" man="1"/>
  </colBreaks>
  <drawing r:id="rId2"/>
  <legacyDrawing r:id="rId3"/>
  <legacyDrawingHF r:id="rId4"/>
  <controls>
    <mc:AlternateContent xmlns:mc="http://schemas.openxmlformats.org/markup-compatibility/2006">
      <mc:Choice Requires="x14">
        <control shapeId="6147" r:id="rId5" name="Label1">
          <controlPr defaultSize="0" print="0" autoLine="0" r:id="rId6">
            <anchor moveWithCells="1">
              <from>
                <xdr:col>17</xdr:col>
                <xdr:colOff>0</xdr:colOff>
                <xdr:row>1</xdr:row>
                <xdr:rowOff>38100</xdr:rowOff>
              </from>
              <to>
                <xdr:col>18</xdr:col>
                <xdr:colOff>76200</xdr:colOff>
                <xdr:row>1</xdr:row>
                <xdr:rowOff>238125</xdr:rowOff>
              </to>
            </anchor>
          </controlPr>
        </control>
      </mc:Choice>
      <mc:Fallback>
        <control shapeId="6147" r:id="rId5" name="Label1"/>
      </mc:Fallback>
    </mc:AlternateContent>
    <mc:AlternateContent xmlns:mc="http://schemas.openxmlformats.org/markup-compatibility/2006">
      <mc:Choice Requires="x14">
        <control shapeId="6148" r:id="rId7" name="txt_hyouji">
          <controlPr locked="0" defaultSize="0" print="0" autoLine="0" r:id="rId8">
            <anchor moveWithCells="1">
              <from>
                <xdr:col>17</xdr:col>
                <xdr:colOff>0</xdr:colOff>
                <xdr:row>1</xdr:row>
                <xdr:rowOff>238125</xdr:rowOff>
              </from>
              <to>
                <xdr:col>18</xdr:col>
                <xdr:colOff>76200</xdr:colOff>
                <xdr:row>3</xdr:row>
                <xdr:rowOff>9525</xdr:rowOff>
              </to>
            </anchor>
          </controlPr>
        </control>
      </mc:Choice>
      <mc:Fallback>
        <control shapeId="6148" r:id="rId7" name="txt_hyouji"/>
      </mc:Fallback>
    </mc:AlternateContent>
    <mc:AlternateContent xmlns:mc="http://schemas.openxmlformats.org/markup-compatibility/2006">
      <mc:Choice Requires="x14">
        <control shapeId="6149" r:id="rId9" name="btnKoushin1">
          <controlPr defaultSize="0" print="0" autoLine="0" r:id="rId10">
            <anchor moveWithCells="1">
              <from>
                <xdr:col>18</xdr:col>
                <xdr:colOff>171450</xdr:colOff>
                <xdr:row>1</xdr:row>
                <xdr:rowOff>38100</xdr:rowOff>
              </from>
              <to>
                <xdr:col>19</xdr:col>
                <xdr:colOff>1028700</xdr:colOff>
                <xdr:row>3</xdr:row>
                <xdr:rowOff>9525</xdr:rowOff>
              </to>
            </anchor>
          </controlPr>
        </control>
      </mc:Choice>
      <mc:Fallback>
        <control shapeId="6149"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6000000}">
          <x14:formula1>
            <xm:f>リスト!$J$5:$J$6</xm:f>
          </x14:formula1>
          <xm:sqref>P17:P316</xm:sqref>
        </x14:dataValidation>
        <x14:dataValidation type="list" allowBlank="1" showInputMessage="1" showErrorMessage="1" xr:uid="{00000000-0002-0000-0700-000007000000}">
          <x14:formula1>
            <xm:f>リスト!$L$5:$L$7</xm:f>
          </x14:formula1>
          <xm:sqref>Y17:Y316</xm:sqref>
        </x14:dataValidation>
        <x14:dataValidation type="list" allowBlank="1" showInputMessage="1" showErrorMessage="1" xr:uid="{00000000-0002-0000-0700-000008000000}">
          <x14:formula1>
            <xm:f>リスト!$E$5:$E$20</xm:f>
          </x14:formula1>
          <xm:sqref>M17:M316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outlinePr summaryBelow="0"/>
  </sheetPr>
  <dimension ref="A1:AX327"/>
  <sheetViews>
    <sheetView showGridLines="0" zoomScale="80" zoomScaleNormal="80" zoomScaleSheetLayoutView="80" workbookViewId="0">
      <pane xSplit="3" ySplit="16" topLeftCell="D17" activePane="bottomRight" state="frozen"/>
      <selection pane="topRight" activeCell="D1" sqref="D1"/>
      <selection pane="bottomLeft" activeCell="A17" sqref="A17"/>
      <selection pane="bottomRight" activeCell="D17" sqref="D17:J17"/>
    </sheetView>
  </sheetViews>
  <sheetFormatPr defaultColWidth="2.625" defaultRowHeight="14.25" customHeight="1" outlineLevelRow="1" outlineLevelCol="1"/>
  <cols>
    <col min="1" max="1" width="0.875" style="51" customWidth="1"/>
    <col min="2" max="2" width="2.625" style="51" customWidth="1"/>
    <col min="3" max="3" width="3.625" style="51" customWidth="1"/>
    <col min="4" max="10" width="2.625" style="51" customWidth="1"/>
    <col min="11" max="11" width="12.125" style="51" bestFit="1" customWidth="1"/>
    <col min="12" max="12" width="16.5" style="51" customWidth="1"/>
    <col min="13" max="13" width="6.875" style="51" customWidth="1"/>
    <col min="14" max="14" width="5.375" style="51" customWidth="1"/>
    <col min="15" max="15" width="10.625" style="51" customWidth="1"/>
    <col min="16" max="16" width="5.375" style="51" customWidth="1"/>
    <col min="17" max="17" width="21.375" style="51" customWidth="1"/>
    <col min="18" max="18" width="18.625" style="51" customWidth="1"/>
    <col min="19" max="20" width="16" style="51" customWidth="1"/>
    <col min="21" max="22" width="13.375" style="51" customWidth="1"/>
    <col min="23" max="23" width="8" style="51" customWidth="1"/>
    <col min="24" max="24" width="9.625" style="51" customWidth="1"/>
    <col min="25" max="25" width="21.125" style="51" customWidth="1"/>
    <col min="26" max="26" width="2.625" style="51"/>
    <col min="27" max="27" width="2.625" style="51" outlineLevel="1"/>
    <col min="28" max="28" width="10.75" style="51" customWidth="1" outlineLevel="1"/>
    <col min="29" max="30" width="2.625" style="51" outlineLevel="1"/>
    <col min="31" max="50" width="10.625" style="51" customWidth="1" outlineLevel="1"/>
    <col min="51" max="16384" width="2.625" style="51"/>
  </cols>
  <sheetData>
    <row r="1" spans="1:50" ht="18.75">
      <c r="AB1" s="899" t="s">
        <v>400</v>
      </c>
    </row>
    <row r="2" spans="1:50" ht="21.6" customHeight="1">
      <c r="A2" s="633" t="s">
        <v>742</v>
      </c>
      <c r="AA2" s="980"/>
      <c r="AE2" s="380" t="s">
        <v>849</v>
      </c>
    </row>
    <row r="3" spans="1:50" s="50" customFormat="1" ht="14.25" customHeight="1">
      <c r="A3" s="634"/>
      <c r="AA3" s="975"/>
    </row>
    <row r="4" spans="1:50" s="50" customFormat="1" ht="14.25" customHeight="1">
      <c r="A4" s="634" t="s">
        <v>126</v>
      </c>
      <c r="C4" s="599" t="s">
        <v>730</v>
      </c>
      <c r="AA4" s="975"/>
    </row>
    <row r="5" spans="1:50" s="50" customFormat="1" ht="14.25" customHeight="1">
      <c r="A5" s="634"/>
      <c r="C5" s="5" t="s">
        <v>396</v>
      </c>
      <c r="AA5" s="975"/>
    </row>
    <row r="6" spans="1:50" ht="14.25" customHeight="1">
      <c r="B6" s="673"/>
      <c r="C6" s="7" t="s">
        <v>177</v>
      </c>
      <c r="D6" s="673"/>
      <c r="E6" s="673"/>
      <c r="F6" s="673"/>
      <c r="G6" s="673"/>
      <c r="H6" s="673"/>
      <c r="I6" s="673"/>
      <c r="J6" s="673"/>
      <c r="K6" s="673"/>
      <c r="L6" s="673"/>
      <c r="M6" s="673"/>
      <c r="N6" s="673"/>
      <c r="O6" s="673"/>
      <c r="P6" s="673"/>
      <c r="Q6" s="673"/>
      <c r="R6" s="673"/>
      <c r="AA6" s="980"/>
    </row>
    <row r="7" spans="1:50" ht="14.25" customHeight="1">
      <c r="B7" s="673"/>
      <c r="C7" s="7"/>
      <c r="D7" s="673"/>
      <c r="E7" s="673"/>
      <c r="F7" s="673"/>
      <c r="G7" s="673"/>
      <c r="H7" s="673"/>
      <c r="I7" s="673"/>
      <c r="J7" s="673"/>
      <c r="K7" s="673"/>
      <c r="L7" s="673"/>
      <c r="M7" s="673"/>
      <c r="N7" s="673"/>
      <c r="O7" s="673"/>
      <c r="P7" s="673"/>
      <c r="Q7" s="673"/>
      <c r="R7" s="673"/>
      <c r="AA7" s="980"/>
    </row>
    <row r="8" spans="1:50" ht="14.25" customHeight="1">
      <c r="B8" s="673"/>
      <c r="C8" s="5"/>
      <c r="D8" s="673"/>
      <c r="E8" s="673"/>
      <c r="F8" s="673"/>
      <c r="G8" s="673"/>
      <c r="H8" s="673"/>
      <c r="I8" s="673"/>
      <c r="J8" s="673"/>
      <c r="K8" s="673"/>
      <c r="L8" s="673"/>
      <c r="M8" s="673"/>
      <c r="N8" s="673"/>
      <c r="O8" s="673"/>
      <c r="P8" s="673"/>
      <c r="Q8" s="673"/>
      <c r="R8" s="673"/>
      <c r="AA8" s="980"/>
    </row>
    <row r="9" spans="1:50" ht="14.25" customHeight="1" thickBot="1">
      <c r="B9" s="673"/>
      <c r="C9" s="5"/>
      <c r="D9" s="673"/>
      <c r="E9" s="673"/>
      <c r="F9" s="673"/>
      <c r="G9" s="673"/>
      <c r="H9" s="673"/>
      <c r="I9" s="673"/>
      <c r="J9" s="673"/>
      <c r="K9" s="673"/>
      <c r="L9" s="673"/>
      <c r="M9" s="673"/>
      <c r="N9" s="673"/>
      <c r="O9" s="673"/>
      <c r="P9" s="673"/>
      <c r="Q9" s="673"/>
      <c r="R9" s="673"/>
      <c r="AA9" s="980"/>
      <c r="AE9" s="1959" t="s">
        <v>345</v>
      </c>
      <c r="AF9" s="1960"/>
      <c r="AG9" s="1960"/>
      <c r="AH9" s="1960"/>
      <c r="AI9" s="1960"/>
      <c r="AJ9" s="1960"/>
      <c r="AK9" s="1960"/>
      <c r="AL9" s="1961"/>
      <c r="AM9" s="1959" t="s">
        <v>346</v>
      </c>
      <c r="AN9" s="1960"/>
      <c r="AO9" s="1961"/>
      <c r="AP9" s="1959" t="s">
        <v>347</v>
      </c>
      <c r="AQ9" s="1960"/>
      <c r="AR9" s="1960"/>
      <c r="AS9" s="1960"/>
      <c r="AT9" s="1960"/>
      <c r="AU9" s="1960"/>
      <c r="AV9" s="1960"/>
      <c r="AW9" s="1960"/>
      <c r="AX9" s="1961"/>
    </row>
    <row r="10" spans="1:50" s="5" customFormat="1" ht="14.25" customHeight="1">
      <c r="C10" s="1969" t="s">
        <v>18</v>
      </c>
      <c r="D10" s="1923" t="s">
        <v>127</v>
      </c>
      <c r="E10" s="1924"/>
      <c r="F10" s="1924"/>
      <c r="G10" s="1924"/>
      <c r="H10" s="1924"/>
      <c r="I10" s="1924"/>
      <c r="J10" s="1925"/>
      <c r="K10" s="1972" t="s">
        <v>78</v>
      </c>
      <c r="L10" s="1937" t="s">
        <v>128</v>
      </c>
      <c r="M10" s="1880" t="s">
        <v>40</v>
      </c>
      <c r="N10" s="1883" t="s">
        <v>189</v>
      </c>
      <c r="O10" s="1880" t="s">
        <v>44</v>
      </c>
      <c r="P10" s="1886"/>
      <c r="Q10" s="1861" t="s">
        <v>117</v>
      </c>
      <c r="R10" s="1861" t="s">
        <v>349</v>
      </c>
      <c r="S10" s="1975" t="s">
        <v>129</v>
      </c>
      <c r="T10" s="1977" t="s">
        <v>130</v>
      </c>
      <c r="U10" s="1953" t="s">
        <v>397</v>
      </c>
      <c r="V10" s="1954"/>
      <c r="W10" s="1861" t="s">
        <v>731</v>
      </c>
      <c r="X10" s="1894" t="s">
        <v>121</v>
      </c>
      <c r="Y10" s="1895"/>
      <c r="AA10" s="499"/>
      <c r="AB10" s="1966" t="s">
        <v>819</v>
      </c>
      <c r="AE10" s="1962"/>
      <c r="AF10" s="1963"/>
      <c r="AG10" s="1963"/>
      <c r="AH10" s="1963"/>
      <c r="AI10" s="1963"/>
      <c r="AJ10" s="1963"/>
      <c r="AK10" s="1963"/>
      <c r="AL10" s="1964"/>
      <c r="AM10" s="1962"/>
      <c r="AN10" s="1963"/>
      <c r="AO10" s="1964"/>
      <c r="AP10" s="1962"/>
      <c r="AQ10" s="1963"/>
      <c r="AR10" s="1963"/>
      <c r="AS10" s="1963"/>
      <c r="AT10" s="1963"/>
      <c r="AU10" s="1963"/>
      <c r="AV10" s="1963"/>
      <c r="AW10" s="1963"/>
      <c r="AX10" s="1964"/>
    </row>
    <row r="11" spans="1:50" s="5" customFormat="1" ht="14.25" customHeight="1">
      <c r="C11" s="1970"/>
      <c r="D11" s="1792"/>
      <c r="E11" s="1926"/>
      <c r="F11" s="1926"/>
      <c r="G11" s="1926"/>
      <c r="H11" s="1926"/>
      <c r="I11" s="1926"/>
      <c r="J11" s="1927"/>
      <c r="K11" s="1973"/>
      <c r="L11" s="1938"/>
      <c r="M11" s="1881"/>
      <c r="N11" s="1884"/>
      <c r="O11" s="1881"/>
      <c r="P11" s="1887"/>
      <c r="Q11" s="1862"/>
      <c r="R11" s="1862"/>
      <c r="S11" s="1976"/>
      <c r="T11" s="1948"/>
      <c r="U11" s="1955"/>
      <c r="V11" s="1956"/>
      <c r="W11" s="1862"/>
      <c r="X11" s="1896"/>
      <c r="Y11" s="1897"/>
      <c r="AA11" s="499"/>
      <c r="AB11" s="1967"/>
      <c r="AE11" s="1906" t="s">
        <v>350</v>
      </c>
      <c r="AF11" s="1906" t="s">
        <v>850</v>
      </c>
      <c r="AG11" s="1906" t="s">
        <v>848</v>
      </c>
      <c r="AH11" s="1906" t="s">
        <v>310</v>
      </c>
      <c r="AI11" s="1906" t="s">
        <v>341</v>
      </c>
      <c r="AJ11" s="1906" t="s">
        <v>475</v>
      </c>
      <c r="AK11" s="1906" t="s">
        <v>343</v>
      </c>
      <c r="AL11" s="1906" t="s">
        <v>479</v>
      </c>
      <c r="AM11" s="1906" t="s">
        <v>483</v>
      </c>
      <c r="AN11" s="1978" t="s">
        <v>500</v>
      </c>
      <c r="AO11" s="674"/>
      <c r="AP11" s="1906" t="s">
        <v>344</v>
      </c>
      <c r="AQ11" s="1978" t="s">
        <v>500</v>
      </c>
      <c r="AR11" s="674"/>
      <c r="AS11" s="1906" t="s">
        <v>348</v>
      </c>
      <c r="AT11" s="1906" t="s">
        <v>349</v>
      </c>
      <c r="AU11" s="1906" t="s">
        <v>351</v>
      </c>
      <c r="AV11" s="1906" t="s">
        <v>352</v>
      </c>
      <c r="AW11" s="1906" t="s">
        <v>353</v>
      </c>
      <c r="AX11" s="1906" t="s">
        <v>24</v>
      </c>
    </row>
    <row r="12" spans="1:50" s="5" customFormat="1" ht="14.25" customHeight="1">
      <c r="C12" s="1970"/>
      <c r="D12" s="1792"/>
      <c r="E12" s="1926"/>
      <c r="F12" s="1926"/>
      <c r="G12" s="1926"/>
      <c r="H12" s="1926"/>
      <c r="I12" s="1926"/>
      <c r="J12" s="1927"/>
      <c r="K12" s="1973"/>
      <c r="L12" s="1938"/>
      <c r="M12" s="1882"/>
      <c r="N12" s="1884"/>
      <c r="O12" s="1882"/>
      <c r="P12" s="1888"/>
      <c r="Q12" s="1131" t="s">
        <v>122</v>
      </c>
      <c r="R12" s="675" t="s">
        <v>122</v>
      </c>
      <c r="S12" s="676" t="s">
        <v>122</v>
      </c>
      <c r="T12" s="677" t="s">
        <v>122</v>
      </c>
      <c r="U12" s="1957"/>
      <c r="V12" s="1958"/>
      <c r="W12" s="1862"/>
      <c r="X12" s="1874" t="s">
        <v>123</v>
      </c>
      <c r="Y12" s="1965" t="s">
        <v>786</v>
      </c>
      <c r="AA12" s="499"/>
      <c r="AB12" s="1967"/>
      <c r="AE12" s="1907"/>
      <c r="AF12" s="1907"/>
      <c r="AG12" s="1907"/>
      <c r="AH12" s="1907"/>
      <c r="AI12" s="1907"/>
      <c r="AJ12" s="1907"/>
      <c r="AK12" s="1907" t="s">
        <v>156</v>
      </c>
      <c r="AL12" s="1907"/>
      <c r="AM12" s="1907" t="s">
        <v>156</v>
      </c>
      <c r="AN12" s="1907" t="s">
        <v>156</v>
      </c>
      <c r="AO12" s="1906" t="s">
        <v>503</v>
      </c>
      <c r="AP12" s="1907" t="s">
        <v>156</v>
      </c>
      <c r="AQ12" s="1907" t="s">
        <v>156</v>
      </c>
      <c r="AR12" s="1906" t="s">
        <v>503</v>
      </c>
      <c r="AS12" s="1907"/>
      <c r="AT12" s="1907"/>
      <c r="AU12" s="1907"/>
      <c r="AV12" s="1907"/>
      <c r="AW12" s="1907"/>
      <c r="AX12" s="1907"/>
    </row>
    <row r="13" spans="1:50" s="5" customFormat="1" ht="14.25" customHeight="1">
      <c r="C13" s="1970"/>
      <c r="D13" s="1792"/>
      <c r="E13" s="1926"/>
      <c r="F13" s="1926"/>
      <c r="G13" s="1926"/>
      <c r="H13" s="1926"/>
      <c r="I13" s="1926"/>
      <c r="J13" s="1927"/>
      <c r="K13" s="1973"/>
      <c r="L13" s="1938"/>
      <c r="M13" s="1868" t="s">
        <v>208</v>
      </c>
      <c r="N13" s="1884"/>
      <c r="O13" s="1941" t="s">
        <v>169</v>
      </c>
      <c r="P13" s="1868" t="s">
        <v>34</v>
      </c>
      <c r="Q13" s="678"/>
      <c r="R13" s="679"/>
      <c r="S13" s="640"/>
      <c r="T13" s="680"/>
      <c r="U13" s="1947" t="s">
        <v>132</v>
      </c>
      <c r="V13" s="1947" t="s">
        <v>24</v>
      </c>
      <c r="W13" s="1863"/>
      <c r="X13" s="1875"/>
      <c r="Y13" s="1878"/>
      <c r="AA13" s="499"/>
      <c r="AB13" s="1967"/>
      <c r="AE13" s="1907"/>
      <c r="AF13" s="1907"/>
      <c r="AG13" s="1907"/>
      <c r="AH13" s="1907"/>
      <c r="AI13" s="1907"/>
      <c r="AJ13" s="1907"/>
      <c r="AK13" s="1907"/>
      <c r="AL13" s="1907"/>
      <c r="AM13" s="1907"/>
      <c r="AN13" s="1907"/>
      <c r="AO13" s="1907"/>
      <c r="AP13" s="1907"/>
      <c r="AQ13" s="1907"/>
      <c r="AR13" s="1907"/>
      <c r="AS13" s="1907"/>
      <c r="AT13" s="1907"/>
      <c r="AU13" s="1907"/>
      <c r="AV13" s="1907"/>
      <c r="AW13" s="1907"/>
      <c r="AX13" s="1907"/>
    </row>
    <row r="14" spans="1:50" s="5" customFormat="1" ht="14.25" customHeight="1">
      <c r="C14" s="1970"/>
      <c r="D14" s="1792"/>
      <c r="E14" s="1926"/>
      <c r="F14" s="1926"/>
      <c r="G14" s="1926"/>
      <c r="H14" s="1926"/>
      <c r="I14" s="1926"/>
      <c r="J14" s="1927"/>
      <c r="K14" s="1973"/>
      <c r="L14" s="1938"/>
      <c r="M14" s="1945"/>
      <c r="N14" s="1884"/>
      <c r="O14" s="1942"/>
      <c r="P14" s="1869"/>
      <c r="Q14" s="678"/>
      <c r="R14" s="679"/>
      <c r="S14" s="640"/>
      <c r="T14" s="680"/>
      <c r="U14" s="1948"/>
      <c r="V14" s="1948"/>
      <c r="W14" s="1863"/>
      <c r="X14" s="1875"/>
      <c r="Y14" s="681"/>
      <c r="AA14" s="499"/>
      <c r="AB14" s="1967"/>
      <c r="AE14" s="1907"/>
      <c r="AF14" s="1907"/>
      <c r="AG14" s="1907"/>
      <c r="AH14" s="1907"/>
      <c r="AI14" s="1907"/>
      <c r="AJ14" s="1907"/>
      <c r="AK14" s="1907"/>
      <c r="AL14" s="1907"/>
      <c r="AM14" s="1907"/>
      <c r="AN14" s="1907"/>
      <c r="AO14" s="1907"/>
      <c r="AP14" s="1907"/>
      <c r="AQ14" s="1907"/>
      <c r="AR14" s="1907"/>
      <c r="AS14" s="1907"/>
      <c r="AT14" s="1907"/>
      <c r="AU14" s="1907"/>
      <c r="AV14" s="1907"/>
      <c r="AW14" s="1907"/>
      <c r="AX14" s="1907"/>
    </row>
    <row r="15" spans="1:50" s="5" customFormat="1" ht="14.25" customHeight="1" thickBot="1">
      <c r="C15" s="1970"/>
      <c r="D15" s="1792"/>
      <c r="E15" s="1926"/>
      <c r="F15" s="1926"/>
      <c r="G15" s="1926"/>
      <c r="H15" s="1926"/>
      <c r="I15" s="1926"/>
      <c r="J15" s="1927"/>
      <c r="K15" s="1973"/>
      <c r="L15" s="1938"/>
      <c r="M15" s="1945"/>
      <c r="N15" s="1884"/>
      <c r="O15" s="1942"/>
      <c r="P15" s="1869"/>
      <c r="Q15" s="678"/>
      <c r="R15" s="679"/>
      <c r="S15" s="640"/>
      <c r="T15" s="680"/>
      <c r="U15" s="1949" t="s">
        <v>122</v>
      </c>
      <c r="V15" s="1949" t="s">
        <v>122</v>
      </c>
      <c r="W15" s="1863"/>
      <c r="X15" s="1951"/>
      <c r="Y15" s="681"/>
      <c r="AA15" s="499"/>
      <c r="AB15" s="1967"/>
      <c r="AE15" s="1908"/>
      <c r="AF15" s="1129" t="s">
        <v>342</v>
      </c>
      <c r="AG15" s="1129" t="s">
        <v>342</v>
      </c>
      <c r="AH15" s="1908"/>
      <c r="AI15" s="1908"/>
      <c r="AJ15" s="1908"/>
      <c r="AK15" s="1908"/>
      <c r="AL15" s="1908"/>
      <c r="AM15" s="1908"/>
      <c r="AN15" s="1908"/>
      <c r="AO15" s="1908"/>
      <c r="AP15" s="1908"/>
      <c r="AQ15" s="1908"/>
      <c r="AR15" s="1908"/>
      <c r="AS15" s="1907"/>
      <c r="AT15" s="1908"/>
      <c r="AU15" s="1908"/>
      <c r="AV15" s="1908"/>
      <c r="AW15" s="1908"/>
      <c r="AX15" s="1908"/>
    </row>
    <row r="16" spans="1:50" s="5" customFormat="1" ht="26.45" customHeight="1" thickTop="1" thickBot="1">
      <c r="C16" s="1971"/>
      <c r="D16" s="1928"/>
      <c r="E16" s="1929"/>
      <c r="F16" s="1929"/>
      <c r="G16" s="1929"/>
      <c r="H16" s="1929"/>
      <c r="I16" s="1929"/>
      <c r="J16" s="1930"/>
      <c r="K16" s="1974"/>
      <c r="L16" s="1939"/>
      <c r="M16" s="1946"/>
      <c r="N16" s="1885"/>
      <c r="O16" s="1943"/>
      <c r="P16" s="1870"/>
      <c r="Q16" s="682"/>
      <c r="R16" s="679"/>
      <c r="S16" s="640"/>
      <c r="T16" s="683"/>
      <c r="U16" s="1950"/>
      <c r="V16" s="1950"/>
      <c r="W16" s="1944"/>
      <c r="X16" s="1952"/>
      <c r="Y16" s="684"/>
      <c r="AA16" s="499"/>
      <c r="AB16" s="1968"/>
      <c r="AE16" s="984"/>
      <c r="AF16" s="984"/>
      <c r="AG16" s="984"/>
      <c r="AH16" s="984"/>
      <c r="AI16" s="984"/>
      <c r="AJ16" s="984"/>
      <c r="AK16" s="984"/>
      <c r="AL16" s="984"/>
      <c r="AM16" s="1152">
        <f>SUM(AM17:AM316)</f>
        <v>0</v>
      </c>
      <c r="AN16" s="1152">
        <f t="shared" ref="AN16:AX16" si="0">SUM(AN17:AN316)</f>
        <v>0</v>
      </c>
      <c r="AO16" s="1152">
        <f t="shared" si="0"/>
        <v>0</v>
      </c>
      <c r="AP16" s="1152">
        <f t="shared" si="0"/>
        <v>0</v>
      </c>
      <c r="AQ16" s="1152">
        <f t="shared" si="0"/>
        <v>0</v>
      </c>
      <c r="AR16" s="1153">
        <f t="shared" si="0"/>
        <v>0</v>
      </c>
      <c r="AS16" s="1154">
        <f t="shared" si="0"/>
        <v>0</v>
      </c>
      <c r="AT16" s="1155">
        <f t="shared" si="0"/>
        <v>0</v>
      </c>
      <c r="AU16" s="1152">
        <f t="shared" si="0"/>
        <v>0</v>
      </c>
      <c r="AV16" s="1152">
        <f t="shared" si="0"/>
        <v>0</v>
      </c>
      <c r="AW16" s="1152">
        <f t="shared" si="0"/>
        <v>0</v>
      </c>
      <c r="AX16" s="1152">
        <f t="shared" si="0"/>
        <v>0</v>
      </c>
    </row>
    <row r="17" spans="3:50" s="5" customFormat="1" ht="27.75" customHeight="1" thickTop="1">
      <c r="C17" s="642">
        <v>1</v>
      </c>
      <c r="D17" s="1871"/>
      <c r="E17" s="1872"/>
      <c r="F17" s="1872"/>
      <c r="G17" s="1872"/>
      <c r="H17" s="1872"/>
      <c r="I17" s="1872"/>
      <c r="J17" s="1873"/>
      <c r="K17" s="698"/>
      <c r="L17" s="1053"/>
      <c r="M17" s="699"/>
      <c r="N17" s="262"/>
      <c r="O17" s="1038"/>
      <c r="P17" s="1039"/>
      <c r="Q17" s="261"/>
      <c r="R17" s="122"/>
      <c r="S17" s="261"/>
      <c r="T17" s="261"/>
      <c r="U17" s="261"/>
      <c r="V17" s="261"/>
      <c r="W17" s="700"/>
      <c r="X17" s="701"/>
      <c r="Y17" s="124"/>
      <c r="Z17" s="431"/>
      <c r="AA17" s="499"/>
      <c r="AB17" s="740"/>
      <c r="AE17" s="985" t="str">
        <f t="shared" ref="AE17:AE316" si="1">IF(AND(K17="",L17=""),"","["&amp;RIGHT(LEFT(K17,2),1)&amp;RIGHT(LEFT(L17,2),1)&amp;"]")</f>
        <v/>
      </c>
      <c r="AF17" s="1047" t="str">
        <f t="shared" ref="AF17:AF316" si="2">IF(AE17="","",IF(Q17&lt;100000,1,0))</f>
        <v/>
      </c>
      <c r="AG17" s="1047" t="str">
        <f t="shared" ref="AG17:AG316" si="3">IF(AE17="","",IF(AND(AF17=0,Q17&lt;200000),1,))</f>
        <v/>
      </c>
      <c r="AH17" s="1047" t="str">
        <f>IF(AE17="","",VLOOKUP(AE17,リスト!BI:BJ,2,0))</f>
        <v/>
      </c>
      <c r="AI17" s="1047" t="str">
        <f t="shared" ref="AI17:AI24" si="4">IF(AG17=1,3,IF(M17="2：中古",MIN(AH17,N17),AH17))</f>
        <v/>
      </c>
      <c r="AJ17" s="1047" t="str">
        <f>IF(AI17="","",VLOOKUP(AI17,リスト!BW:BX,2,0))</f>
        <v/>
      </c>
      <c r="AK17" s="1047" t="str">
        <f t="shared" ref="AK17:AK80" si="5">IF(AE17="","",調査年-O17)</f>
        <v/>
      </c>
      <c r="AL17" s="986" t="str">
        <f t="shared" ref="AL17:AL316" si="6">IF(OR(AE17="",AF17=1),"",
IF(AND(AI17&gt;0,AK17&lt;AI17,AM17&lt;=ROUND((Q17-1)*AJ17,0)),ROUND(AM17,0),
IF(AND(AI17&gt;0,AK17&lt;AI17),ROUND((Q17-1)*AJ17,0),
"")))</f>
        <v/>
      </c>
      <c r="AM17" s="986" t="str">
        <f t="shared" ref="AM17:AM316" si="7">IF(OR(AE17="",AF17=1),"",
IF(AND(AI17&gt;0,AK17&lt;AI17),Q17-ROUND((Q17-1)*AJ17*AK17,0),1
))</f>
        <v/>
      </c>
      <c r="AN17" s="987" t="str">
        <f>IF(OR(AE17="",AF17=1),"",
IF(X17="",AL17,
IF(X17="2：廃棄等",SUM(AM17,Y17),
IF(X17="1：売却",AM17-Y17,
IF(AND(Y17="",AL17=""),"",SUM(Y17,AL17))))))</f>
        <v/>
      </c>
      <c r="AO17" s="987" t="str">
        <f>IF(AND(AN17="",AL17=""),"",
IF(OR(X17="2：廃棄等",X17="1：売却"),SUM(AN17)-SUM(AL17),""))</f>
        <v/>
      </c>
      <c r="AP17" s="987" t="str">
        <f t="shared" ref="AP17:AP80" si="8">IF(W17="","",IF(OR(O17=調査年,AM17=""),"",ROUND(AM17*W17%,0)))</f>
        <v/>
      </c>
      <c r="AQ17" s="987" t="str">
        <f t="shared" ref="AQ17:AQ316" si="9">IF(W17="","",IF(AN17="","",ROUND(AN17*W17%,0)))</f>
        <v/>
      </c>
      <c r="AR17" s="987" t="str">
        <f t="shared" ref="AR17:AR316" si="10">IF(W17="","",IF(AO17="","",ROUND(AO17*W17%,0)))</f>
        <v/>
      </c>
      <c r="AS17" s="988" t="str">
        <f t="shared" ref="AS17:AS316" si="11">IF(W17="","",IF(AM17="","",ROUND(AM17*W17%,0)))</f>
        <v/>
      </c>
      <c r="AT17" s="987" t="str">
        <f t="shared" ref="AT17:AT80" si="12">IF(OR(W17="",AND(OR(O17&lt;&gt;調査年,AF17=0),R17="")),"",
SUM(
IF(AND(O17=調査年,AF17=1),ROUND(Q17*W17%,0),),
ROUND(R17*W17%,0)))</f>
        <v/>
      </c>
      <c r="AU17" s="987" t="str">
        <f t="shared" ref="AU17:AU316" si="13">IF(W17="","",IF(S17="","",ROUND(S17*W17%,0)))</f>
        <v/>
      </c>
      <c r="AV17" s="987" t="str">
        <f t="shared" ref="AV17:AV316" si="14">IF(W17="","",IF(T17="","",ROUND(T17*W17%,0)))</f>
        <v/>
      </c>
      <c r="AW17" s="987" t="str">
        <f t="shared" ref="AW17:AW316" si="15">IF(W17="","",IF(U17="","",ROUND(U17*W17%,0)))</f>
        <v/>
      </c>
      <c r="AX17" s="987" t="str">
        <f t="shared" ref="AX17:AX316" si="16">IF(W17="","",IF(V17="","",ROUND(V17*W17%,0)))</f>
        <v/>
      </c>
    </row>
    <row r="18" spans="3:50" s="5" customFormat="1" ht="28.15" customHeight="1">
      <c r="C18" s="649">
        <v>2</v>
      </c>
      <c r="D18" s="1855"/>
      <c r="E18" s="1856"/>
      <c r="F18" s="1856"/>
      <c r="G18" s="1856"/>
      <c r="H18" s="1856"/>
      <c r="I18" s="1856"/>
      <c r="J18" s="1857"/>
      <c r="K18" s="702"/>
      <c r="L18" s="1054"/>
      <c r="M18" s="666"/>
      <c r="N18" s="266"/>
      <c r="O18" s="1040"/>
      <c r="P18" s="1041"/>
      <c r="Q18" s="267"/>
      <c r="R18" s="267"/>
      <c r="S18" s="267"/>
      <c r="T18" s="267"/>
      <c r="U18" s="267"/>
      <c r="V18" s="267"/>
      <c r="W18" s="254"/>
      <c r="X18" s="703"/>
      <c r="Y18" s="125"/>
      <c r="Z18" s="431"/>
      <c r="AA18" s="499"/>
      <c r="AB18" s="741"/>
      <c r="AE18" s="645" t="str">
        <f t="shared" si="1"/>
        <v/>
      </c>
      <c r="AF18" s="1037" t="str">
        <f t="shared" si="2"/>
        <v/>
      </c>
      <c r="AG18" s="1037" t="str">
        <f t="shared" si="3"/>
        <v/>
      </c>
      <c r="AH18" s="1037" t="str">
        <f>IF(AE18="","",VLOOKUP(AE18,リスト!BI:BJ,2,0))</f>
        <v/>
      </c>
      <c r="AI18" s="1037" t="str">
        <f t="shared" si="4"/>
        <v/>
      </c>
      <c r="AJ18" s="1037" t="str">
        <f>IF(AI18="","",VLOOKUP(AI18,リスト!BW:BX,2,0))</f>
        <v/>
      </c>
      <c r="AK18" s="1037" t="str">
        <f t="shared" si="5"/>
        <v/>
      </c>
      <c r="AL18" s="685" t="str">
        <f t="shared" si="6"/>
        <v/>
      </c>
      <c r="AM18" s="646" t="str">
        <f t="shared" si="7"/>
        <v/>
      </c>
      <c r="AN18" s="646" t="str">
        <f t="shared" ref="AN18:AN81" si="17">IF(OR(AE18="",AF18=1),"",
IF(X18="",AL18,
IF(X18="2：廃棄等",SUM(AM18,Y18),
IF(X18="1：売却",AM18-Y18,
IF(AND(Y18="",AL18=""),"",SUM(Y18,AL18))))))</f>
        <v/>
      </c>
      <c r="AO18" s="647" t="str">
        <f t="shared" ref="AO18:AO81" si="18">IF(AND(AN18="",AL18=""),"",
IF(OR(X18="2：廃棄等",X18="1：売却"),SUM(AN18)-SUM(AL18),""))</f>
        <v/>
      </c>
      <c r="AP18" s="647" t="str">
        <f t="shared" si="8"/>
        <v/>
      </c>
      <c r="AQ18" s="647" t="str">
        <f t="shared" si="9"/>
        <v/>
      </c>
      <c r="AR18" s="647" t="str">
        <f t="shared" si="10"/>
        <v/>
      </c>
      <c r="AS18" s="647" t="str">
        <f t="shared" si="11"/>
        <v/>
      </c>
      <c r="AT18" s="647" t="str">
        <f t="shared" si="12"/>
        <v/>
      </c>
      <c r="AU18" s="647" t="str">
        <f t="shared" si="13"/>
        <v/>
      </c>
      <c r="AV18" s="647" t="str">
        <f t="shared" si="14"/>
        <v/>
      </c>
      <c r="AW18" s="647" t="str">
        <f t="shared" si="15"/>
        <v/>
      </c>
      <c r="AX18" s="647" t="str">
        <f t="shared" si="16"/>
        <v/>
      </c>
    </row>
    <row r="19" spans="3:50" s="5" customFormat="1" ht="28.15" customHeight="1">
      <c r="C19" s="649">
        <v>3</v>
      </c>
      <c r="D19" s="1865"/>
      <c r="E19" s="1866"/>
      <c r="F19" s="1866"/>
      <c r="G19" s="1866"/>
      <c r="H19" s="1866"/>
      <c r="I19" s="1866"/>
      <c r="J19" s="1866"/>
      <c r="K19" s="704"/>
      <c r="L19" s="1055"/>
      <c r="M19" s="705"/>
      <c r="N19" s="257"/>
      <c r="O19" s="1042"/>
      <c r="P19" s="1041"/>
      <c r="Q19" s="256"/>
      <c r="R19" s="267"/>
      <c r="S19" s="256"/>
      <c r="T19" s="256"/>
      <c r="U19" s="256"/>
      <c r="V19" s="256"/>
      <c r="W19" s="254"/>
      <c r="X19" s="703"/>
      <c r="Y19" s="125"/>
      <c r="Z19" s="431"/>
      <c r="AA19" s="499"/>
      <c r="AB19" s="741"/>
      <c r="AE19" s="645" t="str">
        <f t="shared" si="1"/>
        <v/>
      </c>
      <c r="AF19" s="1037" t="str">
        <f t="shared" si="2"/>
        <v/>
      </c>
      <c r="AG19" s="1037" t="str">
        <f t="shared" si="3"/>
        <v/>
      </c>
      <c r="AH19" s="1037" t="str">
        <f>IF(AE19="","",VLOOKUP(AE19,リスト!BI:BJ,2,0))</f>
        <v/>
      </c>
      <c r="AI19" s="1037" t="str">
        <f t="shared" si="4"/>
        <v/>
      </c>
      <c r="AJ19" s="1037" t="str">
        <f>IF(AI19="","",VLOOKUP(AI19,リスト!BW:BX,2,0))</f>
        <v/>
      </c>
      <c r="AK19" s="1037" t="str">
        <f t="shared" si="5"/>
        <v/>
      </c>
      <c r="AL19" s="685" t="str">
        <f t="shared" si="6"/>
        <v/>
      </c>
      <c r="AM19" s="646" t="str">
        <f t="shared" si="7"/>
        <v/>
      </c>
      <c r="AN19" s="646" t="str">
        <f t="shared" si="17"/>
        <v/>
      </c>
      <c r="AO19" s="647" t="str">
        <f t="shared" si="18"/>
        <v/>
      </c>
      <c r="AP19" s="647" t="str">
        <f t="shared" si="8"/>
        <v/>
      </c>
      <c r="AQ19" s="647" t="str">
        <f t="shared" si="9"/>
        <v/>
      </c>
      <c r="AR19" s="647" t="str">
        <f t="shared" si="10"/>
        <v/>
      </c>
      <c r="AS19" s="647" t="str">
        <f t="shared" si="11"/>
        <v/>
      </c>
      <c r="AT19" s="647" t="str">
        <f t="shared" si="12"/>
        <v/>
      </c>
      <c r="AU19" s="647" t="str">
        <f t="shared" si="13"/>
        <v/>
      </c>
      <c r="AV19" s="647" t="str">
        <f t="shared" si="14"/>
        <v/>
      </c>
      <c r="AW19" s="647" t="str">
        <f t="shared" si="15"/>
        <v/>
      </c>
      <c r="AX19" s="647" t="str">
        <f t="shared" si="16"/>
        <v/>
      </c>
    </row>
    <row r="20" spans="3:50" s="5" customFormat="1" ht="28.15" customHeight="1">
      <c r="C20" s="649">
        <v>4</v>
      </c>
      <c r="D20" s="1855"/>
      <c r="E20" s="1856"/>
      <c r="F20" s="1856"/>
      <c r="G20" s="1856"/>
      <c r="H20" s="1856"/>
      <c r="I20" s="1856"/>
      <c r="J20" s="1856"/>
      <c r="K20" s="702"/>
      <c r="L20" s="1054"/>
      <c r="M20" s="705"/>
      <c r="N20" s="255"/>
      <c r="O20" s="1040"/>
      <c r="P20" s="1041"/>
      <c r="Q20" s="256"/>
      <c r="R20" s="267"/>
      <c r="S20" s="256"/>
      <c r="T20" s="256"/>
      <c r="U20" s="256"/>
      <c r="V20" s="256"/>
      <c r="W20" s="254"/>
      <c r="X20" s="703"/>
      <c r="Y20" s="125"/>
      <c r="Z20" s="431"/>
      <c r="AA20" s="499"/>
      <c r="AB20" s="741"/>
      <c r="AE20" s="645" t="str">
        <f t="shared" si="1"/>
        <v/>
      </c>
      <c r="AF20" s="1037" t="str">
        <f t="shared" si="2"/>
        <v/>
      </c>
      <c r="AG20" s="1037" t="str">
        <f t="shared" si="3"/>
        <v/>
      </c>
      <c r="AH20" s="1037" t="str">
        <f>IF(AE20="","",VLOOKUP(AE20,リスト!BI:BJ,2,0))</f>
        <v/>
      </c>
      <c r="AI20" s="1037" t="str">
        <f t="shared" si="4"/>
        <v/>
      </c>
      <c r="AJ20" s="1037" t="str">
        <f>IF(AI20="","",VLOOKUP(AI20,リスト!BW:BX,2,0))</f>
        <v/>
      </c>
      <c r="AK20" s="1037" t="str">
        <f t="shared" si="5"/>
        <v/>
      </c>
      <c r="AL20" s="685" t="str">
        <f t="shared" si="6"/>
        <v/>
      </c>
      <c r="AM20" s="646" t="str">
        <f t="shared" si="7"/>
        <v/>
      </c>
      <c r="AN20" s="646" t="str">
        <f t="shared" si="17"/>
        <v/>
      </c>
      <c r="AO20" s="647" t="str">
        <f t="shared" si="18"/>
        <v/>
      </c>
      <c r="AP20" s="647" t="str">
        <f t="shared" si="8"/>
        <v/>
      </c>
      <c r="AQ20" s="647" t="str">
        <f t="shared" si="9"/>
        <v/>
      </c>
      <c r="AR20" s="647" t="str">
        <f t="shared" si="10"/>
        <v/>
      </c>
      <c r="AS20" s="647" t="str">
        <f t="shared" si="11"/>
        <v/>
      </c>
      <c r="AT20" s="647" t="str">
        <f t="shared" si="12"/>
        <v/>
      </c>
      <c r="AU20" s="647" t="str">
        <f t="shared" si="13"/>
        <v/>
      </c>
      <c r="AV20" s="647" t="str">
        <f t="shared" si="14"/>
        <v/>
      </c>
      <c r="AW20" s="647" t="str">
        <f t="shared" si="15"/>
        <v/>
      </c>
      <c r="AX20" s="647" t="str">
        <f t="shared" si="16"/>
        <v/>
      </c>
    </row>
    <row r="21" spans="3:50" s="5" customFormat="1" ht="28.15" customHeight="1">
      <c r="C21" s="649">
        <v>5</v>
      </c>
      <c r="D21" s="1865"/>
      <c r="E21" s="1866"/>
      <c r="F21" s="1866"/>
      <c r="G21" s="1866"/>
      <c r="H21" s="1866"/>
      <c r="I21" s="1866"/>
      <c r="J21" s="1866"/>
      <c r="K21" s="704"/>
      <c r="L21" s="1055"/>
      <c r="M21" s="705"/>
      <c r="N21" s="257"/>
      <c r="O21" s="1042"/>
      <c r="P21" s="1041"/>
      <c r="Q21" s="256"/>
      <c r="R21" s="267"/>
      <c r="S21" s="256"/>
      <c r="T21" s="256"/>
      <c r="U21" s="256"/>
      <c r="V21" s="256"/>
      <c r="W21" s="254"/>
      <c r="X21" s="703"/>
      <c r="Y21" s="125"/>
      <c r="Z21" s="431"/>
      <c r="AA21" s="499"/>
      <c r="AB21" s="741"/>
      <c r="AE21" s="645" t="str">
        <f t="shared" si="1"/>
        <v/>
      </c>
      <c r="AF21" s="1037" t="str">
        <f t="shared" si="2"/>
        <v/>
      </c>
      <c r="AG21" s="1037" t="str">
        <f t="shared" si="3"/>
        <v/>
      </c>
      <c r="AH21" s="1037" t="str">
        <f>IF(AE21="","",VLOOKUP(AE21,リスト!BI:BJ,2,0))</f>
        <v/>
      </c>
      <c r="AI21" s="1037" t="str">
        <f t="shared" si="4"/>
        <v/>
      </c>
      <c r="AJ21" s="1037" t="str">
        <f>IF(AI21="","",VLOOKUP(AI21,リスト!BW:BX,2,0))</f>
        <v/>
      </c>
      <c r="AK21" s="1037" t="str">
        <f t="shared" si="5"/>
        <v/>
      </c>
      <c r="AL21" s="685" t="str">
        <f t="shared" si="6"/>
        <v/>
      </c>
      <c r="AM21" s="646" t="str">
        <f t="shared" si="7"/>
        <v/>
      </c>
      <c r="AN21" s="646" t="str">
        <f t="shared" si="17"/>
        <v/>
      </c>
      <c r="AO21" s="647" t="str">
        <f t="shared" si="18"/>
        <v/>
      </c>
      <c r="AP21" s="647" t="str">
        <f t="shared" si="8"/>
        <v/>
      </c>
      <c r="AQ21" s="647" t="str">
        <f t="shared" si="9"/>
        <v/>
      </c>
      <c r="AR21" s="647" t="str">
        <f t="shared" si="10"/>
        <v/>
      </c>
      <c r="AS21" s="647" t="str">
        <f t="shared" si="11"/>
        <v/>
      </c>
      <c r="AT21" s="647" t="str">
        <f t="shared" si="12"/>
        <v/>
      </c>
      <c r="AU21" s="647" t="str">
        <f t="shared" si="13"/>
        <v/>
      </c>
      <c r="AV21" s="647" t="str">
        <f t="shared" si="14"/>
        <v/>
      </c>
      <c r="AW21" s="647" t="str">
        <f t="shared" si="15"/>
        <v/>
      </c>
      <c r="AX21" s="647" t="str">
        <f t="shared" si="16"/>
        <v/>
      </c>
    </row>
    <row r="22" spans="3:50" s="5" customFormat="1" ht="28.15" customHeight="1">
      <c r="C22" s="649">
        <v>6</v>
      </c>
      <c r="D22" s="1855"/>
      <c r="E22" s="1856"/>
      <c r="F22" s="1856"/>
      <c r="G22" s="1856"/>
      <c r="H22" s="1856"/>
      <c r="I22" s="1856"/>
      <c r="J22" s="1856"/>
      <c r="K22" s="702"/>
      <c r="L22" s="1054"/>
      <c r="M22" s="705"/>
      <c r="N22" s="255"/>
      <c r="O22" s="1040"/>
      <c r="P22" s="1041"/>
      <c r="Q22" s="256"/>
      <c r="R22" s="267"/>
      <c r="S22" s="256"/>
      <c r="T22" s="256"/>
      <c r="U22" s="256"/>
      <c r="V22" s="256"/>
      <c r="W22" s="254"/>
      <c r="X22" s="703"/>
      <c r="Y22" s="125"/>
      <c r="Z22" s="431"/>
      <c r="AA22" s="499"/>
      <c r="AB22" s="741"/>
      <c r="AE22" s="645" t="str">
        <f t="shared" si="1"/>
        <v/>
      </c>
      <c r="AF22" s="1037" t="str">
        <f t="shared" si="2"/>
        <v/>
      </c>
      <c r="AG22" s="1037" t="str">
        <f t="shared" si="3"/>
        <v/>
      </c>
      <c r="AH22" s="1037" t="str">
        <f>IF(AE22="","",VLOOKUP(AE22,リスト!BI:BJ,2,0))</f>
        <v/>
      </c>
      <c r="AI22" s="1037" t="str">
        <f t="shared" si="4"/>
        <v/>
      </c>
      <c r="AJ22" s="1037" t="str">
        <f>IF(AI22="","",VLOOKUP(AI22,リスト!BW:BX,2,0))</f>
        <v/>
      </c>
      <c r="AK22" s="1037" t="str">
        <f t="shared" si="5"/>
        <v/>
      </c>
      <c r="AL22" s="685" t="str">
        <f t="shared" si="6"/>
        <v/>
      </c>
      <c r="AM22" s="646" t="str">
        <f t="shared" si="7"/>
        <v/>
      </c>
      <c r="AN22" s="646" t="str">
        <f t="shared" si="17"/>
        <v/>
      </c>
      <c r="AO22" s="647" t="str">
        <f t="shared" si="18"/>
        <v/>
      </c>
      <c r="AP22" s="647" t="str">
        <f t="shared" si="8"/>
        <v/>
      </c>
      <c r="AQ22" s="647" t="str">
        <f t="shared" si="9"/>
        <v/>
      </c>
      <c r="AR22" s="647" t="str">
        <f t="shared" si="10"/>
        <v/>
      </c>
      <c r="AS22" s="647" t="str">
        <f t="shared" si="11"/>
        <v/>
      </c>
      <c r="AT22" s="647" t="str">
        <f t="shared" si="12"/>
        <v/>
      </c>
      <c r="AU22" s="647" t="str">
        <f t="shared" si="13"/>
        <v/>
      </c>
      <c r="AV22" s="647" t="str">
        <f t="shared" si="14"/>
        <v/>
      </c>
      <c r="AW22" s="647" t="str">
        <f t="shared" si="15"/>
        <v/>
      </c>
      <c r="AX22" s="647" t="str">
        <f t="shared" si="16"/>
        <v/>
      </c>
    </row>
    <row r="23" spans="3:50" s="5" customFormat="1" ht="28.15" customHeight="1">
      <c r="C23" s="649">
        <v>7</v>
      </c>
      <c r="D23" s="1865"/>
      <c r="E23" s="1866"/>
      <c r="F23" s="1866"/>
      <c r="G23" s="1866"/>
      <c r="H23" s="1866"/>
      <c r="I23" s="1866"/>
      <c r="J23" s="1866"/>
      <c r="K23" s="704"/>
      <c r="L23" s="1055"/>
      <c r="M23" s="705"/>
      <c r="N23" s="257"/>
      <c r="O23" s="1042"/>
      <c r="P23" s="1041"/>
      <c r="Q23" s="256"/>
      <c r="R23" s="267"/>
      <c r="S23" s="256"/>
      <c r="T23" s="256"/>
      <c r="U23" s="256"/>
      <c r="V23" s="256"/>
      <c r="W23" s="254"/>
      <c r="X23" s="703"/>
      <c r="Y23" s="125"/>
      <c r="Z23" s="431"/>
      <c r="AA23" s="499"/>
      <c r="AB23" s="741"/>
      <c r="AE23" s="645" t="str">
        <f t="shared" si="1"/>
        <v/>
      </c>
      <c r="AF23" s="1037" t="str">
        <f t="shared" si="2"/>
        <v/>
      </c>
      <c r="AG23" s="1037" t="str">
        <f t="shared" si="3"/>
        <v/>
      </c>
      <c r="AH23" s="1037" t="str">
        <f>IF(AE23="","",VLOOKUP(AE23,リスト!BI:BJ,2,0))</f>
        <v/>
      </c>
      <c r="AI23" s="1037" t="str">
        <f t="shared" si="4"/>
        <v/>
      </c>
      <c r="AJ23" s="1037" t="str">
        <f>IF(AI23="","",VLOOKUP(AI23,リスト!BW:BX,2,0))</f>
        <v/>
      </c>
      <c r="AK23" s="1037" t="str">
        <f t="shared" si="5"/>
        <v/>
      </c>
      <c r="AL23" s="685" t="str">
        <f t="shared" si="6"/>
        <v/>
      </c>
      <c r="AM23" s="646" t="str">
        <f t="shared" si="7"/>
        <v/>
      </c>
      <c r="AN23" s="646" t="str">
        <f t="shared" si="17"/>
        <v/>
      </c>
      <c r="AO23" s="647" t="str">
        <f t="shared" si="18"/>
        <v/>
      </c>
      <c r="AP23" s="647" t="str">
        <f t="shared" si="8"/>
        <v/>
      </c>
      <c r="AQ23" s="647" t="str">
        <f t="shared" si="9"/>
        <v/>
      </c>
      <c r="AR23" s="647" t="str">
        <f t="shared" si="10"/>
        <v/>
      </c>
      <c r="AS23" s="647" t="str">
        <f t="shared" si="11"/>
        <v/>
      </c>
      <c r="AT23" s="647" t="str">
        <f t="shared" si="12"/>
        <v/>
      </c>
      <c r="AU23" s="647" t="str">
        <f t="shared" si="13"/>
        <v/>
      </c>
      <c r="AV23" s="647" t="str">
        <f t="shared" si="14"/>
        <v/>
      </c>
      <c r="AW23" s="647" t="str">
        <f t="shared" si="15"/>
        <v/>
      </c>
      <c r="AX23" s="647" t="str">
        <f t="shared" si="16"/>
        <v/>
      </c>
    </row>
    <row r="24" spans="3:50" s="5" customFormat="1" ht="28.15" customHeight="1">
      <c r="C24" s="649">
        <v>8</v>
      </c>
      <c r="D24" s="1855"/>
      <c r="E24" s="1856"/>
      <c r="F24" s="1856"/>
      <c r="G24" s="1856"/>
      <c r="H24" s="1856"/>
      <c r="I24" s="1856"/>
      <c r="J24" s="1856"/>
      <c r="K24" s="702"/>
      <c r="L24" s="1054"/>
      <c r="M24" s="705"/>
      <c r="N24" s="255"/>
      <c r="O24" s="1040"/>
      <c r="P24" s="1041"/>
      <c r="Q24" s="256"/>
      <c r="R24" s="267"/>
      <c r="S24" s="256"/>
      <c r="T24" s="256"/>
      <c r="U24" s="256"/>
      <c r="V24" s="256"/>
      <c r="W24" s="254"/>
      <c r="X24" s="703"/>
      <c r="Y24" s="125"/>
      <c r="Z24" s="431"/>
      <c r="AA24" s="499"/>
      <c r="AB24" s="741"/>
      <c r="AE24" s="645" t="str">
        <f t="shared" si="1"/>
        <v/>
      </c>
      <c r="AF24" s="1037" t="str">
        <f t="shared" si="2"/>
        <v/>
      </c>
      <c r="AG24" s="1037" t="str">
        <f t="shared" si="3"/>
        <v/>
      </c>
      <c r="AH24" s="1037" t="str">
        <f>IF(AE24="","",VLOOKUP(AE24,リスト!BI:BJ,2,0))</f>
        <v/>
      </c>
      <c r="AI24" s="1037" t="str">
        <f t="shared" si="4"/>
        <v/>
      </c>
      <c r="AJ24" s="1037" t="str">
        <f>IF(AI24="","",VLOOKUP(AI24,リスト!BW:BX,2,0))</f>
        <v/>
      </c>
      <c r="AK24" s="1037" t="str">
        <f t="shared" si="5"/>
        <v/>
      </c>
      <c r="AL24" s="685" t="str">
        <f t="shared" si="6"/>
        <v/>
      </c>
      <c r="AM24" s="646" t="str">
        <f t="shared" si="7"/>
        <v/>
      </c>
      <c r="AN24" s="646" t="str">
        <f t="shared" si="17"/>
        <v/>
      </c>
      <c r="AO24" s="647" t="str">
        <f t="shared" si="18"/>
        <v/>
      </c>
      <c r="AP24" s="647" t="str">
        <f t="shared" si="8"/>
        <v/>
      </c>
      <c r="AQ24" s="647" t="str">
        <f t="shared" si="9"/>
        <v/>
      </c>
      <c r="AR24" s="647" t="str">
        <f t="shared" si="10"/>
        <v/>
      </c>
      <c r="AS24" s="647" t="str">
        <f t="shared" si="11"/>
        <v/>
      </c>
      <c r="AT24" s="647" t="str">
        <f t="shared" si="12"/>
        <v/>
      </c>
      <c r="AU24" s="647" t="str">
        <f t="shared" si="13"/>
        <v/>
      </c>
      <c r="AV24" s="647" t="str">
        <f t="shared" si="14"/>
        <v/>
      </c>
      <c r="AW24" s="647" t="str">
        <f t="shared" si="15"/>
        <v/>
      </c>
      <c r="AX24" s="647" t="str">
        <f t="shared" si="16"/>
        <v/>
      </c>
    </row>
    <row r="25" spans="3:50" s="5" customFormat="1" ht="28.15" customHeight="1">
      <c r="C25" s="649">
        <v>9</v>
      </c>
      <c r="D25" s="1865"/>
      <c r="E25" s="1866"/>
      <c r="F25" s="1866"/>
      <c r="G25" s="1866"/>
      <c r="H25" s="1866"/>
      <c r="I25" s="1866"/>
      <c r="J25" s="1866"/>
      <c r="K25" s="704"/>
      <c r="L25" s="1055"/>
      <c r="M25" s="705"/>
      <c r="N25" s="255"/>
      <c r="O25" s="1042"/>
      <c r="P25" s="1041"/>
      <c r="Q25" s="256"/>
      <c r="R25" s="267"/>
      <c r="S25" s="256"/>
      <c r="T25" s="256"/>
      <c r="U25" s="256"/>
      <c r="V25" s="256"/>
      <c r="W25" s="254"/>
      <c r="X25" s="703"/>
      <c r="Y25" s="125"/>
      <c r="Z25" s="431"/>
      <c r="AA25" s="499"/>
      <c r="AB25" s="741"/>
      <c r="AE25" s="645" t="str">
        <f t="shared" si="1"/>
        <v/>
      </c>
      <c r="AF25" s="1037" t="str">
        <f t="shared" si="2"/>
        <v/>
      </c>
      <c r="AG25" s="1037" t="str">
        <f t="shared" si="3"/>
        <v/>
      </c>
      <c r="AH25" s="1037" t="str">
        <f>IF(AE25="","",VLOOKUP(AE25,リスト!BI:BJ,2,0))</f>
        <v/>
      </c>
      <c r="AI25" s="1037" t="str">
        <f t="shared" ref="AI25:AI81" si="19">IF(AG25=1,3,IF(M25="2：中古",MIN(AH25,N25),AH25))</f>
        <v/>
      </c>
      <c r="AJ25" s="1037" t="str">
        <f>IF(AI25="","",VLOOKUP(AI25,リスト!BW:BX,2,0))</f>
        <v/>
      </c>
      <c r="AK25" s="1037" t="str">
        <f t="shared" si="5"/>
        <v/>
      </c>
      <c r="AL25" s="685" t="str">
        <f t="shared" si="6"/>
        <v/>
      </c>
      <c r="AM25" s="646" t="str">
        <f t="shared" si="7"/>
        <v/>
      </c>
      <c r="AN25" s="646" t="str">
        <f t="shared" si="17"/>
        <v/>
      </c>
      <c r="AO25" s="647" t="str">
        <f t="shared" si="18"/>
        <v/>
      </c>
      <c r="AP25" s="647" t="str">
        <f t="shared" si="8"/>
        <v/>
      </c>
      <c r="AQ25" s="647" t="str">
        <f t="shared" si="9"/>
        <v/>
      </c>
      <c r="AR25" s="647" t="str">
        <f t="shared" si="10"/>
        <v/>
      </c>
      <c r="AS25" s="647" t="str">
        <f t="shared" si="11"/>
        <v/>
      </c>
      <c r="AT25" s="647" t="str">
        <f t="shared" si="12"/>
        <v/>
      </c>
      <c r="AU25" s="647" t="str">
        <f t="shared" si="13"/>
        <v/>
      </c>
      <c r="AV25" s="647" t="str">
        <f t="shared" si="14"/>
        <v/>
      </c>
      <c r="AW25" s="647" t="str">
        <f t="shared" si="15"/>
        <v/>
      </c>
      <c r="AX25" s="647" t="str">
        <f t="shared" si="16"/>
        <v/>
      </c>
    </row>
    <row r="26" spans="3:50" s="5" customFormat="1" ht="28.15" customHeight="1">
      <c r="C26" s="649">
        <v>10</v>
      </c>
      <c r="D26" s="1855"/>
      <c r="E26" s="1856"/>
      <c r="F26" s="1856"/>
      <c r="G26" s="1856"/>
      <c r="H26" s="1856"/>
      <c r="I26" s="1856"/>
      <c r="J26" s="1856"/>
      <c r="K26" s="702"/>
      <c r="L26" s="1054"/>
      <c r="M26" s="705"/>
      <c r="N26" s="255"/>
      <c r="O26" s="1040"/>
      <c r="P26" s="1041"/>
      <c r="Q26" s="256"/>
      <c r="R26" s="267"/>
      <c r="S26" s="256"/>
      <c r="T26" s="256"/>
      <c r="U26" s="256"/>
      <c r="V26" s="256"/>
      <c r="W26" s="254"/>
      <c r="X26" s="703"/>
      <c r="Y26" s="125"/>
      <c r="Z26" s="431"/>
      <c r="AA26" s="499"/>
      <c r="AB26" s="741"/>
      <c r="AE26" s="645" t="str">
        <f t="shared" si="1"/>
        <v/>
      </c>
      <c r="AF26" s="1037" t="str">
        <f t="shared" si="2"/>
        <v/>
      </c>
      <c r="AG26" s="1037" t="str">
        <f t="shared" si="3"/>
        <v/>
      </c>
      <c r="AH26" s="1037" t="str">
        <f>IF(AE26="","",VLOOKUP(AE26,リスト!BI:BJ,2,0))</f>
        <v/>
      </c>
      <c r="AI26" s="1037" t="str">
        <f t="shared" si="19"/>
        <v/>
      </c>
      <c r="AJ26" s="1037" t="str">
        <f>IF(AI26="","",VLOOKUP(AI26,リスト!BW:BX,2,0))</f>
        <v/>
      </c>
      <c r="AK26" s="1037" t="str">
        <f t="shared" si="5"/>
        <v/>
      </c>
      <c r="AL26" s="685" t="str">
        <f t="shared" si="6"/>
        <v/>
      </c>
      <c r="AM26" s="646" t="str">
        <f t="shared" si="7"/>
        <v/>
      </c>
      <c r="AN26" s="646" t="str">
        <f t="shared" si="17"/>
        <v/>
      </c>
      <c r="AO26" s="647" t="str">
        <f t="shared" si="18"/>
        <v/>
      </c>
      <c r="AP26" s="647" t="str">
        <f t="shared" si="8"/>
        <v/>
      </c>
      <c r="AQ26" s="647" t="str">
        <f t="shared" si="9"/>
        <v/>
      </c>
      <c r="AR26" s="647" t="str">
        <f t="shared" si="10"/>
        <v/>
      </c>
      <c r="AS26" s="647" t="str">
        <f t="shared" si="11"/>
        <v/>
      </c>
      <c r="AT26" s="647" t="str">
        <f t="shared" si="12"/>
        <v/>
      </c>
      <c r="AU26" s="647" t="str">
        <f t="shared" si="13"/>
        <v/>
      </c>
      <c r="AV26" s="647" t="str">
        <f t="shared" si="14"/>
        <v/>
      </c>
      <c r="AW26" s="647" t="str">
        <f t="shared" si="15"/>
        <v/>
      </c>
      <c r="AX26" s="647" t="str">
        <f t="shared" si="16"/>
        <v/>
      </c>
    </row>
    <row r="27" spans="3:50" s="5" customFormat="1" ht="28.15" customHeight="1">
      <c r="C27" s="649">
        <v>11</v>
      </c>
      <c r="D27" s="1865"/>
      <c r="E27" s="1866"/>
      <c r="F27" s="1866"/>
      <c r="G27" s="1866"/>
      <c r="H27" s="1866"/>
      <c r="I27" s="1866"/>
      <c r="J27" s="1866"/>
      <c r="K27" s="704"/>
      <c r="L27" s="1055"/>
      <c r="M27" s="705"/>
      <c r="N27" s="255"/>
      <c r="O27" s="1042"/>
      <c r="P27" s="1041"/>
      <c r="Q27" s="256"/>
      <c r="R27" s="267"/>
      <c r="S27" s="256"/>
      <c r="T27" s="256"/>
      <c r="U27" s="256"/>
      <c r="V27" s="256"/>
      <c r="W27" s="254"/>
      <c r="X27" s="703"/>
      <c r="Y27" s="125"/>
      <c r="Z27" s="431"/>
      <c r="AA27" s="499"/>
      <c r="AB27" s="741"/>
      <c r="AE27" s="645" t="str">
        <f t="shared" si="1"/>
        <v/>
      </c>
      <c r="AF27" s="1037" t="str">
        <f t="shared" si="2"/>
        <v/>
      </c>
      <c r="AG27" s="1037" t="str">
        <f t="shared" si="3"/>
        <v/>
      </c>
      <c r="AH27" s="1037" t="str">
        <f>IF(AE27="","",VLOOKUP(AE27,リスト!BI:BJ,2,0))</f>
        <v/>
      </c>
      <c r="AI27" s="1037" t="str">
        <f t="shared" si="19"/>
        <v/>
      </c>
      <c r="AJ27" s="1037" t="str">
        <f>IF(AI27="","",VLOOKUP(AI27,リスト!BW:BX,2,0))</f>
        <v/>
      </c>
      <c r="AK27" s="1037" t="str">
        <f t="shared" si="5"/>
        <v/>
      </c>
      <c r="AL27" s="685" t="str">
        <f t="shared" si="6"/>
        <v/>
      </c>
      <c r="AM27" s="646" t="str">
        <f t="shared" si="7"/>
        <v/>
      </c>
      <c r="AN27" s="646" t="str">
        <f t="shared" si="17"/>
        <v/>
      </c>
      <c r="AO27" s="647" t="str">
        <f t="shared" si="18"/>
        <v/>
      </c>
      <c r="AP27" s="647" t="str">
        <f t="shared" si="8"/>
        <v/>
      </c>
      <c r="AQ27" s="647" t="str">
        <f t="shared" si="9"/>
        <v/>
      </c>
      <c r="AR27" s="647" t="str">
        <f t="shared" si="10"/>
        <v/>
      </c>
      <c r="AS27" s="647" t="str">
        <f t="shared" si="11"/>
        <v/>
      </c>
      <c r="AT27" s="647" t="str">
        <f t="shared" si="12"/>
        <v/>
      </c>
      <c r="AU27" s="647" t="str">
        <f t="shared" si="13"/>
        <v/>
      </c>
      <c r="AV27" s="647" t="str">
        <f t="shared" si="14"/>
        <v/>
      </c>
      <c r="AW27" s="647" t="str">
        <f t="shared" si="15"/>
        <v/>
      </c>
      <c r="AX27" s="647" t="str">
        <f t="shared" si="16"/>
        <v/>
      </c>
    </row>
    <row r="28" spans="3:50" s="5" customFormat="1" ht="28.15" customHeight="1">
      <c r="C28" s="649">
        <v>12</v>
      </c>
      <c r="D28" s="1855"/>
      <c r="E28" s="1856"/>
      <c r="F28" s="1856"/>
      <c r="G28" s="1856"/>
      <c r="H28" s="1856"/>
      <c r="I28" s="1856"/>
      <c r="J28" s="1856"/>
      <c r="K28" s="702"/>
      <c r="L28" s="1054"/>
      <c r="M28" s="705"/>
      <c r="N28" s="255"/>
      <c r="O28" s="1040"/>
      <c r="P28" s="1041"/>
      <c r="Q28" s="256"/>
      <c r="R28" s="267"/>
      <c r="S28" s="256"/>
      <c r="T28" s="256"/>
      <c r="U28" s="256"/>
      <c r="V28" s="256"/>
      <c r="W28" s="254"/>
      <c r="X28" s="703"/>
      <c r="Y28" s="125"/>
      <c r="Z28" s="431"/>
      <c r="AA28" s="499"/>
      <c r="AB28" s="741"/>
      <c r="AE28" s="645" t="str">
        <f t="shared" si="1"/>
        <v/>
      </c>
      <c r="AF28" s="1037" t="str">
        <f t="shared" si="2"/>
        <v/>
      </c>
      <c r="AG28" s="1037" t="str">
        <f t="shared" si="3"/>
        <v/>
      </c>
      <c r="AH28" s="1037" t="str">
        <f>IF(AE28="","",VLOOKUP(AE28,リスト!BI:BJ,2,0))</f>
        <v/>
      </c>
      <c r="AI28" s="1037" t="str">
        <f t="shared" si="19"/>
        <v/>
      </c>
      <c r="AJ28" s="1037" t="str">
        <f>IF(AI28="","",VLOOKUP(AI28,リスト!BW:BX,2,0))</f>
        <v/>
      </c>
      <c r="AK28" s="1037" t="str">
        <f t="shared" si="5"/>
        <v/>
      </c>
      <c r="AL28" s="685" t="str">
        <f t="shared" si="6"/>
        <v/>
      </c>
      <c r="AM28" s="646" t="str">
        <f t="shared" si="7"/>
        <v/>
      </c>
      <c r="AN28" s="646" t="str">
        <f t="shared" si="17"/>
        <v/>
      </c>
      <c r="AO28" s="647" t="str">
        <f t="shared" si="18"/>
        <v/>
      </c>
      <c r="AP28" s="647" t="str">
        <f t="shared" si="8"/>
        <v/>
      </c>
      <c r="AQ28" s="647" t="str">
        <f t="shared" si="9"/>
        <v/>
      </c>
      <c r="AR28" s="647" t="str">
        <f t="shared" si="10"/>
        <v/>
      </c>
      <c r="AS28" s="647" t="str">
        <f t="shared" si="11"/>
        <v/>
      </c>
      <c r="AT28" s="647" t="str">
        <f t="shared" si="12"/>
        <v/>
      </c>
      <c r="AU28" s="647" t="str">
        <f t="shared" si="13"/>
        <v/>
      </c>
      <c r="AV28" s="647" t="str">
        <f t="shared" si="14"/>
        <v/>
      </c>
      <c r="AW28" s="647" t="str">
        <f t="shared" si="15"/>
        <v/>
      </c>
      <c r="AX28" s="647" t="str">
        <f t="shared" si="16"/>
        <v/>
      </c>
    </row>
    <row r="29" spans="3:50" s="5" customFormat="1" ht="28.15" customHeight="1">
      <c r="C29" s="649">
        <v>13</v>
      </c>
      <c r="D29" s="1865"/>
      <c r="E29" s="1866"/>
      <c r="F29" s="1866"/>
      <c r="G29" s="1866"/>
      <c r="H29" s="1866"/>
      <c r="I29" s="1866"/>
      <c r="J29" s="1866"/>
      <c r="K29" s="704"/>
      <c r="L29" s="1055"/>
      <c r="M29" s="705"/>
      <c r="N29" s="255"/>
      <c r="O29" s="1042"/>
      <c r="P29" s="1043"/>
      <c r="Q29" s="256"/>
      <c r="R29" s="267"/>
      <c r="S29" s="256"/>
      <c r="T29" s="256"/>
      <c r="U29" s="256"/>
      <c r="V29" s="256"/>
      <c r="W29" s="254"/>
      <c r="X29" s="703"/>
      <c r="Y29" s="125"/>
      <c r="Z29" s="431"/>
      <c r="AA29" s="499"/>
      <c r="AB29" s="741"/>
      <c r="AE29" s="645" t="str">
        <f t="shared" si="1"/>
        <v/>
      </c>
      <c r="AF29" s="1037" t="str">
        <f t="shared" si="2"/>
        <v/>
      </c>
      <c r="AG29" s="1037" t="str">
        <f t="shared" si="3"/>
        <v/>
      </c>
      <c r="AH29" s="1037" t="str">
        <f>IF(AE29="","",VLOOKUP(AE29,リスト!BI:BJ,2,0))</f>
        <v/>
      </c>
      <c r="AI29" s="1037" t="str">
        <f t="shared" si="19"/>
        <v/>
      </c>
      <c r="AJ29" s="1037" t="str">
        <f>IF(AI29="","",VLOOKUP(AI29,リスト!BW:BX,2,0))</f>
        <v/>
      </c>
      <c r="AK29" s="1037" t="str">
        <f t="shared" si="5"/>
        <v/>
      </c>
      <c r="AL29" s="685" t="str">
        <f t="shared" si="6"/>
        <v/>
      </c>
      <c r="AM29" s="646" t="str">
        <f t="shared" si="7"/>
        <v/>
      </c>
      <c r="AN29" s="646" t="str">
        <f t="shared" si="17"/>
        <v/>
      </c>
      <c r="AO29" s="647" t="str">
        <f t="shared" si="18"/>
        <v/>
      </c>
      <c r="AP29" s="647" t="str">
        <f t="shared" si="8"/>
        <v/>
      </c>
      <c r="AQ29" s="647" t="str">
        <f t="shared" si="9"/>
        <v/>
      </c>
      <c r="AR29" s="647" t="str">
        <f t="shared" si="10"/>
        <v/>
      </c>
      <c r="AS29" s="647" t="str">
        <f t="shared" si="11"/>
        <v/>
      </c>
      <c r="AT29" s="647" t="str">
        <f t="shared" si="12"/>
        <v/>
      </c>
      <c r="AU29" s="647" t="str">
        <f t="shared" si="13"/>
        <v/>
      </c>
      <c r="AV29" s="647" t="str">
        <f t="shared" si="14"/>
        <v/>
      </c>
      <c r="AW29" s="647" t="str">
        <f t="shared" si="15"/>
        <v/>
      </c>
      <c r="AX29" s="647" t="str">
        <f t="shared" si="16"/>
        <v/>
      </c>
    </row>
    <row r="30" spans="3:50" s="5" customFormat="1" ht="28.15" customHeight="1">
      <c r="C30" s="649">
        <v>14</v>
      </c>
      <c r="D30" s="1855"/>
      <c r="E30" s="1856"/>
      <c r="F30" s="1856"/>
      <c r="G30" s="1856"/>
      <c r="H30" s="1856"/>
      <c r="I30" s="1856"/>
      <c r="J30" s="1856"/>
      <c r="K30" s="702"/>
      <c r="L30" s="1054"/>
      <c r="M30" s="705"/>
      <c r="N30" s="255"/>
      <c r="O30" s="1040"/>
      <c r="P30" s="1044"/>
      <c r="Q30" s="256"/>
      <c r="R30" s="267"/>
      <c r="S30" s="256"/>
      <c r="T30" s="256"/>
      <c r="U30" s="256"/>
      <c r="V30" s="256"/>
      <c r="W30" s="254"/>
      <c r="X30" s="703"/>
      <c r="Y30" s="125"/>
      <c r="Z30" s="431"/>
      <c r="AA30" s="499"/>
      <c r="AB30" s="741"/>
      <c r="AE30" s="645" t="str">
        <f t="shared" si="1"/>
        <v/>
      </c>
      <c r="AF30" s="1037" t="str">
        <f t="shared" si="2"/>
        <v/>
      </c>
      <c r="AG30" s="1037" t="str">
        <f t="shared" si="3"/>
        <v/>
      </c>
      <c r="AH30" s="1037" t="str">
        <f>IF(AE30="","",VLOOKUP(AE30,リスト!BI:BJ,2,0))</f>
        <v/>
      </c>
      <c r="AI30" s="1037" t="str">
        <f t="shared" si="19"/>
        <v/>
      </c>
      <c r="AJ30" s="1037" t="str">
        <f>IF(AI30="","",VLOOKUP(AI30,リスト!BW:BX,2,0))</f>
        <v/>
      </c>
      <c r="AK30" s="1037" t="str">
        <f t="shared" si="5"/>
        <v/>
      </c>
      <c r="AL30" s="685" t="str">
        <f t="shared" si="6"/>
        <v/>
      </c>
      <c r="AM30" s="646" t="str">
        <f t="shared" si="7"/>
        <v/>
      </c>
      <c r="AN30" s="646" t="str">
        <f t="shared" si="17"/>
        <v/>
      </c>
      <c r="AO30" s="647" t="str">
        <f t="shared" si="18"/>
        <v/>
      </c>
      <c r="AP30" s="647" t="str">
        <f t="shared" si="8"/>
        <v/>
      </c>
      <c r="AQ30" s="647" t="str">
        <f t="shared" si="9"/>
        <v/>
      </c>
      <c r="AR30" s="647" t="str">
        <f t="shared" si="10"/>
        <v/>
      </c>
      <c r="AS30" s="647" t="str">
        <f t="shared" si="11"/>
        <v/>
      </c>
      <c r="AT30" s="647" t="str">
        <f t="shared" si="12"/>
        <v/>
      </c>
      <c r="AU30" s="647" t="str">
        <f t="shared" si="13"/>
        <v/>
      </c>
      <c r="AV30" s="647" t="str">
        <f t="shared" si="14"/>
        <v/>
      </c>
      <c r="AW30" s="647" t="str">
        <f t="shared" si="15"/>
        <v/>
      </c>
      <c r="AX30" s="647" t="str">
        <f t="shared" si="16"/>
        <v/>
      </c>
    </row>
    <row r="31" spans="3:50" s="5" customFormat="1" ht="28.15" customHeight="1">
      <c r="C31" s="649">
        <v>15</v>
      </c>
      <c r="D31" s="1855"/>
      <c r="E31" s="1856"/>
      <c r="F31" s="1856"/>
      <c r="G31" s="1856"/>
      <c r="H31" s="1856"/>
      <c r="I31" s="1856"/>
      <c r="J31" s="1856"/>
      <c r="K31" s="702"/>
      <c r="L31" s="1054"/>
      <c r="M31" s="705"/>
      <c r="N31" s="255"/>
      <c r="O31" s="1040"/>
      <c r="P31" s="1044"/>
      <c r="Q31" s="256"/>
      <c r="R31" s="267"/>
      <c r="S31" s="256"/>
      <c r="T31" s="256"/>
      <c r="U31" s="256"/>
      <c r="V31" s="256"/>
      <c r="W31" s="254"/>
      <c r="X31" s="703"/>
      <c r="Y31" s="125"/>
      <c r="Z31" s="431"/>
      <c r="AA31" s="499"/>
      <c r="AB31" s="741"/>
      <c r="AE31" s="645" t="str">
        <f t="shared" si="1"/>
        <v/>
      </c>
      <c r="AF31" s="1037" t="str">
        <f t="shared" si="2"/>
        <v/>
      </c>
      <c r="AG31" s="1037" t="str">
        <f t="shared" si="3"/>
        <v/>
      </c>
      <c r="AH31" s="1037" t="str">
        <f>IF(AE31="","",VLOOKUP(AE31,リスト!BI:BJ,2,0))</f>
        <v/>
      </c>
      <c r="AI31" s="1037" t="str">
        <f t="shared" si="19"/>
        <v/>
      </c>
      <c r="AJ31" s="1037" t="str">
        <f>IF(AI31="","",VLOOKUP(AI31,リスト!BW:BX,2,0))</f>
        <v/>
      </c>
      <c r="AK31" s="1037" t="str">
        <f t="shared" si="5"/>
        <v/>
      </c>
      <c r="AL31" s="685" t="str">
        <f t="shared" si="6"/>
        <v/>
      </c>
      <c r="AM31" s="646" t="str">
        <f t="shared" si="7"/>
        <v/>
      </c>
      <c r="AN31" s="646" t="str">
        <f t="shared" si="17"/>
        <v/>
      </c>
      <c r="AO31" s="647" t="str">
        <f t="shared" si="18"/>
        <v/>
      </c>
      <c r="AP31" s="647" t="str">
        <f t="shared" si="8"/>
        <v/>
      </c>
      <c r="AQ31" s="647" t="str">
        <f t="shared" si="9"/>
        <v/>
      </c>
      <c r="AR31" s="647" t="str">
        <f t="shared" si="10"/>
        <v/>
      </c>
      <c r="AS31" s="647" t="str">
        <f t="shared" si="11"/>
        <v/>
      </c>
      <c r="AT31" s="647" t="str">
        <f t="shared" si="12"/>
        <v/>
      </c>
      <c r="AU31" s="647" t="str">
        <f t="shared" si="13"/>
        <v/>
      </c>
      <c r="AV31" s="647" t="str">
        <f t="shared" si="14"/>
        <v/>
      </c>
      <c r="AW31" s="647" t="str">
        <f t="shared" si="15"/>
        <v/>
      </c>
      <c r="AX31" s="647" t="str">
        <f t="shared" si="16"/>
        <v/>
      </c>
    </row>
    <row r="32" spans="3:50" s="5" customFormat="1" ht="28.15" customHeight="1">
      <c r="C32" s="649">
        <v>16</v>
      </c>
      <c r="D32" s="1855"/>
      <c r="E32" s="1856"/>
      <c r="F32" s="1856"/>
      <c r="G32" s="1856"/>
      <c r="H32" s="1856"/>
      <c r="I32" s="1856"/>
      <c r="J32" s="1856"/>
      <c r="K32" s="702"/>
      <c r="L32" s="1054"/>
      <c r="M32" s="705"/>
      <c r="N32" s="257"/>
      <c r="O32" s="1040"/>
      <c r="P32" s="1044"/>
      <c r="Q32" s="256"/>
      <c r="R32" s="267"/>
      <c r="S32" s="256"/>
      <c r="T32" s="256"/>
      <c r="U32" s="256"/>
      <c r="V32" s="256"/>
      <c r="W32" s="254"/>
      <c r="X32" s="703"/>
      <c r="Y32" s="125"/>
      <c r="Z32" s="431"/>
      <c r="AA32" s="499"/>
      <c r="AB32" s="741"/>
      <c r="AE32" s="645" t="str">
        <f t="shared" si="1"/>
        <v/>
      </c>
      <c r="AF32" s="1037" t="str">
        <f t="shared" si="2"/>
        <v/>
      </c>
      <c r="AG32" s="1037" t="str">
        <f t="shared" si="3"/>
        <v/>
      </c>
      <c r="AH32" s="1037" t="str">
        <f>IF(AE32="","",VLOOKUP(AE32,リスト!BI:BJ,2,0))</f>
        <v/>
      </c>
      <c r="AI32" s="1037" t="str">
        <f t="shared" si="19"/>
        <v/>
      </c>
      <c r="AJ32" s="1037" t="str">
        <f>IF(AI32="","",VLOOKUP(AI32,リスト!BW:BX,2,0))</f>
        <v/>
      </c>
      <c r="AK32" s="1037" t="str">
        <f t="shared" si="5"/>
        <v/>
      </c>
      <c r="AL32" s="685" t="str">
        <f t="shared" si="6"/>
        <v/>
      </c>
      <c r="AM32" s="646" t="str">
        <f t="shared" si="7"/>
        <v/>
      </c>
      <c r="AN32" s="646" t="str">
        <f t="shared" si="17"/>
        <v/>
      </c>
      <c r="AO32" s="647" t="str">
        <f t="shared" si="18"/>
        <v/>
      </c>
      <c r="AP32" s="647" t="str">
        <f t="shared" si="8"/>
        <v/>
      </c>
      <c r="AQ32" s="647" t="str">
        <f t="shared" si="9"/>
        <v/>
      </c>
      <c r="AR32" s="647" t="str">
        <f t="shared" si="10"/>
        <v/>
      </c>
      <c r="AS32" s="647" t="str">
        <f t="shared" si="11"/>
        <v/>
      </c>
      <c r="AT32" s="647" t="str">
        <f t="shared" si="12"/>
        <v/>
      </c>
      <c r="AU32" s="647" t="str">
        <f t="shared" si="13"/>
        <v/>
      </c>
      <c r="AV32" s="647" t="str">
        <f t="shared" si="14"/>
        <v/>
      </c>
      <c r="AW32" s="647" t="str">
        <f t="shared" si="15"/>
        <v/>
      </c>
      <c r="AX32" s="647" t="str">
        <f t="shared" si="16"/>
        <v/>
      </c>
    </row>
    <row r="33" spans="3:50" s="5" customFormat="1" ht="28.15" customHeight="1">
      <c r="C33" s="649">
        <v>17</v>
      </c>
      <c r="D33" s="1855"/>
      <c r="E33" s="1856"/>
      <c r="F33" s="1856"/>
      <c r="G33" s="1856"/>
      <c r="H33" s="1856"/>
      <c r="I33" s="1856"/>
      <c r="J33" s="1856"/>
      <c r="K33" s="702"/>
      <c r="L33" s="1054"/>
      <c r="M33" s="705"/>
      <c r="N33" s="255"/>
      <c r="O33" s="1040"/>
      <c r="P33" s="1044"/>
      <c r="Q33" s="256"/>
      <c r="R33" s="267"/>
      <c r="S33" s="256"/>
      <c r="T33" s="256"/>
      <c r="U33" s="256"/>
      <c r="V33" s="256"/>
      <c r="W33" s="254"/>
      <c r="X33" s="703"/>
      <c r="Y33" s="125"/>
      <c r="Z33" s="431"/>
      <c r="AA33" s="499"/>
      <c r="AB33" s="741"/>
      <c r="AE33" s="645" t="str">
        <f t="shared" si="1"/>
        <v/>
      </c>
      <c r="AF33" s="1037" t="str">
        <f t="shared" si="2"/>
        <v/>
      </c>
      <c r="AG33" s="1037" t="str">
        <f t="shared" si="3"/>
        <v/>
      </c>
      <c r="AH33" s="1037" t="str">
        <f>IF(AE33="","",VLOOKUP(AE33,リスト!BI:BJ,2,0))</f>
        <v/>
      </c>
      <c r="AI33" s="1037" t="str">
        <f t="shared" si="19"/>
        <v/>
      </c>
      <c r="AJ33" s="1037" t="str">
        <f>IF(AI33="","",VLOOKUP(AI33,リスト!BW:BX,2,0))</f>
        <v/>
      </c>
      <c r="AK33" s="1037" t="str">
        <f t="shared" si="5"/>
        <v/>
      </c>
      <c r="AL33" s="685" t="str">
        <f t="shared" si="6"/>
        <v/>
      </c>
      <c r="AM33" s="646" t="str">
        <f t="shared" si="7"/>
        <v/>
      </c>
      <c r="AN33" s="646" t="str">
        <f t="shared" si="17"/>
        <v/>
      </c>
      <c r="AO33" s="647" t="str">
        <f t="shared" si="18"/>
        <v/>
      </c>
      <c r="AP33" s="647" t="str">
        <f t="shared" si="8"/>
        <v/>
      </c>
      <c r="AQ33" s="647" t="str">
        <f t="shared" si="9"/>
        <v/>
      </c>
      <c r="AR33" s="647" t="str">
        <f t="shared" si="10"/>
        <v/>
      </c>
      <c r="AS33" s="647" t="str">
        <f t="shared" si="11"/>
        <v/>
      </c>
      <c r="AT33" s="647" t="str">
        <f t="shared" si="12"/>
        <v/>
      </c>
      <c r="AU33" s="647" t="str">
        <f t="shared" si="13"/>
        <v/>
      </c>
      <c r="AV33" s="647" t="str">
        <f t="shared" si="14"/>
        <v/>
      </c>
      <c r="AW33" s="647" t="str">
        <f t="shared" si="15"/>
        <v/>
      </c>
      <c r="AX33" s="647" t="str">
        <f t="shared" si="16"/>
        <v/>
      </c>
    </row>
    <row r="34" spans="3:50" s="5" customFormat="1" ht="28.15" customHeight="1">
      <c r="C34" s="649">
        <v>18</v>
      </c>
      <c r="D34" s="1855"/>
      <c r="E34" s="1856"/>
      <c r="F34" s="1856"/>
      <c r="G34" s="1856"/>
      <c r="H34" s="1856"/>
      <c r="I34" s="1856"/>
      <c r="J34" s="1856"/>
      <c r="K34" s="702"/>
      <c r="L34" s="1054"/>
      <c r="M34" s="705"/>
      <c r="N34" s="257"/>
      <c r="O34" s="1040"/>
      <c r="P34" s="1044"/>
      <c r="Q34" s="256"/>
      <c r="R34" s="267"/>
      <c r="S34" s="256"/>
      <c r="T34" s="256"/>
      <c r="U34" s="256"/>
      <c r="V34" s="256"/>
      <c r="W34" s="254"/>
      <c r="X34" s="703"/>
      <c r="Y34" s="125"/>
      <c r="Z34" s="431"/>
      <c r="AA34" s="499"/>
      <c r="AB34" s="741"/>
      <c r="AE34" s="645" t="str">
        <f t="shared" si="1"/>
        <v/>
      </c>
      <c r="AF34" s="1037" t="str">
        <f t="shared" si="2"/>
        <v/>
      </c>
      <c r="AG34" s="1037" t="str">
        <f t="shared" si="3"/>
        <v/>
      </c>
      <c r="AH34" s="1037" t="str">
        <f>IF(AE34="","",VLOOKUP(AE34,リスト!BI:BJ,2,0))</f>
        <v/>
      </c>
      <c r="AI34" s="1037" t="str">
        <f t="shared" si="19"/>
        <v/>
      </c>
      <c r="AJ34" s="1037" t="str">
        <f>IF(AI34="","",VLOOKUP(AI34,リスト!BW:BX,2,0))</f>
        <v/>
      </c>
      <c r="AK34" s="1037" t="str">
        <f t="shared" si="5"/>
        <v/>
      </c>
      <c r="AL34" s="685" t="str">
        <f t="shared" si="6"/>
        <v/>
      </c>
      <c r="AM34" s="646" t="str">
        <f t="shared" si="7"/>
        <v/>
      </c>
      <c r="AN34" s="646" t="str">
        <f t="shared" si="17"/>
        <v/>
      </c>
      <c r="AO34" s="647" t="str">
        <f t="shared" si="18"/>
        <v/>
      </c>
      <c r="AP34" s="647" t="str">
        <f t="shared" si="8"/>
        <v/>
      </c>
      <c r="AQ34" s="647" t="str">
        <f t="shared" si="9"/>
        <v/>
      </c>
      <c r="AR34" s="647" t="str">
        <f t="shared" si="10"/>
        <v/>
      </c>
      <c r="AS34" s="647" t="str">
        <f t="shared" si="11"/>
        <v/>
      </c>
      <c r="AT34" s="647" t="str">
        <f t="shared" si="12"/>
        <v/>
      </c>
      <c r="AU34" s="647" t="str">
        <f t="shared" si="13"/>
        <v/>
      </c>
      <c r="AV34" s="647" t="str">
        <f t="shared" si="14"/>
        <v/>
      </c>
      <c r="AW34" s="647" t="str">
        <f t="shared" si="15"/>
        <v/>
      </c>
      <c r="AX34" s="647" t="str">
        <f t="shared" si="16"/>
        <v/>
      </c>
    </row>
    <row r="35" spans="3:50" s="5" customFormat="1" ht="28.15" customHeight="1">
      <c r="C35" s="649">
        <v>19</v>
      </c>
      <c r="D35" s="1855"/>
      <c r="E35" s="1856"/>
      <c r="F35" s="1856"/>
      <c r="G35" s="1856"/>
      <c r="H35" s="1856"/>
      <c r="I35" s="1856"/>
      <c r="J35" s="1856"/>
      <c r="K35" s="702"/>
      <c r="L35" s="1054"/>
      <c r="M35" s="705"/>
      <c r="N35" s="255"/>
      <c r="O35" s="1040"/>
      <c r="P35" s="1044"/>
      <c r="Q35" s="256"/>
      <c r="R35" s="267"/>
      <c r="S35" s="256"/>
      <c r="T35" s="256"/>
      <c r="U35" s="256"/>
      <c r="V35" s="256"/>
      <c r="W35" s="254"/>
      <c r="X35" s="703"/>
      <c r="Y35" s="125"/>
      <c r="Z35" s="431"/>
      <c r="AA35" s="499"/>
      <c r="AB35" s="741"/>
      <c r="AE35" s="645" t="str">
        <f t="shared" si="1"/>
        <v/>
      </c>
      <c r="AF35" s="1037" t="str">
        <f t="shared" si="2"/>
        <v/>
      </c>
      <c r="AG35" s="1037" t="str">
        <f t="shared" si="3"/>
        <v/>
      </c>
      <c r="AH35" s="1037" t="str">
        <f>IF(AE35="","",VLOOKUP(AE35,リスト!BI:BJ,2,0))</f>
        <v/>
      </c>
      <c r="AI35" s="1037" t="str">
        <f t="shared" si="19"/>
        <v/>
      </c>
      <c r="AJ35" s="1037" t="str">
        <f>IF(AI35="","",VLOOKUP(AI35,リスト!BW:BX,2,0))</f>
        <v/>
      </c>
      <c r="AK35" s="1037" t="str">
        <f t="shared" si="5"/>
        <v/>
      </c>
      <c r="AL35" s="685" t="str">
        <f t="shared" si="6"/>
        <v/>
      </c>
      <c r="AM35" s="646" t="str">
        <f t="shared" si="7"/>
        <v/>
      </c>
      <c r="AN35" s="646" t="str">
        <f t="shared" si="17"/>
        <v/>
      </c>
      <c r="AO35" s="647" t="str">
        <f t="shared" si="18"/>
        <v/>
      </c>
      <c r="AP35" s="647" t="str">
        <f t="shared" si="8"/>
        <v/>
      </c>
      <c r="AQ35" s="647" t="str">
        <f t="shared" si="9"/>
        <v/>
      </c>
      <c r="AR35" s="647" t="str">
        <f t="shared" si="10"/>
        <v/>
      </c>
      <c r="AS35" s="647" t="str">
        <f t="shared" si="11"/>
        <v/>
      </c>
      <c r="AT35" s="647" t="str">
        <f t="shared" si="12"/>
        <v/>
      </c>
      <c r="AU35" s="647" t="str">
        <f t="shared" si="13"/>
        <v/>
      </c>
      <c r="AV35" s="647" t="str">
        <f t="shared" si="14"/>
        <v/>
      </c>
      <c r="AW35" s="647" t="str">
        <f t="shared" si="15"/>
        <v/>
      </c>
      <c r="AX35" s="647" t="str">
        <f t="shared" si="16"/>
        <v/>
      </c>
    </row>
    <row r="36" spans="3:50" s="5" customFormat="1" ht="28.15" customHeight="1" collapsed="1">
      <c r="C36" s="650">
        <v>20</v>
      </c>
      <c r="D36" s="1855"/>
      <c r="E36" s="1856"/>
      <c r="F36" s="1856"/>
      <c r="G36" s="1856"/>
      <c r="H36" s="1856"/>
      <c r="I36" s="1856"/>
      <c r="J36" s="1857"/>
      <c r="K36" s="702"/>
      <c r="L36" s="1054"/>
      <c r="M36" s="666"/>
      <c r="N36" s="266"/>
      <c r="O36" s="1040"/>
      <c r="P36" s="1041"/>
      <c r="Q36" s="267"/>
      <c r="R36" s="267"/>
      <c r="S36" s="267"/>
      <c r="T36" s="267"/>
      <c r="U36" s="267"/>
      <c r="V36" s="267"/>
      <c r="W36" s="254"/>
      <c r="X36" s="703"/>
      <c r="Y36" s="125"/>
      <c r="Z36" s="431"/>
      <c r="AA36" s="499"/>
      <c r="AB36" s="741"/>
      <c r="AE36" s="645" t="str">
        <f t="shared" ref="AE36:AE161" si="20">IF(AND(K36="",L36=""),"","["&amp;RIGHT(LEFT(K36,2),1)&amp;RIGHT(LEFT(L36,2),1)&amp;"]")</f>
        <v/>
      </c>
      <c r="AF36" s="1037" t="str">
        <f t="shared" ref="AF36:AF161" si="21">IF(AE36="","",IF(Q36&lt;100000,1,0))</f>
        <v/>
      </c>
      <c r="AG36" s="1037" t="str">
        <f t="shared" ref="AG36:AG161" si="22">IF(AE36="","",IF(AND(AF36=0,Q36&lt;200000),1,))</f>
        <v/>
      </c>
      <c r="AH36" s="1037" t="str">
        <f>IF(AE36="","",VLOOKUP(AE36,リスト!BI:BJ,2,0))</f>
        <v/>
      </c>
      <c r="AI36" s="1037" t="str">
        <f t="shared" si="19"/>
        <v/>
      </c>
      <c r="AJ36" s="1037" t="str">
        <f>IF(AI36="","",VLOOKUP(AI36,リスト!BW:BX,2,0))</f>
        <v/>
      </c>
      <c r="AK36" s="1037" t="str">
        <f t="shared" si="5"/>
        <v/>
      </c>
      <c r="AL36" s="685" t="str">
        <f t="shared" ref="AL36:AL161" si="23">IF(OR(AE36="",AF36=1),"",
IF(AND(AI36&gt;0,AK36&lt;AI36,AM36&lt;=ROUND((Q36-1)*AJ36,0)),ROUND(AM36,0),
IF(AND(AI36&gt;0,AK36&lt;AI36),ROUND((Q36-1)*AJ36,0),
"")))</f>
        <v/>
      </c>
      <c r="AM36" s="646" t="str">
        <f t="shared" ref="AM36:AM161" si="24">IF(OR(AE36="",AF36=1),"",
IF(AND(AI36&gt;0,AK36&lt;AI36),Q36-ROUND((Q36-1)*AJ36*AK36,0),1
))</f>
        <v/>
      </c>
      <c r="AN36" s="646" t="str">
        <f t="shared" si="17"/>
        <v/>
      </c>
      <c r="AO36" s="647" t="str">
        <f t="shared" si="18"/>
        <v/>
      </c>
      <c r="AP36" s="647" t="str">
        <f t="shared" si="8"/>
        <v/>
      </c>
      <c r="AQ36" s="647" t="str">
        <f t="shared" ref="AQ36:AQ161" si="25">IF(W36="","",IF(AN36="","",ROUND(AN36*W36%,0)))</f>
        <v/>
      </c>
      <c r="AR36" s="647" t="str">
        <f t="shared" ref="AR36:AR161" si="26">IF(W36="","",IF(AO36="","",ROUND(AO36*W36%,0)))</f>
        <v/>
      </c>
      <c r="AS36" s="647" t="str">
        <f t="shared" ref="AS36:AS161" si="27">IF(W36="","",IF(AM36="","",ROUND(AM36*W36%,0)))</f>
        <v/>
      </c>
      <c r="AT36" s="647" t="str">
        <f t="shared" si="12"/>
        <v/>
      </c>
      <c r="AU36" s="647" t="str">
        <f t="shared" ref="AU36:AU161" si="28">IF(W36="","",IF(S36="","",ROUND(S36*W36%,0)))</f>
        <v/>
      </c>
      <c r="AV36" s="647" t="str">
        <f t="shared" ref="AV36:AV161" si="29">IF(W36="","",IF(T36="","",ROUND(T36*W36%,0)))</f>
        <v/>
      </c>
      <c r="AW36" s="647" t="str">
        <f t="shared" ref="AW36:AW161" si="30">IF(W36="","",IF(U36="","",ROUND(U36*W36%,0)))</f>
        <v/>
      </c>
      <c r="AX36" s="647" t="str">
        <f t="shared" ref="AX36:AX161" si="31">IF(W36="","",IF(V36="","",ROUND(V36*W36%,0)))</f>
        <v/>
      </c>
    </row>
    <row r="37" spans="3:50" s="5" customFormat="1" ht="28.15" hidden="1" customHeight="1" outlineLevel="1">
      <c r="C37" s="649">
        <v>21</v>
      </c>
      <c r="D37" s="1865"/>
      <c r="E37" s="1866"/>
      <c r="F37" s="1866"/>
      <c r="G37" s="1866"/>
      <c r="H37" s="1866"/>
      <c r="I37" s="1866"/>
      <c r="J37" s="1866"/>
      <c r="K37" s="704"/>
      <c r="L37" s="1055"/>
      <c r="M37" s="705"/>
      <c r="N37" s="257"/>
      <c r="O37" s="1042"/>
      <c r="P37" s="1041"/>
      <c r="Q37" s="256"/>
      <c r="R37" s="267"/>
      <c r="S37" s="256"/>
      <c r="T37" s="256"/>
      <c r="U37" s="256"/>
      <c r="V37" s="256"/>
      <c r="W37" s="254"/>
      <c r="X37" s="703"/>
      <c r="Y37" s="125"/>
      <c r="Z37" s="431"/>
      <c r="AA37" s="499"/>
      <c r="AB37" s="741"/>
      <c r="AC37" s="54"/>
      <c r="AD37" s="54"/>
      <c r="AE37" s="645" t="str">
        <f t="shared" si="20"/>
        <v/>
      </c>
      <c r="AF37" s="1037" t="str">
        <f t="shared" si="21"/>
        <v/>
      </c>
      <c r="AG37" s="1037" t="str">
        <f t="shared" si="22"/>
        <v/>
      </c>
      <c r="AH37" s="1037" t="str">
        <f>IF(AE37="","",VLOOKUP(AE37,リスト!BI:BJ,2,0))</f>
        <v/>
      </c>
      <c r="AI37" s="1037" t="str">
        <f t="shared" si="19"/>
        <v/>
      </c>
      <c r="AJ37" s="1037" t="str">
        <f>IF(AI37="","",VLOOKUP(AI37,リスト!BW:BX,2,0))</f>
        <v/>
      </c>
      <c r="AK37" s="1037" t="str">
        <f t="shared" si="5"/>
        <v/>
      </c>
      <c r="AL37" s="685" t="str">
        <f t="shared" si="23"/>
        <v/>
      </c>
      <c r="AM37" s="646" t="str">
        <f t="shared" si="24"/>
        <v/>
      </c>
      <c r="AN37" s="646" t="str">
        <f t="shared" si="17"/>
        <v/>
      </c>
      <c r="AO37" s="647" t="str">
        <f t="shared" si="18"/>
        <v/>
      </c>
      <c r="AP37" s="647" t="str">
        <f t="shared" si="8"/>
        <v/>
      </c>
      <c r="AQ37" s="647" t="str">
        <f t="shared" si="25"/>
        <v/>
      </c>
      <c r="AR37" s="647" t="str">
        <f t="shared" si="26"/>
        <v/>
      </c>
      <c r="AS37" s="647" t="str">
        <f t="shared" si="27"/>
        <v/>
      </c>
      <c r="AT37" s="647" t="str">
        <f t="shared" si="12"/>
        <v/>
      </c>
      <c r="AU37" s="647" t="str">
        <f t="shared" si="28"/>
        <v/>
      </c>
      <c r="AV37" s="647" t="str">
        <f t="shared" si="29"/>
        <v/>
      </c>
      <c r="AW37" s="647" t="str">
        <f t="shared" si="30"/>
        <v/>
      </c>
      <c r="AX37" s="647" t="str">
        <f t="shared" si="31"/>
        <v/>
      </c>
    </row>
    <row r="38" spans="3:50" s="5" customFormat="1" ht="28.15" hidden="1" customHeight="1" outlineLevel="1">
      <c r="C38" s="649">
        <v>22</v>
      </c>
      <c r="D38" s="1855"/>
      <c r="E38" s="1856"/>
      <c r="F38" s="1856"/>
      <c r="G38" s="1856"/>
      <c r="H38" s="1856"/>
      <c r="I38" s="1856"/>
      <c r="J38" s="1856"/>
      <c r="K38" s="702"/>
      <c r="L38" s="1054"/>
      <c r="M38" s="705"/>
      <c r="N38" s="255"/>
      <c r="O38" s="1040"/>
      <c r="P38" s="1041"/>
      <c r="Q38" s="256"/>
      <c r="R38" s="267"/>
      <c r="S38" s="256"/>
      <c r="T38" s="256"/>
      <c r="U38" s="256"/>
      <c r="V38" s="256"/>
      <c r="W38" s="254"/>
      <c r="X38" s="703"/>
      <c r="Y38" s="125"/>
      <c r="Z38" s="431"/>
      <c r="AA38" s="499"/>
      <c r="AB38" s="741"/>
      <c r="AC38" s="63"/>
      <c r="AD38" s="63"/>
      <c r="AE38" s="645" t="str">
        <f t="shared" si="20"/>
        <v/>
      </c>
      <c r="AF38" s="1037" t="str">
        <f t="shared" si="21"/>
        <v/>
      </c>
      <c r="AG38" s="1037" t="str">
        <f t="shared" si="22"/>
        <v/>
      </c>
      <c r="AH38" s="1037" t="str">
        <f>IF(AE38="","",VLOOKUP(AE38,リスト!BI:BJ,2,0))</f>
        <v/>
      </c>
      <c r="AI38" s="1037" t="str">
        <f t="shared" si="19"/>
        <v/>
      </c>
      <c r="AJ38" s="1037" t="str">
        <f>IF(AI38="","",VLOOKUP(AI38,リスト!BW:BX,2,0))</f>
        <v/>
      </c>
      <c r="AK38" s="1037" t="str">
        <f t="shared" si="5"/>
        <v/>
      </c>
      <c r="AL38" s="685" t="str">
        <f t="shared" si="23"/>
        <v/>
      </c>
      <c r="AM38" s="646" t="str">
        <f t="shared" si="24"/>
        <v/>
      </c>
      <c r="AN38" s="646" t="str">
        <f t="shared" si="17"/>
        <v/>
      </c>
      <c r="AO38" s="647" t="str">
        <f t="shared" si="18"/>
        <v/>
      </c>
      <c r="AP38" s="647" t="str">
        <f t="shared" si="8"/>
        <v/>
      </c>
      <c r="AQ38" s="647" t="str">
        <f t="shared" si="25"/>
        <v/>
      </c>
      <c r="AR38" s="647" t="str">
        <f t="shared" si="26"/>
        <v/>
      </c>
      <c r="AS38" s="647" t="str">
        <f t="shared" si="27"/>
        <v/>
      </c>
      <c r="AT38" s="647" t="str">
        <f t="shared" si="12"/>
        <v/>
      </c>
      <c r="AU38" s="647" t="str">
        <f t="shared" si="28"/>
        <v/>
      </c>
      <c r="AV38" s="647" t="str">
        <f t="shared" si="29"/>
        <v/>
      </c>
      <c r="AW38" s="647" t="str">
        <f t="shared" si="30"/>
        <v/>
      </c>
      <c r="AX38" s="647" t="str">
        <f t="shared" si="31"/>
        <v/>
      </c>
    </row>
    <row r="39" spans="3:50" s="5" customFormat="1" ht="28.15" hidden="1" customHeight="1" outlineLevel="1">
      <c r="C39" s="649">
        <v>23</v>
      </c>
      <c r="D39" s="1865"/>
      <c r="E39" s="1866"/>
      <c r="F39" s="1866"/>
      <c r="G39" s="1866"/>
      <c r="H39" s="1866"/>
      <c r="I39" s="1866"/>
      <c r="J39" s="1866"/>
      <c r="K39" s="704"/>
      <c r="L39" s="1055"/>
      <c r="M39" s="705"/>
      <c r="N39" s="257"/>
      <c r="O39" s="1042"/>
      <c r="P39" s="1041"/>
      <c r="Q39" s="256"/>
      <c r="R39" s="267"/>
      <c r="S39" s="256"/>
      <c r="T39" s="256"/>
      <c r="U39" s="256"/>
      <c r="V39" s="256"/>
      <c r="W39" s="254"/>
      <c r="X39" s="703"/>
      <c r="Y39" s="125"/>
      <c r="Z39" s="431"/>
      <c r="AA39" s="499"/>
      <c r="AB39" s="741"/>
      <c r="AC39" s="63"/>
      <c r="AD39" s="63"/>
      <c r="AE39" s="645" t="str">
        <f t="shared" si="20"/>
        <v/>
      </c>
      <c r="AF39" s="1037" t="str">
        <f t="shared" si="21"/>
        <v/>
      </c>
      <c r="AG39" s="1037" t="str">
        <f t="shared" si="22"/>
        <v/>
      </c>
      <c r="AH39" s="1037" t="str">
        <f>IF(AE39="","",VLOOKUP(AE39,リスト!BI:BJ,2,0))</f>
        <v/>
      </c>
      <c r="AI39" s="1037" t="str">
        <f t="shared" si="19"/>
        <v/>
      </c>
      <c r="AJ39" s="1037" t="str">
        <f>IF(AI39="","",VLOOKUP(AI39,リスト!BW:BX,2,0))</f>
        <v/>
      </c>
      <c r="AK39" s="1037" t="str">
        <f t="shared" si="5"/>
        <v/>
      </c>
      <c r="AL39" s="685" t="str">
        <f t="shared" si="23"/>
        <v/>
      </c>
      <c r="AM39" s="646" t="str">
        <f t="shared" si="24"/>
        <v/>
      </c>
      <c r="AN39" s="646" t="str">
        <f t="shared" si="17"/>
        <v/>
      </c>
      <c r="AO39" s="647" t="str">
        <f t="shared" si="18"/>
        <v/>
      </c>
      <c r="AP39" s="647" t="str">
        <f t="shared" si="8"/>
        <v/>
      </c>
      <c r="AQ39" s="647" t="str">
        <f t="shared" si="25"/>
        <v/>
      </c>
      <c r="AR39" s="647" t="str">
        <f t="shared" si="26"/>
        <v/>
      </c>
      <c r="AS39" s="647" t="str">
        <f t="shared" si="27"/>
        <v/>
      </c>
      <c r="AT39" s="647" t="str">
        <f t="shared" si="12"/>
        <v/>
      </c>
      <c r="AU39" s="647" t="str">
        <f t="shared" si="28"/>
        <v/>
      </c>
      <c r="AV39" s="647" t="str">
        <f t="shared" si="29"/>
        <v/>
      </c>
      <c r="AW39" s="647" t="str">
        <f t="shared" si="30"/>
        <v/>
      </c>
      <c r="AX39" s="647" t="str">
        <f t="shared" si="31"/>
        <v/>
      </c>
    </row>
    <row r="40" spans="3:50" s="5" customFormat="1" ht="28.15" hidden="1" customHeight="1" outlineLevel="1">
      <c r="C40" s="649">
        <v>24</v>
      </c>
      <c r="D40" s="1855"/>
      <c r="E40" s="1856"/>
      <c r="F40" s="1856"/>
      <c r="G40" s="1856"/>
      <c r="H40" s="1856"/>
      <c r="I40" s="1856"/>
      <c r="J40" s="1856"/>
      <c r="K40" s="702"/>
      <c r="L40" s="1054"/>
      <c r="M40" s="705"/>
      <c r="N40" s="255"/>
      <c r="O40" s="1040"/>
      <c r="P40" s="1041"/>
      <c r="Q40" s="256"/>
      <c r="R40" s="267"/>
      <c r="S40" s="256"/>
      <c r="T40" s="256"/>
      <c r="U40" s="256"/>
      <c r="V40" s="256"/>
      <c r="W40" s="254"/>
      <c r="X40" s="703"/>
      <c r="Y40" s="125"/>
      <c r="Z40" s="431"/>
      <c r="AA40" s="499"/>
      <c r="AB40" s="741"/>
      <c r="AC40" s="63"/>
      <c r="AD40" s="63"/>
      <c r="AE40" s="645" t="str">
        <f t="shared" si="20"/>
        <v/>
      </c>
      <c r="AF40" s="1037" t="str">
        <f t="shared" si="21"/>
        <v/>
      </c>
      <c r="AG40" s="1037" t="str">
        <f t="shared" si="22"/>
        <v/>
      </c>
      <c r="AH40" s="1037" t="str">
        <f>IF(AE40="","",VLOOKUP(AE40,リスト!BI:BJ,2,0))</f>
        <v/>
      </c>
      <c r="AI40" s="1037" t="str">
        <f t="shared" si="19"/>
        <v/>
      </c>
      <c r="AJ40" s="1037" t="str">
        <f>IF(AI40="","",VLOOKUP(AI40,リスト!BW:BX,2,0))</f>
        <v/>
      </c>
      <c r="AK40" s="1037" t="str">
        <f t="shared" si="5"/>
        <v/>
      </c>
      <c r="AL40" s="685" t="str">
        <f t="shared" si="23"/>
        <v/>
      </c>
      <c r="AM40" s="646" t="str">
        <f t="shared" si="24"/>
        <v/>
      </c>
      <c r="AN40" s="646" t="str">
        <f t="shared" si="17"/>
        <v/>
      </c>
      <c r="AO40" s="647" t="str">
        <f t="shared" si="18"/>
        <v/>
      </c>
      <c r="AP40" s="647" t="str">
        <f t="shared" si="8"/>
        <v/>
      </c>
      <c r="AQ40" s="647" t="str">
        <f t="shared" si="25"/>
        <v/>
      </c>
      <c r="AR40" s="647" t="str">
        <f t="shared" si="26"/>
        <v/>
      </c>
      <c r="AS40" s="647" t="str">
        <f t="shared" si="27"/>
        <v/>
      </c>
      <c r="AT40" s="647" t="str">
        <f t="shared" si="12"/>
        <v/>
      </c>
      <c r="AU40" s="647" t="str">
        <f t="shared" si="28"/>
        <v/>
      </c>
      <c r="AV40" s="647" t="str">
        <f t="shared" si="29"/>
        <v/>
      </c>
      <c r="AW40" s="647" t="str">
        <f t="shared" si="30"/>
        <v/>
      </c>
      <c r="AX40" s="647" t="str">
        <f t="shared" si="31"/>
        <v/>
      </c>
    </row>
    <row r="41" spans="3:50" s="5" customFormat="1" ht="28.15" hidden="1" customHeight="1" outlineLevel="1">
      <c r="C41" s="649">
        <v>25</v>
      </c>
      <c r="D41" s="1865"/>
      <c r="E41" s="1866"/>
      <c r="F41" s="1866"/>
      <c r="G41" s="1866"/>
      <c r="H41" s="1866"/>
      <c r="I41" s="1866"/>
      <c r="J41" s="1866"/>
      <c r="K41" s="704"/>
      <c r="L41" s="1055"/>
      <c r="M41" s="705"/>
      <c r="N41" s="257"/>
      <c r="O41" s="1042"/>
      <c r="P41" s="1041"/>
      <c r="Q41" s="256"/>
      <c r="R41" s="267"/>
      <c r="S41" s="256"/>
      <c r="T41" s="256"/>
      <c r="U41" s="256"/>
      <c r="V41" s="256"/>
      <c r="W41" s="254"/>
      <c r="X41" s="703"/>
      <c r="Y41" s="125"/>
      <c r="Z41" s="431"/>
      <c r="AA41" s="499"/>
      <c r="AB41" s="741"/>
      <c r="AC41" s="63"/>
      <c r="AD41" s="63"/>
      <c r="AE41" s="645" t="str">
        <f t="shared" si="20"/>
        <v/>
      </c>
      <c r="AF41" s="1037" t="str">
        <f t="shared" si="21"/>
        <v/>
      </c>
      <c r="AG41" s="1037" t="str">
        <f t="shared" si="22"/>
        <v/>
      </c>
      <c r="AH41" s="1037" t="str">
        <f>IF(AE41="","",VLOOKUP(AE41,リスト!BI:BJ,2,0))</f>
        <v/>
      </c>
      <c r="AI41" s="1037" t="str">
        <f t="shared" si="19"/>
        <v/>
      </c>
      <c r="AJ41" s="1037" t="str">
        <f>IF(AI41="","",VLOOKUP(AI41,リスト!BW:BX,2,0))</f>
        <v/>
      </c>
      <c r="AK41" s="1037" t="str">
        <f t="shared" si="5"/>
        <v/>
      </c>
      <c r="AL41" s="685" t="str">
        <f t="shared" si="23"/>
        <v/>
      </c>
      <c r="AM41" s="646" t="str">
        <f t="shared" si="24"/>
        <v/>
      </c>
      <c r="AN41" s="646" t="str">
        <f t="shared" si="17"/>
        <v/>
      </c>
      <c r="AO41" s="647" t="str">
        <f t="shared" si="18"/>
        <v/>
      </c>
      <c r="AP41" s="647" t="str">
        <f t="shared" si="8"/>
        <v/>
      </c>
      <c r="AQ41" s="647" t="str">
        <f t="shared" si="25"/>
        <v/>
      </c>
      <c r="AR41" s="647" t="str">
        <f t="shared" si="26"/>
        <v/>
      </c>
      <c r="AS41" s="647" t="str">
        <f t="shared" si="27"/>
        <v/>
      </c>
      <c r="AT41" s="647" t="str">
        <f t="shared" si="12"/>
        <v/>
      </c>
      <c r="AU41" s="647" t="str">
        <f t="shared" si="28"/>
        <v/>
      </c>
      <c r="AV41" s="647" t="str">
        <f t="shared" si="29"/>
        <v/>
      </c>
      <c r="AW41" s="647" t="str">
        <f t="shared" si="30"/>
        <v/>
      </c>
      <c r="AX41" s="647" t="str">
        <f t="shared" si="31"/>
        <v/>
      </c>
    </row>
    <row r="42" spans="3:50" s="5" customFormat="1" ht="28.15" hidden="1" customHeight="1" outlineLevel="1">
      <c r="C42" s="649">
        <v>26</v>
      </c>
      <c r="D42" s="1855"/>
      <c r="E42" s="1856"/>
      <c r="F42" s="1856"/>
      <c r="G42" s="1856"/>
      <c r="H42" s="1856"/>
      <c r="I42" s="1856"/>
      <c r="J42" s="1856"/>
      <c r="K42" s="702"/>
      <c r="L42" s="1054"/>
      <c r="M42" s="705"/>
      <c r="N42" s="255"/>
      <c r="O42" s="1040"/>
      <c r="P42" s="1041"/>
      <c r="Q42" s="256"/>
      <c r="R42" s="267"/>
      <c r="S42" s="256"/>
      <c r="T42" s="256"/>
      <c r="U42" s="256"/>
      <c r="V42" s="256"/>
      <c r="W42" s="254"/>
      <c r="X42" s="703"/>
      <c r="Y42" s="125"/>
      <c r="Z42" s="431"/>
      <c r="AA42" s="499"/>
      <c r="AB42" s="741"/>
      <c r="AC42" s="63"/>
      <c r="AD42" s="63"/>
      <c r="AE42" s="645" t="str">
        <f t="shared" si="20"/>
        <v/>
      </c>
      <c r="AF42" s="1037" t="str">
        <f t="shared" si="21"/>
        <v/>
      </c>
      <c r="AG42" s="1037" t="str">
        <f t="shared" si="22"/>
        <v/>
      </c>
      <c r="AH42" s="1037" t="str">
        <f>IF(AE42="","",VLOOKUP(AE42,リスト!BI:BJ,2,0))</f>
        <v/>
      </c>
      <c r="AI42" s="1037" t="str">
        <f t="shared" si="19"/>
        <v/>
      </c>
      <c r="AJ42" s="1037" t="str">
        <f>IF(AI42="","",VLOOKUP(AI42,リスト!BW:BX,2,0))</f>
        <v/>
      </c>
      <c r="AK42" s="1037" t="str">
        <f t="shared" si="5"/>
        <v/>
      </c>
      <c r="AL42" s="685" t="str">
        <f t="shared" si="23"/>
        <v/>
      </c>
      <c r="AM42" s="646" t="str">
        <f t="shared" si="24"/>
        <v/>
      </c>
      <c r="AN42" s="646" t="str">
        <f t="shared" si="17"/>
        <v/>
      </c>
      <c r="AO42" s="647" t="str">
        <f t="shared" si="18"/>
        <v/>
      </c>
      <c r="AP42" s="647" t="str">
        <f t="shared" si="8"/>
        <v/>
      </c>
      <c r="AQ42" s="647" t="str">
        <f t="shared" si="25"/>
        <v/>
      </c>
      <c r="AR42" s="647" t="str">
        <f t="shared" si="26"/>
        <v/>
      </c>
      <c r="AS42" s="647" t="str">
        <f t="shared" si="27"/>
        <v/>
      </c>
      <c r="AT42" s="647" t="str">
        <f t="shared" si="12"/>
        <v/>
      </c>
      <c r="AU42" s="647" t="str">
        <f t="shared" si="28"/>
        <v/>
      </c>
      <c r="AV42" s="647" t="str">
        <f t="shared" si="29"/>
        <v/>
      </c>
      <c r="AW42" s="647" t="str">
        <f t="shared" si="30"/>
        <v/>
      </c>
      <c r="AX42" s="647" t="str">
        <f t="shared" si="31"/>
        <v/>
      </c>
    </row>
    <row r="43" spans="3:50" s="5" customFormat="1" ht="28.15" hidden="1" customHeight="1" outlineLevel="1">
      <c r="C43" s="649">
        <v>27</v>
      </c>
      <c r="D43" s="1865"/>
      <c r="E43" s="1866"/>
      <c r="F43" s="1866"/>
      <c r="G43" s="1866"/>
      <c r="H43" s="1866"/>
      <c r="I43" s="1866"/>
      <c r="J43" s="1866"/>
      <c r="K43" s="704"/>
      <c r="L43" s="1055"/>
      <c r="M43" s="705"/>
      <c r="N43" s="255"/>
      <c r="O43" s="1042"/>
      <c r="P43" s="1041"/>
      <c r="Q43" s="256"/>
      <c r="R43" s="267"/>
      <c r="S43" s="256"/>
      <c r="T43" s="256"/>
      <c r="U43" s="256"/>
      <c r="V43" s="256"/>
      <c r="W43" s="254"/>
      <c r="X43" s="703"/>
      <c r="Y43" s="125"/>
      <c r="Z43" s="431"/>
      <c r="AA43" s="499"/>
      <c r="AB43" s="741"/>
      <c r="AC43" s="63"/>
      <c r="AD43" s="63"/>
      <c r="AE43" s="645" t="str">
        <f t="shared" si="20"/>
        <v/>
      </c>
      <c r="AF43" s="1037" t="str">
        <f t="shared" si="21"/>
        <v/>
      </c>
      <c r="AG43" s="1037" t="str">
        <f t="shared" si="22"/>
        <v/>
      </c>
      <c r="AH43" s="1037" t="str">
        <f>IF(AE43="","",VLOOKUP(AE43,リスト!BI:BJ,2,0))</f>
        <v/>
      </c>
      <c r="AI43" s="1037" t="str">
        <f t="shared" si="19"/>
        <v/>
      </c>
      <c r="AJ43" s="1037" t="str">
        <f>IF(AI43="","",VLOOKUP(AI43,リスト!BW:BX,2,0))</f>
        <v/>
      </c>
      <c r="AK43" s="1037" t="str">
        <f t="shared" si="5"/>
        <v/>
      </c>
      <c r="AL43" s="685" t="str">
        <f t="shared" si="23"/>
        <v/>
      </c>
      <c r="AM43" s="646" t="str">
        <f t="shared" si="24"/>
        <v/>
      </c>
      <c r="AN43" s="646" t="str">
        <f t="shared" si="17"/>
        <v/>
      </c>
      <c r="AO43" s="647" t="str">
        <f t="shared" si="18"/>
        <v/>
      </c>
      <c r="AP43" s="647" t="str">
        <f t="shared" si="8"/>
        <v/>
      </c>
      <c r="AQ43" s="647" t="str">
        <f t="shared" si="25"/>
        <v/>
      </c>
      <c r="AR43" s="647" t="str">
        <f t="shared" si="26"/>
        <v/>
      </c>
      <c r="AS43" s="647" t="str">
        <f t="shared" si="27"/>
        <v/>
      </c>
      <c r="AT43" s="647" t="str">
        <f t="shared" si="12"/>
        <v/>
      </c>
      <c r="AU43" s="647" t="str">
        <f t="shared" si="28"/>
        <v/>
      </c>
      <c r="AV43" s="647" t="str">
        <f t="shared" si="29"/>
        <v/>
      </c>
      <c r="AW43" s="647" t="str">
        <f t="shared" si="30"/>
        <v/>
      </c>
      <c r="AX43" s="647" t="str">
        <f t="shared" si="31"/>
        <v/>
      </c>
    </row>
    <row r="44" spans="3:50" s="5" customFormat="1" ht="28.15" hidden="1" customHeight="1" outlineLevel="1">
      <c r="C44" s="649">
        <v>28</v>
      </c>
      <c r="D44" s="1855"/>
      <c r="E44" s="1856"/>
      <c r="F44" s="1856"/>
      <c r="G44" s="1856"/>
      <c r="H44" s="1856"/>
      <c r="I44" s="1856"/>
      <c r="J44" s="1856"/>
      <c r="K44" s="702"/>
      <c r="L44" s="1054"/>
      <c r="M44" s="705"/>
      <c r="N44" s="255"/>
      <c r="O44" s="1040"/>
      <c r="P44" s="1041"/>
      <c r="Q44" s="256"/>
      <c r="R44" s="267"/>
      <c r="S44" s="256"/>
      <c r="T44" s="256"/>
      <c r="U44" s="256"/>
      <c r="V44" s="256"/>
      <c r="W44" s="254"/>
      <c r="X44" s="703"/>
      <c r="Y44" s="125"/>
      <c r="Z44" s="431"/>
      <c r="AA44" s="499"/>
      <c r="AB44" s="741"/>
      <c r="AC44" s="63"/>
      <c r="AD44" s="63"/>
      <c r="AE44" s="645" t="str">
        <f t="shared" si="20"/>
        <v/>
      </c>
      <c r="AF44" s="1037" t="str">
        <f t="shared" si="21"/>
        <v/>
      </c>
      <c r="AG44" s="1037" t="str">
        <f t="shared" si="22"/>
        <v/>
      </c>
      <c r="AH44" s="1037" t="str">
        <f>IF(AE44="","",VLOOKUP(AE44,リスト!BI:BJ,2,0))</f>
        <v/>
      </c>
      <c r="AI44" s="1037" t="str">
        <f t="shared" si="19"/>
        <v/>
      </c>
      <c r="AJ44" s="1037" t="str">
        <f>IF(AI44="","",VLOOKUP(AI44,リスト!BW:BX,2,0))</f>
        <v/>
      </c>
      <c r="AK44" s="1037" t="str">
        <f t="shared" si="5"/>
        <v/>
      </c>
      <c r="AL44" s="685" t="str">
        <f t="shared" si="23"/>
        <v/>
      </c>
      <c r="AM44" s="646" t="str">
        <f t="shared" si="24"/>
        <v/>
      </c>
      <c r="AN44" s="646" t="str">
        <f t="shared" si="17"/>
        <v/>
      </c>
      <c r="AO44" s="647" t="str">
        <f t="shared" si="18"/>
        <v/>
      </c>
      <c r="AP44" s="647" t="str">
        <f t="shared" si="8"/>
        <v/>
      </c>
      <c r="AQ44" s="647" t="str">
        <f t="shared" si="25"/>
        <v/>
      </c>
      <c r="AR44" s="647" t="str">
        <f t="shared" si="26"/>
        <v/>
      </c>
      <c r="AS44" s="647" t="str">
        <f t="shared" si="27"/>
        <v/>
      </c>
      <c r="AT44" s="647" t="str">
        <f t="shared" si="12"/>
        <v/>
      </c>
      <c r="AU44" s="647" t="str">
        <f t="shared" si="28"/>
        <v/>
      </c>
      <c r="AV44" s="647" t="str">
        <f t="shared" si="29"/>
        <v/>
      </c>
      <c r="AW44" s="647" t="str">
        <f t="shared" si="30"/>
        <v/>
      </c>
      <c r="AX44" s="647" t="str">
        <f t="shared" si="31"/>
        <v/>
      </c>
    </row>
    <row r="45" spans="3:50" s="5" customFormat="1" ht="28.15" hidden="1" customHeight="1" outlineLevel="1">
      <c r="C45" s="649">
        <v>29</v>
      </c>
      <c r="D45" s="1865"/>
      <c r="E45" s="1866"/>
      <c r="F45" s="1866"/>
      <c r="G45" s="1866"/>
      <c r="H45" s="1866"/>
      <c r="I45" s="1866"/>
      <c r="J45" s="1866"/>
      <c r="K45" s="704"/>
      <c r="L45" s="1055"/>
      <c r="M45" s="705"/>
      <c r="N45" s="255"/>
      <c r="O45" s="1042"/>
      <c r="P45" s="1041"/>
      <c r="Q45" s="256"/>
      <c r="R45" s="267"/>
      <c r="S45" s="256"/>
      <c r="T45" s="256"/>
      <c r="U45" s="256"/>
      <c r="V45" s="256"/>
      <c r="W45" s="254"/>
      <c r="X45" s="703"/>
      <c r="Y45" s="125"/>
      <c r="Z45" s="431"/>
      <c r="AA45" s="499"/>
      <c r="AB45" s="741"/>
      <c r="AC45" s="66"/>
      <c r="AD45" s="66"/>
      <c r="AE45" s="645" t="str">
        <f t="shared" si="20"/>
        <v/>
      </c>
      <c r="AF45" s="1037" t="str">
        <f t="shared" si="21"/>
        <v/>
      </c>
      <c r="AG45" s="1037" t="str">
        <f t="shared" si="22"/>
        <v/>
      </c>
      <c r="AH45" s="1037" t="str">
        <f>IF(AE45="","",VLOOKUP(AE45,リスト!BI:BJ,2,0))</f>
        <v/>
      </c>
      <c r="AI45" s="1037" t="str">
        <f t="shared" si="19"/>
        <v/>
      </c>
      <c r="AJ45" s="1037" t="str">
        <f>IF(AI45="","",VLOOKUP(AI45,リスト!BW:BX,2,0))</f>
        <v/>
      </c>
      <c r="AK45" s="1037" t="str">
        <f t="shared" si="5"/>
        <v/>
      </c>
      <c r="AL45" s="685" t="str">
        <f t="shared" si="23"/>
        <v/>
      </c>
      <c r="AM45" s="646" t="str">
        <f t="shared" si="24"/>
        <v/>
      </c>
      <c r="AN45" s="646" t="str">
        <f t="shared" si="17"/>
        <v/>
      </c>
      <c r="AO45" s="647" t="str">
        <f t="shared" si="18"/>
        <v/>
      </c>
      <c r="AP45" s="647" t="str">
        <f t="shared" si="8"/>
        <v/>
      </c>
      <c r="AQ45" s="647" t="str">
        <f t="shared" si="25"/>
        <v/>
      </c>
      <c r="AR45" s="647" t="str">
        <f t="shared" si="26"/>
        <v/>
      </c>
      <c r="AS45" s="647" t="str">
        <f t="shared" si="27"/>
        <v/>
      </c>
      <c r="AT45" s="647" t="str">
        <f t="shared" si="12"/>
        <v/>
      </c>
      <c r="AU45" s="647" t="str">
        <f t="shared" si="28"/>
        <v/>
      </c>
      <c r="AV45" s="647" t="str">
        <f t="shared" si="29"/>
        <v/>
      </c>
      <c r="AW45" s="647" t="str">
        <f t="shared" si="30"/>
        <v/>
      </c>
      <c r="AX45" s="647" t="str">
        <f t="shared" si="31"/>
        <v/>
      </c>
    </row>
    <row r="46" spans="3:50" s="5" customFormat="1" ht="28.15" hidden="1" customHeight="1" outlineLevel="1">
      <c r="C46" s="649">
        <v>30</v>
      </c>
      <c r="D46" s="1855"/>
      <c r="E46" s="1856"/>
      <c r="F46" s="1856"/>
      <c r="G46" s="1856"/>
      <c r="H46" s="1856"/>
      <c r="I46" s="1856"/>
      <c r="J46" s="1856"/>
      <c r="K46" s="702"/>
      <c r="L46" s="1054"/>
      <c r="M46" s="705"/>
      <c r="N46" s="255"/>
      <c r="O46" s="1040"/>
      <c r="P46" s="1041"/>
      <c r="Q46" s="256"/>
      <c r="R46" s="267"/>
      <c r="S46" s="256"/>
      <c r="T46" s="256"/>
      <c r="U46" s="256"/>
      <c r="V46" s="256"/>
      <c r="W46" s="254"/>
      <c r="X46" s="703"/>
      <c r="Y46" s="125"/>
      <c r="Z46" s="431"/>
      <c r="AA46" s="499"/>
      <c r="AB46" s="741"/>
      <c r="AC46" s="51"/>
      <c r="AD46" s="51"/>
      <c r="AE46" s="645" t="str">
        <f t="shared" si="20"/>
        <v/>
      </c>
      <c r="AF46" s="1037" t="str">
        <f t="shared" si="21"/>
        <v/>
      </c>
      <c r="AG46" s="1037" t="str">
        <f t="shared" si="22"/>
        <v/>
      </c>
      <c r="AH46" s="1037" t="str">
        <f>IF(AE46="","",VLOOKUP(AE46,リスト!BI:BJ,2,0))</f>
        <v/>
      </c>
      <c r="AI46" s="1037" t="str">
        <f t="shared" si="19"/>
        <v/>
      </c>
      <c r="AJ46" s="1037" t="str">
        <f>IF(AI46="","",VLOOKUP(AI46,リスト!BW:BX,2,0))</f>
        <v/>
      </c>
      <c r="AK46" s="1037" t="str">
        <f t="shared" si="5"/>
        <v/>
      </c>
      <c r="AL46" s="685" t="str">
        <f t="shared" si="23"/>
        <v/>
      </c>
      <c r="AM46" s="646" t="str">
        <f t="shared" si="24"/>
        <v/>
      </c>
      <c r="AN46" s="646" t="str">
        <f t="shared" si="17"/>
        <v/>
      </c>
      <c r="AO46" s="647" t="str">
        <f t="shared" si="18"/>
        <v/>
      </c>
      <c r="AP46" s="647" t="str">
        <f t="shared" si="8"/>
        <v/>
      </c>
      <c r="AQ46" s="647" t="str">
        <f t="shared" si="25"/>
        <v/>
      </c>
      <c r="AR46" s="647" t="str">
        <f t="shared" si="26"/>
        <v/>
      </c>
      <c r="AS46" s="647" t="str">
        <f t="shared" si="27"/>
        <v/>
      </c>
      <c r="AT46" s="647" t="str">
        <f t="shared" si="12"/>
        <v/>
      </c>
      <c r="AU46" s="647" t="str">
        <f t="shared" si="28"/>
        <v/>
      </c>
      <c r="AV46" s="647" t="str">
        <f t="shared" si="29"/>
        <v/>
      </c>
      <c r="AW46" s="647" t="str">
        <f t="shared" si="30"/>
        <v/>
      </c>
      <c r="AX46" s="647" t="str">
        <f t="shared" si="31"/>
        <v/>
      </c>
    </row>
    <row r="47" spans="3:50" s="5" customFormat="1" ht="28.15" hidden="1" customHeight="1" outlineLevel="1">
      <c r="C47" s="649">
        <v>31</v>
      </c>
      <c r="D47" s="1865"/>
      <c r="E47" s="1866"/>
      <c r="F47" s="1866"/>
      <c r="G47" s="1866"/>
      <c r="H47" s="1866"/>
      <c r="I47" s="1866"/>
      <c r="J47" s="1866"/>
      <c r="K47" s="704"/>
      <c r="L47" s="1055"/>
      <c r="M47" s="705"/>
      <c r="N47" s="255"/>
      <c r="O47" s="1042"/>
      <c r="P47" s="1043"/>
      <c r="Q47" s="256"/>
      <c r="R47" s="267"/>
      <c r="S47" s="256"/>
      <c r="T47" s="256"/>
      <c r="U47" s="256"/>
      <c r="V47" s="256"/>
      <c r="W47" s="254"/>
      <c r="X47" s="703"/>
      <c r="Y47" s="125"/>
      <c r="Z47" s="431"/>
      <c r="AA47" s="499"/>
      <c r="AB47" s="741"/>
      <c r="AC47" s="51"/>
      <c r="AD47" s="51"/>
      <c r="AE47" s="645" t="str">
        <f t="shared" si="20"/>
        <v/>
      </c>
      <c r="AF47" s="1037" t="str">
        <f t="shared" si="21"/>
        <v/>
      </c>
      <c r="AG47" s="1037" t="str">
        <f t="shared" si="22"/>
        <v/>
      </c>
      <c r="AH47" s="1037" t="str">
        <f>IF(AE47="","",VLOOKUP(AE47,リスト!BI:BJ,2,0))</f>
        <v/>
      </c>
      <c r="AI47" s="1037" t="str">
        <f t="shared" si="19"/>
        <v/>
      </c>
      <c r="AJ47" s="1037" t="str">
        <f>IF(AI47="","",VLOOKUP(AI47,リスト!BW:BX,2,0))</f>
        <v/>
      </c>
      <c r="AK47" s="1037" t="str">
        <f t="shared" si="5"/>
        <v/>
      </c>
      <c r="AL47" s="685" t="str">
        <f t="shared" si="23"/>
        <v/>
      </c>
      <c r="AM47" s="646" t="str">
        <f t="shared" si="24"/>
        <v/>
      </c>
      <c r="AN47" s="646" t="str">
        <f t="shared" si="17"/>
        <v/>
      </c>
      <c r="AO47" s="647" t="str">
        <f t="shared" si="18"/>
        <v/>
      </c>
      <c r="AP47" s="647" t="str">
        <f t="shared" si="8"/>
        <v/>
      </c>
      <c r="AQ47" s="647" t="str">
        <f t="shared" si="25"/>
        <v/>
      </c>
      <c r="AR47" s="647" t="str">
        <f t="shared" si="26"/>
        <v/>
      </c>
      <c r="AS47" s="647" t="str">
        <f t="shared" si="27"/>
        <v/>
      </c>
      <c r="AT47" s="647" t="str">
        <f t="shared" si="12"/>
        <v/>
      </c>
      <c r="AU47" s="647" t="str">
        <f t="shared" si="28"/>
        <v/>
      </c>
      <c r="AV47" s="647" t="str">
        <f t="shared" si="29"/>
        <v/>
      </c>
      <c r="AW47" s="647" t="str">
        <f t="shared" si="30"/>
        <v/>
      </c>
      <c r="AX47" s="647" t="str">
        <f t="shared" si="31"/>
        <v/>
      </c>
    </row>
    <row r="48" spans="3:50" s="5" customFormat="1" ht="28.15" hidden="1" customHeight="1" outlineLevel="1">
      <c r="C48" s="649">
        <v>32</v>
      </c>
      <c r="D48" s="1855"/>
      <c r="E48" s="1856"/>
      <c r="F48" s="1856"/>
      <c r="G48" s="1856"/>
      <c r="H48" s="1856"/>
      <c r="I48" s="1856"/>
      <c r="J48" s="1856"/>
      <c r="K48" s="702"/>
      <c r="L48" s="1054"/>
      <c r="M48" s="705"/>
      <c r="N48" s="255"/>
      <c r="O48" s="1040"/>
      <c r="P48" s="1044"/>
      <c r="Q48" s="256"/>
      <c r="R48" s="267"/>
      <c r="S48" s="256"/>
      <c r="T48" s="256"/>
      <c r="U48" s="256"/>
      <c r="V48" s="256"/>
      <c r="W48" s="254"/>
      <c r="X48" s="703"/>
      <c r="Y48" s="125"/>
      <c r="Z48" s="431"/>
      <c r="AA48" s="499"/>
      <c r="AB48" s="741"/>
      <c r="AC48" s="51"/>
      <c r="AD48" s="51"/>
      <c r="AE48" s="645" t="str">
        <f t="shared" si="20"/>
        <v/>
      </c>
      <c r="AF48" s="1037" t="str">
        <f t="shared" si="21"/>
        <v/>
      </c>
      <c r="AG48" s="1037" t="str">
        <f t="shared" si="22"/>
        <v/>
      </c>
      <c r="AH48" s="1037" t="str">
        <f>IF(AE48="","",VLOOKUP(AE48,リスト!BI:BJ,2,0))</f>
        <v/>
      </c>
      <c r="AI48" s="1037" t="str">
        <f t="shared" si="19"/>
        <v/>
      </c>
      <c r="AJ48" s="1037" t="str">
        <f>IF(AI48="","",VLOOKUP(AI48,リスト!BW:BX,2,0))</f>
        <v/>
      </c>
      <c r="AK48" s="1037" t="str">
        <f t="shared" si="5"/>
        <v/>
      </c>
      <c r="AL48" s="685" t="str">
        <f t="shared" si="23"/>
        <v/>
      </c>
      <c r="AM48" s="646" t="str">
        <f t="shared" si="24"/>
        <v/>
      </c>
      <c r="AN48" s="646" t="str">
        <f t="shared" si="17"/>
        <v/>
      </c>
      <c r="AO48" s="647" t="str">
        <f t="shared" si="18"/>
        <v/>
      </c>
      <c r="AP48" s="647" t="str">
        <f t="shared" si="8"/>
        <v/>
      </c>
      <c r="AQ48" s="647" t="str">
        <f t="shared" si="25"/>
        <v/>
      </c>
      <c r="AR48" s="647" t="str">
        <f t="shared" si="26"/>
        <v/>
      </c>
      <c r="AS48" s="647" t="str">
        <f t="shared" si="27"/>
        <v/>
      </c>
      <c r="AT48" s="647" t="str">
        <f t="shared" si="12"/>
        <v/>
      </c>
      <c r="AU48" s="647" t="str">
        <f t="shared" si="28"/>
        <v/>
      </c>
      <c r="AV48" s="647" t="str">
        <f t="shared" si="29"/>
        <v/>
      </c>
      <c r="AW48" s="647" t="str">
        <f t="shared" si="30"/>
        <v/>
      </c>
      <c r="AX48" s="647" t="str">
        <f t="shared" si="31"/>
        <v/>
      </c>
    </row>
    <row r="49" spans="3:50" s="5" customFormat="1" ht="28.15" hidden="1" customHeight="1" outlineLevel="1">
      <c r="C49" s="649">
        <v>33</v>
      </c>
      <c r="D49" s="1855"/>
      <c r="E49" s="1856"/>
      <c r="F49" s="1856"/>
      <c r="G49" s="1856"/>
      <c r="H49" s="1856"/>
      <c r="I49" s="1856"/>
      <c r="J49" s="1856"/>
      <c r="K49" s="702"/>
      <c r="L49" s="1054"/>
      <c r="M49" s="705"/>
      <c r="N49" s="255"/>
      <c r="O49" s="1040"/>
      <c r="P49" s="1044"/>
      <c r="Q49" s="256"/>
      <c r="R49" s="267"/>
      <c r="S49" s="256"/>
      <c r="T49" s="256"/>
      <c r="U49" s="256"/>
      <c r="V49" s="256"/>
      <c r="W49" s="254"/>
      <c r="X49" s="703"/>
      <c r="Y49" s="125"/>
      <c r="Z49" s="431"/>
      <c r="AA49" s="499"/>
      <c r="AB49" s="741"/>
      <c r="AC49" s="51"/>
      <c r="AD49" s="51"/>
      <c r="AE49" s="645" t="str">
        <f t="shared" si="20"/>
        <v/>
      </c>
      <c r="AF49" s="1037" t="str">
        <f t="shared" si="21"/>
        <v/>
      </c>
      <c r="AG49" s="1037" t="str">
        <f t="shared" si="22"/>
        <v/>
      </c>
      <c r="AH49" s="1037" t="str">
        <f>IF(AE49="","",VLOOKUP(AE49,リスト!BI:BJ,2,0))</f>
        <v/>
      </c>
      <c r="AI49" s="1037" t="str">
        <f t="shared" si="19"/>
        <v/>
      </c>
      <c r="AJ49" s="1037" t="str">
        <f>IF(AI49="","",VLOOKUP(AI49,リスト!BW:BX,2,0))</f>
        <v/>
      </c>
      <c r="AK49" s="1037" t="str">
        <f t="shared" si="5"/>
        <v/>
      </c>
      <c r="AL49" s="685" t="str">
        <f t="shared" si="23"/>
        <v/>
      </c>
      <c r="AM49" s="646" t="str">
        <f t="shared" si="24"/>
        <v/>
      </c>
      <c r="AN49" s="646" t="str">
        <f t="shared" si="17"/>
        <v/>
      </c>
      <c r="AO49" s="647" t="str">
        <f t="shared" si="18"/>
        <v/>
      </c>
      <c r="AP49" s="647" t="str">
        <f t="shared" si="8"/>
        <v/>
      </c>
      <c r="AQ49" s="647" t="str">
        <f t="shared" si="25"/>
        <v/>
      </c>
      <c r="AR49" s="647" t="str">
        <f t="shared" si="26"/>
        <v/>
      </c>
      <c r="AS49" s="647" t="str">
        <f t="shared" si="27"/>
        <v/>
      </c>
      <c r="AT49" s="647" t="str">
        <f t="shared" si="12"/>
        <v/>
      </c>
      <c r="AU49" s="647" t="str">
        <f t="shared" si="28"/>
        <v/>
      </c>
      <c r="AV49" s="647" t="str">
        <f t="shared" si="29"/>
        <v/>
      </c>
      <c r="AW49" s="647" t="str">
        <f t="shared" si="30"/>
        <v/>
      </c>
      <c r="AX49" s="647" t="str">
        <f t="shared" si="31"/>
        <v/>
      </c>
    </row>
    <row r="50" spans="3:50" s="5" customFormat="1" ht="28.15" hidden="1" customHeight="1" outlineLevel="1">
      <c r="C50" s="649">
        <v>34</v>
      </c>
      <c r="D50" s="1855"/>
      <c r="E50" s="1856"/>
      <c r="F50" s="1856"/>
      <c r="G50" s="1856"/>
      <c r="H50" s="1856"/>
      <c r="I50" s="1856"/>
      <c r="J50" s="1856"/>
      <c r="K50" s="702"/>
      <c r="L50" s="1054"/>
      <c r="M50" s="705"/>
      <c r="N50" s="257"/>
      <c r="O50" s="1040"/>
      <c r="P50" s="1044"/>
      <c r="Q50" s="256"/>
      <c r="R50" s="267"/>
      <c r="S50" s="256"/>
      <c r="T50" s="256"/>
      <c r="U50" s="256"/>
      <c r="V50" s="256"/>
      <c r="W50" s="254"/>
      <c r="X50" s="703"/>
      <c r="Y50" s="125"/>
      <c r="Z50" s="431"/>
      <c r="AA50" s="499"/>
      <c r="AB50" s="741"/>
      <c r="AC50" s="51"/>
      <c r="AD50" s="51"/>
      <c r="AE50" s="645" t="str">
        <f t="shared" si="20"/>
        <v/>
      </c>
      <c r="AF50" s="1037" t="str">
        <f t="shared" si="21"/>
        <v/>
      </c>
      <c r="AG50" s="1037" t="str">
        <f t="shared" si="22"/>
        <v/>
      </c>
      <c r="AH50" s="1037" t="str">
        <f>IF(AE50="","",VLOOKUP(AE50,リスト!BI:BJ,2,0))</f>
        <v/>
      </c>
      <c r="AI50" s="1037" t="str">
        <f t="shared" si="19"/>
        <v/>
      </c>
      <c r="AJ50" s="1037" t="str">
        <f>IF(AI50="","",VLOOKUP(AI50,リスト!BW:BX,2,0))</f>
        <v/>
      </c>
      <c r="AK50" s="1037" t="str">
        <f t="shared" si="5"/>
        <v/>
      </c>
      <c r="AL50" s="685" t="str">
        <f t="shared" si="23"/>
        <v/>
      </c>
      <c r="AM50" s="646" t="str">
        <f t="shared" si="24"/>
        <v/>
      </c>
      <c r="AN50" s="646" t="str">
        <f t="shared" si="17"/>
        <v/>
      </c>
      <c r="AO50" s="647" t="str">
        <f t="shared" si="18"/>
        <v/>
      </c>
      <c r="AP50" s="647" t="str">
        <f t="shared" si="8"/>
        <v/>
      </c>
      <c r="AQ50" s="647" t="str">
        <f t="shared" si="25"/>
        <v/>
      </c>
      <c r="AR50" s="647" t="str">
        <f t="shared" si="26"/>
        <v/>
      </c>
      <c r="AS50" s="647" t="str">
        <f t="shared" si="27"/>
        <v/>
      </c>
      <c r="AT50" s="647" t="str">
        <f t="shared" si="12"/>
        <v/>
      </c>
      <c r="AU50" s="647" t="str">
        <f t="shared" si="28"/>
        <v/>
      </c>
      <c r="AV50" s="647" t="str">
        <f t="shared" si="29"/>
        <v/>
      </c>
      <c r="AW50" s="647" t="str">
        <f t="shared" si="30"/>
        <v/>
      </c>
      <c r="AX50" s="647" t="str">
        <f t="shared" si="31"/>
        <v/>
      </c>
    </row>
    <row r="51" spans="3:50" s="5" customFormat="1" ht="28.15" hidden="1" customHeight="1" outlineLevel="1">
      <c r="C51" s="649">
        <v>35</v>
      </c>
      <c r="D51" s="1855"/>
      <c r="E51" s="1856"/>
      <c r="F51" s="1856"/>
      <c r="G51" s="1856"/>
      <c r="H51" s="1856"/>
      <c r="I51" s="1856"/>
      <c r="J51" s="1856"/>
      <c r="K51" s="702"/>
      <c r="L51" s="1054"/>
      <c r="M51" s="705"/>
      <c r="N51" s="255"/>
      <c r="O51" s="1040"/>
      <c r="P51" s="1044"/>
      <c r="Q51" s="256"/>
      <c r="R51" s="267"/>
      <c r="S51" s="256"/>
      <c r="T51" s="256"/>
      <c r="U51" s="256"/>
      <c r="V51" s="256"/>
      <c r="W51" s="254"/>
      <c r="X51" s="703"/>
      <c r="Y51" s="125"/>
      <c r="Z51" s="431"/>
      <c r="AA51" s="499"/>
      <c r="AB51" s="741"/>
      <c r="AC51" s="51"/>
      <c r="AD51" s="51"/>
      <c r="AE51" s="645" t="str">
        <f t="shared" si="20"/>
        <v/>
      </c>
      <c r="AF51" s="1037" t="str">
        <f t="shared" si="21"/>
        <v/>
      </c>
      <c r="AG51" s="1037" t="str">
        <f t="shared" si="22"/>
        <v/>
      </c>
      <c r="AH51" s="1037" t="str">
        <f>IF(AE51="","",VLOOKUP(AE51,リスト!BI:BJ,2,0))</f>
        <v/>
      </c>
      <c r="AI51" s="1037" t="str">
        <f t="shared" si="19"/>
        <v/>
      </c>
      <c r="AJ51" s="1037" t="str">
        <f>IF(AI51="","",VLOOKUP(AI51,リスト!BW:BX,2,0))</f>
        <v/>
      </c>
      <c r="AK51" s="1037" t="str">
        <f t="shared" si="5"/>
        <v/>
      </c>
      <c r="AL51" s="685" t="str">
        <f t="shared" si="23"/>
        <v/>
      </c>
      <c r="AM51" s="646" t="str">
        <f t="shared" si="24"/>
        <v/>
      </c>
      <c r="AN51" s="646" t="str">
        <f t="shared" si="17"/>
        <v/>
      </c>
      <c r="AO51" s="647" t="str">
        <f t="shared" si="18"/>
        <v/>
      </c>
      <c r="AP51" s="647" t="str">
        <f t="shared" si="8"/>
        <v/>
      </c>
      <c r="AQ51" s="647" t="str">
        <f t="shared" si="25"/>
        <v/>
      </c>
      <c r="AR51" s="647" t="str">
        <f t="shared" si="26"/>
        <v/>
      </c>
      <c r="AS51" s="647" t="str">
        <f t="shared" si="27"/>
        <v/>
      </c>
      <c r="AT51" s="647" t="str">
        <f t="shared" si="12"/>
        <v/>
      </c>
      <c r="AU51" s="647" t="str">
        <f t="shared" si="28"/>
        <v/>
      </c>
      <c r="AV51" s="647" t="str">
        <f t="shared" si="29"/>
        <v/>
      </c>
      <c r="AW51" s="647" t="str">
        <f t="shared" si="30"/>
        <v/>
      </c>
      <c r="AX51" s="647" t="str">
        <f t="shared" si="31"/>
        <v/>
      </c>
    </row>
    <row r="52" spans="3:50" s="5" customFormat="1" ht="28.15" hidden="1" customHeight="1" outlineLevel="1">
      <c r="C52" s="649">
        <v>36</v>
      </c>
      <c r="D52" s="1855"/>
      <c r="E52" s="1856"/>
      <c r="F52" s="1856"/>
      <c r="G52" s="1856"/>
      <c r="H52" s="1856"/>
      <c r="I52" s="1856"/>
      <c r="J52" s="1856"/>
      <c r="K52" s="702"/>
      <c r="L52" s="1054"/>
      <c r="M52" s="705"/>
      <c r="N52" s="257"/>
      <c r="O52" s="1040"/>
      <c r="P52" s="1044"/>
      <c r="Q52" s="256"/>
      <c r="R52" s="267"/>
      <c r="S52" s="256"/>
      <c r="T52" s="256"/>
      <c r="U52" s="256"/>
      <c r="V52" s="256"/>
      <c r="W52" s="254"/>
      <c r="X52" s="703"/>
      <c r="Y52" s="125"/>
      <c r="Z52" s="431"/>
      <c r="AA52" s="499"/>
      <c r="AB52" s="741"/>
      <c r="AC52" s="51"/>
      <c r="AD52" s="51"/>
      <c r="AE52" s="645" t="str">
        <f t="shared" si="20"/>
        <v/>
      </c>
      <c r="AF52" s="1037" t="str">
        <f t="shared" si="21"/>
        <v/>
      </c>
      <c r="AG52" s="1037" t="str">
        <f t="shared" si="22"/>
        <v/>
      </c>
      <c r="AH52" s="1037" t="str">
        <f>IF(AE52="","",VLOOKUP(AE52,リスト!BI:BJ,2,0))</f>
        <v/>
      </c>
      <c r="AI52" s="1037" t="str">
        <f t="shared" si="19"/>
        <v/>
      </c>
      <c r="AJ52" s="1037" t="str">
        <f>IF(AI52="","",VLOOKUP(AI52,リスト!BW:BX,2,0))</f>
        <v/>
      </c>
      <c r="AK52" s="1037" t="str">
        <f t="shared" si="5"/>
        <v/>
      </c>
      <c r="AL52" s="685" t="str">
        <f t="shared" si="23"/>
        <v/>
      </c>
      <c r="AM52" s="646" t="str">
        <f t="shared" si="24"/>
        <v/>
      </c>
      <c r="AN52" s="646" t="str">
        <f t="shared" si="17"/>
        <v/>
      </c>
      <c r="AO52" s="647" t="str">
        <f t="shared" si="18"/>
        <v/>
      </c>
      <c r="AP52" s="647" t="str">
        <f t="shared" si="8"/>
        <v/>
      </c>
      <c r="AQ52" s="647" t="str">
        <f t="shared" si="25"/>
        <v/>
      </c>
      <c r="AR52" s="647" t="str">
        <f t="shared" si="26"/>
        <v/>
      </c>
      <c r="AS52" s="647" t="str">
        <f t="shared" si="27"/>
        <v/>
      </c>
      <c r="AT52" s="647" t="str">
        <f t="shared" si="12"/>
        <v/>
      </c>
      <c r="AU52" s="647" t="str">
        <f t="shared" si="28"/>
        <v/>
      </c>
      <c r="AV52" s="647" t="str">
        <f t="shared" si="29"/>
        <v/>
      </c>
      <c r="AW52" s="647" t="str">
        <f t="shared" si="30"/>
        <v/>
      </c>
      <c r="AX52" s="647" t="str">
        <f t="shared" si="31"/>
        <v/>
      </c>
    </row>
    <row r="53" spans="3:50" s="5" customFormat="1" ht="28.15" hidden="1" customHeight="1" outlineLevel="1">
      <c r="C53" s="649">
        <v>37</v>
      </c>
      <c r="D53" s="1855"/>
      <c r="E53" s="1856"/>
      <c r="F53" s="1856"/>
      <c r="G53" s="1856"/>
      <c r="H53" s="1856"/>
      <c r="I53" s="1856"/>
      <c r="J53" s="1856"/>
      <c r="K53" s="702"/>
      <c r="L53" s="1054"/>
      <c r="M53" s="705"/>
      <c r="N53" s="255"/>
      <c r="O53" s="1040"/>
      <c r="P53" s="1044"/>
      <c r="Q53" s="256"/>
      <c r="R53" s="267"/>
      <c r="S53" s="256"/>
      <c r="T53" s="256"/>
      <c r="U53" s="256"/>
      <c r="V53" s="256"/>
      <c r="W53" s="254"/>
      <c r="X53" s="703"/>
      <c r="Y53" s="125"/>
      <c r="Z53" s="431"/>
      <c r="AA53" s="499"/>
      <c r="AB53" s="741"/>
      <c r="AC53" s="51"/>
      <c r="AD53" s="51"/>
      <c r="AE53" s="645" t="str">
        <f t="shared" si="20"/>
        <v/>
      </c>
      <c r="AF53" s="1037" t="str">
        <f t="shared" si="21"/>
        <v/>
      </c>
      <c r="AG53" s="1037" t="str">
        <f t="shared" si="22"/>
        <v/>
      </c>
      <c r="AH53" s="1037" t="str">
        <f>IF(AE53="","",VLOOKUP(AE53,リスト!BI:BJ,2,0))</f>
        <v/>
      </c>
      <c r="AI53" s="1037" t="str">
        <f t="shared" si="19"/>
        <v/>
      </c>
      <c r="AJ53" s="1037" t="str">
        <f>IF(AI53="","",VLOOKUP(AI53,リスト!BW:BX,2,0))</f>
        <v/>
      </c>
      <c r="AK53" s="1037" t="str">
        <f t="shared" si="5"/>
        <v/>
      </c>
      <c r="AL53" s="685" t="str">
        <f t="shared" si="23"/>
        <v/>
      </c>
      <c r="AM53" s="646" t="str">
        <f t="shared" si="24"/>
        <v/>
      </c>
      <c r="AN53" s="646" t="str">
        <f t="shared" si="17"/>
        <v/>
      </c>
      <c r="AO53" s="647" t="str">
        <f t="shared" si="18"/>
        <v/>
      </c>
      <c r="AP53" s="647" t="str">
        <f t="shared" si="8"/>
        <v/>
      </c>
      <c r="AQ53" s="647" t="str">
        <f t="shared" si="25"/>
        <v/>
      </c>
      <c r="AR53" s="647" t="str">
        <f t="shared" si="26"/>
        <v/>
      </c>
      <c r="AS53" s="647" t="str">
        <f t="shared" si="27"/>
        <v/>
      </c>
      <c r="AT53" s="647" t="str">
        <f t="shared" si="12"/>
        <v/>
      </c>
      <c r="AU53" s="647" t="str">
        <f t="shared" si="28"/>
        <v/>
      </c>
      <c r="AV53" s="647" t="str">
        <f t="shared" si="29"/>
        <v/>
      </c>
      <c r="AW53" s="647" t="str">
        <f t="shared" si="30"/>
        <v/>
      </c>
      <c r="AX53" s="647" t="str">
        <f t="shared" si="31"/>
        <v/>
      </c>
    </row>
    <row r="54" spans="3:50" s="5" customFormat="1" ht="28.15" hidden="1" customHeight="1" outlineLevel="1">
      <c r="C54" s="649">
        <v>38</v>
      </c>
      <c r="D54" s="1855"/>
      <c r="E54" s="1856"/>
      <c r="F54" s="1856"/>
      <c r="G54" s="1856"/>
      <c r="H54" s="1856"/>
      <c r="I54" s="1856"/>
      <c r="J54" s="1857"/>
      <c r="K54" s="702"/>
      <c r="L54" s="1054"/>
      <c r="M54" s="666"/>
      <c r="N54" s="266"/>
      <c r="O54" s="1040"/>
      <c r="P54" s="1041"/>
      <c r="Q54" s="267"/>
      <c r="R54" s="267"/>
      <c r="S54" s="267"/>
      <c r="T54" s="267"/>
      <c r="U54" s="267"/>
      <c r="V54" s="267"/>
      <c r="W54" s="254"/>
      <c r="X54" s="703"/>
      <c r="Y54" s="125"/>
      <c r="Z54" s="431"/>
      <c r="AA54" s="499"/>
      <c r="AB54" s="741"/>
      <c r="AC54" s="51"/>
      <c r="AD54" s="51"/>
      <c r="AE54" s="645" t="str">
        <f t="shared" si="20"/>
        <v/>
      </c>
      <c r="AF54" s="1037" t="str">
        <f t="shared" si="21"/>
        <v/>
      </c>
      <c r="AG54" s="1037" t="str">
        <f t="shared" si="22"/>
        <v/>
      </c>
      <c r="AH54" s="1037" t="str">
        <f>IF(AE54="","",VLOOKUP(AE54,リスト!BI:BJ,2,0))</f>
        <v/>
      </c>
      <c r="AI54" s="1037" t="str">
        <f t="shared" si="19"/>
        <v/>
      </c>
      <c r="AJ54" s="1037" t="str">
        <f>IF(AI54="","",VLOOKUP(AI54,リスト!BW:BX,2,0))</f>
        <v/>
      </c>
      <c r="AK54" s="1037" t="str">
        <f t="shared" si="5"/>
        <v/>
      </c>
      <c r="AL54" s="685" t="str">
        <f t="shared" si="23"/>
        <v/>
      </c>
      <c r="AM54" s="646" t="str">
        <f t="shared" si="24"/>
        <v/>
      </c>
      <c r="AN54" s="646" t="str">
        <f t="shared" si="17"/>
        <v/>
      </c>
      <c r="AO54" s="647" t="str">
        <f t="shared" si="18"/>
        <v/>
      </c>
      <c r="AP54" s="647" t="str">
        <f t="shared" si="8"/>
        <v/>
      </c>
      <c r="AQ54" s="647" t="str">
        <f t="shared" si="25"/>
        <v/>
      </c>
      <c r="AR54" s="647" t="str">
        <f t="shared" si="26"/>
        <v/>
      </c>
      <c r="AS54" s="647" t="str">
        <f t="shared" si="27"/>
        <v/>
      </c>
      <c r="AT54" s="647" t="str">
        <f t="shared" si="12"/>
        <v/>
      </c>
      <c r="AU54" s="647" t="str">
        <f t="shared" si="28"/>
        <v/>
      </c>
      <c r="AV54" s="647" t="str">
        <f t="shared" si="29"/>
        <v/>
      </c>
      <c r="AW54" s="647" t="str">
        <f t="shared" si="30"/>
        <v/>
      </c>
      <c r="AX54" s="647" t="str">
        <f t="shared" si="31"/>
        <v/>
      </c>
    </row>
    <row r="55" spans="3:50" s="5" customFormat="1" ht="28.15" hidden="1" customHeight="1" outlineLevel="1">
      <c r="C55" s="649">
        <v>39</v>
      </c>
      <c r="D55" s="1865"/>
      <c r="E55" s="1866"/>
      <c r="F55" s="1866"/>
      <c r="G55" s="1866"/>
      <c r="H55" s="1866"/>
      <c r="I55" s="1866"/>
      <c r="J55" s="1866"/>
      <c r="K55" s="704"/>
      <c r="L55" s="1055"/>
      <c r="M55" s="705"/>
      <c r="N55" s="257"/>
      <c r="O55" s="1042"/>
      <c r="P55" s="1041"/>
      <c r="Q55" s="256"/>
      <c r="R55" s="267"/>
      <c r="S55" s="256"/>
      <c r="T55" s="256"/>
      <c r="U55" s="256"/>
      <c r="V55" s="256"/>
      <c r="W55" s="254"/>
      <c r="X55" s="703"/>
      <c r="Y55" s="125"/>
      <c r="Z55" s="431"/>
      <c r="AA55" s="499"/>
      <c r="AB55" s="741"/>
      <c r="AC55" s="51"/>
      <c r="AD55" s="51"/>
      <c r="AE55" s="645" t="str">
        <f t="shared" si="20"/>
        <v/>
      </c>
      <c r="AF55" s="1037" t="str">
        <f t="shared" si="21"/>
        <v/>
      </c>
      <c r="AG55" s="1037" t="str">
        <f t="shared" si="22"/>
        <v/>
      </c>
      <c r="AH55" s="1037" t="str">
        <f>IF(AE55="","",VLOOKUP(AE55,リスト!BI:BJ,2,0))</f>
        <v/>
      </c>
      <c r="AI55" s="1037" t="str">
        <f t="shared" si="19"/>
        <v/>
      </c>
      <c r="AJ55" s="1037" t="str">
        <f>IF(AI55="","",VLOOKUP(AI55,リスト!BW:BX,2,0))</f>
        <v/>
      </c>
      <c r="AK55" s="1037" t="str">
        <f t="shared" si="5"/>
        <v/>
      </c>
      <c r="AL55" s="685" t="str">
        <f t="shared" si="23"/>
        <v/>
      </c>
      <c r="AM55" s="646" t="str">
        <f t="shared" si="24"/>
        <v/>
      </c>
      <c r="AN55" s="646" t="str">
        <f t="shared" si="17"/>
        <v/>
      </c>
      <c r="AO55" s="647" t="str">
        <f t="shared" si="18"/>
        <v/>
      </c>
      <c r="AP55" s="647" t="str">
        <f t="shared" si="8"/>
        <v/>
      </c>
      <c r="AQ55" s="647" t="str">
        <f t="shared" si="25"/>
        <v/>
      </c>
      <c r="AR55" s="647" t="str">
        <f t="shared" si="26"/>
        <v/>
      </c>
      <c r="AS55" s="647" t="str">
        <f t="shared" si="27"/>
        <v/>
      </c>
      <c r="AT55" s="647" t="str">
        <f t="shared" si="12"/>
        <v/>
      </c>
      <c r="AU55" s="647" t="str">
        <f t="shared" si="28"/>
        <v/>
      </c>
      <c r="AV55" s="647" t="str">
        <f t="shared" si="29"/>
        <v/>
      </c>
      <c r="AW55" s="647" t="str">
        <f t="shared" si="30"/>
        <v/>
      </c>
      <c r="AX55" s="647" t="str">
        <f t="shared" si="31"/>
        <v/>
      </c>
    </row>
    <row r="56" spans="3:50" s="5" customFormat="1" ht="28.15" hidden="1" customHeight="1" outlineLevel="1">
      <c r="C56" s="649">
        <v>40</v>
      </c>
      <c r="D56" s="1855"/>
      <c r="E56" s="1856"/>
      <c r="F56" s="1856"/>
      <c r="G56" s="1856"/>
      <c r="H56" s="1856"/>
      <c r="I56" s="1856"/>
      <c r="J56" s="1856"/>
      <c r="K56" s="702"/>
      <c r="L56" s="1054"/>
      <c r="M56" s="705"/>
      <c r="N56" s="255"/>
      <c r="O56" s="1040"/>
      <c r="P56" s="1041"/>
      <c r="Q56" s="256"/>
      <c r="R56" s="267"/>
      <c r="S56" s="256"/>
      <c r="T56" s="256"/>
      <c r="U56" s="256"/>
      <c r="V56" s="256"/>
      <c r="W56" s="254"/>
      <c r="X56" s="703"/>
      <c r="Y56" s="125"/>
      <c r="Z56" s="431"/>
      <c r="AA56" s="499"/>
      <c r="AB56" s="741"/>
      <c r="AC56" s="51"/>
      <c r="AD56" s="51"/>
      <c r="AE56" s="645" t="str">
        <f t="shared" si="20"/>
        <v/>
      </c>
      <c r="AF56" s="1037" t="str">
        <f t="shared" si="21"/>
        <v/>
      </c>
      <c r="AG56" s="1037" t="str">
        <f t="shared" si="22"/>
        <v/>
      </c>
      <c r="AH56" s="1037" t="str">
        <f>IF(AE56="","",VLOOKUP(AE56,リスト!BI:BJ,2,0))</f>
        <v/>
      </c>
      <c r="AI56" s="1037" t="str">
        <f t="shared" si="19"/>
        <v/>
      </c>
      <c r="AJ56" s="1037" t="str">
        <f>IF(AI56="","",VLOOKUP(AI56,リスト!BW:BX,2,0))</f>
        <v/>
      </c>
      <c r="AK56" s="1037" t="str">
        <f t="shared" si="5"/>
        <v/>
      </c>
      <c r="AL56" s="685" t="str">
        <f t="shared" si="23"/>
        <v/>
      </c>
      <c r="AM56" s="646" t="str">
        <f t="shared" si="24"/>
        <v/>
      </c>
      <c r="AN56" s="646" t="str">
        <f t="shared" si="17"/>
        <v/>
      </c>
      <c r="AO56" s="647" t="str">
        <f t="shared" si="18"/>
        <v/>
      </c>
      <c r="AP56" s="647" t="str">
        <f t="shared" si="8"/>
        <v/>
      </c>
      <c r="AQ56" s="647" t="str">
        <f t="shared" si="25"/>
        <v/>
      </c>
      <c r="AR56" s="647" t="str">
        <f t="shared" si="26"/>
        <v/>
      </c>
      <c r="AS56" s="647" t="str">
        <f t="shared" si="27"/>
        <v/>
      </c>
      <c r="AT56" s="647" t="str">
        <f t="shared" si="12"/>
        <v/>
      </c>
      <c r="AU56" s="647" t="str">
        <f t="shared" si="28"/>
        <v/>
      </c>
      <c r="AV56" s="647" t="str">
        <f t="shared" si="29"/>
        <v/>
      </c>
      <c r="AW56" s="647" t="str">
        <f t="shared" si="30"/>
        <v/>
      </c>
      <c r="AX56" s="647" t="str">
        <f t="shared" si="31"/>
        <v/>
      </c>
    </row>
    <row r="57" spans="3:50" s="5" customFormat="1" ht="28.15" hidden="1" customHeight="1" outlineLevel="1">
      <c r="C57" s="649">
        <v>41</v>
      </c>
      <c r="D57" s="1865"/>
      <c r="E57" s="1866"/>
      <c r="F57" s="1866"/>
      <c r="G57" s="1866"/>
      <c r="H57" s="1866"/>
      <c r="I57" s="1866"/>
      <c r="J57" s="1866"/>
      <c r="K57" s="704"/>
      <c r="L57" s="1055"/>
      <c r="M57" s="705"/>
      <c r="N57" s="257"/>
      <c r="O57" s="1042"/>
      <c r="P57" s="1041"/>
      <c r="Q57" s="256"/>
      <c r="R57" s="267"/>
      <c r="S57" s="256"/>
      <c r="T57" s="256"/>
      <c r="U57" s="256"/>
      <c r="V57" s="256"/>
      <c r="W57" s="254"/>
      <c r="X57" s="703"/>
      <c r="Y57" s="125"/>
      <c r="Z57" s="431"/>
      <c r="AA57" s="499"/>
      <c r="AB57" s="741"/>
      <c r="AC57" s="51"/>
      <c r="AD57" s="51"/>
      <c r="AE57" s="645" t="str">
        <f t="shared" si="20"/>
        <v/>
      </c>
      <c r="AF57" s="1037" t="str">
        <f t="shared" si="21"/>
        <v/>
      </c>
      <c r="AG57" s="1037" t="str">
        <f t="shared" si="22"/>
        <v/>
      </c>
      <c r="AH57" s="1037" t="str">
        <f>IF(AE57="","",VLOOKUP(AE57,リスト!BI:BJ,2,0))</f>
        <v/>
      </c>
      <c r="AI57" s="1037" t="str">
        <f t="shared" si="19"/>
        <v/>
      </c>
      <c r="AJ57" s="1037" t="str">
        <f>IF(AI57="","",VLOOKUP(AI57,リスト!BW:BX,2,0))</f>
        <v/>
      </c>
      <c r="AK57" s="1037" t="str">
        <f t="shared" si="5"/>
        <v/>
      </c>
      <c r="AL57" s="685" t="str">
        <f t="shared" si="23"/>
        <v/>
      </c>
      <c r="AM57" s="646" t="str">
        <f t="shared" si="24"/>
        <v/>
      </c>
      <c r="AN57" s="646" t="str">
        <f t="shared" si="17"/>
        <v/>
      </c>
      <c r="AO57" s="647" t="str">
        <f t="shared" si="18"/>
        <v/>
      </c>
      <c r="AP57" s="647" t="str">
        <f t="shared" si="8"/>
        <v/>
      </c>
      <c r="AQ57" s="647" t="str">
        <f t="shared" si="25"/>
        <v/>
      </c>
      <c r="AR57" s="647" t="str">
        <f t="shared" si="26"/>
        <v/>
      </c>
      <c r="AS57" s="647" t="str">
        <f t="shared" si="27"/>
        <v/>
      </c>
      <c r="AT57" s="647" t="str">
        <f t="shared" si="12"/>
        <v/>
      </c>
      <c r="AU57" s="647" t="str">
        <f t="shared" si="28"/>
        <v/>
      </c>
      <c r="AV57" s="647" t="str">
        <f t="shared" si="29"/>
        <v/>
      </c>
      <c r="AW57" s="647" t="str">
        <f t="shared" si="30"/>
        <v/>
      </c>
      <c r="AX57" s="647" t="str">
        <f t="shared" si="31"/>
        <v/>
      </c>
    </row>
    <row r="58" spans="3:50" s="5" customFormat="1" ht="28.15" hidden="1" customHeight="1" outlineLevel="1">
      <c r="C58" s="649">
        <v>42</v>
      </c>
      <c r="D58" s="1855"/>
      <c r="E58" s="1856"/>
      <c r="F58" s="1856"/>
      <c r="G58" s="1856"/>
      <c r="H58" s="1856"/>
      <c r="I58" s="1856"/>
      <c r="J58" s="1856"/>
      <c r="K58" s="702"/>
      <c r="L58" s="1054"/>
      <c r="M58" s="705"/>
      <c r="N58" s="255"/>
      <c r="O58" s="1040"/>
      <c r="P58" s="1041"/>
      <c r="Q58" s="256"/>
      <c r="R58" s="267"/>
      <c r="S58" s="256"/>
      <c r="T58" s="256"/>
      <c r="U58" s="256"/>
      <c r="V58" s="256"/>
      <c r="W58" s="254"/>
      <c r="X58" s="703"/>
      <c r="Y58" s="125"/>
      <c r="Z58" s="431"/>
      <c r="AA58" s="499"/>
      <c r="AB58" s="741"/>
      <c r="AC58" s="51"/>
      <c r="AD58" s="51"/>
      <c r="AE58" s="645" t="str">
        <f t="shared" si="20"/>
        <v/>
      </c>
      <c r="AF58" s="1037" t="str">
        <f t="shared" si="21"/>
        <v/>
      </c>
      <c r="AG58" s="1037" t="str">
        <f t="shared" si="22"/>
        <v/>
      </c>
      <c r="AH58" s="1037" t="str">
        <f>IF(AE58="","",VLOOKUP(AE58,リスト!BI:BJ,2,0))</f>
        <v/>
      </c>
      <c r="AI58" s="1037" t="str">
        <f t="shared" si="19"/>
        <v/>
      </c>
      <c r="AJ58" s="1037" t="str">
        <f>IF(AI58="","",VLOOKUP(AI58,リスト!BW:BX,2,0))</f>
        <v/>
      </c>
      <c r="AK58" s="1037" t="str">
        <f t="shared" si="5"/>
        <v/>
      </c>
      <c r="AL58" s="685" t="str">
        <f t="shared" si="23"/>
        <v/>
      </c>
      <c r="AM58" s="646" t="str">
        <f t="shared" si="24"/>
        <v/>
      </c>
      <c r="AN58" s="646" t="str">
        <f t="shared" si="17"/>
        <v/>
      </c>
      <c r="AO58" s="647" t="str">
        <f t="shared" si="18"/>
        <v/>
      </c>
      <c r="AP58" s="647" t="str">
        <f t="shared" si="8"/>
        <v/>
      </c>
      <c r="AQ58" s="647" t="str">
        <f t="shared" si="25"/>
        <v/>
      </c>
      <c r="AR58" s="647" t="str">
        <f t="shared" si="26"/>
        <v/>
      </c>
      <c r="AS58" s="647" t="str">
        <f t="shared" si="27"/>
        <v/>
      </c>
      <c r="AT58" s="647" t="str">
        <f t="shared" si="12"/>
        <v/>
      </c>
      <c r="AU58" s="647" t="str">
        <f t="shared" si="28"/>
        <v/>
      </c>
      <c r="AV58" s="647" t="str">
        <f t="shared" si="29"/>
        <v/>
      </c>
      <c r="AW58" s="647" t="str">
        <f t="shared" si="30"/>
        <v/>
      </c>
      <c r="AX58" s="647" t="str">
        <f t="shared" si="31"/>
        <v/>
      </c>
    </row>
    <row r="59" spans="3:50" s="5" customFormat="1" ht="28.15" hidden="1" customHeight="1" outlineLevel="1">
      <c r="C59" s="649">
        <v>43</v>
      </c>
      <c r="D59" s="1865"/>
      <c r="E59" s="1866"/>
      <c r="F59" s="1866"/>
      <c r="G59" s="1866"/>
      <c r="H59" s="1866"/>
      <c r="I59" s="1866"/>
      <c r="J59" s="1866"/>
      <c r="K59" s="704"/>
      <c r="L59" s="1055"/>
      <c r="M59" s="705"/>
      <c r="N59" s="257"/>
      <c r="O59" s="1042"/>
      <c r="P59" s="1041"/>
      <c r="Q59" s="256"/>
      <c r="R59" s="267"/>
      <c r="S59" s="256"/>
      <c r="T59" s="256"/>
      <c r="U59" s="256"/>
      <c r="V59" s="256"/>
      <c r="W59" s="254"/>
      <c r="X59" s="703"/>
      <c r="Y59" s="125"/>
      <c r="Z59" s="431"/>
      <c r="AA59" s="499"/>
      <c r="AB59" s="741"/>
      <c r="AC59" s="51"/>
      <c r="AD59" s="51"/>
      <c r="AE59" s="645" t="str">
        <f t="shared" si="20"/>
        <v/>
      </c>
      <c r="AF59" s="1037" t="str">
        <f t="shared" si="21"/>
        <v/>
      </c>
      <c r="AG59" s="1037" t="str">
        <f t="shared" si="22"/>
        <v/>
      </c>
      <c r="AH59" s="1037" t="str">
        <f>IF(AE59="","",VLOOKUP(AE59,リスト!BI:BJ,2,0))</f>
        <v/>
      </c>
      <c r="AI59" s="1037" t="str">
        <f t="shared" si="19"/>
        <v/>
      </c>
      <c r="AJ59" s="1037" t="str">
        <f>IF(AI59="","",VLOOKUP(AI59,リスト!BW:BX,2,0))</f>
        <v/>
      </c>
      <c r="AK59" s="1037" t="str">
        <f t="shared" si="5"/>
        <v/>
      </c>
      <c r="AL59" s="685" t="str">
        <f t="shared" si="23"/>
        <v/>
      </c>
      <c r="AM59" s="646" t="str">
        <f t="shared" si="24"/>
        <v/>
      </c>
      <c r="AN59" s="646" t="str">
        <f t="shared" si="17"/>
        <v/>
      </c>
      <c r="AO59" s="647" t="str">
        <f t="shared" si="18"/>
        <v/>
      </c>
      <c r="AP59" s="647" t="str">
        <f t="shared" si="8"/>
        <v/>
      </c>
      <c r="AQ59" s="647" t="str">
        <f t="shared" si="25"/>
        <v/>
      </c>
      <c r="AR59" s="647" t="str">
        <f t="shared" si="26"/>
        <v/>
      </c>
      <c r="AS59" s="647" t="str">
        <f t="shared" si="27"/>
        <v/>
      </c>
      <c r="AT59" s="647" t="str">
        <f t="shared" si="12"/>
        <v/>
      </c>
      <c r="AU59" s="647" t="str">
        <f t="shared" si="28"/>
        <v/>
      </c>
      <c r="AV59" s="647" t="str">
        <f t="shared" si="29"/>
        <v/>
      </c>
      <c r="AW59" s="647" t="str">
        <f t="shared" si="30"/>
        <v/>
      </c>
      <c r="AX59" s="647" t="str">
        <f t="shared" si="31"/>
        <v/>
      </c>
    </row>
    <row r="60" spans="3:50" s="5" customFormat="1" ht="28.15" hidden="1" customHeight="1" outlineLevel="1">
      <c r="C60" s="649">
        <v>44</v>
      </c>
      <c r="D60" s="1855"/>
      <c r="E60" s="1856"/>
      <c r="F60" s="1856"/>
      <c r="G60" s="1856"/>
      <c r="H60" s="1856"/>
      <c r="I60" s="1856"/>
      <c r="J60" s="1856"/>
      <c r="K60" s="702"/>
      <c r="L60" s="1054"/>
      <c r="M60" s="705"/>
      <c r="N60" s="255"/>
      <c r="O60" s="1040"/>
      <c r="P60" s="1041"/>
      <c r="Q60" s="256"/>
      <c r="R60" s="267"/>
      <c r="S60" s="256"/>
      <c r="T60" s="256"/>
      <c r="U60" s="256"/>
      <c r="V60" s="256"/>
      <c r="W60" s="254"/>
      <c r="X60" s="703"/>
      <c r="Y60" s="125"/>
      <c r="Z60" s="431"/>
      <c r="AA60" s="499"/>
      <c r="AB60" s="741"/>
      <c r="AC60" s="51"/>
      <c r="AD60" s="51"/>
      <c r="AE60" s="645" t="str">
        <f t="shared" si="20"/>
        <v/>
      </c>
      <c r="AF60" s="1037" t="str">
        <f t="shared" si="21"/>
        <v/>
      </c>
      <c r="AG60" s="1037" t="str">
        <f t="shared" si="22"/>
        <v/>
      </c>
      <c r="AH60" s="1037" t="str">
        <f>IF(AE60="","",VLOOKUP(AE60,リスト!BI:BJ,2,0))</f>
        <v/>
      </c>
      <c r="AI60" s="1037" t="str">
        <f t="shared" si="19"/>
        <v/>
      </c>
      <c r="AJ60" s="1037" t="str">
        <f>IF(AI60="","",VLOOKUP(AI60,リスト!BW:BX,2,0))</f>
        <v/>
      </c>
      <c r="AK60" s="1037" t="str">
        <f t="shared" si="5"/>
        <v/>
      </c>
      <c r="AL60" s="685" t="str">
        <f t="shared" si="23"/>
        <v/>
      </c>
      <c r="AM60" s="646" t="str">
        <f t="shared" si="24"/>
        <v/>
      </c>
      <c r="AN60" s="646" t="str">
        <f t="shared" si="17"/>
        <v/>
      </c>
      <c r="AO60" s="647" t="str">
        <f t="shared" si="18"/>
        <v/>
      </c>
      <c r="AP60" s="647" t="str">
        <f t="shared" si="8"/>
        <v/>
      </c>
      <c r="AQ60" s="647" t="str">
        <f t="shared" si="25"/>
        <v/>
      </c>
      <c r="AR60" s="647" t="str">
        <f t="shared" si="26"/>
        <v/>
      </c>
      <c r="AS60" s="647" t="str">
        <f t="shared" si="27"/>
        <v/>
      </c>
      <c r="AT60" s="647" t="str">
        <f t="shared" si="12"/>
        <v/>
      </c>
      <c r="AU60" s="647" t="str">
        <f t="shared" si="28"/>
        <v/>
      </c>
      <c r="AV60" s="647" t="str">
        <f t="shared" si="29"/>
        <v/>
      </c>
      <c r="AW60" s="647" t="str">
        <f t="shared" si="30"/>
        <v/>
      </c>
      <c r="AX60" s="647" t="str">
        <f t="shared" si="31"/>
        <v/>
      </c>
    </row>
    <row r="61" spans="3:50" s="5" customFormat="1" ht="28.15" hidden="1" customHeight="1" outlineLevel="1">
      <c r="C61" s="649">
        <v>45</v>
      </c>
      <c r="D61" s="1865"/>
      <c r="E61" s="1866"/>
      <c r="F61" s="1866"/>
      <c r="G61" s="1866"/>
      <c r="H61" s="1866"/>
      <c r="I61" s="1866"/>
      <c r="J61" s="1866"/>
      <c r="K61" s="704"/>
      <c r="L61" s="1055"/>
      <c r="M61" s="705"/>
      <c r="N61" s="255"/>
      <c r="O61" s="1042"/>
      <c r="P61" s="1041"/>
      <c r="Q61" s="256"/>
      <c r="R61" s="267"/>
      <c r="S61" s="256"/>
      <c r="T61" s="256"/>
      <c r="U61" s="256"/>
      <c r="V61" s="256"/>
      <c r="W61" s="254"/>
      <c r="X61" s="703"/>
      <c r="Y61" s="125"/>
      <c r="Z61" s="431"/>
      <c r="AA61" s="499"/>
      <c r="AB61" s="741"/>
      <c r="AC61" s="51"/>
      <c r="AD61" s="51"/>
      <c r="AE61" s="645" t="str">
        <f t="shared" si="20"/>
        <v/>
      </c>
      <c r="AF61" s="1037" t="str">
        <f t="shared" si="21"/>
        <v/>
      </c>
      <c r="AG61" s="1037" t="str">
        <f t="shared" si="22"/>
        <v/>
      </c>
      <c r="AH61" s="1037" t="str">
        <f>IF(AE61="","",VLOOKUP(AE61,リスト!BI:BJ,2,0))</f>
        <v/>
      </c>
      <c r="AI61" s="1037" t="str">
        <f t="shared" si="19"/>
        <v/>
      </c>
      <c r="AJ61" s="1037" t="str">
        <f>IF(AI61="","",VLOOKUP(AI61,リスト!BW:BX,2,0))</f>
        <v/>
      </c>
      <c r="AK61" s="1037" t="str">
        <f t="shared" si="5"/>
        <v/>
      </c>
      <c r="AL61" s="685" t="str">
        <f t="shared" si="23"/>
        <v/>
      </c>
      <c r="AM61" s="646" t="str">
        <f t="shared" si="24"/>
        <v/>
      </c>
      <c r="AN61" s="646" t="str">
        <f t="shared" si="17"/>
        <v/>
      </c>
      <c r="AO61" s="647" t="str">
        <f t="shared" si="18"/>
        <v/>
      </c>
      <c r="AP61" s="647" t="str">
        <f t="shared" si="8"/>
        <v/>
      </c>
      <c r="AQ61" s="647" t="str">
        <f t="shared" si="25"/>
        <v/>
      </c>
      <c r="AR61" s="647" t="str">
        <f t="shared" si="26"/>
        <v/>
      </c>
      <c r="AS61" s="647" t="str">
        <f t="shared" si="27"/>
        <v/>
      </c>
      <c r="AT61" s="647" t="str">
        <f t="shared" si="12"/>
        <v/>
      </c>
      <c r="AU61" s="647" t="str">
        <f t="shared" si="28"/>
        <v/>
      </c>
      <c r="AV61" s="647" t="str">
        <f t="shared" si="29"/>
        <v/>
      </c>
      <c r="AW61" s="647" t="str">
        <f t="shared" si="30"/>
        <v/>
      </c>
      <c r="AX61" s="647" t="str">
        <f t="shared" si="31"/>
        <v/>
      </c>
    </row>
    <row r="62" spans="3:50" s="5" customFormat="1" ht="28.15" hidden="1" customHeight="1" outlineLevel="1">
      <c r="C62" s="649">
        <v>46</v>
      </c>
      <c r="D62" s="1855"/>
      <c r="E62" s="1856"/>
      <c r="F62" s="1856"/>
      <c r="G62" s="1856"/>
      <c r="H62" s="1856"/>
      <c r="I62" s="1856"/>
      <c r="J62" s="1856"/>
      <c r="K62" s="702"/>
      <c r="L62" s="1054"/>
      <c r="M62" s="705"/>
      <c r="N62" s="255"/>
      <c r="O62" s="1040"/>
      <c r="P62" s="1041"/>
      <c r="Q62" s="256"/>
      <c r="R62" s="267"/>
      <c r="S62" s="256"/>
      <c r="T62" s="256"/>
      <c r="U62" s="256"/>
      <c r="V62" s="256"/>
      <c r="W62" s="254"/>
      <c r="X62" s="703"/>
      <c r="Y62" s="125"/>
      <c r="Z62" s="431"/>
      <c r="AA62" s="499"/>
      <c r="AB62" s="741"/>
      <c r="AC62" s="51"/>
      <c r="AD62" s="51"/>
      <c r="AE62" s="645" t="str">
        <f t="shared" si="20"/>
        <v/>
      </c>
      <c r="AF62" s="1037" t="str">
        <f t="shared" si="21"/>
        <v/>
      </c>
      <c r="AG62" s="1037" t="str">
        <f t="shared" si="22"/>
        <v/>
      </c>
      <c r="AH62" s="1037" t="str">
        <f>IF(AE62="","",VLOOKUP(AE62,リスト!BI:BJ,2,0))</f>
        <v/>
      </c>
      <c r="AI62" s="1037" t="str">
        <f t="shared" si="19"/>
        <v/>
      </c>
      <c r="AJ62" s="1037" t="str">
        <f>IF(AI62="","",VLOOKUP(AI62,リスト!BW:BX,2,0))</f>
        <v/>
      </c>
      <c r="AK62" s="1037" t="str">
        <f t="shared" si="5"/>
        <v/>
      </c>
      <c r="AL62" s="685" t="str">
        <f t="shared" si="23"/>
        <v/>
      </c>
      <c r="AM62" s="646" t="str">
        <f t="shared" si="24"/>
        <v/>
      </c>
      <c r="AN62" s="646" t="str">
        <f t="shared" si="17"/>
        <v/>
      </c>
      <c r="AO62" s="647" t="str">
        <f t="shared" si="18"/>
        <v/>
      </c>
      <c r="AP62" s="647" t="str">
        <f t="shared" si="8"/>
        <v/>
      </c>
      <c r="AQ62" s="647" t="str">
        <f t="shared" si="25"/>
        <v/>
      </c>
      <c r="AR62" s="647" t="str">
        <f t="shared" si="26"/>
        <v/>
      </c>
      <c r="AS62" s="647" t="str">
        <f t="shared" si="27"/>
        <v/>
      </c>
      <c r="AT62" s="647" t="str">
        <f t="shared" si="12"/>
        <v/>
      </c>
      <c r="AU62" s="647" t="str">
        <f t="shared" si="28"/>
        <v/>
      </c>
      <c r="AV62" s="647" t="str">
        <f t="shared" si="29"/>
        <v/>
      </c>
      <c r="AW62" s="647" t="str">
        <f t="shared" si="30"/>
        <v/>
      </c>
      <c r="AX62" s="647" t="str">
        <f t="shared" si="31"/>
        <v/>
      </c>
    </row>
    <row r="63" spans="3:50" s="5" customFormat="1" ht="28.15" hidden="1" customHeight="1" outlineLevel="1">
      <c r="C63" s="649">
        <v>47</v>
      </c>
      <c r="D63" s="1865"/>
      <c r="E63" s="1866"/>
      <c r="F63" s="1866"/>
      <c r="G63" s="1866"/>
      <c r="H63" s="1866"/>
      <c r="I63" s="1866"/>
      <c r="J63" s="1866"/>
      <c r="K63" s="704"/>
      <c r="L63" s="1055"/>
      <c r="M63" s="705"/>
      <c r="N63" s="255"/>
      <c r="O63" s="1042"/>
      <c r="P63" s="1041"/>
      <c r="Q63" s="256"/>
      <c r="R63" s="267"/>
      <c r="S63" s="256"/>
      <c r="T63" s="256"/>
      <c r="U63" s="256"/>
      <c r="V63" s="256"/>
      <c r="W63" s="254"/>
      <c r="X63" s="703"/>
      <c r="Y63" s="125"/>
      <c r="Z63" s="431"/>
      <c r="AA63" s="499"/>
      <c r="AB63" s="741"/>
      <c r="AC63" s="51"/>
      <c r="AD63" s="51"/>
      <c r="AE63" s="645" t="str">
        <f t="shared" si="20"/>
        <v/>
      </c>
      <c r="AF63" s="1037" t="str">
        <f t="shared" si="21"/>
        <v/>
      </c>
      <c r="AG63" s="1037" t="str">
        <f t="shared" si="22"/>
        <v/>
      </c>
      <c r="AH63" s="1037" t="str">
        <f>IF(AE63="","",VLOOKUP(AE63,リスト!BI:BJ,2,0))</f>
        <v/>
      </c>
      <c r="AI63" s="1037" t="str">
        <f t="shared" si="19"/>
        <v/>
      </c>
      <c r="AJ63" s="1037" t="str">
        <f>IF(AI63="","",VLOOKUP(AI63,リスト!BW:BX,2,0))</f>
        <v/>
      </c>
      <c r="AK63" s="1037" t="str">
        <f t="shared" si="5"/>
        <v/>
      </c>
      <c r="AL63" s="685" t="str">
        <f t="shared" si="23"/>
        <v/>
      </c>
      <c r="AM63" s="646" t="str">
        <f t="shared" si="24"/>
        <v/>
      </c>
      <c r="AN63" s="646" t="str">
        <f t="shared" si="17"/>
        <v/>
      </c>
      <c r="AO63" s="647" t="str">
        <f t="shared" si="18"/>
        <v/>
      </c>
      <c r="AP63" s="647" t="str">
        <f t="shared" si="8"/>
        <v/>
      </c>
      <c r="AQ63" s="647" t="str">
        <f t="shared" si="25"/>
        <v/>
      </c>
      <c r="AR63" s="647" t="str">
        <f t="shared" si="26"/>
        <v/>
      </c>
      <c r="AS63" s="647" t="str">
        <f t="shared" si="27"/>
        <v/>
      </c>
      <c r="AT63" s="647" t="str">
        <f t="shared" si="12"/>
        <v/>
      </c>
      <c r="AU63" s="647" t="str">
        <f t="shared" si="28"/>
        <v/>
      </c>
      <c r="AV63" s="647" t="str">
        <f t="shared" si="29"/>
        <v/>
      </c>
      <c r="AW63" s="647" t="str">
        <f t="shared" si="30"/>
        <v/>
      </c>
      <c r="AX63" s="647" t="str">
        <f t="shared" si="31"/>
        <v/>
      </c>
    </row>
    <row r="64" spans="3:50" s="5" customFormat="1" ht="28.15" hidden="1" customHeight="1" outlineLevel="1">
      <c r="C64" s="649">
        <v>48</v>
      </c>
      <c r="D64" s="1855"/>
      <c r="E64" s="1856"/>
      <c r="F64" s="1856"/>
      <c r="G64" s="1856"/>
      <c r="H64" s="1856"/>
      <c r="I64" s="1856"/>
      <c r="J64" s="1856"/>
      <c r="K64" s="702"/>
      <c r="L64" s="1054"/>
      <c r="M64" s="705"/>
      <c r="N64" s="255"/>
      <c r="O64" s="1040"/>
      <c r="P64" s="1041"/>
      <c r="Q64" s="256"/>
      <c r="R64" s="267"/>
      <c r="S64" s="256"/>
      <c r="T64" s="256"/>
      <c r="U64" s="256"/>
      <c r="V64" s="256"/>
      <c r="W64" s="254"/>
      <c r="X64" s="703"/>
      <c r="Y64" s="125"/>
      <c r="Z64" s="431"/>
      <c r="AA64" s="499"/>
      <c r="AB64" s="741"/>
      <c r="AC64" s="51"/>
      <c r="AD64" s="51"/>
      <c r="AE64" s="645" t="str">
        <f t="shared" si="20"/>
        <v/>
      </c>
      <c r="AF64" s="1037" t="str">
        <f t="shared" si="21"/>
        <v/>
      </c>
      <c r="AG64" s="1037" t="str">
        <f t="shared" si="22"/>
        <v/>
      </c>
      <c r="AH64" s="1037" t="str">
        <f>IF(AE64="","",VLOOKUP(AE64,リスト!BI:BJ,2,0))</f>
        <v/>
      </c>
      <c r="AI64" s="1037" t="str">
        <f t="shared" si="19"/>
        <v/>
      </c>
      <c r="AJ64" s="1037" t="str">
        <f>IF(AI64="","",VLOOKUP(AI64,リスト!BW:BX,2,0))</f>
        <v/>
      </c>
      <c r="AK64" s="1037" t="str">
        <f t="shared" si="5"/>
        <v/>
      </c>
      <c r="AL64" s="685" t="str">
        <f t="shared" si="23"/>
        <v/>
      </c>
      <c r="AM64" s="646" t="str">
        <f t="shared" si="24"/>
        <v/>
      </c>
      <c r="AN64" s="646" t="str">
        <f t="shared" si="17"/>
        <v/>
      </c>
      <c r="AO64" s="647" t="str">
        <f t="shared" si="18"/>
        <v/>
      </c>
      <c r="AP64" s="647" t="str">
        <f t="shared" si="8"/>
        <v/>
      </c>
      <c r="AQ64" s="647" t="str">
        <f t="shared" si="25"/>
        <v/>
      </c>
      <c r="AR64" s="647" t="str">
        <f t="shared" si="26"/>
        <v/>
      </c>
      <c r="AS64" s="647" t="str">
        <f t="shared" si="27"/>
        <v/>
      </c>
      <c r="AT64" s="647" t="str">
        <f t="shared" si="12"/>
        <v/>
      </c>
      <c r="AU64" s="647" t="str">
        <f t="shared" si="28"/>
        <v/>
      </c>
      <c r="AV64" s="647" t="str">
        <f t="shared" si="29"/>
        <v/>
      </c>
      <c r="AW64" s="647" t="str">
        <f t="shared" si="30"/>
        <v/>
      </c>
      <c r="AX64" s="647" t="str">
        <f t="shared" si="31"/>
        <v/>
      </c>
    </row>
    <row r="65" spans="3:50" s="5" customFormat="1" ht="28.15" hidden="1" customHeight="1" outlineLevel="1">
      <c r="C65" s="649">
        <v>49</v>
      </c>
      <c r="D65" s="1865"/>
      <c r="E65" s="1866"/>
      <c r="F65" s="1866"/>
      <c r="G65" s="1866"/>
      <c r="H65" s="1866"/>
      <c r="I65" s="1866"/>
      <c r="J65" s="1866"/>
      <c r="K65" s="704"/>
      <c r="L65" s="1055"/>
      <c r="M65" s="705"/>
      <c r="N65" s="255"/>
      <c r="O65" s="1042"/>
      <c r="P65" s="1043"/>
      <c r="Q65" s="256"/>
      <c r="R65" s="267"/>
      <c r="S65" s="256"/>
      <c r="T65" s="256"/>
      <c r="U65" s="256"/>
      <c r="V65" s="256"/>
      <c r="W65" s="254"/>
      <c r="X65" s="703"/>
      <c r="Y65" s="125"/>
      <c r="Z65" s="431"/>
      <c r="AA65" s="499"/>
      <c r="AB65" s="741"/>
      <c r="AC65" s="51"/>
      <c r="AD65" s="51"/>
      <c r="AE65" s="645" t="str">
        <f t="shared" si="20"/>
        <v/>
      </c>
      <c r="AF65" s="1037" t="str">
        <f t="shared" si="21"/>
        <v/>
      </c>
      <c r="AG65" s="1037" t="str">
        <f t="shared" si="22"/>
        <v/>
      </c>
      <c r="AH65" s="1037" t="str">
        <f>IF(AE65="","",VLOOKUP(AE65,リスト!BI:BJ,2,0))</f>
        <v/>
      </c>
      <c r="AI65" s="1037" t="str">
        <f t="shared" si="19"/>
        <v/>
      </c>
      <c r="AJ65" s="1037" t="str">
        <f>IF(AI65="","",VLOOKUP(AI65,リスト!BW:BX,2,0))</f>
        <v/>
      </c>
      <c r="AK65" s="1037" t="str">
        <f t="shared" si="5"/>
        <v/>
      </c>
      <c r="AL65" s="685" t="str">
        <f t="shared" si="23"/>
        <v/>
      </c>
      <c r="AM65" s="646" t="str">
        <f t="shared" si="24"/>
        <v/>
      </c>
      <c r="AN65" s="646" t="str">
        <f t="shared" si="17"/>
        <v/>
      </c>
      <c r="AO65" s="647" t="str">
        <f t="shared" si="18"/>
        <v/>
      </c>
      <c r="AP65" s="647" t="str">
        <f t="shared" si="8"/>
        <v/>
      </c>
      <c r="AQ65" s="647" t="str">
        <f t="shared" si="25"/>
        <v/>
      </c>
      <c r="AR65" s="647" t="str">
        <f t="shared" si="26"/>
        <v/>
      </c>
      <c r="AS65" s="647" t="str">
        <f t="shared" si="27"/>
        <v/>
      </c>
      <c r="AT65" s="647" t="str">
        <f t="shared" si="12"/>
        <v/>
      </c>
      <c r="AU65" s="647" t="str">
        <f t="shared" si="28"/>
        <v/>
      </c>
      <c r="AV65" s="647" t="str">
        <f t="shared" si="29"/>
        <v/>
      </c>
      <c r="AW65" s="647" t="str">
        <f t="shared" si="30"/>
        <v/>
      </c>
      <c r="AX65" s="647" t="str">
        <f t="shared" si="31"/>
        <v/>
      </c>
    </row>
    <row r="66" spans="3:50" s="5" customFormat="1" ht="28.15" hidden="1" customHeight="1" outlineLevel="1">
      <c r="C66" s="649">
        <v>50</v>
      </c>
      <c r="D66" s="1855"/>
      <c r="E66" s="1856"/>
      <c r="F66" s="1856"/>
      <c r="G66" s="1856"/>
      <c r="H66" s="1856"/>
      <c r="I66" s="1856"/>
      <c r="J66" s="1856"/>
      <c r="K66" s="702"/>
      <c r="L66" s="1054"/>
      <c r="M66" s="705"/>
      <c r="N66" s="255"/>
      <c r="O66" s="1040"/>
      <c r="P66" s="1044"/>
      <c r="Q66" s="256"/>
      <c r="R66" s="267"/>
      <c r="S66" s="256"/>
      <c r="T66" s="256"/>
      <c r="U66" s="256"/>
      <c r="V66" s="256"/>
      <c r="W66" s="254"/>
      <c r="X66" s="703"/>
      <c r="Y66" s="125"/>
      <c r="Z66" s="431"/>
      <c r="AA66" s="499"/>
      <c r="AB66" s="741"/>
      <c r="AC66" s="51"/>
      <c r="AD66" s="51"/>
      <c r="AE66" s="645" t="str">
        <f t="shared" si="20"/>
        <v/>
      </c>
      <c r="AF66" s="1037" t="str">
        <f t="shared" si="21"/>
        <v/>
      </c>
      <c r="AG66" s="1037" t="str">
        <f t="shared" si="22"/>
        <v/>
      </c>
      <c r="AH66" s="1037" t="str">
        <f>IF(AE66="","",VLOOKUP(AE66,リスト!BI:BJ,2,0))</f>
        <v/>
      </c>
      <c r="AI66" s="1037" t="str">
        <f t="shared" si="19"/>
        <v/>
      </c>
      <c r="AJ66" s="1037" t="str">
        <f>IF(AI66="","",VLOOKUP(AI66,リスト!BW:BX,2,0))</f>
        <v/>
      </c>
      <c r="AK66" s="1037" t="str">
        <f t="shared" si="5"/>
        <v/>
      </c>
      <c r="AL66" s="685" t="str">
        <f t="shared" si="23"/>
        <v/>
      </c>
      <c r="AM66" s="646" t="str">
        <f t="shared" si="24"/>
        <v/>
      </c>
      <c r="AN66" s="646" t="str">
        <f t="shared" si="17"/>
        <v/>
      </c>
      <c r="AO66" s="647" t="str">
        <f t="shared" si="18"/>
        <v/>
      </c>
      <c r="AP66" s="647" t="str">
        <f t="shared" si="8"/>
        <v/>
      </c>
      <c r="AQ66" s="647" t="str">
        <f t="shared" si="25"/>
        <v/>
      </c>
      <c r="AR66" s="647" t="str">
        <f t="shared" si="26"/>
        <v/>
      </c>
      <c r="AS66" s="647" t="str">
        <f t="shared" si="27"/>
        <v/>
      </c>
      <c r="AT66" s="647" t="str">
        <f t="shared" si="12"/>
        <v/>
      </c>
      <c r="AU66" s="647" t="str">
        <f t="shared" si="28"/>
        <v/>
      </c>
      <c r="AV66" s="647" t="str">
        <f t="shared" si="29"/>
        <v/>
      </c>
      <c r="AW66" s="647" t="str">
        <f t="shared" si="30"/>
        <v/>
      </c>
      <c r="AX66" s="647" t="str">
        <f t="shared" si="31"/>
        <v/>
      </c>
    </row>
    <row r="67" spans="3:50" s="5" customFormat="1" ht="28.15" hidden="1" customHeight="1" outlineLevel="1">
      <c r="C67" s="649">
        <v>51</v>
      </c>
      <c r="D67" s="1855"/>
      <c r="E67" s="1856"/>
      <c r="F67" s="1856"/>
      <c r="G67" s="1856"/>
      <c r="H67" s="1856"/>
      <c r="I67" s="1856"/>
      <c r="J67" s="1856"/>
      <c r="K67" s="702"/>
      <c r="L67" s="1054"/>
      <c r="M67" s="705"/>
      <c r="N67" s="255"/>
      <c r="O67" s="1040"/>
      <c r="P67" s="1044"/>
      <c r="Q67" s="256"/>
      <c r="R67" s="267"/>
      <c r="S67" s="256"/>
      <c r="T67" s="256"/>
      <c r="U67" s="256"/>
      <c r="V67" s="256"/>
      <c r="W67" s="254"/>
      <c r="X67" s="703"/>
      <c r="Y67" s="125"/>
      <c r="Z67" s="431"/>
      <c r="AA67" s="499"/>
      <c r="AB67" s="741"/>
      <c r="AC67" s="51"/>
      <c r="AD67" s="51"/>
      <c r="AE67" s="645" t="str">
        <f t="shared" si="20"/>
        <v/>
      </c>
      <c r="AF67" s="1037" t="str">
        <f t="shared" si="21"/>
        <v/>
      </c>
      <c r="AG67" s="1037" t="str">
        <f t="shared" si="22"/>
        <v/>
      </c>
      <c r="AH67" s="1037" t="str">
        <f>IF(AE67="","",VLOOKUP(AE67,リスト!BI:BJ,2,0))</f>
        <v/>
      </c>
      <c r="AI67" s="1037" t="str">
        <f t="shared" si="19"/>
        <v/>
      </c>
      <c r="AJ67" s="1037" t="str">
        <f>IF(AI67="","",VLOOKUP(AI67,リスト!BW:BX,2,0))</f>
        <v/>
      </c>
      <c r="AK67" s="1037" t="str">
        <f t="shared" si="5"/>
        <v/>
      </c>
      <c r="AL67" s="685" t="str">
        <f t="shared" si="23"/>
        <v/>
      </c>
      <c r="AM67" s="646" t="str">
        <f t="shared" si="24"/>
        <v/>
      </c>
      <c r="AN67" s="646" t="str">
        <f t="shared" si="17"/>
        <v/>
      </c>
      <c r="AO67" s="647" t="str">
        <f t="shared" si="18"/>
        <v/>
      </c>
      <c r="AP67" s="647" t="str">
        <f t="shared" si="8"/>
        <v/>
      </c>
      <c r="AQ67" s="647" t="str">
        <f t="shared" si="25"/>
        <v/>
      </c>
      <c r="AR67" s="647" t="str">
        <f t="shared" si="26"/>
        <v/>
      </c>
      <c r="AS67" s="647" t="str">
        <f t="shared" si="27"/>
        <v/>
      </c>
      <c r="AT67" s="647" t="str">
        <f t="shared" si="12"/>
        <v/>
      </c>
      <c r="AU67" s="647" t="str">
        <f t="shared" si="28"/>
        <v/>
      </c>
      <c r="AV67" s="647" t="str">
        <f t="shared" si="29"/>
        <v/>
      </c>
      <c r="AW67" s="647" t="str">
        <f t="shared" si="30"/>
        <v/>
      </c>
      <c r="AX67" s="647" t="str">
        <f t="shared" si="31"/>
        <v/>
      </c>
    </row>
    <row r="68" spans="3:50" s="5" customFormat="1" ht="28.15" hidden="1" customHeight="1" outlineLevel="1">
      <c r="C68" s="649">
        <v>52</v>
      </c>
      <c r="D68" s="1855"/>
      <c r="E68" s="1856"/>
      <c r="F68" s="1856"/>
      <c r="G68" s="1856"/>
      <c r="H68" s="1856"/>
      <c r="I68" s="1856"/>
      <c r="J68" s="1856"/>
      <c r="K68" s="702"/>
      <c r="L68" s="1054"/>
      <c r="M68" s="705"/>
      <c r="N68" s="257"/>
      <c r="O68" s="1040"/>
      <c r="P68" s="1044"/>
      <c r="Q68" s="256"/>
      <c r="R68" s="267"/>
      <c r="S68" s="256"/>
      <c r="T68" s="256"/>
      <c r="U68" s="256"/>
      <c r="V68" s="256"/>
      <c r="W68" s="254"/>
      <c r="X68" s="703"/>
      <c r="Y68" s="125"/>
      <c r="Z68" s="431"/>
      <c r="AA68" s="499"/>
      <c r="AB68" s="741"/>
      <c r="AC68" s="51"/>
      <c r="AD68" s="51"/>
      <c r="AE68" s="645" t="str">
        <f t="shared" si="20"/>
        <v/>
      </c>
      <c r="AF68" s="1037" t="str">
        <f t="shared" si="21"/>
        <v/>
      </c>
      <c r="AG68" s="1037" t="str">
        <f t="shared" si="22"/>
        <v/>
      </c>
      <c r="AH68" s="1037" t="str">
        <f>IF(AE68="","",VLOOKUP(AE68,リスト!BI:BJ,2,0))</f>
        <v/>
      </c>
      <c r="AI68" s="1037" t="str">
        <f t="shared" si="19"/>
        <v/>
      </c>
      <c r="AJ68" s="1037" t="str">
        <f>IF(AI68="","",VLOOKUP(AI68,リスト!BW:BX,2,0))</f>
        <v/>
      </c>
      <c r="AK68" s="1037" t="str">
        <f t="shared" si="5"/>
        <v/>
      </c>
      <c r="AL68" s="685" t="str">
        <f t="shared" si="23"/>
        <v/>
      </c>
      <c r="AM68" s="646" t="str">
        <f t="shared" si="24"/>
        <v/>
      </c>
      <c r="AN68" s="646" t="str">
        <f t="shared" si="17"/>
        <v/>
      </c>
      <c r="AO68" s="647" t="str">
        <f t="shared" si="18"/>
        <v/>
      </c>
      <c r="AP68" s="647" t="str">
        <f t="shared" si="8"/>
        <v/>
      </c>
      <c r="AQ68" s="647" t="str">
        <f t="shared" si="25"/>
        <v/>
      </c>
      <c r="AR68" s="647" t="str">
        <f t="shared" si="26"/>
        <v/>
      </c>
      <c r="AS68" s="647" t="str">
        <f t="shared" si="27"/>
        <v/>
      </c>
      <c r="AT68" s="647" t="str">
        <f t="shared" si="12"/>
        <v/>
      </c>
      <c r="AU68" s="647" t="str">
        <f t="shared" si="28"/>
        <v/>
      </c>
      <c r="AV68" s="647" t="str">
        <f t="shared" si="29"/>
        <v/>
      </c>
      <c r="AW68" s="647" t="str">
        <f t="shared" si="30"/>
        <v/>
      </c>
      <c r="AX68" s="647" t="str">
        <f t="shared" si="31"/>
        <v/>
      </c>
    </row>
    <row r="69" spans="3:50" s="5" customFormat="1" ht="28.15" hidden="1" customHeight="1" outlineLevel="1">
      <c r="C69" s="649">
        <v>53</v>
      </c>
      <c r="D69" s="1855"/>
      <c r="E69" s="1856"/>
      <c r="F69" s="1856"/>
      <c r="G69" s="1856"/>
      <c r="H69" s="1856"/>
      <c r="I69" s="1856"/>
      <c r="J69" s="1856"/>
      <c r="K69" s="702"/>
      <c r="L69" s="1054"/>
      <c r="M69" s="705"/>
      <c r="N69" s="255"/>
      <c r="O69" s="1040"/>
      <c r="P69" s="1044"/>
      <c r="Q69" s="256"/>
      <c r="R69" s="267"/>
      <c r="S69" s="256"/>
      <c r="T69" s="256"/>
      <c r="U69" s="256"/>
      <c r="V69" s="256"/>
      <c r="W69" s="254"/>
      <c r="X69" s="703"/>
      <c r="Y69" s="125"/>
      <c r="Z69" s="431"/>
      <c r="AA69" s="499"/>
      <c r="AB69" s="741"/>
      <c r="AC69" s="51"/>
      <c r="AD69" s="51"/>
      <c r="AE69" s="645" t="str">
        <f t="shared" si="20"/>
        <v/>
      </c>
      <c r="AF69" s="1037" t="str">
        <f t="shared" si="21"/>
        <v/>
      </c>
      <c r="AG69" s="1037" t="str">
        <f t="shared" si="22"/>
        <v/>
      </c>
      <c r="AH69" s="1037" t="str">
        <f>IF(AE69="","",VLOOKUP(AE69,リスト!BI:BJ,2,0))</f>
        <v/>
      </c>
      <c r="AI69" s="1037" t="str">
        <f t="shared" si="19"/>
        <v/>
      </c>
      <c r="AJ69" s="1037" t="str">
        <f>IF(AI69="","",VLOOKUP(AI69,リスト!BW:BX,2,0))</f>
        <v/>
      </c>
      <c r="AK69" s="1037" t="str">
        <f t="shared" si="5"/>
        <v/>
      </c>
      <c r="AL69" s="685" t="str">
        <f t="shared" si="23"/>
        <v/>
      </c>
      <c r="AM69" s="646" t="str">
        <f t="shared" si="24"/>
        <v/>
      </c>
      <c r="AN69" s="646" t="str">
        <f t="shared" si="17"/>
        <v/>
      </c>
      <c r="AO69" s="647" t="str">
        <f t="shared" si="18"/>
        <v/>
      </c>
      <c r="AP69" s="647" t="str">
        <f t="shared" si="8"/>
        <v/>
      </c>
      <c r="AQ69" s="647" t="str">
        <f t="shared" si="25"/>
        <v/>
      </c>
      <c r="AR69" s="647" t="str">
        <f t="shared" si="26"/>
        <v/>
      </c>
      <c r="AS69" s="647" t="str">
        <f t="shared" si="27"/>
        <v/>
      </c>
      <c r="AT69" s="647" t="str">
        <f t="shared" si="12"/>
        <v/>
      </c>
      <c r="AU69" s="647" t="str">
        <f t="shared" si="28"/>
        <v/>
      </c>
      <c r="AV69" s="647" t="str">
        <f t="shared" si="29"/>
        <v/>
      </c>
      <c r="AW69" s="647" t="str">
        <f t="shared" si="30"/>
        <v/>
      </c>
      <c r="AX69" s="647" t="str">
        <f t="shared" si="31"/>
        <v/>
      </c>
    </row>
    <row r="70" spans="3:50" s="5" customFormat="1" ht="28.15" hidden="1" customHeight="1" outlineLevel="1">
      <c r="C70" s="649">
        <v>54</v>
      </c>
      <c r="D70" s="1855"/>
      <c r="E70" s="1856"/>
      <c r="F70" s="1856"/>
      <c r="G70" s="1856"/>
      <c r="H70" s="1856"/>
      <c r="I70" s="1856"/>
      <c r="J70" s="1856"/>
      <c r="K70" s="702"/>
      <c r="L70" s="1054"/>
      <c r="M70" s="705"/>
      <c r="N70" s="257"/>
      <c r="O70" s="1040"/>
      <c r="P70" s="1044"/>
      <c r="Q70" s="256"/>
      <c r="R70" s="267"/>
      <c r="S70" s="256"/>
      <c r="T70" s="256"/>
      <c r="U70" s="256"/>
      <c r="V70" s="256"/>
      <c r="W70" s="254"/>
      <c r="X70" s="703"/>
      <c r="Y70" s="125"/>
      <c r="Z70" s="431"/>
      <c r="AA70" s="499"/>
      <c r="AB70" s="741"/>
      <c r="AC70" s="51"/>
      <c r="AD70" s="51"/>
      <c r="AE70" s="645" t="str">
        <f t="shared" si="20"/>
        <v/>
      </c>
      <c r="AF70" s="1037" t="str">
        <f t="shared" si="21"/>
        <v/>
      </c>
      <c r="AG70" s="1037" t="str">
        <f t="shared" si="22"/>
        <v/>
      </c>
      <c r="AH70" s="1037" t="str">
        <f>IF(AE70="","",VLOOKUP(AE70,リスト!BI:BJ,2,0))</f>
        <v/>
      </c>
      <c r="AI70" s="1037" t="str">
        <f t="shared" si="19"/>
        <v/>
      </c>
      <c r="AJ70" s="1037" t="str">
        <f>IF(AI70="","",VLOOKUP(AI70,リスト!BW:BX,2,0))</f>
        <v/>
      </c>
      <c r="AK70" s="1037" t="str">
        <f t="shared" si="5"/>
        <v/>
      </c>
      <c r="AL70" s="685" t="str">
        <f t="shared" si="23"/>
        <v/>
      </c>
      <c r="AM70" s="646" t="str">
        <f t="shared" si="24"/>
        <v/>
      </c>
      <c r="AN70" s="646" t="str">
        <f t="shared" si="17"/>
        <v/>
      </c>
      <c r="AO70" s="647" t="str">
        <f t="shared" si="18"/>
        <v/>
      </c>
      <c r="AP70" s="647" t="str">
        <f t="shared" si="8"/>
        <v/>
      </c>
      <c r="AQ70" s="647" t="str">
        <f t="shared" si="25"/>
        <v/>
      </c>
      <c r="AR70" s="647" t="str">
        <f t="shared" si="26"/>
        <v/>
      </c>
      <c r="AS70" s="647" t="str">
        <f t="shared" si="27"/>
        <v/>
      </c>
      <c r="AT70" s="647" t="str">
        <f t="shared" si="12"/>
        <v/>
      </c>
      <c r="AU70" s="647" t="str">
        <f t="shared" si="28"/>
        <v/>
      </c>
      <c r="AV70" s="647" t="str">
        <f t="shared" si="29"/>
        <v/>
      </c>
      <c r="AW70" s="647" t="str">
        <f t="shared" si="30"/>
        <v/>
      </c>
      <c r="AX70" s="647" t="str">
        <f t="shared" si="31"/>
        <v/>
      </c>
    </row>
    <row r="71" spans="3:50" s="5" customFormat="1" ht="28.15" hidden="1" customHeight="1" outlineLevel="1">
      <c r="C71" s="649">
        <v>55</v>
      </c>
      <c r="D71" s="1855"/>
      <c r="E71" s="1856"/>
      <c r="F71" s="1856"/>
      <c r="G71" s="1856"/>
      <c r="H71" s="1856"/>
      <c r="I71" s="1856"/>
      <c r="J71" s="1856"/>
      <c r="K71" s="702"/>
      <c r="L71" s="1054"/>
      <c r="M71" s="705"/>
      <c r="N71" s="255"/>
      <c r="O71" s="1040"/>
      <c r="P71" s="1044"/>
      <c r="Q71" s="256"/>
      <c r="R71" s="267"/>
      <c r="S71" s="256"/>
      <c r="T71" s="256"/>
      <c r="U71" s="256"/>
      <c r="V71" s="256"/>
      <c r="W71" s="254"/>
      <c r="X71" s="703"/>
      <c r="Y71" s="125"/>
      <c r="Z71" s="431"/>
      <c r="AA71" s="499"/>
      <c r="AB71" s="741"/>
      <c r="AC71" s="51"/>
      <c r="AD71" s="51"/>
      <c r="AE71" s="645" t="str">
        <f t="shared" si="20"/>
        <v/>
      </c>
      <c r="AF71" s="1037" t="str">
        <f t="shared" si="21"/>
        <v/>
      </c>
      <c r="AG71" s="1037" t="str">
        <f t="shared" si="22"/>
        <v/>
      </c>
      <c r="AH71" s="1037" t="str">
        <f>IF(AE71="","",VLOOKUP(AE71,リスト!BI:BJ,2,0))</f>
        <v/>
      </c>
      <c r="AI71" s="1037" t="str">
        <f t="shared" si="19"/>
        <v/>
      </c>
      <c r="AJ71" s="1037" t="str">
        <f>IF(AI71="","",VLOOKUP(AI71,リスト!BW:BX,2,0))</f>
        <v/>
      </c>
      <c r="AK71" s="1037" t="str">
        <f t="shared" si="5"/>
        <v/>
      </c>
      <c r="AL71" s="685" t="str">
        <f t="shared" si="23"/>
        <v/>
      </c>
      <c r="AM71" s="646" t="str">
        <f t="shared" si="24"/>
        <v/>
      </c>
      <c r="AN71" s="646" t="str">
        <f t="shared" si="17"/>
        <v/>
      </c>
      <c r="AO71" s="647" t="str">
        <f t="shared" si="18"/>
        <v/>
      </c>
      <c r="AP71" s="647" t="str">
        <f t="shared" si="8"/>
        <v/>
      </c>
      <c r="AQ71" s="647" t="str">
        <f t="shared" si="25"/>
        <v/>
      </c>
      <c r="AR71" s="647" t="str">
        <f t="shared" si="26"/>
        <v/>
      </c>
      <c r="AS71" s="647" t="str">
        <f t="shared" si="27"/>
        <v/>
      </c>
      <c r="AT71" s="647" t="str">
        <f t="shared" si="12"/>
        <v/>
      </c>
      <c r="AU71" s="647" t="str">
        <f t="shared" si="28"/>
        <v/>
      </c>
      <c r="AV71" s="647" t="str">
        <f t="shared" si="29"/>
        <v/>
      </c>
      <c r="AW71" s="647" t="str">
        <f t="shared" si="30"/>
        <v/>
      </c>
      <c r="AX71" s="647" t="str">
        <f t="shared" si="31"/>
        <v/>
      </c>
    </row>
    <row r="72" spans="3:50" s="5" customFormat="1" ht="28.15" hidden="1" customHeight="1" outlineLevel="1">
      <c r="C72" s="649">
        <v>56</v>
      </c>
      <c r="D72" s="1855"/>
      <c r="E72" s="1856"/>
      <c r="F72" s="1856"/>
      <c r="G72" s="1856"/>
      <c r="H72" s="1856"/>
      <c r="I72" s="1856"/>
      <c r="J72" s="1857"/>
      <c r="K72" s="702"/>
      <c r="L72" s="1054"/>
      <c r="M72" s="666"/>
      <c r="N72" s="266"/>
      <c r="O72" s="1040"/>
      <c r="P72" s="1041"/>
      <c r="Q72" s="267"/>
      <c r="R72" s="267"/>
      <c r="S72" s="267"/>
      <c r="T72" s="267"/>
      <c r="U72" s="267"/>
      <c r="V72" s="267"/>
      <c r="W72" s="254"/>
      <c r="X72" s="703"/>
      <c r="Y72" s="125"/>
      <c r="Z72" s="431"/>
      <c r="AA72" s="499"/>
      <c r="AB72" s="741"/>
      <c r="AC72" s="51"/>
      <c r="AD72" s="51"/>
      <c r="AE72" s="645" t="str">
        <f t="shared" si="20"/>
        <v/>
      </c>
      <c r="AF72" s="1037" t="str">
        <f t="shared" si="21"/>
        <v/>
      </c>
      <c r="AG72" s="1037" t="str">
        <f t="shared" si="22"/>
        <v/>
      </c>
      <c r="AH72" s="1037" t="str">
        <f>IF(AE72="","",VLOOKUP(AE72,リスト!BI:BJ,2,0))</f>
        <v/>
      </c>
      <c r="AI72" s="1037" t="str">
        <f t="shared" si="19"/>
        <v/>
      </c>
      <c r="AJ72" s="1037" t="str">
        <f>IF(AI72="","",VLOOKUP(AI72,リスト!BW:BX,2,0))</f>
        <v/>
      </c>
      <c r="AK72" s="1037" t="str">
        <f t="shared" si="5"/>
        <v/>
      </c>
      <c r="AL72" s="685" t="str">
        <f t="shared" si="23"/>
        <v/>
      </c>
      <c r="AM72" s="646" t="str">
        <f t="shared" si="24"/>
        <v/>
      </c>
      <c r="AN72" s="646" t="str">
        <f t="shared" si="17"/>
        <v/>
      </c>
      <c r="AO72" s="647" t="str">
        <f t="shared" si="18"/>
        <v/>
      </c>
      <c r="AP72" s="647" t="str">
        <f t="shared" si="8"/>
        <v/>
      </c>
      <c r="AQ72" s="647" t="str">
        <f t="shared" si="25"/>
        <v/>
      </c>
      <c r="AR72" s="647" t="str">
        <f t="shared" si="26"/>
        <v/>
      </c>
      <c r="AS72" s="647" t="str">
        <f t="shared" si="27"/>
        <v/>
      </c>
      <c r="AT72" s="647" t="str">
        <f t="shared" si="12"/>
        <v/>
      </c>
      <c r="AU72" s="647" t="str">
        <f t="shared" si="28"/>
        <v/>
      </c>
      <c r="AV72" s="647" t="str">
        <f t="shared" si="29"/>
        <v/>
      </c>
      <c r="AW72" s="647" t="str">
        <f t="shared" si="30"/>
        <v/>
      </c>
      <c r="AX72" s="647" t="str">
        <f t="shared" si="31"/>
        <v/>
      </c>
    </row>
    <row r="73" spans="3:50" s="5" customFormat="1" ht="28.15" hidden="1" customHeight="1" outlineLevel="1">
      <c r="C73" s="649">
        <v>57</v>
      </c>
      <c r="D73" s="1865"/>
      <c r="E73" s="1866"/>
      <c r="F73" s="1866"/>
      <c r="G73" s="1866"/>
      <c r="H73" s="1866"/>
      <c r="I73" s="1866"/>
      <c r="J73" s="1866"/>
      <c r="K73" s="704"/>
      <c r="L73" s="1055"/>
      <c r="M73" s="705"/>
      <c r="N73" s="257"/>
      <c r="O73" s="1042"/>
      <c r="P73" s="1041"/>
      <c r="Q73" s="256"/>
      <c r="R73" s="267"/>
      <c r="S73" s="256"/>
      <c r="T73" s="256"/>
      <c r="U73" s="256"/>
      <c r="V73" s="256"/>
      <c r="W73" s="254"/>
      <c r="X73" s="703"/>
      <c r="Y73" s="125"/>
      <c r="Z73" s="431"/>
      <c r="AA73" s="499"/>
      <c r="AB73" s="741"/>
      <c r="AC73" s="51"/>
      <c r="AD73" s="51"/>
      <c r="AE73" s="645" t="str">
        <f t="shared" si="20"/>
        <v/>
      </c>
      <c r="AF73" s="1037" t="str">
        <f t="shared" si="21"/>
        <v/>
      </c>
      <c r="AG73" s="1037" t="str">
        <f t="shared" si="22"/>
        <v/>
      </c>
      <c r="AH73" s="1037" t="str">
        <f>IF(AE73="","",VLOOKUP(AE73,リスト!BI:BJ,2,0))</f>
        <v/>
      </c>
      <c r="AI73" s="1037" t="str">
        <f t="shared" si="19"/>
        <v/>
      </c>
      <c r="AJ73" s="1037" t="str">
        <f>IF(AI73="","",VLOOKUP(AI73,リスト!BW:BX,2,0))</f>
        <v/>
      </c>
      <c r="AK73" s="1037" t="str">
        <f t="shared" si="5"/>
        <v/>
      </c>
      <c r="AL73" s="685" t="str">
        <f t="shared" si="23"/>
        <v/>
      </c>
      <c r="AM73" s="646" t="str">
        <f t="shared" si="24"/>
        <v/>
      </c>
      <c r="AN73" s="646" t="str">
        <f t="shared" si="17"/>
        <v/>
      </c>
      <c r="AO73" s="647" t="str">
        <f t="shared" si="18"/>
        <v/>
      </c>
      <c r="AP73" s="647" t="str">
        <f t="shared" si="8"/>
        <v/>
      </c>
      <c r="AQ73" s="647" t="str">
        <f t="shared" si="25"/>
        <v/>
      </c>
      <c r="AR73" s="647" t="str">
        <f t="shared" si="26"/>
        <v/>
      </c>
      <c r="AS73" s="647" t="str">
        <f t="shared" si="27"/>
        <v/>
      </c>
      <c r="AT73" s="647" t="str">
        <f t="shared" si="12"/>
        <v/>
      </c>
      <c r="AU73" s="647" t="str">
        <f t="shared" si="28"/>
        <v/>
      </c>
      <c r="AV73" s="647" t="str">
        <f t="shared" si="29"/>
        <v/>
      </c>
      <c r="AW73" s="647" t="str">
        <f t="shared" si="30"/>
        <v/>
      </c>
      <c r="AX73" s="647" t="str">
        <f t="shared" si="31"/>
        <v/>
      </c>
    </row>
    <row r="74" spans="3:50" s="5" customFormat="1" ht="28.15" hidden="1" customHeight="1" outlineLevel="1">
      <c r="C74" s="649">
        <v>58</v>
      </c>
      <c r="D74" s="1855"/>
      <c r="E74" s="1856"/>
      <c r="F74" s="1856"/>
      <c r="G74" s="1856"/>
      <c r="H74" s="1856"/>
      <c r="I74" s="1856"/>
      <c r="J74" s="1856"/>
      <c r="K74" s="702"/>
      <c r="L74" s="1054"/>
      <c r="M74" s="705"/>
      <c r="N74" s="255"/>
      <c r="O74" s="1040"/>
      <c r="P74" s="1041"/>
      <c r="Q74" s="256"/>
      <c r="R74" s="267"/>
      <c r="S74" s="256"/>
      <c r="T74" s="256"/>
      <c r="U74" s="256"/>
      <c r="V74" s="256"/>
      <c r="W74" s="254"/>
      <c r="X74" s="703"/>
      <c r="Y74" s="125"/>
      <c r="Z74" s="431"/>
      <c r="AA74" s="499"/>
      <c r="AB74" s="741"/>
      <c r="AC74" s="51"/>
      <c r="AD74" s="51"/>
      <c r="AE74" s="645" t="str">
        <f t="shared" si="20"/>
        <v/>
      </c>
      <c r="AF74" s="1037" t="str">
        <f t="shared" si="21"/>
        <v/>
      </c>
      <c r="AG74" s="1037" t="str">
        <f t="shared" si="22"/>
        <v/>
      </c>
      <c r="AH74" s="1037" t="str">
        <f>IF(AE74="","",VLOOKUP(AE74,リスト!BI:BJ,2,0))</f>
        <v/>
      </c>
      <c r="AI74" s="1037" t="str">
        <f t="shared" si="19"/>
        <v/>
      </c>
      <c r="AJ74" s="1037" t="str">
        <f>IF(AI74="","",VLOOKUP(AI74,リスト!BW:BX,2,0))</f>
        <v/>
      </c>
      <c r="AK74" s="1037" t="str">
        <f t="shared" si="5"/>
        <v/>
      </c>
      <c r="AL74" s="685" t="str">
        <f t="shared" si="23"/>
        <v/>
      </c>
      <c r="AM74" s="646" t="str">
        <f t="shared" si="24"/>
        <v/>
      </c>
      <c r="AN74" s="646" t="str">
        <f t="shared" si="17"/>
        <v/>
      </c>
      <c r="AO74" s="647" t="str">
        <f t="shared" si="18"/>
        <v/>
      </c>
      <c r="AP74" s="647" t="str">
        <f t="shared" si="8"/>
        <v/>
      </c>
      <c r="AQ74" s="647" t="str">
        <f t="shared" si="25"/>
        <v/>
      </c>
      <c r="AR74" s="647" t="str">
        <f t="shared" si="26"/>
        <v/>
      </c>
      <c r="AS74" s="647" t="str">
        <f t="shared" si="27"/>
        <v/>
      </c>
      <c r="AT74" s="647" t="str">
        <f t="shared" si="12"/>
        <v/>
      </c>
      <c r="AU74" s="647" t="str">
        <f t="shared" si="28"/>
        <v/>
      </c>
      <c r="AV74" s="647" t="str">
        <f t="shared" si="29"/>
        <v/>
      </c>
      <c r="AW74" s="647" t="str">
        <f t="shared" si="30"/>
        <v/>
      </c>
      <c r="AX74" s="647" t="str">
        <f t="shared" si="31"/>
        <v/>
      </c>
    </row>
    <row r="75" spans="3:50" s="5" customFormat="1" ht="28.15" hidden="1" customHeight="1" outlineLevel="1">
      <c r="C75" s="649">
        <v>59</v>
      </c>
      <c r="D75" s="1865"/>
      <c r="E75" s="1866"/>
      <c r="F75" s="1866"/>
      <c r="G75" s="1866"/>
      <c r="H75" s="1866"/>
      <c r="I75" s="1866"/>
      <c r="J75" s="1866"/>
      <c r="K75" s="704"/>
      <c r="L75" s="1055"/>
      <c r="M75" s="705"/>
      <c r="N75" s="257"/>
      <c r="O75" s="1042"/>
      <c r="P75" s="1041"/>
      <c r="Q75" s="256"/>
      <c r="R75" s="267"/>
      <c r="S75" s="256"/>
      <c r="T75" s="256"/>
      <c r="U75" s="256"/>
      <c r="V75" s="256"/>
      <c r="W75" s="254"/>
      <c r="X75" s="703"/>
      <c r="Y75" s="125"/>
      <c r="Z75" s="431"/>
      <c r="AA75" s="499"/>
      <c r="AB75" s="741"/>
      <c r="AC75" s="51"/>
      <c r="AD75" s="51"/>
      <c r="AE75" s="645" t="str">
        <f t="shared" si="20"/>
        <v/>
      </c>
      <c r="AF75" s="1037" t="str">
        <f t="shared" si="21"/>
        <v/>
      </c>
      <c r="AG75" s="1037" t="str">
        <f t="shared" si="22"/>
        <v/>
      </c>
      <c r="AH75" s="1037" t="str">
        <f>IF(AE75="","",VLOOKUP(AE75,リスト!BI:BJ,2,0))</f>
        <v/>
      </c>
      <c r="AI75" s="1037" t="str">
        <f t="shared" si="19"/>
        <v/>
      </c>
      <c r="AJ75" s="1037" t="str">
        <f>IF(AI75="","",VLOOKUP(AI75,リスト!BW:BX,2,0))</f>
        <v/>
      </c>
      <c r="AK75" s="1037" t="str">
        <f t="shared" si="5"/>
        <v/>
      </c>
      <c r="AL75" s="685" t="str">
        <f t="shared" si="23"/>
        <v/>
      </c>
      <c r="AM75" s="646" t="str">
        <f t="shared" si="24"/>
        <v/>
      </c>
      <c r="AN75" s="646" t="str">
        <f t="shared" si="17"/>
        <v/>
      </c>
      <c r="AO75" s="647" t="str">
        <f t="shared" si="18"/>
        <v/>
      </c>
      <c r="AP75" s="647" t="str">
        <f t="shared" si="8"/>
        <v/>
      </c>
      <c r="AQ75" s="647" t="str">
        <f t="shared" si="25"/>
        <v/>
      </c>
      <c r="AR75" s="647" t="str">
        <f t="shared" si="26"/>
        <v/>
      </c>
      <c r="AS75" s="647" t="str">
        <f t="shared" si="27"/>
        <v/>
      </c>
      <c r="AT75" s="647" t="str">
        <f t="shared" si="12"/>
        <v/>
      </c>
      <c r="AU75" s="647" t="str">
        <f t="shared" si="28"/>
        <v/>
      </c>
      <c r="AV75" s="647" t="str">
        <f t="shared" si="29"/>
        <v/>
      </c>
      <c r="AW75" s="647" t="str">
        <f t="shared" si="30"/>
        <v/>
      </c>
      <c r="AX75" s="647" t="str">
        <f t="shared" si="31"/>
        <v/>
      </c>
    </row>
    <row r="76" spans="3:50" s="5" customFormat="1" ht="28.15" hidden="1" customHeight="1" outlineLevel="1">
      <c r="C76" s="649">
        <v>60</v>
      </c>
      <c r="D76" s="1855"/>
      <c r="E76" s="1856"/>
      <c r="F76" s="1856"/>
      <c r="G76" s="1856"/>
      <c r="H76" s="1856"/>
      <c r="I76" s="1856"/>
      <c r="J76" s="1856"/>
      <c r="K76" s="702"/>
      <c r="L76" s="1054"/>
      <c r="M76" s="705"/>
      <c r="N76" s="255"/>
      <c r="O76" s="1040"/>
      <c r="P76" s="1041"/>
      <c r="Q76" s="256"/>
      <c r="R76" s="267"/>
      <c r="S76" s="256"/>
      <c r="T76" s="256"/>
      <c r="U76" s="256"/>
      <c r="V76" s="256"/>
      <c r="W76" s="254"/>
      <c r="X76" s="703"/>
      <c r="Y76" s="125"/>
      <c r="Z76" s="431"/>
      <c r="AA76" s="499"/>
      <c r="AB76" s="741"/>
      <c r="AC76" s="51"/>
      <c r="AD76" s="51"/>
      <c r="AE76" s="645" t="str">
        <f t="shared" si="20"/>
        <v/>
      </c>
      <c r="AF76" s="1037" t="str">
        <f t="shared" si="21"/>
        <v/>
      </c>
      <c r="AG76" s="1037" t="str">
        <f t="shared" si="22"/>
        <v/>
      </c>
      <c r="AH76" s="1037" t="str">
        <f>IF(AE76="","",VLOOKUP(AE76,リスト!BI:BJ,2,0))</f>
        <v/>
      </c>
      <c r="AI76" s="1037" t="str">
        <f t="shared" si="19"/>
        <v/>
      </c>
      <c r="AJ76" s="1037" t="str">
        <f>IF(AI76="","",VLOOKUP(AI76,リスト!BW:BX,2,0))</f>
        <v/>
      </c>
      <c r="AK76" s="1037" t="str">
        <f t="shared" si="5"/>
        <v/>
      </c>
      <c r="AL76" s="685" t="str">
        <f t="shared" si="23"/>
        <v/>
      </c>
      <c r="AM76" s="646" t="str">
        <f t="shared" si="24"/>
        <v/>
      </c>
      <c r="AN76" s="646" t="str">
        <f t="shared" si="17"/>
        <v/>
      </c>
      <c r="AO76" s="647" t="str">
        <f t="shared" si="18"/>
        <v/>
      </c>
      <c r="AP76" s="647" t="str">
        <f t="shared" si="8"/>
        <v/>
      </c>
      <c r="AQ76" s="647" t="str">
        <f t="shared" si="25"/>
        <v/>
      </c>
      <c r="AR76" s="647" t="str">
        <f t="shared" si="26"/>
        <v/>
      </c>
      <c r="AS76" s="647" t="str">
        <f t="shared" si="27"/>
        <v/>
      </c>
      <c r="AT76" s="647" t="str">
        <f t="shared" si="12"/>
        <v/>
      </c>
      <c r="AU76" s="647" t="str">
        <f t="shared" si="28"/>
        <v/>
      </c>
      <c r="AV76" s="647" t="str">
        <f t="shared" si="29"/>
        <v/>
      </c>
      <c r="AW76" s="647" t="str">
        <f t="shared" si="30"/>
        <v/>
      </c>
      <c r="AX76" s="647" t="str">
        <f t="shared" si="31"/>
        <v/>
      </c>
    </row>
    <row r="77" spans="3:50" s="5" customFormat="1" ht="28.15" hidden="1" customHeight="1" outlineLevel="1">
      <c r="C77" s="649">
        <v>61</v>
      </c>
      <c r="D77" s="1865"/>
      <c r="E77" s="1866"/>
      <c r="F77" s="1866"/>
      <c r="G77" s="1866"/>
      <c r="H77" s="1866"/>
      <c r="I77" s="1866"/>
      <c r="J77" s="1866"/>
      <c r="K77" s="704"/>
      <c r="L77" s="1055"/>
      <c r="M77" s="705"/>
      <c r="N77" s="257"/>
      <c r="O77" s="1042"/>
      <c r="P77" s="1041"/>
      <c r="Q77" s="256"/>
      <c r="R77" s="267"/>
      <c r="S77" s="256"/>
      <c r="T77" s="256"/>
      <c r="U77" s="256"/>
      <c r="V77" s="256"/>
      <c r="W77" s="254"/>
      <c r="X77" s="703"/>
      <c r="Y77" s="125"/>
      <c r="Z77" s="431"/>
      <c r="AA77" s="499"/>
      <c r="AB77" s="741"/>
      <c r="AC77" s="51"/>
      <c r="AD77" s="51"/>
      <c r="AE77" s="645" t="str">
        <f t="shared" si="20"/>
        <v/>
      </c>
      <c r="AF77" s="1037" t="str">
        <f t="shared" si="21"/>
        <v/>
      </c>
      <c r="AG77" s="1037" t="str">
        <f t="shared" si="22"/>
        <v/>
      </c>
      <c r="AH77" s="1037" t="str">
        <f>IF(AE77="","",VLOOKUP(AE77,リスト!BI:BJ,2,0))</f>
        <v/>
      </c>
      <c r="AI77" s="1037" t="str">
        <f t="shared" si="19"/>
        <v/>
      </c>
      <c r="AJ77" s="1037" t="str">
        <f>IF(AI77="","",VLOOKUP(AI77,リスト!BW:BX,2,0))</f>
        <v/>
      </c>
      <c r="AK77" s="1037" t="str">
        <f t="shared" si="5"/>
        <v/>
      </c>
      <c r="AL77" s="685" t="str">
        <f t="shared" si="23"/>
        <v/>
      </c>
      <c r="AM77" s="646" t="str">
        <f t="shared" si="24"/>
        <v/>
      </c>
      <c r="AN77" s="646" t="str">
        <f t="shared" si="17"/>
        <v/>
      </c>
      <c r="AO77" s="647" t="str">
        <f t="shared" si="18"/>
        <v/>
      </c>
      <c r="AP77" s="647" t="str">
        <f t="shared" si="8"/>
        <v/>
      </c>
      <c r="AQ77" s="647" t="str">
        <f t="shared" si="25"/>
        <v/>
      </c>
      <c r="AR77" s="647" t="str">
        <f t="shared" si="26"/>
        <v/>
      </c>
      <c r="AS77" s="647" t="str">
        <f t="shared" si="27"/>
        <v/>
      </c>
      <c r="AT77" s="647" t="str">
        <f t="shared" si="12"/>
        <v/>
      </c>
      <c r="AU77" s="647" t="str">
        <f t="shared" si="28"/>
        <v/>
      </c>
      <c r="AV77" s="647" t="str">
        <f t="shared" si="29"/>
        <v/>
      </c>
      <c r="AW77" s="647" t="str">
        <f t="shared" si="30"/>
        <v/>
      </c>
      <c r="AX77" s="647" t="str">
        <f t="shared" si="31"/>
        <v/>
      </c>
    </row>
    <row r="78" spans="3:50" s="5" customFormat="1" ht="28.15" hidden="1" customHeight="1" outlineLevel="1">
      <c r="C78" s="649">
        <v>62</v>
      </c>
      <c r="D78" s="1855"/>
      <c r="E78" s="1856"/>
      <c r="F78" s="1856"/>
      <c r="G78" s="1856"/>
      <c r="H78" s="1856"/>
      <c r="I78" s="1856"/>
      <c r="J78" s="1856"/>
      <c r="K78" s="702"/>
      <c r="L78" s="1054"/>
      <c r="M78" s="705"/>
      <c r="N78" s="255"/>
      <c r="O78" s="1040"/>
      <c r="P78" s="1041"/>
      <c r="Q78" s="256"/>
      <c r="R78" s="267"/>
      <c r="S78" s="256"/>
      <c r="T78" s="256"/>
      <c r="U78" s="256"/>
      <c r="V78" s="256"/>
      <c r="W78" s="254"/>
      <c r="X78" s="703"/>
      <c r="Y78" s="125"/>
      <c r="Z78" s="431"/>
      <c r="AA78" s="499"/>
      <c r="AB78" s="741"/>
      <c r="AC78" s="51"/>
      <c r="AD78" s="51"/>
      <c r="AE78" s="645" t="str">
        <f t="shared" si="20"/>
        <v/>
      </c>
      <c r="AF78" s="1037" t="str">
        <f t="shared" si="21"/>
        <v/>
      </c>
      <c r="AG78" s="1037" t="str">
        <f t="shared" si="22"/>
        <v/>
      </c>
      <c r="AH78" s="1037" t="str">
        <f>IF(AE78="","",VLOOKUP(AE78,リスト!BI:BJ,2,0))</f>
        <v/>
      </c>
      <c r="AI78" s="1037" t="str">
        <f t="shared" si="19"/>
        <v/>
      </c>
      <c r="AJ78" s="1037" t="str">
        <f>IF(AI78="","",VLOOKUP(AI78,リスト!BW:BX,2,0))</f>
        <v/>
      </c>
      <c r="AK78" s="1037" t="str">
        <f t="shared" si="5"/>
        <v/>
      </c>
      <c r="AL78" s="685" t="str">
        <f t="shared" si="23"/>
        <v/>
      </c>
      <c r="AM78" s="646" t="str">
        <f t="shared" si="24"/>
        <v/>
      </c>
      <c r="AN78" s="646" t="str">
        <f t="shared" si="17"/>
        <v/>
      </c>
      <c r="AO78" s="647" t="str">
        <f t="shared" si="18"/>
        <v/>
      </c>
      <c r="AP78" s="647" t="str">
        <f t="shared" si="8"/>
        <v/>
      </c>
      <c r="AQ78" s="647" t="str">
        <f t="shared" si="25"/>
        <v/>
      </c>
      <c r="AR78" s="647" t="str">
        <f t="shared" si="26"/>
        <v/>
      </c>
      <c r="AS78" s="647" t="str">
        <f t="shared" si="27"/>
        <v/>
      </c>
      <c r="AT78" s="647" t="str">
        <f t="shared" si="12"/>
        <v/>
      </c>
      <c r="AU78" s="647" t="str">
        <f t="shared" si="28"/>
        <v/>
      </c>
      <c r="AV78" s="647" t="str">
        <f t="shared" si="29"/>
        <v/>
      </c>
      <c r="AW78" s="647" t="str">
        <f t="shared" si="30"/>
        <v/>
      </c>
      <c r="AX78" s="647" t="str">
        <f t="shared" si="31"/>
        <v/>
      </c>
    </row>
    <row r="79" spans="3:50" s="5" customFormat="1" ht="28.15" hidden="1" customHeight="1" outlineLevel="1">
      <c r="C79" s="649">
        <v>63</v>
      </c>
      <c r="D79" s="1865"/>
      <c r="E79" s="1866"/>
      <c r="F79" s="1866"/>
      <c r="G79" s="1866"/>
      <c r="H79" s="1866"/>
      <c r="I79" s="1866"/>
      <c r="J79" s="1866"/>
      <c r="K79" s="704"/>
      <c r="L79" s="1055"/>
      <c r="M79" s="705"/>
      <c r="N79" s="255"/>
      <c r="O79" s="1042"/>
      <c r="P79" s="1041"/>
      <c r="Q79" s="256"/>
      <c r="R79" s="267"/>
      <c r="S79" s="256"/>
      <c r="T79" s="256"/>
      <c r="U79" s="256"/>
      <c r="V79" s="256"/>
      <c r="W79" s="254"/>
      <c r="X79" s="703"/>
      <c r="Y79" s="125"/>
      <c r="Z79" s="431"/>
      <c r="AA79" s="499"/>
      <c r="AB79" s="741"/>
      <c r="AC79" s="51"/>
      <c r="AD79" s="51"/>
      <c r="AE79" s="645" t="str">
        <f t="shared" si="20"/>
        <v/>
      </c>
      <c r="AF79" s="1037" t="str">
        <f t="shared" si="21"/>
        <v/>
      </c>
      <c r="AG79" s="1037" t="str">
        <f t="shared" si="22"/>
        <v/>
      </c>
      <c r="AH79" s="1037" t="str">
        <f>IF(AE79="","",VLOOKUP(AE79,リスト!BI:BJ,2,0))</f>
        <v/>
      </c>
      <c r="AI79" s="1037" t="str">
        <f t="shared" si="19"/>
        <v/>
      </c>
      <c r="AJ79" s="1037" t="str">
        <f>IF(AI79="","",VLOOKUP(AI79,リスト!BW:BX,2,0))</f>
        <v/>
      </c>
      <c r="AK79" s="1037" t="str">
        <f t="shared" si="5"/>
        <v/>
      </c>
      <c r="AL79" s="685" t="str">
        <f t="shared" si="23"/>
        <v/>
      </c>
      <c r="AM79" s="646" t="str">
        <f t="shared" si="24"/>
        <v/>
      </c>
      <c r="AN79" s="646" t="str">
        <f t="shared" si="17"/>
        <v/>
      </c>
      <c r="AO79" s="647" t="str">
        <f t="shared" si="18"/>
        <v/>
      </c>
      <c r="AP79" s="647" t="str">
        <f t="shared" si="8"/>
        <v/>
      </c>
      <c r="AQ79" s="647" t="str">
        <f t="shared" si="25"/>
        <v/>
      </c>
      <c r="AR79" s="647" t="str">
        <f t="shared" si="26"/>
        <v/>
      </c>
      <c r="AS79" s="647" t="str">
        <f t="shared" si="27"/>
        <v/>
      </c>
      <c r="AT79" s="647" t="str">
        <f t="shared" si="12"/>
        <v/>
      </c>
      <c r="AU79" s="647" t="str">
        <f t="shared" si="28"/>
        <v/>
      </c>
      <c r="AV79" s="647" t="str">
        <f t="shared" si="29"/>
        <v/>
      </c>
      <c r="AW79" s="647" t="str">
        <f t="shared" si="30"/>
        <v/>
      </c>
      <c r="AX79" s="647" t="str">
        <f t="shared" si="31"/>
        <v/>
      </c>
    </row>
    <row r="80" spans="3:50" s="5" customFormat="1" ht="28.15" hidden="1" customHeight="1" outlineLevel="1">
      <c r="C80" s="649">
        <v>64</v>
      </c>
      <c r="D80" s="1855"/>
      <c r="E80" s="1856"/>
      <c r="F80" s="1856"/>
      <c r="G80" s="1856"/>
      <c r="H80" s="1856"/>
      <c r="I80" s="1856"/>
      <c r="J80" s="1856"/>
      <c r="K80" s="702"/>
      <c r="L80" s="1054"/>
      <c r="M80" s="705"/>
      <c r="N80" s="255"/>
      <c r="O80" s="1040"/>
      <c r="P80" s="1041"/>
      <c r="Q80" s="256"/>
      <c r="R80" s="267"/>
      <c r="S80" s="256"/>
      <c r="T80" s="256"/>
      <c r="U80" s="256"/>
      <c r="V80" s="256"/>
      <c r="W80" s="254"/>
      <c r="X80" s="703"/>
      <c r="Y80" s="125"/>
      <c r="Z80" s="431"/>
      <c r="AA80" s="499"/>
      <c r="AB80" s="741"/>
      <c r="AC80" s="51"/>
      <c r="AD80" s="51"/>
      <c r="AE80" s="645" t="str">
        <f t="shared" si="20"/>
        <v/>
      </c>
      <c r="AF80" s="1037" t="str">
        <f t="shared" si="21"/>
        <v/>
      </c>
      <c r="AG80" s="1037" t="str">
        <f t="shared" si="22"/>
        <v/>
      </c>
      <c r="AH80" s="1037" t="str">
        <f>IF(AE80="","",VLOOKUP(AE80,リスト!BI:BJ,2,0))</f>
        <v/>
      </c>
      <c r="AI80" s="1037" t="str">
        <f t="shared" si="19"/>
        <v/>
      </c>
      <c r="AJ80" s="1037" t="str">
        <f>IF(AI80="","",VLOOKUP(AI80,リスト!BW:BX,2,0))</f>
        <v/>
      </c>
      <c r="AK80" s="1037" t="str">
        <f t="shared" si="5"/>
        <v/>
      </c>
      <c r="AL80" s="685" t="str">
        <f t="shared" si="23"/>
        <v/>
      </c>
      <c r="AM80" s="646" t="str">
        <f t="shared" si="24"/>
        <v/>
      </c>
      <c r="AN80" s="646" t="str">
        <f t="shared" si="17"/>
        <v/>
      </c>
      <c r="AO80" s="647" t="str">
        <f t="shared" si="18"/>
        <v/>
      </c>
      <c r="AP80" s="647" t="str">
        <f t="shared" si="8"/>
        <v/>
      </c>
      <c r="AQ80" s="647" t="str">
        <f t="shared" si="25"/>
        <v/>
      </c>
      <c r="AR80" s="647" t="str">
        <f t="shared" si="26"/>
        <v/>
      </c>
      <c r="AS80" s="647" t="str">
        <f t="shared" si="27"/>
        <v/>
      </c>
      <c r="AT80" s="647" t="str">
        <f t="shared" si="12"/>
        <v/>
      </c>
      <c r="AU80" s="647" t="str">
        <f t="shared" si="28"/>
        <v/>
      </c>
      <c r="AV80" s="647" t="str">
        <f t="shared" si="29"/>
        <v/>
      </c>
      <c r="AW80" s="647" t="str">
        <f t="shared" si="30"/>
        <v/>
      </c>
      <c r="AX80" s="647" t="str">
        <f t="shared" si="31"/>
        <v/>
      </c>
    </row>
    <row r="81" spans="3:50" s="5" customFormat="1" ht="28.15" hidden="1" customHeight="1" outlineLevel="1">
      <c r="C81" s="649">
        <v>65</v>
      </c>
      <c r="D81" s="1865"/>
      <c r="E81" s="1866"/>
      <c r="F81" s="1866"/>
      <c r="G81" s="1866"/>
      <c r="H81" s="1866"/>
      <c r="I81" s="1866"/>
      <c r="J81" s="1866"/>
      <c r="K81" s="704"/>
      <c r="L81" s="1055"/>
      <c r="M81" s="705"/>
      <c r="N81" s="255"/>
      <c r="O81" s="1042"/>
      <c r="P81" s="1041"/>
      <c r="Q81" s="256"/>
      <c r="R81" s="267"/>
      <c r="S81" s="256"/>
      <c r="T81" s="256"/>
      <c r="U81" s="256"/>
      <c r="V81" s="256"/>
      <c r="W81" s="254"/>
      <c r="X81" s="703"/>
      <c r="Y81" s="125"/>
      <c r="Z81" s="431"/>
      <c r="AA81" s="499"/>
      <c r="AB81" s="741"/>
      <c r="AC81" s="51"/>
      <c r="AD81" s="51"/>
      <c r="AE81" s="645" t="str">
        <f t="shared" si="20"/>
        <v/>
      </c>
      <c r="AF81" s="1037" t="str">
        <f t="shared" si="21"/>
        <v/>
      </c>
      <c r="AG81" s="1037" t="str">
        <f t="shared" si="22"/>
        <v/>
      </c>
      <c r="AH81" s="1037" t="str">
        <f>IF(AE81="","",VLOOKUP(AE81,リスト!BI:BJ,2,0))</f>
        <v/>
      </c>
      <c r="AI81" s="1037" t="str">
        <f t="shared" si="19"/>
        <v/>
      </c>
      <c r="AJ81" s="1037" t="str">
        <f>IF(AI81="","",VLOOKUP(AI81,リスト!BW:BX,2,0))</f>
        <v/>
      </c>
      <c r="AK81" s="1037" t="str">
        <f t="shared" ref="AK81:AK144" si="32">IF(AE81="","",調査年-O81)</f>
        <v/>
      </c>
      <c r="AL81" s="685" t="str">
        <f t="shared" si="23"/>
        <v/>
      </c>
      <c r="AM81" s="646" t="str">
        <f t="shared" si="24"/>
        <v/>
      </c>
      <c r="AN81" s="646" t="str">
        <f t="shared" si="17"/>
        <v/>
      </c>
      <c r="AO81" s="647" t="str">
        <f t="shared" si="18"/>
        <v/>
      </c>
      <c r="AP81" s="647" t="str">
        <f t="shared" ref="AP81:AP144" si="33">IF(W81="","",IF(OR(O81=調査年,AM81=""),"",ROUND(AM81*W81%,0)))</f>
        <v/>
      </c>
      <c r="AQ81" s="647" t="str">
        <f t="shared" si="25"/>
        <v/>
      </c>
      <c r="AR81" s="647" t="str">
        <f t="shared" si="26"/>
        <v/>
      </c>
      <c r="AS81" s="647" t="str">
        <f t="shared" si="27"/>
        <v/>
      </c>
      <c r="AT81" s="647" t="str">
        <f t="shared" ref="AT81:AT144" si="34">IF(OR(W81="",AND(OR(O81&lt;&gt;調査年,AF81=0),R81="")),"",
SUM(
IF(AND(O81=調査年,AF81=1),ROUND(Q81*W81%,0),),
ROUND(R81*W81%,0)))</f>
        <v/>
      </c>
      <c r="AU81" s="647" t="str">
        <f t="shared" si="28"/>
        <v/>
      </c>
      <c r="AV81" s="647" t="str">
        <f t="shared" si="29"/>
        <v/>
      </c>
      <c r="AW81" s="647" t="str">
        <f t="shared" si="30"/>
        <v/>
      </c>
      <c r="AX81" s="647" t="str">
        <f t="shared" si="31"/>
        <v/>
      </c>
    </row>
    <row r="82" spans="3:50" s="5" customFormat="1" ht="28.15" hidden="1" customHeight="1" outlineLevel="1">
      <c r="C82" s="649">
        <v>66</v>
      </c>
      <c r="D82" s="1855"/>
      <c r="E82" s="1856"/>
      <c r="F82" s="1856"/>
      <c r="G82" s="1856"/>
      <c r="H82" s="1856"/>
      <c r="I82" s="1856"/>
      <c r="J82" s="1856"/>
      <c r="K82" s="702"/>
      <c r="L82" s="1054"/>
      <c r="M82" s="705"/>
      <c r="N82" s="255"/>
      <c r="O82" s="1040"/>
      <c r="P82" s="1041"/>
      <c r="Q82" s="256"/>
      <c r="R82" s="267"/>
      <c r="S82" s="256"/>
      <c r="T82" s="256"/>
      <c r="U82" s="256"/>
      <c r="V82" s="256"/>
      <c r="W82" s="254"/>
      <c r="X82" s="703"/>
      <c r="Y82" s="125"/>
      <c r="Z82" s="431"/>
      <c r="AA82" s="499"/>
      <c r="AB82" s="741"/>
      <c r="AC82" s="51"/>
      <c r="AD82" s="51"/>
      <c r="AE82" s="645" t="str">
        <f t="shared" si="20"/>
        <v/>
      </c>
      <c r="AF82" s="1037" t="str">
        <f t="shared" si="21"/>
        <v/>
      </c>
      <c r="AG82" s="1037" t="str">
        <f t="shared" si="22"/>
        <v/>
      </c>
      <c r="AH82" s="1037" t="str">
        <f>IF(AE82="","",VLOOKUP(AE82,リスト!BI:BJ,2,0))</f>
        <v/>
      </c>
      <c r="AI82" s="1037" t="str">
        <f t="shared" ref="AI82:AI145" si="35">IF(AG82=1,3,IF(M82="2：中古",MIN(AH82,N82),AH82))</f>
        <v/>
      </c>
      <c r="AJ82" s="1037" t="str">
        <f>IF(AI82="","",VLOOKUP(AI82,リスト!BW:BX,2,0))</f>
        <v/>
      </c>
      <c r="AK82" s="1037" t="str">
        <f t="shared" si="32"/>
        <v/>
      </c>
      <c r="AL82" s="685" t="str">
        <f t="shared" si="23"/>
        <v/>
      </c>
      <c r="AM82" s="646" t="str">
        <f t="shared" si="24"/>
        <v/>
      </c>
      <c r="AN82" s="646" t="str">
        <f t="shared" ref="AN82:AN145" si="36">IF(OR(AE82="",AF82=1),"",
IF(X82="",AL82,
IF(X82="2：廃棄等",SUM(AM82,Y82),
IF(X82="1：売却",AM82-Y82,
IF(AND(Y82="",AL82=""),"",SUM(Y82,AL82))))))</f>
        <v/>
      </c>
      <c r="AO82" s="647" t="str">
        <f t="shared" ref="AO82:AO145" si="37">IF(AND(AN82="",AL82=""),"",
IF(OR(X82="2：廃棄等",X82="1：売却"),SUM(AN82)-SUM(AL82),""))</f>
        <v/>
      </c>
      <c r="AP82" s="647" t="str">
        <f t="shared" si="33"/>
        <v/>
      </c>
      <c r="AQ82" s="647" t="str">
        <f t="shared" si="25"/>
        <v/>
      </c>
      <c r="AR82" s="647" t="str">
        <f t="shared" si="26"/>
        <v/>
      </c>
      <c r="AS82" s="647" t="str">
        <f t="shared" si="27"/>
        <v/>
      </c>
      <c r="AT82" s="647" t="str">
        <f t="shared" si="34"/>
        <v/>
      </c>
      <c r="AU82" s="647" t="str">
        <f t="shared" si="28"/>
        <v/>
      </c>
      <c r="AV82" s="647" t="str">
        <f t="shared" si="29"/>
        <v/>
      </c>
      <c r="AW82" s="647" t="str">
        <f t="shared" si="30"/>
        <v/>
      </c>
      <c r="AX82" s="647" t="str">
        <f t="shared" si="31"/>
        <v/>
      </c>
    </row>
    <row r="83" spans="3:50" s="5" customFormat="1" ht="28.15" hidden="1" customHeight="1" outlineLevel="1">
      <c r="C83" s="649">
        <v>67</v>
      </c>
      <c r="D83" s="1865"/>
      <c r="E83" s="1866"/>
      <c r="F83" s="1866"/>
      <c r="G83" s="1866"/>
      <c r="H83" s="1866"/>
      <c r="I83" s="1866"/>
      <c r="J83" s="1866"/>
      <c r="K83" s="704"/>
      <c r="L83" s="1055"/>
      <c r="M83" s="705"/>
      <c r="N83" s="255"/>
      <c r="O83" s="1042"/>
      <c r="P83" s="1043"/>
      <c r="Q83" s="256"/>
      <c r="R83" s="267"/>
      <c r="S83" s="256"/>
      <c r="T83" s="256"/>
      <c r="U83" s="256"/>
      <c r="V83" s="256"/>
      <c r="W83" s="254"/>
      <c r="X83" s="703"/>
      <c r="Y83" s="125"/>
      <c r="Z83" s="431"/>
      <c r="AA83" s="499"/>
      <c r="AB83" s="741"/>
      <c r="AC83" s="51"/>
      <c r="AD83" s="51"/>
      <c r="AE83" s="645" t="str">
        <f t="shared" si="20"/>
        <v/>
      </c>
      <c r="AF83" s="1037" t="str">
        <f t="shared" si="21"/>
        <v/>
      </c>
      <c r="AG83" s="1037" t="str">
        <f t="shared" si="22"/>
        <v/>
      </c>
      <c r="AH83" s="1037" t="str">
        <f>IF(AE83="","",VLOOKUP(AE83,リスト!BI:BJ,2,0))</f>
        <v/>
      </c>
      <c r="AI83" s="1037" t="str">
        <f t="shared" si="35"/>
        <v/>
      </c>
      <c r="AJ83" s="1037" t="str">
        <f>IF(AI83="","",VLOOKUP(AI83,リスト!BW:BX,2,0))</f>
        <v/>
      </c>
      <c r="AK83" s="1037" t="str">
        <f t="shared" si="32"/>
        <v/>
      </c>
      <c r="AL83" s="685" t="str">
        <f t="shared" si="23"/>
        <v/>
      </c>
      <c r="AM83" s="646" t="str">
        <f t="shared" si="24"/>
        <v/>
      </c>
      <c r="AN83" s="646" t="str">
        <f t="shared" si="36"/>
        <v/>
      </c>
      <c r="AO83" s="647" t="str">
        <f t="shared" si="37"/>
        <v/>
      </c>
      <c r="AP83" s="647" t="str">
        <f t="shared" si="33"/>
        <v/>
      </c>
      <c r="AQ83" s="647" t="str">
        <f t="shared" si="25"/>
        <v/>
      </c>
      <c r="AR83" s="647" t="str">
        <f t="shared" si="26"/>
        <v/>
      </c>
      <c r="AS83" s="647" t="str">
        <f t="shared" si="27"/>
        <v/>
      </c>
      <c r="AT83" s="647" t="str">
        <f t="shared" si="34"/>
        <v/>
      </c>
      <c r="AU83" s="647" t="str">
        <f t="shared" si="28"/>
        <v/>
      </c>
      <c r="AV83" s="647" t="str">
        <f t="shared" si="29"/>
        <v/>
      </c>
      <c r="AW83" s="647" t="str">
        <f t="shared" si="30"/>
        <v/>
      </c>
      <c r="AX83" s="647" t="str">
        <f t="shared" si="31"/>
        <v/>
      </c>
    </row>
    <row r="84" spans="3:50" s="5" customFormat="1" ht="28.15" hidden="1" customHeight="1" outlineLevel="1">
      <c r="C84" s="649">
        <v>68</v>
      </c>
      <c r="D84" s="1855"/>
      <c r="E84" s="1856"/>
      <c r="F84" s="1856"/>
      <c r="G84" s="1856"/>
      <c r="H84" s="1856"/>
      <c r="I84" s="1856"/>
      <c r="J84" s="1856"/>
      <c r="K84" s="702"/>
      <c r="L84" s="1054"/>
      <c r="M84" s="705"/>
      <c r="N84" s="255"/>
      <c r="O84" s="1040"/>
      <c r="P84" s="1044"/>
      <c r="Q84" s="256"/>
      <c r="R84" s="267"/>
      <c r="S84" s="256"/>
      <c r="T84" s="256"/>
      <c r="U84" s="256"/>
      <c r="V84" s="256"/>
      <c r="W84" s="254"/>
      <c r="X84" s="703"/>
      <c r="Y84" s="125"/>
      <c r="Z84" s="431"/>
      <c r="AA84" s="499"/>
      <c r="AB84" s="741"/>
      <c r="AC84" s="51"/>
      <c r="AD84" s="51"/>
      <c r="AE84" s="645" t="str">
        <f t="shared" si="20"/>
        <v/>
      </c>
      <c r="AF84" s="1037" t="str">
        <f t="shared" si="21"/>
        <v/>
      </c>
      <c r="AG84" s="1037" t="str">
        <f t="shared" si="22"/>
        <v/>
      </c>
      <c r="AH84" s="1037" t="str">
        <f>IF(AE84="","",VLOOKUP(AE84,リスト!BI:BJ,2,0))</f>
        <v/>
      </c>
      <c r="AI84" s="1037" t="str">
        <f t="shared" si="35"/>
        <v/>
      </c>
      <c r="AJ84" s="1037" t="str">
        <f>IF(AI84="","",VLOOKUP(AI84,リスト!BW:BX,2,0))</f>
        <v/>
      </c>
      <c r="AK84" s="1037" t="str">
        <f t="shared" si="32"/>
        <v/>
      </c>
      <c r="AL84" s="685" t="str">
        <f t="shared" si="23"/>
        <v/>
      </c>
      <c r="AM84" s="646" t="str">
        <f t="shared" si="24"/>
        <v/>
      </c>
      <c r="AN84" s="646" t="str">
        <f t="shared" si="36"/>
        <v/>
      </c>
      <c r="AO84" s="647" t="str">
        <f t="shared" si="37"/>
        <v/>
      </c>
      <c r="AP84" s="647" t="str">
        <f t="shared" si="33"/>
        <v/>
      </c>
      <c r="AQ84" s="647" t="str">
        <f t="shared" si="25"/>
        <v/>
      </c>
      <c r="AR84" s="647" t="str">
        <f t="shared" si="26"/>
        <v/>
      </c>
      <c r="AS84" s="647" t="str">
        <f t="shared" si="27"/>
        <v/>
      </c>
      <c r="AT84" s="647" t="str">
        <f t="shared" si="34"/>
        <v/>
      </c>
      <c r="AU84" s="647" t="str">
        <f t="shared" si="28"/>
        <v/>
      </c>
      <c r="AV84" s="647" t="str">
        <f t="shared" si="29"/>
        <v/>
      </c>
      <c r="AW84" s="647" t="str">
        <f t="shared" si="30"/>
        <v/>
      </c>
      <c r="AX84" s="647" t="str">
        <f t="shared" si="31"/>
        <v/>
      </c>
    </row>
    <row r="85" spans="3:50" s="5" customFormat="1" ht="28.15" hidden="1" customHeight="1" outlineLevel="1">
      <c r="C85" s="649">
        <v>69</v>
      </c>
      <c r="D85" s="1855"/>
      <c r="E85" s="1856"/>
      <c r="F85" s="1856"/>
      <c r="G85" s="1856"/>
      <c r="H85" s="1856"/>
      <c r="I85" s="1856"/>
      <c r="J85" s="1856"/>
      <c r="K85" s="702"/>
      <c r="L85" s="1054"/>
      <c r="M85" s="705"/>
      <c r="N85" s="255"/>
      <c r="O85" s="1040"/>
      <c r="P85" s="1044"/>
      <c r="Q85" s="256"/>
      <c r="R85" s="267"/>
      <c r="S85" s="256"/>
      <c r="T85" s="256"/>
      <c r="U85" s="256"/>
      <c r="V85" s="256"/>
      <c r="W85" s="254"/>
      <c r="X85" s="703"/>
      <c r="Y85" s="125"/>
      <c r="Z85" s="431"/>
      <c r="AA85" s="499"/>
      <c r="AB85" s="741"/>
      <c r="AC85" s="51"/>
      <c r="AD85" s="51"/>
      <c r="AE85" s="645" t="str">
        <f t="shared" si="20"/>
        <v/>
      </c>
      <c r="AF85" s="1037" t="str">
        <f t="shared" si="21"/>
        <v/>
      </c>
      <c r="AG85" s="1037" t="str">
        <f t="shared" si="22"/>
        <v/>
      </c>
      <c r="AH85" s="1037" t="str">
        <f>IF(AE85="","",VLOOKUP(AE85,リスト!BI:BJ,2,0))</f>
        <v/>
      </c>
      <c r="AI85" s="1037" t="str">
        <f t="shared" si="35"/>
        <v/>
      </c>
      <c r="AJ85" s="1037" t="str">
        <f>IF(AI85="","",VLOOKUP(AI85,リスト!BW:BX,2,0))</f>
        <v/>
      </c>
      <c r="AK85" s="1037" t="str">
        <f t="shared" si="32"/>
        <v/>
      </c>
      <c r="AL85" s="685" t="str">
        <f t="shared" si="23"/>
        <v/>
      </c>
      <c r="AM85" s="646" t="str">
        <f t="shared" si="24"/>
        <v/>
      </c>
      <c r="AN85" s="646" t="str">
        <f t="shared" si="36"/>
        <v/>
      </c>
      <c r="AO85" s="647" t="str">
        <f t="shared" si="37"/>
        <v/>
      </c>
      <c r="AP85" s="647" t="str">
        <f t="shared" si="33"/>
        <v/>
      </c>
      <c r="AQ85" s="647" t="str">
        <f t="shared" si="25"/>
        <v/>
      </c>
      <c r="AR85" s="647" t="str">
        <f t="shared" si="26"/>
        <v/>
      </c>
      <c r="AS85" s="647" t="str">
        <f t="shared" si="27"/>
        <v/>
      </c>
      <c r="AT85" s="647" t="str">
        <f t="shared" si="34"/>
        <v/>
      </c>
      <c r="AU85" s="647" t="str">
        <f t="shared" si="28"/>
        <v/>
      </c>
      <c r="AV85" s="647" t="str">
        <f t="shared" si="29"/>
        <v/>
      </c>
      <c r="AW85" s="647" t="str">
        <f t="shared" si="30"/>
        <v/>
      </c>
      <c r="AX85" s="647" t="str">
        <f t="shared" si="31"/>
        <v/>
      </c>
    </row>
    <row r="86" spans="3:50" s="5" customFormat="1" ht="28.15" hidden="1" customHeight="1" outlineLevel="1">
      <c r="C86" s="649">
        <v>70</v>
      </c>
      <c r="D86" s="1855"/>
      <c r="E86" s="1856"/>
      <c r="F86" s="1856"/>
      <c r="G86" s="1856"/>
      <c r="H86" s="1856"/>
      <c r="I86" s="1856"/>
      <c r="J86" s="1856"/>
      <c r="K86" s="702"/>
      <c r="L86" s="1054"/>
      <c r="M86" s="705"/>
      <c r="N86" s="257"/>
      <c r="O86" s="1040"/>
      <c r="P86" s="1044"/>
      <c r="Q86" s="256"/>
      <c r="R86" s="267"/>
      <c r="S86" s="256"/>
      <c r="T86" s="256"/>
      <c r="U86" s="256"/>
      <c r="V86" s="256"/>
      <c r="W86" s="254"/>
      <c r="X86" s="703"/>
      <c r="Y86" s="125"/>
      <c r="Z86" s="431"/>
      <c r="AA86" s="499"/>
      <c r="AB86" s="741"/>
      <c r="AC86" s="51"/>
      <c r="AD86" s="51"/>
      <c r="AE86" s="645" t="str">
        <f t="shared" si="20"/>
        <v/>
      </c>
      <c r="AF86" s="1037" t="str">
        <f t="shared" si="21"/>
        <v/>
      </c>
      <c r="AG86" s="1037" t="str">
        <f t="shared" si="22"/>
        <v/>
      </c>
      <c r="AH86" s="1037" t="str">
        <f>IF(AE86="","",VLOOKUP(AE86,リスト!BI:BJ,2,0))</f>
        <v/>
      </c>
      <c r="AI86" s="1037" t="str">
        <f t="shared" si="35"/>
        <v/>
      </c>
      <c r="AJ86" s="1037" t="str">
        <f>IF(AI86="","",VLOOKUP(AI86,リスト!BW:BX,2,0))</f>
        <v/>
      </c>
      <c r="AK86" s="1037" t="str">
        <f t="shared" si="32"/>
        <v/>
      </c>
      <c r="AL86" s="685" t="str">
        <f t="shared" si="23"/>
        <v/>
      </c>
      <c r="AM86" s="646" t="str">
        <f t="shared" si="24"/>
        <v/>
      </c>
      <c r="AN86" s="646" t="str">
        <f t="shared" si="36"/>
        <v/>
      </c>
      <c r="AO86" s="647" t="str">
        <f t="shared" si="37"/>
        <v/>
      </c>
      <c r="AP86" s="647" t="str">
        <f t="shared" si="33"/>
        <v/>
      </c>
      <c r="AQ86" s="647" t="str">
        <f t="shared" si="25"/>
        <v/>
      </c>
      <c r="AR86" s="647" t="str">
        <f t="shared" si="26"/>
        <v/>
      </c>
      <c r="AS86" s="647" t="str">
        <f t="shared" si="27"/>
        <v/>
      </c>
      <c r="AT86" s="647" t="str">
        <f t="shared" si="34"/>
        <v/>
      </c>
      <c r="AU86" s="647" t="str">
        <f t="shared" si="28"/>
        <v/>
      </c>
      <c r="AV86" s="647" t="str">
        <f t="shared" si="29"/>
        <v/>
      </c>
      <c r="AW86" s="647" t="str">
        <f t="shared" si="30"/>
        <v/>
      </c>
      <c r="AX86" s="647" t="str">
        <f t="shared" si="31"/>
        <v/>
      </c>
    </row>
    <row r="87" spans="3:50" s="5" customFormat="1" ht="28.15" hidden="1" customHeight="1" outlineLevel="1">
      <c r="C87" s="649">
        <v>71</v>
      </c>
      <c r="D87" s="1855"/>
      <c r="E87" s="1856"/>
      <c r="F87" s="1856"/>
      <c r="G87" s="1856"/>
      <c r="H87" s="1856"/>
      <c r="I87" s="1856"/>
      <c r="J87" s="1856"/>
      <c r="K87" s="702"/>
      <c r="L87" s="1054"/>
      <c r="M87" s="705"/>
      <c r="N87" s="255"/>
      <c r="O87" s="1040"/>
      <c r="P87" s="1044"/>
      <c r="Q87" s="256"/>
      <c r="R87" s="267"/>
      <c r="S87" s="256"/>
      <c r="T87" s="256"/>
      <c r="U87" s="256"/>
      <c r="V87" s="256"/>
      <c r="W87" s="254"/>
      <c r="X87" s="703"/>
      <c r="Y87" s="125"/>
      <c r="Z87" s="431"/>
      <c r="AA87" s="499"/>
      <c r="AB87" s="741"/>
      <c r="AC87" s="51"/>
      <c r="AD87" s="51"/>
      <c r="AE87" s="645" t="str">
        <f t="shared" si="20"/>
        <v/>
      </c>
      <c r="AF87" s="1037" t="str">
        <f t="shared" si="21"/>
        <v/>
      </c>
      <c r="AG87" s="1037" t="str">
        <f t="shared" si="22"/>
        <v/>
      </c>
      <c r="AH87" s="1037" t="str">
        <f>IF(AE87="","",VLOOKUP(AE87,リスト!BI:BJ,2,0))</f>
        <v/>
      </c>
      <c r="AI87" s="1037" t="str">
        <f t="shared" si="35"/>
        <v/>
      </c>
      <c r="AJ87" s="1037" t="str">
        <f>IF(AI87="","",VLOOKUP(AI87,リスト!BW:BX,2,0))</f>
        <v/>
      </c>
      <c r="AK87" s="1037" t="str">
        <f t="shared" si="32"/>
        <v/>
      </c>
      <c r="AL87" s="685" t="str">
        <f t="shared" si="23"/>
        <v/>
      </c>
      <c r="AM87" s="646" t="str">
        <f t="shared" si="24"/>
        <v/>
      </c>
      <c r="AN87" s="646" t="str">
        <f t="shared" si="36"/>
        <v/>
      </c>
      <c r="AO87" s="647" t="str">
        <f t="shared" si="37"/>
        <v/>
      </c>
      <c r="AP87" s="647" t="str">
        <f t="shared" si="33"/>
        <v/>
      </c>
      <c r="AQ87" s="647" t="str">
        <f t="shared" si="25"/>
        <v/>
      </c>
      <c r="AR87" s="647" t="str">
        <f t="shared" si="26"/>
        <v/>
      </c>
      <c r="AS87" s="647" t="str">
        <f t="shared" si="27"/>
        <v/>
      </c>
      <c r="AT87" s="647" t="str">
        <f t="shared" si="34"/>
        <v/>
      </c>
      <c r="AU87" s="647" t="str">
        <f t="shared" si="28"/>
        <v/>
      </c>
      <c r="AV87" s="647" t="str">
        <f t="shared" si="29"/>
        <v/>
      </c>
      <c r="AW87" s="647" t="str">
        <f t="shared" si="30"/>
        <v/>
      </c>
      <c r="AX87" s="647" t="str">
        <f t="shared" si="31"/>
        <v/>
      </c>
    </row>
    <row r="88" spans="3:50" s="5" customFormat="1" ht="28.15" hidden="1" customHeight="1" outlineLevel="1">
      <c r="C88" s="649">
        <v>72</v>
      </c>
      <c r="D88" s="1855"/>
      <c r="E88" s="1856"/>
      <c r="F88" s="1856"/>
      <c r="G88" s="1856"/>
      <c r="H88" s="1856"/>
      <c r="I88" s="1856"/>
      <c r="J88" s="1856"/>
      <c r="K88" s="702"/>
      <c r="L88" s="1054"/>
      <c r="M88" s="705"/>
      <c r="N88" s="257"/>
      <c r="O88" s="1040"/>
      <c r="P88" s="1044"/>
      <c r="Q88" s="256"/>
      <c r="R88" s="267"/>
      <c r="S88" s="256"/>
      <c r="T88" s="256"/>
      <c r="U88" s="256"/>
      <c r="V88" s="256"/>
      <c r="W88" s="254"/>
      <c r="X88" s="703"/>
      <c r="Y88" s="125"/>
      <c r="Z88" s="431"/>
      <c r="AA88" s="499"/>
      <c r="AB88" s="741"/>
      <c r="AC88" s="51"/>
      <c r="AD88" s="51"/>
      <c r="AE88" s="645" t="str">
        <f t="shared" si="20"/>
        <v/>
      </c>
      <c r="AF88" s="1037" t="str">
        <f t="shared" si="21"/>
        <v/>
      </c>
      <c r="AG88" s="1037" t="str">
        <f t="shared" si="22"/>
        <v/>
      </c>
      <c r="AH88" s="1037" t="str">
        <f>IF(AE88="","",VLOOKUP(AE88,リスト!BI:BJ,2,0))</f>
        <v/>
      </c>
      <c r="AI88" s="1037" t="str">
        <f t="shared" si="35"/>
        <v/>
      </c>
      <c r="AJ88" s="1037" t="str">
        <f>IF(AI88="","",VLOOKUP(AI88,リスト!BW:BX,2,0))</f>
        <v/>
      </c>
      <c r="AK88" s="1037" t="str">
        <f t="shared" si="32"/>
        <v/>
      </c>
      <c r="AL88" s="685" t="str">
        <f t="shared" si="23"/>
        <v/>
      </c>
      <c r="AM88" s="646" t="str">
        <f t="shared" si="24"/>
        <v/>
      </c>
      <c r="AN88" s="646" t="str">
        <f t="shared" si="36"/>
        <v/>
      </c>
      <c r="AO88" s="647" t="str">
        <f t="shared" si="37"/>
        <v/>
      </c>
      <c r="AP88" s="647" t="str">
        <f t="shared" si="33"/>
        <v/>
      </c>
      <c r="AQ88" s="647" t="str">
        <f t="shared" si="25"/>
        <v/>
      </c>
      <c r="AR88" s="647" t="str">
        <f t="shared" si="26"/>
        <v/>
      </c>
      <c r="AS88" s="647" t="str">
        <f t="shared" si="27"/>
        <v/>
      </c>
      <c r="AT88" s="647" t="str">
        <f t="shared" si="34"/>
        <v/>
      </c>
      <c r="AU88" s="647" t="str">
        <f t="shared" si="28"/>
        <v/>
      </c>
      <c r="AV88" s="647" t="str">
        <f t="shared" si="29"/>
        <v/>
      </c>
      <c r="AW88" s="647" t="str">
        <f t="shared" si="30"/>
        <v/>
      </c>
      <c r="AX88" s="647" t="str">
        <f t="shared" si="31"/>
        <v/>
      </c>
    </row>
    <row r="89" spans="3:50" s="5" customFormat="1" ht="28.15" hidden="1" customHeight="1" outlineLevel="1">
      <c r="C89" s="649">
        <v>73</v>
      </c>
      <c r="D89" s="1855"/>
      <c r="E89" s="1856"/>
      <c r="F89" s="1856"/>
      <c r="G89" s="1856"/>
      <c r="H89" s="1856"/>
      <c r="I89" s="1856"/>
      <c r="J89" s="1856"/>
      <c r="K89" s="702"/>
      <c r="L89" s="1054"/>
      <c r="M89" s="705"/>
      <c r="N89" s="255"/>
      <c r="O89" s="1040"/>
      <c r="P89" s="1044"/>
      <c r="Q89" s="256"/>
      <c r="R89" s="267"/>
      <c r="S89" s="256"/>
      <c r="T89" s="256"/>
      <c r="U89" s="256"/>
      <c r="V89" s="256"/>
      <c r="W89" s="254"/>
      <c r="X89" s="703"/>
      <c r="Y89" s="125"/>
      <c r="Z89" s="431"/>
      <c r="AA89" s="499"/>
      <c r="AB89" s="741"/>
      <c r="AC89" s="51"/>
      <c r="AD89" s="51"/>
      <c r="AE89" s="645" t="str">
        <f t="shared" si="20"/>
        <v/>
      </c>
      <c r="AF89" s="1037" t="str">
        <f t="shared" si="21"/>
        <v/>
      </c>
      <c r="AG89" s="1037" t="str">
        <f t="shared" si="22"/>
        <v/>
      </c>
      <c r="AH89" s="1037" t="str">
        <f>IF(AE89="","",VLOOKUP(AE89,リスト!BI:BJ,2,0))</f>
        <v/>
      </c>
      <c r="AI89" s="1037" t="str">
        <f t="shared" si="35"/>
        <v/>
      </c>
      <c r="AJ89" s="1037" t="str">
        <f>IF(AI89="","",VLOOKUP(AI89,リスト!BW:BX,2,0))</f>
        <v/>
      </c>
      <c r="AK89" s="1037" t="str">
        <f t="shared" si="32"/>
        <v/>
      </c>
      <c r="AL89" s="685" t="str">
        <f t="shared" si="23"/>
        <v/>
      </c>
      <c r="AM89" s="646" t="str">
        <f t="shared" si="24"/>
        <v/>
      </c>
      <c r="AN89" s="646" t="str">
        <f t="shared" si="36"/>
        <v/>
      </c>
      <c r="AO89" s="647" t="str">
        <f t="shared" si="37"/>
        <v/>
      </c>
      <c r="AP89" s="647" t="str">
        <f t="shared" si="33"/>
        <v/>
      </c>
      <c r="AQ89" s="647" t="str">
        <f t="shared" si="25"/>
        <v/>
      </c>
      <c r="AR89" s="647" t="str">
        <f t="shared" si="26"/>
        <v/>
      </c>
      <c r="AS89" s="647" t="str">
        <f t="shared" si="27"/>
        <v/>
      </c>
      <c r="AT89" s="647" t="str">
        <f t="shared" si="34"/>
        <v/>
      </c>
      <c r="AU89" s="647" t="str">
        <f t="shared" si="28"/>
        <v/>
      </c>
      <c r="AV89" s="647" t="str">
        <f t="shared" si="29"/>
        <v/>
      </c>
      <c r="AW89" s="647" t="str">
        <f t="shared" si="30"/>
        <v/>
      </c>
      <c r="AX89" s="647" t="str">
        <f t="shared" si="31"/>
        <v/>
      </c>
    </row>
    <row r="90" spans="3:50" s="5" customFormat="1" ht="28.15" hidden="1" customHeight="1" outlineLevel="1">
      <c r="C90" s="649">
        <v>74</v>
      </c>
      <c r="D90" s="1855"/>
      <c r="E90" s="1856"/>
      <c r="F90" s="1856"/>
      <c r="G90" s="1856"/>
      <c r="H90" s="1856"/>
      <c r="I90" s="1856"/>
      <c r="J90" s="1857"/>
      <c r="K90" s="702"/>
      <c r="L90" s="1054"/>
      <c r="M90" s="666"/>
      <c r="N90" s="266"/>
      <c r="O90" s="1040"/>
      <c r="P90" s="1041"/>
      <c r="Q90" s="267"/>
      <c r="R90" s="267"/>
      <c r="S90" s="267"/>
      <c r="T90" s="267"/>
      <c r="U90" s="267"/>
      <c r="V90" s="267"/>
      <c r="W90" s="254"/>
      <c r="X90" s="703"/>
      <c r="Y90" s="125"/>
      <c r="Z90" s="431"/>
      <c r="AA90" s="499"/>
      <c r="AB90" s="741"/>
      <c r="AC90" s="51"/>
      <c r="AD90" s="51"/>
      <c r="AE90" s="645" t="str">
        <f t="shared" si="20"/>
        <v/>
      </c>
      <c r="AF90" s="1037" t="str">
        <f t="shared" si="21"/>
        <v/>
      </c>
      <c r="AG90" s="1037" t="str">
        <f t="shared" si="22"/>
        <v/>
      </c>
      <c r="AH90" s="1037" t="str">
        <f>IF(AE90="","",VLOOKUP(AE90,リスト!BI:BJ,2,0))</f>
        <v/>
      </c>
      <c r="AI90" s="1037" t="str">
        <f t="shared" si="35"/>
        <v/>
      </c>
      <c r="AJ90" s="1037" t="str">
        <f>IF(AI90="","",VLOOKUP(AI90,リスト!BW:BX,2,0))</f>
        <v/>
      </c>
      <c r="AK90" s="1037" t="str">
        <f t="shared" si="32"/>
        <v/>
      </c>
      <c r="AL90" s="685" t="str">
        <f t="shared" si="23"/>
        <v/>
      </c>
      <c r="AM90" s="646" t="str">
        <f t="shared" si="24"/>
        <v/>
      </c>
      <c r="AN90" s="646" t="str">
        <f t="shared" si="36"/>
        <v/>
      </c>
      <c r="AO90" s="647" t="str">
        <f t="shared" si="37"/>
        <v/>
      </c>
      <c r="AP90" s="647" t="str">
        <f t="shared" si="33"/>
        <v/>
      </c>
      <c r="AQ90" s="647" t="str">
        <f t="shared" si="25"/>
        <v/>
      </c>
      <c r="AR90" s="647" t="str">
        <f t="shared" si="26"/>
        <v/>
      </c>
      <c r="AS90" s="647" t="str">
        <f t="shared" si="27"/>
        <v/>
      </c>
      <c r="AT90" s="647" t="str">
        <f t="shared" si="34"/>
        <v/>
      </c>
      <c r="AU90" s="647" t="str">
        <f t="shared" si="28"/>
        <v/>
      </c>
      <c r="AV90" s="647" t="str">
        <f t="shared" si="29"/>
        <v/>
      </c>
      <c r="AW90" s="647" t="str">
        <f t="shared" si="30"/>
        <v/>
      </c>
      <c r="AX90" s="647" t="str">
        <f t="shared" si="31"/>
        <v/>
      </c>
    </row>
    <row r="91" spans="3:50" s="5" customFormat="1" ht="28.15" hidden="1" customHeight="1" outlineLevel="1">
      <c r="C91" s="649">
        <v>75</v>
      </c>
      <c r="D91" s="1865"/>
      <c r="E91" s="1866"/>
      <c r="F91" s="1866"/>
      <c r="G91" s="1866"/>
      <c r="H91" s="1866"/>
      <c r="I91" s="1866"/>
      <c r="J91" s="1866"/>
      <c r="K91" s="704"/>
      <c r="L91" s="1055"/>
      <c r="M91" s="705"/>
      <c r="N91" s="257"/>
      <c r="O91" s="1042"/>
      <c r="P91" s="1041"/>
      <c r="Q91" s="256"/>
      <c r="R91" s="267"/>
      <c r="S91" s="256"/>
      <c r="T91" s="256"/>
      <c r="U91" s="256"/>
      <c r="V91" s="256"/>
      <c r="W91" s="254"/>
      <c r="X91" s="703"/>
      <c r="Y91" s="125"/>
      <c r="Z91" s="431"/>
      <c r="AA91" s="499"/>
      <c r="AB91" s="741"/>
      <c r="AC91" s="51"/>
      <c r="AD91" s="51"/>
      <c r="AE91" s="645" t="str">
        <f t="shared" si="20"/>
        <v/>
      </c>
      <c r="AF91" s="1037" t="str">
        <f t="shared" si="21"/>
        <v/>
      </c>
      <c r="AG91" s="1037" t="str">
        <f t="shared" si="22"/>
        <v/>
      </c>
      <c r="AH91" s="1037" t="str">
        <f>IF(AE91="","",VLOOKUP(AE91,リスト!BI:BJ,2,0))</f>
        <v/>
      </c>
      <c r="AI91" s="1037" t="str">
        <f t="shared" si="35"/>
        <v/>
      </c>
      <c r="AJ91" s="1037" t="str">
        <f>IF(AI91="","",VLOOKUP(AI91,リスト!BW:BX,2,0))</f>
        <v/>
      </c>
      <c r="AK91" s="1037" t="str">
        <f t="shared" si="32"/>
        <v/>
      </c>
      <c r="AL91" s="685" t="str">
        <f t="shared" si="23"/>
        <v/>
      </c>
      <c r="AM91" s="646" t="str">
        <f t="shared" si="24"/>
        <v/>
      </c>
      <c r="AN91" s="646" t="str">
        <f t="shared" si="36"/>
        <v/>
      </c>
      <c r="AO91" s="647" t="str">
        <f t="shared" si="37"/>
        <v/>
      </c>
      <c r="AP91" s="647" t="str">
        <f t="shared" si="33"/>
        <v/>
      </c>
      <c r="AQ91" s="647" t="str">
        <f t="shared" si="25"/>
        <v/>
      </c>
      <c r="AR91" s="647" t="str">
        <f t="shared" si="26"/>
        <v/>
      </c>
      <c r="AS91" s="647" t="str">
        <f t="shared" si="27"/>
        <v/>
      </c>
      <c r="AT91" s="647" t="str">
        <f t="shared" si="34"/>
        <v/>
      </c>
      <c r="AU91" s="647" t="str">
        <f t="shared" si="28"/>
        <v/>
      </c>
      <c r="AV91" s="647" t="str">
        <f t="shared" si="29"/>
        <v/>
      </c>
      <c r="AW91" s="647" t="str">
        <f t="shared" si="30"/>
        <v/>
      </c>
      <c r="AX91" s="647" t="str">
        <f t="shared" si="31"/>
        <v/>
      </c>
    </row>
    <row r="92" spans="3:50" s="5" customFormat="1" ht="28.15" hidden="1" customHeight="1" outlineLevel="1">
      <c r="C92" s="649">
        <v>76</v>
      </c>
      <c r="D92" s="1855"/>
      <c r="E92" s="1856"/>
      <c r="F92" s="1856"/>
      <c r="G92" s="1856"/>
      <c r="H92" s="1856"/>
      <c r="I92" s="1856"/>
      <c r="J92" s="1856"/>
      <c r="K92" s="702"/>
      <c r="L92" s="1054"/>
      <c r="M92" s="705"/>
      <c r="N92" s="255"/>
      <c r="O92" s="1040"/>
      <c r="P92" s="1041"/>
      <c r="Q92" s="256"/>
      <c r="R92" s="267"/>
      <c r="S92" s="256"/>
      <c r="T92" s="256"/>
      <c r="U92" s="256"/>
      <c r="V92" s="256"/>
      <c r="W92" s="254"/>
      <c r="X92" s="703"/>
      <c r="Y92" s="125"/>
      <c r="Z92" s="431"/>
      <c r="AA92" s="499"/>
      <c r="AB92" s="741"/>
      <c r="AC92" s="51"/>
      <c r="AD92" s="51"/>
      <c r="AE92" s="645" t="str">
        <f t="shared" si="20"/>
        <v/>
      </c>
      <c r="AF92" s="1037" t="str">
        <f t="shared" si="21"/>
        <v/>
      </c>
      <c r="AG92" s="1037" t="str">
        <f t="shared" si="22"/>
        <v/>
      </c>
      <c r="AH92" s="1037" t="str">
        <f>IF(AE92="","",VLOOKUP(AE92,リスト!BI:BJ,2,0))</f>
        <v/>
      </c>
      <c r="AI92" s="1037" t="str">
        <f t="shared" si="35"/>
        <v/>
      </c>
      <c r="AJ92" s="1037" t="str">
        <f>IF(AI92="","",VLOOKUP(AI92,リスト!BW:BX,2,0))</f>
        <v/>
      </c>
      <c r="AK92" s="1037" t="str">
        <f t="shared" si="32"/>
        <v/>
      </c>
      <c r="AL92" s="685" t="str">
        <f t="shared" si="23"/>
        <v/>
      </c>
      <c r="AM92" s="646" t="str">
        <f t="shared" si="24"/>
        <v/>
      </c>
      <c r="AN92" s="646" t="str">
        <f t="shared" si="36"/>
        <v/>
      </c>
      <c r="AO92" s="647" t="str">
        <f t="shared" si="37"/>
        <v/>
      </c>
      <c r="AP92" s="647" t="str">
        <f t="shared" si="33"/>
        <v/>
      </c>
      <c r="AQ92" s="647" t="str">
        <f t="shared" si="25"/>
        <v/>
      </c>
      <c r="AR92" s="647" t="str">
        <f t="shared" si="26"/>
        <v/>
      </c>
      <c r="AS92" s="647" t="str">
        <f t="shared" si="27"/>
        <v/>
      </c>
      <c r="AT92" s="647" t="str">
        <f t="shared" si="34"/>
        <v/>
      </c>
      <c r="AU92" s="647" t="str">
        <f t="shared" si="28"/>
        <v/>
      </c>
      <c r="AV92" s="647" t="str">
        <f t="shared" si="29"/>
        <v/>
      </c>
      <c r="AW92" s="647" t="str">
        <f t="shared" si="30"/>
        <v/>
      </c>
      <c r="AX92" s="647" t="str">
        <f t="shared" si="31"/>
        <v/>
      </c>
    </row>
    <row r="93" spans="3:50" s="5" customFormat="1" ht="28.15" hidden="1" customHeight="1" outlineLevel="1">
      <c r="C93" s="649">
        <v>77</v>
      </c>
      <c r="D93" s="1865"/>
      <c r="E93" s="1866"/>
      <c r="F93" s="1866"/>
      <c r="G93" s="1866"/>
      <c r="H93" s="1866"/>
      <c r="I93" s="1866"/>
      <c r="J93" s="1866"/>
      <c r="K93" s="704"/>
      <c r="L93" s="1055"/>
      <c r="M93" s="705"/>
      <c r="N93" s="257"/>
      <c r="O93" s="1042"/>
      <c r="P93" s="1041"/>
      <c r="Q93" s="256"/>
      <c r="R93" s="267"/>
      <c r="S93" s="256"/>
      <c r="T93" s="256"/>
      <c r="U93" s="256"/>
      <c r="V93" s="256"/>
      <c r="W93" s="254"/>
      <c r="X93" s="703"/>
      <c r="Y93" s="125"/>
      <c r="Z93" s="431"/>
      <c r="AA93" s="499"/>
      <c r="AB93" s="741"/>
      <c r="AC93" s="51"/>
      <c r="AD93" s="51"/>
      <c r="AE93" s="645" t="str">
        <f t="shared" si="20"/>
        <v/>
      </c>
      <c r="AF93" s="1037" t="str">
        <f t="shared" si="21"/>
        <v/>
      </c>
      <c r="AG93" s="1037" t="str">
        <f t="shared" si="22"/>
        <v/>
      </c>
      <c r="AH93" s="1037" t="str">
        <f>IF(AE93="","",VLOOKUP(AE93,リスト!BI:BJ,2,0))</f>
        <v/>
      </c>
      <c r="AI93" s="1037" t="str">
        <f t="shared" si="35"/>
        <v/>
      </c>
      <c r="AJ93" s="1037" t="str">
        <f>IF(AI93="","",VLOOKUP(AI93,リスト!BW:BX,2,0))</f>
        <v/>
      </c>
      <c r="AK93" s="1037" t="str">
        <f t="shared" si="32"/>
        <v/>
      </c>
      <c r="AL93" s="685" t="str">
        <f t="shared" si="23"/>
        <v/>
      </c>
      <c r="AM93" s="646" t="str">
        <f t="shared" si="24"/>
        <v/>
      </c>
      <c r="AN93" s="646" t="str">
        <f t="shared" si="36"/>
        <v/>
      </c>
      <c r="AO93" s="647" t="str">
        <f t="shared" si="37"/>
        <v/>
      </c>
      <c r="AP93" s="647" t="str">
        <f t="shared" si="33"/>
        <v/>
      </c>
      <c r="AQ93" s="647" t="str">
        <f t="shared" si="25"/>
        <v/>
      </c>
      <c r="AR93" s="647" t="str">
        <f t="shared" si="26"/>
        <v/>
      </c>
      <c r="AS93" s="647" t="str">
        <f t="shared" si="27"/>
        <v/>
      </c>
      <c r="AT93" s="647" t="str">
        <f t="shared" si="34"/>
        <v/>
      </c>
      <c r="AU93" s="647" t="str">
        <f t="shared" si="28"/>
        <v/>
      </c>
      <c r="AV93" s="647" t="str">
        <f t="shared" si="29"/>
        <v/>
      </c>
      <c r="AW93" s="647" t="str">
        <f t="shared" si="30"/>
        <v/>
      </c>
      <c r="AX93" s="647" t="str">
        <f t="shared" si="31"/>
        <v/>
      </c>
    </row>
    <row r="94" spans="3:50" s="5" customFormat="1" ht="28.15" hidden="1" customHeight="1" outlineLevel="1">
      <c r="C94" s="649">
        <v>78</v>
      </c>
      <c r="D94" s="1855"/>
      <c r="E94" s="1856"/>
      <c r="F94" s="1856"/>
      <c r="G94" s="1856"/>
      <c r="H94" s="1856"/>
      <c r="I94" s="1856"/>
      <c r="J94" s="1856"/>
      <c r="K94" s="702"/>
      <c r="L94" s="1054"/>
      <c r="M94" s="705"/>
      <c r="N94" s="255"/>
      <c r="O94" s="1040"/>
      <c r="P94" s="1041"/>
      <c r="Q94" s="256"/>
      <c r="R94" s="267"/>
      <c r="S94" s="256"/>
      <c r="T94" s="256"/>
      <c r="U94" s="256"/>
      <c r="V94" s="256"/>
      <c r="W94" s="254"/>
      <c r="X94" s="703"/>
      <c r="Y94" s="125"/>
      <c r="Z94" s="431"/>
      <c r="AA94" s="499"/>
      <c r="AB94" s="741"/>
      <c r="AC94" s="51"/>
      <c r="AD94" s="51"/>
      <c r="AE94" s="645" t="str">
        <f t="shared" si="20"/>
        <v/>
      </c>
      <c r="AF94" s="1037" t="str">
        <f t="shared" si="21"/>
        <v/>
      </c>
      <c r="AG94" s="1037" t="str">
        <f t="shared" si="22"/>
        <v/>
      </c>
      <c r="AH94" s="1037" t="str">
        <f>IF(AE94="","",VLOOKUP(AE94,リスト!BI:BJ,2,0))</f>
        <v/>
      </c>
      <c r="AI94" s="1037" t="str">
        <f t="shared" si="35"/>
        <v/>
      </c>
      <c r="AJ94" s="1037" t="str">
        <f>IF(AI94="","",VLOOKUP(AI94,リスト!BW:BX,2,0))</f>
        <v/>
      </c>
      <c r="AK94" s="1037" t="str">
        <f t="shared" si="32"/>
        <v/>
      </c>
      <c r="AL94" s="685" t="str">
        <f t="shared" si="23"/>
        <v/>
      </c>
      <c r="AM94" s="646" t="str">
        <f t="shared" si="24"/>
        <v/>
      </c>
      <c r="AN94" s="646" t="str">
        <f t="shared" si="36"/>
        <v/>
      </c>
      <c r="AO94" s="647" t="str">
        <f t="shared" si="37"/>
        <v/>
      </c>
      <c r="AP94" s="647" t="str">
        <f t="shared" si="33"/>
        <v/>
      </c>
      <c r="AQ94" s="647" t="str">
        <f t="shared" si="25"/>
        <v/>
      </c>
      <c r="AR94" s="647" t="str">
        <f t="shared" si="26"/>
        <v/>
      </c>
      <c r="AS94" s="647" t="str">
        <f t="shared" si="27"/>
        <v/>
      </c>
      <c r="AT94" s="647" t="str">
        <f t="shared" si="34"/>
        <v/>
      </c>
      <c r="AU94" s="647" t="str">
        <f t="shared" si="28"/>
        <v/>
      </c>
      <c r="AV94" s="647" t="str">
        <f t="shared" si="29"/>
        <v/>
      </c>
      <c r="AW94" s="647" t="str">
        <f t="shared" si="30"/>
        <v/>
      </c>
      <c r="AX94" s="647" t="str">
        <f t="shared" si="31"/>
        <v/>
      </c>
    </row>
    <row r="95" spans="3:50" s="5" customFormat="1" ht="28.15" hidden="1" customHeight="1" outlineLevel="1">
      <c r="C95" s="649">
        <v>79</v>
      </c>
      <c r="D95" s="1865"/>
      <c r="E95" s="1866"/>
      <c r="F95" s="1866"/>
      <c r="G95" s="1866"/>
      <c r="H95" s="1866"/>
      <c r="I95" s="1866"/>
      <c r="J95" s="1866"/>
      <c r="K95" s="704"/>
      <c r="L95" s="1055"/>
      <c r="M95" s="705"/>
      <c r="N95" s="257"/>
      <c r="O95" s="1042"/>
      <c r="P95" s="1041"/>
      <c r="Q95" s="256"/>
      <c r="R95" s="267"/>
      <c r="S95" s="256"/>
      <c r="T95" s="256"/>
      <c r="U95" s="256"/>
      <c r="V95" s="256"/>
      <c r="W95" s="254"/>
      <c r="X95" s="703"/>
      <c r="Y95" s="125"/>
      <c r="Z95" s="431"/>
      <c r="AA95" s="499"/>
      <c r="AB95" s="741"/>
      <c r="AC95" s="51"/>
      <c r="AD95" s="51"/>
      <c r="AE95" s="645" t="str">
        <f t="shared" si="20"/>
        <v/>
      </c>
      <c r="AF95" s="1037" t="str">
        <f t="shared" si="21"/>
        <v/>
      </c>
      <c r="AG95" s="1037" t="str">
        <f t="shared" si="22"/>
        <v/>
      </c>
      <c r="AH95" s="1037" t="str">
        <f>IF(AE95="","",VLOOKUP(AE95,リスト!BI:BJ,2,0))</f>
        <v/>
      </c>
      <c r="AI95" s="1037" t="str">
        <f t="shared" si="35"/>
        <v/>
      </c>
      <c r="AJ95" s="1037" t="str">
        <f>IF(AI95="","",VLOOKUP(AI95,リスト!BW:BX,2,0))</f>
        <v/>
      </c>
      <c r="AK95" s="1037" t="str">
        <f t="shared" si="32"/>
        <v/>
      </c>
      <c r="AL95" s="685" t="str">
        <f t="shared" si="23"/>
        <v/>
      </c>
      <c r="AM95" s="646" t="str">
        <f t="shared" si="24"/>
        <v/>
      </c>
      <c r="AN95" s="646" t="str">
        <f t="shared" si="36"/>
        <v/>
      </c>
      <c r="AO95" s="647" t="str">
        <f t="shared" si="37"/>
        <v/>
      </c>
      <c r="AP95" s="647" t="str">
        <f t="shared" si="33"/>
        <v/>
      </c>
      <c r="AQ95" s="647" t="str">
        <f t="shared" si="25"/>
        <v/>
      </c>
      <c r="AR95" s="647" t="str">
        <f t="shared" si="26"/>
        <v/>
      </c>
      <c r="AS95" s="647" t="str">
        <f t="shared" si="27"/>
        <v/>
      </c>
      <c r="AT95" s="647" t="str">
        <f t="shared" si="34"/>
        <v/>
      </c>
      <c r="AU95" s="647" t="str">
        <f t="shared" si="28"/>
        <v/>
      </c>
      <c r="AV95" s="647" t="str">
        <f t="shared" si="29"/>
        <v/>
      </c>
      <c r="AW95" s="647" t="str">
        <f t="shared" si="30"/>
        <v/>
      </c>
      <c r="AX95" s="647" t="str">
        <f t="shared" si="31"/>
        <v/>
      </c>
    </row>
    <row r="96" spans="3:50" s="5" customFormat="1" ht="28.15" hidden="1" customHeight="1" outlineLevel="1">
      <c r="C96" s="649">
        <v>80</v>
      </c>
      <c r="D96" s="1855"/>
      <c r="E96" s="1856"/>
      <c r="F96" s="1856"/>
      <c r="G96" s="1856"/>
      <c r="H96" s="1856"/>
      <c r="I96" s="1856"/>
      <c r="J96" s="1856"/>
      <c r="K96" s="702"/>
      <c r="L96" s="1054"/>
      <c r="M96" s="705"/>
      <c r="N96" s="255"/>
      <c r="O96" s="1040"/>
      <c r="P96" s="1041"/>
      <c r="Q96" s="256"/>
      <c r="R96" s="267"/>
      <c r="S96" s="256"/>
      <c r="T96" s="256"/>
      <c r="U96" s="256"/>
      <c r="V96" s="256"/>
      <c r="W96" s="254"/>
      <c r="X96" s="703"/>
      <c r="Y96" s="125"/>
      <c r="Z96" s="431"/>
      <c r="AA96" s="499"/>
      <c r="AB96" s="741"/>
      <c r="AC96" s="51"/>
      <c r="AD96" s="51"/>
      <c r="AE96" s="645" t="str">
        <f t="shared" si="20"/>
        <v/>
      </c>
      <c r="AF96" s="1037" t="str">
        <f t="shared" si="21"/>
        <v/>
      </c>
      <c r="AG96" s="1037" t="str">
        <f t="shared" si="22"/>
        <v/>
      </c>
      <c r="AH96" s="1037" t="str">
        <f>IF(AE96="","",VLOOKUP(AE96,リスト!BI:BJ,2,0))</f>
        <v/>
      </c>
      <c r="AI96" s="1037" t="str">
        <f t="shared" si="35"/>
        <v/>
      </c>
      <c r="AJ96" s="1037" t="str">
        <f>IF(AI96="","",VLOOKUP(AI96,リスト!BW:BX,2,0))</f>
        <v/>
      </c>
      <c r="AK96" s="1037" t="str">
        <f t="shared" si="32"/>
        <v/>
      </c>
      <c r="AL96" s="685" t="str">
        <f t="shared" si="23"/>
        <v/>
      </c>
      <c r="AM96" s="646" t="str">
        <f t="shared" si="24"/>
        <v/>
      </c>
      <c r="AN96" s="646" t="str">
        <f t="shared" si="36"/>
        <v/>
      </c>
      <c r="AO96" s="647" t="str">
        <f t="shared" si="37"/>
        <v/>
      </c>
      <c r="AP96" s="647" t="str">
        <f t="shared" si="33"/>
        <v/>
      </c>
      <c r="AQ96" s="647" t="str">
        <f t="shared" si="25"/>
        <v/>
      </c>
      <c r="AR96" s="647" t="str">
        <f t="shared" si="26"/>
        <v/>
      </c>
      <c r="AS96" s="647" t="str">
        <f t="shared" si="27"/>
        <v/>
      </c>
      <c r="AT96" s="647" t="str">
        <f t="shared" si="34"/>
        <v/>
      </c>
      <c r="AU96" s="647" t="str">
        <f t="shared" si="28"/>
        <v/>
      </c>
      <c r="AV96" s="647" t="str">
        <f t="shared" si="29"/>
        <v/>
      </c>
      <c r="AW96" s="647" t="str">
        <f t="shared" si="30"/>
        <v/>
      </c>
      <c r="AX96" s="647" t="str">
        <f t="shared" si="31"/>
        <v/>
      </c>
    </row>
    <row r="97" spans="3:50" s="5" customFormat="1" ht="28.15" hidden="1" customHeight="1" outlineLevel="1">
      <c r="C97" s="649">
        <v>81</v>
      </c>
      <c r="D97" s="1865"/>
      <c r="E97" s="1866"/>
      <c r="F97" s="1866"/>
      <c r="G97" s="1866"/>
      <c r="H97" s="1866"/>
      <c r="I97" s="1866"/>
      <c r="J97" s="1866"/>
      <c r="K97" s="704"/>
      <c r="L97" s="1055"/>
      <c r="M97" s="705"/>
      <c r="N97" s="255"/>
      <c r="O97" s="1042"/>
      <c r="P97" s="1041"/>
      <c r="Q97" s="256"/>
      <c r="R97" s="267"/>
      <c r="S97" s="256"/>
      <c r="T97" s="256"/>
      <c r="U97" s="256"/>
      <c r="V97" s="256"/>
      <c r="W97" s="254"/>
      <c r="X97" s="703"/>
      <c r="Y97" s="125"/>
      <c r="Z97" s="431"/>
      <c r="AA97" s="499"/>
      <c r="AB97" s="741"/>
      <c r="AC97" s="51"/>
      <c r="AD97" s="51"/>
      <c r="AE97" s="645" t="str">
        <f t="shared" si="20"/>
        <v/>
      </c>
      <c r="AF97" s="1037" t="str">
        <f t="shared" si="21"/>
        <v/>
      </c>
      <c r="AG97" s="1037" t="str">
        <f t="shared" si="22"/>
        <v/>
      </c>
      <c r="AH97" s="1037" t="str">
        <f>IF(AE97="","",VLOOKUP(AE97,リスト!BI:BJ,2,0))</f>
        <v/>
      </c>
      <c r="AI97" s="1037" t="str">
        <f t="shared" si="35"/>
        <v/>
      </c>
      <c r="AJ97" s="1037" t="str">
        <f>IF(AI97="","",VLOOKUP(AI97,リスト!BW:BX,2,0))</f>
        <v/>
      </c>
      <c r="AK97" s="1037" t="str">
        <f t="shared" si="32"/>
        <v/>
      </c>
      <c r="AL97" s="685" t="str">
        <f t="shared" si="23"/>
        <v/>
      </c>
      <c r="AM97" s="646" t="str">
        <f t="shared" si="24"/>
        <v/>
      </c>
      <c r="AN97" s="646" t="str">
        <f t="shared" si="36"/>
        <v/>
      </c>
      <c r="AO97" s="647" t="str">
        <f t="shared" si="37"/>
        <v/>
      </c>
      <c r="AP97" s="647" t="str">
        <f t="shared" si="33"/>
        <v/>
      </c>
      <c r="AQ97" s="647" t="str">
        <f t="shared" si="25"/>
        <v/>
      </c>
      <c r="AR97" s="647" t="str">
        <f t="shared" si="26"/>
        <v/>
      </c>
      <c r="AS97" s="647" t="str">
        <f t="shared" si="27"/>
        <v/>
      </c>
      <c r="AT97" s="647" t="str">
        <f t="shared" si="34"/>
        <v/>
      </c>
      <c r="AU97" s="647" t="str">
        <f t="shared" si="28"/>
        <v/>
      </c>
      <c r="AV97" s="647" t="str">
        <f t="shared" si="29"/>
        <v/>
      </c>
      <c r="AW97" s="647" t="str">
        <f t="shared" si="30"/>
        <v/>
      </c>
      <c r="AX97" s="647" t="str">
        <f t="shared" si="31"/>
        <v/>
      </c>
    </row>
    <row r="98" spans="3:50" s="5" customFormat="1" ht="28.15" hidden="1" customHeight="1" outlineLevel="1">
      <c r="C98" s="649">
        <v>82</v>
      </c>
      <c r="D98" s="1855"/>
      <c r="E98" s="1856"/>
      <c r="F98" s="1856"/>
      <c r="G98" s="1856"/>
      <c r="H98" s="1856"/>
      <c r="I98" s="1856"/>
      <c r="J98" s="1856"/>
      <c r="K98" s="702"/>
      <c r="L98" s="1054"/>
      <c r="M98" s="705"/>
      <c r="N98" s="255"/>
      <c r="O98" s="1040"/>
      <c r="P98" s="1041"/>
      <c r="Q98" s="256"/>
      <c r="R98" s="267"/>
      <c r="S98" s="256"/>
      <c r="T98" s="256"/>
      <c r="U98" s="256"/>
      <c r="V98" s="256"/>
      <c r="W98" s="254"/>
      <c r="X98" s="703"/>
      <c r="Y98" s="125"/>
      <c r="Z98" s="431"/>
      <c r="AA98" s="499"/>
      <c r="AB98" s="741"/>
      <c r="AC98" s="51"/>
      <c r="AD98" s="51"/>
      <c r="AE98" s="645" t="str">
        <f t="shared" si="20"/>
        <v/>
      </c>
      <c r="AF98" s="1037" t="str">
        <f t="shared" si="21"/>
        <v/>
      </c>
      <c r="AG98" s="1037" t="str">
        <f t="shared" si="22"/>
        <v/>
      </c>
      <c r="AH98" s="1037" t="str">
        <f>IF(AE98="","",VLOOKUP(AE98,リスト!BI:BJ,2,0))</f>
        <v/>
      </c>
      <c r="AI98" s="1037" t="str">
        <f t="shared" si="35"/>
        <v/>
      </c>
      <c r="AJ98" s="1037" t="str">
        <f>IF(AI98="","",VLOOKUP(AI98,リスト!BW:BX,2,0))</f>
        <v/>
      </c>
      <c r="AK98" s="1037" t="str">
        <f t="shared" si="32"/>
        <v/>
      </c>
      <c r="AL98" s="685" t="str">
        <f t="shared" si="23"/>
        <v/>
      </c>
      <c r="AM98" s="646" t="str">
        <f t="shared" si="24"/>
        <v/>
      </c>
      <c r="AN98" s="646" t="str">
        <f t="shared" si="36"/>
        <v/>
      </c>
      <c r="AO98" s="647" t="str">
        <f t="shared" si="37"/>
        <v/>
      </c>
      <c r="AP98" s="647" t="str">
        <f t="shared" si="33"/>
        <v/>
      </c>
      <c r="AQ98" s="647" t="str">
        <f t="shared" si="25"/>
        <v/>
      </c>
      <c r="AR98" s="647" t="str">
        <f t="shared" si="26"/>
        <v/>
      </c>
      <c r="AS98" s="647" t="str">
        <f t="shared" si="27"/>
        <v/>
      </c>
      <c r="AT98" s="647" t="str">
        <f t="shared" si="34"/>
        <v/>
      </c>
      <c r="AU98" s="647" t="str">
        <f t="shared" si="28"/>
        <v/>
      </c>
      <c r="AV98" s="647" t="str">
        <f t="shared" si="29"/>
        <v/>
      </c>
      <c r="AW98" s="647" t="str">
        <f t="shared" si="30"/>
        <v/>
      </c>
      <c r="AX98" s="647" t="str">
        <f t="shared" si="31"/>
        <v/>
      </c>
    </row>
    <row r="99" spans="3:50" s="5" customFormat="1" ht="28.15" hidden="1" customHeight="1" outlineLevel="1">
      <c r="C99" s="649">
        <v>83</v>
      </c>
      <c r="D99" s="1865"/>
      <c r="E99" s="1866"/>
      <c r="F99" s="1866"/>
      <c r="G99" s="1866"/>
      <c r="H99" s="1866"/>
      <c r="I99" s="1866"/>
      <c r="J99" s="1866"/>
      <c r="K99" s="704"/>
      <c r="L99" s="1055"/>
      <c r="M99" s="705"/>
      <c r="N99" s="255"/>
      <c r="O99" s="1042"/>
      <c r="P99" s="1041"/>
      <c r="Q99" s="256"/>
      <c r="R99" s="267"/>
      <c r="S99" s="256"/>
      <c r="T99" s="256"/>
      <c r="U99" s="256"/>
      <c r="V99" s="256"/>
      <c r="W99" s="254"/>
      <c r="X99" s="703"/>
      <c r="Y99" s="125"/>
      <c r="Z99" s="431"/>
      <c r="AA99" s="499"/>
      <c r="AB99" s="741"/>
      <c r="AC99" s="51"/>
      <c r="AD99" s="51"/>
      <c r="AE99" s="645" t="str">
        <f t="shared" si="20"/>
        <v/>
      </c>
      <c r="AF99" s="1037" t="str">
        <f t="shared" si="21"/>
        <v/>
      </c>
      <c r="AG99" s="1037" t="str">
        <f t="shared" si="22"/>
        <v/>
      </c>
      <c r="AH99" s="1037" t="str">
        <f>IF(AE99="","",VLOOKUP(AE99,リスト!BI:BJ,2,0))</f>
        <v/>
      </c>
      <c r="AI99" s="1037" t="str">
        <f t="shared" si="35"/>
        <v/>
      </c>
      <c r="AJ99" s="1037" t="str">
        <f>IF(AI99="","",VLOOKUP(AI99,リスト!BW:BX,2,0))</f>
        <v/>
      </c>
      <c r="AK99" s="1037" t="str">
        <f t="shared" si="32"/>
        <v/>
      </c>
      <c r="AL99" s="685" t="str">
        <f t="shared" si="23"/>
        <v/>
      </c>
      <c r="AM99" s="646" t="str">
        <f t="shared" si="24"/>
        <v/>
      </c>
      <c r="AN99" s="646" t="str">
        <f t="shared" si="36"/>
        <v/>
      </c>
      <c r="AO99" s="647" t="str">
        <f t="shared" si="37"/>
        <v/>
      </c>
      <c r="AP99" s="647" t="str">
        <f t="shared" si="33"/>
        <v/>
      </c>
      <c r="AQ99" s="647" t="str">
        <f t="shared" si="25"/>
        <v/>
      </c>
      <c r="AR99" s="647" t="str">
        <f t="shared" si="26"/>
        <v/>
      </c>
      <c r="AS99" s="647" t="str">
        <f t="shared" si="27"/>
        <v/>
      </c>
      <c r="AT99" s="647" t="str">
        <f t="shared" si="34"/>
        <v/>
      </c>
      <c r="AU99" s="647" t="str">
        <f t="shared" si="28"/>
        <v/>
      </c>
      <c r="AV99" s="647" t="str">
        <f t="shared" si="29"/>
        <v/>
      </c>
      <c r="AW99" s="647" t="str">
        <f t="shared" si="30"/>
        <v/>
      </c>
      <c r="AX99" s="647" t="str">
        <f t="shared" si="31"/>
        <v/>
      </c>
    </row>
    <row r="100" spans="3:50" s="5" customFormat="1" ht="28.15" hidden="1" customHeight="1" outlineLevel="1">
      <c r="C100" s="649">
        <v>84</v>
      </c>
      <c r="D100" s="1855"/>
      <c r="E100" s="1856"/>
      <c r="F100" s="1856"/>
      <c r="G100" s="1856"/>
      <c r="H100" s="1856"/>
      <c r="I100" s="1856"/>
      <c r="J100" s="1856"/>
      <c r="K100" s="702"/>
      <c r="L100" s="1054"/>
      <c r="M100" s="705"/>
      <c r="N100" s="255"/>
      <c r="O100" s="1040"/>
      <c r="P100" s="1041"/>
      <c r="Q100" s="256"/>
      <c r="R100" s="267"/>
      <c r="S100" s="256"/>
      <c r="T100" s="256"/>
      <c r="U100" s="256"/>
      <c r="V100" s="256"/>
      <c r="W100" s="254"/>
      <c r="X100" s="703"/>
      <c r="Y100" s="125"/>
      <c r="Z100" s="431"/>
      <c r="AA100" s="499"/>
      <c r="AB100" s="741"/>
      <c r="AC100" s="51"/>
      <c r="AD100" s="51"/>
      <c r="AE100" s="645" t="str">
        <f t="shared" si="20"/>
        <v/>
      </c>
      <c r="AF100" s="1037" t="str">
        <f t="shared" si="21"/>
        <v/>
      </c>
      <c r="AG100" s="1037" t="str">
        <f t="shared" si="22"/>
        <v/>
      </c>
      <c r="AH100" s="1037" t="str">
        <f>IF(AE100="","",VLOOKUP(AE100,リスト!BI:BJ,2,0))</f>
        <v/>
      </c>
      <c r="AI100" s="1037" t="str">
        <f t="shared" si="35"/>
        <v/>
      </c>
      <c r="AJ100" s="1037" t="str">
        <f>IF(AI100="","",VLOOKUP(AI100,リスト!BW:BX,2,0))</f>
        <v/>
      </c>
      <c r="AK100" s="1037" t="str">
        <f t="shared" si="32"/>
        <v/>
      </c>
      <c r="AL100" s="685" t="str">
        <f t="shared" si="23"/>
        <v/>
      </c>
      <c r="AM100" s="646" t="str">
        <f t="shared" si="24"/>
        <v/>
      </c>
      <c r="AN100" s="646" t="str">
        <f t="shared" si="36"/>
        <v/>
      </c>
      <c r="AO100" s="647" t="str">
        <f t="shared" si="37"/>
        <v/>
      </c>
      <c r="AP100" s="647" t="str">
        <f t="shared" si="33"/>
        <v/>
      </c>
      <c r="AQ100" s="647" t="str">
        <f t="shared" si="25"/>
        <v/>
      </c>
      <c r="AR100" s="647" t="str">
        <f t="shared" si="26"/>
        <v/>
      </c>
      <c r="AS100" s="647" t="str">
        <f t="shared" si="27"/>
        <v/>
      </c>
      <c r="AT100" s="647" t="str">
        <f t="shared" si="34"/>
        <v/>
      </c>
      <c r="AU100" s="647" t="str">
        <f t="shared" si="28"/>
        <v/>
      </c>
      <c r="AV100" s="647" t="str">
        <f t="shared" si="29"/>
        <v/>
      </c>
      <c r="AW100" s="647" t="str">
        <f t="shared" si="30"/>
        <v/>
      </c>
      <c r="AX100" s="647" t="str">
        <f t="shared" si="31"/>
        <v/>
      </c>
    </row>
    <row r="101" spans="3:50" s="5" customFormat="1" ht="28.15" hidden="1" customHeight="1" outlineLevel="1">
      <c r="C101" s="649">
        <v>85</v>
      </c>
      <c r="D101" s="1865"/>
      <c r="E101" s="1866"/>
      <c r="F101" s="1866"/>
      <c r="G101" s="1866"/>
      <c r="H101" s="1866"/>
      <c r="I101" s="1866"/>
      <c r="J101" s="1866"/>
      <c r="K101" s="704"/>
      <c r="L101" s="1055"/>
      <c r="M101" s="705"/>
      <c r="N101" s="255"/>
      <c r="O101" s="1042"/>
      <c r="P101" s="1043"/>
      <c r="Q101" s="256"/>
      <c r="R101" s="267"/>
      <c r="S101" s="256"/>
      <c r="T101" s="256"/>
      <c r="U101" s="256"/>
      <c r="V101" s="256"/>
      <c r="W101" s="254"/>
      <c r="X101" s="703"/>
      <c r="Y101" s="125"/>
      <c r="Z101" s="431"/>
      <c r="AA101" s="499"/>
      <c r="AB101" s="741"/>
      <c r="AC101" s="51"/>
      <c r="AD101" s="51"/>
      <c r="AE101" s="645" t="str">
        <f t="shared" si="20"/>
        <v/>
      </c>
      <c r="AF101" s="1037" t="str">
        <f t="shared" si="21"/>
        <v/>
      </c>
      <c r="AG101" s="1037" t="str">
        <f t="shared" si="22"/>
        <v/>
      </c>
      <c r="AH101" s="1037" t="str">
        <f>IF(AE101="","",VLOOKUP(AE101,リスト!BI:BJ,2,0))</f>
        <v/>
      </c>
      <c r="AI101" s="1037" t="str">
        <f t="shared" si="35"/>
        <v/>
      </c>
      <c r="AJ101" s="1037" t="str">
        <f>IF(AI101="","",VLOOKUP(AI101,リスト!BW:BX,2,0))</f>
        <v/>
      </c>
      <c r="AK101" s="1037" t="str">
        <f t="shared" si="32"/>
        <v/>
      </c>
      <c r="AL101" s="685" t="str">
        <f t="shared" si="23"/>
        <v/>
      </c>
      <c r="AM101" s="646" t="str">
        <f t="shared" si="24"/>
        <v/>
      </c>
      <c r="AN101" s="646" t="str">
        <f t="shared" si="36"/>
        <v/>
      </c>
      <c r="AO101" s="647" t="str">
        <f t="shared" si="37"/>
        <v/>
      </c>
      <c r="AP101" s="647" t="str">
        <f t="shared" si="33"/>
        <v/>
      </c>
      <c r="AQ101" s="647" t="str">
        <f t="shared" si="25"/>
        <v/>
      </c>
      <c r="AR101" s="647" t="str">
        <f t="shared" si="26"/>
        <v/>
      </c>
      <c r="AS101" s="647" t="str">
        <f t="shared" si="27"/>
        <v/>
      </c>
      <c r="AT101" s="647" t="str">
        <f t="shared" si="34"/>
        <v/>
      </c>
      <c r="AU101" s="647" t="str">
        <f t="shared" si="28"/>
        <v/>
      </c>
      <c r="AV101" s="647" t="str">
        <f t="shared" si="29"/>
        <v/>
      </c>
      <c r="AW101" s="647" t="str">
        <f t="shared" si="30"/>
        <v/>
      </c>
      <c r="AX101" s="647" t="str">
        <f t="shared" si="31"/>
        <v/>
      </c>
    </row>
    <row r="102" spans="3:50" s="5" customFormat="1" ht="28.15" hidden="1" customHeight="1" outlineLevel="1">
      <c r="C102" s="649">
        <v>86</v>
      </c>
      <c r="D102" s="1855"/>
      <c r="E102" s="1856"/>
      <c r="F102" s="1856"/>
      <c r="G102" s="1856"/>
      <c r="H102" s="1856"/>
      <c r="I102" s="1856"/>
      <c r="J102" s="1856"/>
      <c r="K102" s="702"/>
      <c r="L102" s="1054"/>
      <c r="M102" s="705"/>
      <c r="N102" s="255"/>
      <c r="O102" s="1040"/>
      <c r="P102" s="1044"/>
      <c r="Q102" s="256"/>
      <c r="R102" s="267"/>
      <c r="S102" s="256"/>
      <c r="T102" s="256"/>
      <c r="U102" s="256"/>
      <c r="V102" s="256"/>
      <c r="W102" s="254"/>
      <c r="X102" s="703"/>
      <c r="Y102" s="125"/>
      <c r="Z102" s="431"/>
      <c r="AA102" s="499"/>
      <c r="AB102" s="741"/>
      <c r="AC102" s="51"/>
      <c r="AD102" s="51"/>
      <c r="AE102" s="645" t="str">
        <f t="shared" si="20"/>
        <v/>
      </c>
      <c r="AF102" s="1037" t="str">
        <f t="shared" si="21"/>
        <v/>
      </c>
      <c r="AG102" s="1037" t="str">
        <f t="shared" si="22"/>
        <v/>
      </c>
      <c r="AH102" s="1037" t="str">
        <f>IF(AE102="","",VLOOKUP(AE102,リスト!BI:BJ,2,0))</f>
        <v/>
      </c>
      <c r="AI102" s="1037" t="str">
        <f t="shared" si="35"/>
        <v/>
      </c>
      <c r="AJ102" s="1037" t="str">
        <f>IF(AI102="","",VLOOKUP(AI102,リスト!BW:BX,2,0))</f>
        <v/>
      </c>
      <c r="AK102" s="1037" t="str">
        <f t="shared" si="32"/>
        <v/>
      </c>
      <c r="AL102" s="685" t="str">
        <f t="shared" si="23"/>
        <v/>
      </c>
      <c r="AM102" s="646" t="str">
        <f t="shared" si="24"/>
        <v/>
      </c>
      <c r="AN102" s="646" t="str">
        <f t="shared" si="36"/>
        <v/>
      </c>
      <c r="AO102" s="647" t="str">
        <f t="shared" si="37"/>
        <v/>
      </c>
      <c r="AP102" s="647" t="str">
        <f t="shared" si="33"/>
        <v/>
      </c>
      <c r="AQ102" s="647" t="str">
        <f t="shared" si="25"/>
        <v/>
      </c>
      <c r="AR102" s="647" t="str">
        <f t="shared" si="26"/>
        <v/>
      </c>
      <c r="AS102" s="647" t="str">
        <f t="shared" si="27"/>
        <v/>
      </c>
      <c r="AT102" s="647" t="str">
        <f t="shared" si="34"/>
        <v/>
      </c>
      <c r="AU102" s="647" t="str">
        <f t="shared" si="28"/>
        <v/>
      </c>
      <c r="AV102" s="647" t="str">
        <f t="shared" si="29"/>
        <v/>
      </c>
      <c r="AW102" s="647" t="str">
        <f t="shared" si="30"/>
        <v/>
      </c>
      <c r="AX102" s="647" t="str">
        <f t="shared" si="31"/>
        <v/>
      </c>
    </row>
    <row r="103" spans="3:50" s="5" customFormat="1" ht="28.15" hidden="1" customHeight="1" outlineLevel="1">
      <c r="C103" s="649">
        <v>87</v>
      </c>
      <c r="D103" s="1855"/>
      <c r="E103" s="1856"/>
      <c r="F103" s="1856"/>
      <c r="G103" s="1856"/>
      <c r="H103" s="1856"/>
      <c r="I103" s="1856"/>
      <c r="J103" s="1856"/>
      <c r="K103" s="702"/>
      <c r="L103" s="1054"/>
      <c r="M103" s="705"/>
      <c r="N103" s="255"/>
      <c r="O103" s="1040"/>
      <c r="P103" s="1044"/>
      <c r="Q103" s="256"/>
      <c r="R103" s="267"/>
      <c r="S103" s="256"/>
      <c r="T103" s="256"/>
      <c r="U103" s="256"/>
      <c r="V103" s="256"/>
      <c r="W103" s="254"/>
      <c r="X103" s="703"/>
      <c r="Y103" s="125"/>
      <c r="Z103" s="431"/>
      <c r="AA103" s="499"/>
      <c r="AB103" s="741"/>
      <c r="AC103" s="51"/>
      <c r="AD103" s="51"/>
      <c r="AE103" s="645" t="str">
        <f t="shared" si="20"/>
        <v/>
      </c>
      <c r="AF103" s="1037" t="str">
        <f t="shared" si="21"/>
        <v/>
      </c>
      <c r="AG103" s="1037" t="str">
        <f t="shared" si="22"/>
        <v/>
      </c>
      <c r="AH103" s="1037" t="str">
        <f>IF(AE103="","",VLOOKUP(AE103,リスト!BI:BJ,2,0))</f>
        <v/>
      </c>
      <c r="AI103" s="1037" t="str">
        <f t="shared" si="35"/>
        <v/>
      </c>
      <c r="AJ103" s="1037" t="str">
        <f>IF(AI103="","",VLOOKUP(AI103,リスト!BW:BX,2,0))</f>
        <v/>
      </c>
      <c r="AK103" s="1037" t="str">
        <f t="shared" si="32"/>
        <v/>
      </c>
      <c r="AL103" s="685" t="str">
        <f t="shared" si="23"/>
        <v/>
      </c>
      <c r="AM103" s="646" t="str">
        <f t="shared" si="24"/>
        <v/>
      </c>
      <c r="AN103" s="646" t="str">
        <f t="shared" si="36"/>
        <v/>
      </c>
      <c r="AO103" s="647" t="str">
        <f t="shared" si="37"/>
        <v/>
      </c>
      <c r="AP103" s="647" t="str">
        <f t="shared" si="33"/>
        <v/>
      </c>
      <c r="AQ103" s="647" t="str">
        <f t="shared" si="25"/>
        <v/>
      </c>
      <c r="AR103" s="647" t="str">
        <f t="shared" si="26"/>
        <v/>
      </c>
      <c r="AS103" s="647" t="str">
        <f t="shared" si="27"/>
        <v/>
      </c>
      <c r="AT103" s="647" t="str">
        <f t="shared" si="34"/>
        <v/>
      </c>
      <c r="AU103" s="647" t="str">
        <f t="shared" si="28"/>
        <v/>
      </c>
      <c r="AV103" s="647" t="str">
        <f t="shared" si="29"/>
        <v/>
      </c>
      <c r="AW103" s="647" t="str">
        <f t="shared" si="30"/>
        <v/>
      </c>
      <c r="AX103" s="647" t="str">
        <f t="shared" si="31"/>
        <v/>
      </c>
    </row>
    <row r="104" spans="3:50" s="5" customFormat="1" ht="28.15" hidden="1" customHeight="1" outlineLevel="1">
      <c r="C104" s="649">
        <v>88</v>
      </c>
      <c r="D104" s="1855"/>
      <c r="E104" s="1856"/>
      <c r="F104" s="1856"/>
      <c r="G104" s="1856"/>
      <c r="H104" s="1856"/>
      <c r="I104" s="1856"/>
      <c r="J104" s="1856"/>
      <c r="K104" s="702"/>
      <c r="L104" s="1054"/>
      <c r="M104" s="705"/>
      <c r="N104" s="257"/>
      <c r="O104" s="1040"/>
      <c r="P104" s="1044"/>
      <c r="Q104" s="256"/>
      <c r="R104" s="267"/>
      <c r="S104" s="256"/>
      <c r="T104" s="256"/>
      <c r="U104" s="256"/>
      <c r="V104" s="256"/>
      <c r="W104" s="254"/>
      <c r="X104" s="703"/>
      <c r="Y104" s="125"/>
      <c r="Z104" s="431"/>
      <c r="AA104" s="499"/>
      <c r="AB104" s="741"/>
      <c r="AC104" s="51"/>
      <c r="AD104" s="51"/>
      <c r="AE104" s="645" t="str">
        <f t="shared" si="20"/>
        <v/>
      </c>
      <c r="AF104" s="1037" t="str">
        <f t="shared" si="21"/>
        <v/>
      </c>
      <c r="AG104" s="1037" t="str">
        <f t="shared" si="22"/>
        <v/>
      </c>
      <c r="AH104" s="1037" t="str">
        <f>IF(AE104="","",VLOOKUP(AE104,リスト!BI:BJ,2,0))</f>
        <v/>
      </c>
      <c r="AI104" s="1037" t="str">
        <f t="shared" si="35"/>
        <v/>
      </c>
      <c r="AJ104" s="1037" t="str">
        <f>IF(AI104="","",VLOOKUP(AI104,リスト!BW:BX,2,0))</f>
        <v/>
      </c>
      <c r="AK104" s="1037" t="str">
        <f t="shared" si="32"/>
        <v/>
      </c>
      <c r="AL104" s="685" t="str">
        <f t="shared" si="23"/>
        <v/>
      </c>
      <c r="AM104" s="646" t="str">
        <f t="shared" si="24"/>
        <v/>
      </c>
      <c r="AN104" s="646" t="str">
        <f t="shared" si="36"/>
        <v/>
      </c>
      <c r="AO104" s="647" t="str">
        <f t="shared" si="37"/>
        <v/>
      </c>
      <c r="AP104" s="647" t="str">
        <f t="shared" si="33"/>
        <v/>
      </c>
      <c r="AQ104" s="647" t="str">
        <f t="shared" si="25"/>
        <v/>
      </c>
      <c r="AR104" s="647" t="str">
        <f t="shared" si="26"/>
        <v/>
      </c>
      <c r="AS104" s="647" t="str">
        <f t="shared" si="27"/>
        <v/>
      </c>
      <c r="AT104" s="647" t="str">
        <f t="shared" si="34"/>
        <v/>
      </c>
      <c r="AU104" s="647" t="str">
        <f t="shared" si="28"/>
        <v/>
      </c>
      <c r="AV104" s="647" t="str">
        <f t="shared" si="29"/>
        <v/>
      </c>
      <c r="AW104" s="647" t="str">
        <f t="shared" si="30"/>
        <v/>
      </c>
      <c r="AX104" s="647" t="str">
        <f t="shared" si="31"/>
        <v/>
      </c>
    </row>
    <row r="105" spans="3:50" s="5" customFormat="1" ht="28.15" hidden="1" customHeight="1" outlineLevel="1">
      <c r="C105" s="649">
        <v>89</v>
      </c>
      <c r="D105" s="1855"/>
      <c r="E105" s="1856"/>
      <c r="F105" s="1856"/>
      <c r="G105" s="1856"/>
      <c r="H105" s="1856"/>
      <c r="I105" s="1856"/>
      <c r="J105" s="1856"/>
      <c r="K105" s="702"/>
      <c r="L105" s="1054"/>
      <c r="M105" s="705"/>
      <c r="N105" s="255"/>
      <c r="O105" s="1040"/>
      <c r="P105" s="1044"/>
      <c r="Q105" s="256"/>
      <c r="R105" s="267"/>
      <c r="S105" s="256"/>
      <c r="T105" s="256"/>
      <c r="U105" s="256"/>
      <c r="V105" s="256"/>
      <c r="W105" s="254"/>
      <c r="X105" s="703"/>
      <c r="Y105" s="125"/>
      <c r="Z105" s="431"/>
      <c r="AA105" s="499"/>
      <c r="AB105" s="741"/>
      <c r="AC105" s="51"/>
      <c r="AD105" s="51"/>
      <c r="AE105" s="645" t="str">
        <f t="shared" si="20"/>
        <v/>
      </c>
      <c r="AF105" s="1037" t="str">
        <f t="shared" si="21"/>
        <v/>
      </c>
      <c r="AG105" s="1037" t="str">
        <f t="shared" si="22"/>
        <v/>
      </c>
      <c r="AH105" s="1037" t="str">
        <f>IF(AE105="","",VLOOKUP(AE105,リスト!BI:BJ,2,0))</f>
        <v/>
      </c>
      <c r="AI105" s="1037" t="str">
        <f t="shared" si="35"/>
        <v/>
      </c>
      <c r="AJ105" s="1037" t="str">
        <f>IF(AI105="","",VLOOKUP(AI105,リスト!BW:BX,2,0))</f>
        <v/>
      </c>
      <c r="AK105" s="1037" t="str">
        <f t="shared" si="32"/>
        <v/>
      </c>
      <c r="AL105" s="685" t="str">
        <f t="shared" si="23"/>
        <v/>
      </c>
      <c r="AM105" s="646" t="str">
        <f t="shared" si="24"/>
        <v/>
      </c>
      <c r="AN105" s="646" t="str">
        <f t="shared" si="36"/>
        <v/>
      </c>
      <c r="AO105" s="647" t="str">
        <f t="shared" si="37"/>
        <v/>
      </c>
      <c r="AP105" s="647" t="str">
        <f t="shared" si="33"/>
        <v/>
      </c>
      <c r="AQ105" s="647" t="str">
        <f t="shared" si="25"/>
        <v/>
      </c>
      <c r="AR105" s="647" t="str">
        <f t="shared" si="26"/>
        <v/>
      </c>
      <c r="AS105" s="647" t="str">
        <f t="shared" si="27"/>
        <v/>
      </c>
      <c r="AT105" s="647" t="str">
        <f t="shared" si="34"/>
        <v/>
      </c>
      <c r="AU105" s="647" t="str">
        <f t="shared" si="28"/>
        <v/>
      </c>
      <c r="AV105" s="647" t="str">
        <f t="shared" si="29"/>
        <v/>
      </c>
      <c r="AW105" s="647" t="str">
        <f t="shared" si="30"/>
        <v/>
      </c>
      <c r="AX105" s="647" t="str">
        <f t="shared" si="31"/>
        <v/>
      </c>
    </row>
    <row r="106" spans="3:50" s="5" customFormat="1" ht="28.15" hidden="1" customHeight="1" outlineLevel="1">
      <c r="C106" s="649">
        <v>90</v>
      </c>
      <c r="D106" s="1855"/>
      <c r="E106" s="1856"/>
      <c r="F106" s="1856"/>
      <c r="G106" s="1856"/>
      <c r="H106" s="1856"/>
      <c r="I106" s="1856"/>
      <c r="J106" s="1856"/>
      <c r="K106" s="702"/>
      <c r="L106" s="1054"/>
      <c r="M106" s="705"/>
      <c r="N106" s="257"/>
      <c r="O106" s="1040"/>
      <c r="P106" s="1044"/>
      <c r="Q106" s="256"/>
      <c r="R106" s="267"/>
      <c r="S106" s="256"/>
      <c r="T106" s="256"/>
      <c r="U106" s="256"/>
      <c r="V106" s="256"/>
      <c r="W106" s="254"/>
      <c r="X106" s="703"/>
      <c r="Y106" s="125"/>
      <c r="Z106" s="431"/>
      <c r="AA106" s="499"/>
      <c r="AB106" s="741"/>
      <c r="AC106" s="51"/>
      <c r="AD106" s="51"/>
      <c r="AE106" s="645" t="str">
        <f t="shared" si="20"/>
        <v/>
      </c>
      <c r="AF106" s="1037" t="str">
        <f t="shared" si="21"/>
        <v/>
      </c>
      <c r="AG106" s="1037" t="str">
        <f t="shared" si="22"/>
        <v/>
      </c>
      <c r="AH106" s="1037" t="str">
        <f>IF(AE106="","",VLOOKUP(AE106,リスト!BI:BJ,2,0))</f>
        <v/>
      </c>
      <c r="AI106" s="1037" t="str">
        <f t="shared" si="35"/>
        <v/>
      </c>
      <c r="AJ106" s="1037" t="str">
        <f>IF(AI106="","",VLOOKUP(AI106,リスト!BW:BX,2,0))</f>
        <v/>
      </c>
      <c r="AK106" s="1037" t="str">
        <f t="shared" si="32"/>
        <v/>
      </c>
      <c r="AL106" s="685" t="str">
        <f t="shared" si="23"/>
        <v/>
      </c>
      <c r="AM106" s="646" t="str">
        <f t="shared" si="24"/>
        <v/>
      </c>
      <c r="AN106" s="646" t="str">
        <f t="shared" si="36"/>
        <v/>
      </c>
      <c r="AO106" s="647" t="str">
        <f t="shared" si="37"/>
        <v/>
      </c>
      <c r="AP106" s="647" t="str">
        <f t="shared" si="33"/>
        <v/>
      </c>
      <c r="AQ106" s="647" t="str">
        <f t="shared" si="25"/>
        <v/>
      </c>
      <c r="AR106" s="647" t="str">
        <f t="shared" si="26"/>
        <v/>
      </c>
      <c r="AS106" s="647" t="str">
        <f t="shared" si="27"/>
        <v/>
      </c>
      <c r="AT106" s="647" t="str">
        <f t="shared" si="34"/>
        <v/>
      </c>
      <c r="AU106" s="647" t="str">
        <f t="shared" si="28"/>
        <v/>
      </c>
      <c r="AV106" s="647" t="str">
        <f t="shared" si="29"/>
        <v/>
      </c>
      <c r="AW106" s="647" t="str">
        <f t="shared" si="30"/>
        <v/>
      </c>
      <c r="AX106" s="647" t="str">
        <f t="shared" si="31"/>
        <v/>
      </c>
    </row>
    <row r="107" spans="3:50" s="5" customFormat="1" ht="28.15" hidden="1" customHeight="1" outlineLevel="1">
      <c r="C107" s="649">
        <v>91</v>
      </c>
      <c r="D107" s="1855"/>
      <c r="E107" s="1856"/>
      <c r="F107" s="1856"/>
      <c r="G107" s="1856"/>
      <c r="H107" s="1856"/>
      <c r="I107" s="1856"/>
      <c r="J107" s="1856"/>
      <c r="K107" s="702"/>
      <c r="L107" s="1054"/>
      <c r="M107" s="705"/>
      <c r="N107" s="255"/>
      <c r="O107" s="1040"/>
      <c r="P107" s="1044"/>
      <c r="Q107" s="256"/>
      <c r="R107" s="267"/>
      <c r="S107" s="256"/>
      <c r="T107" s="256"/>
      <c r="U107" s="256"/>
      <c r="V107" s="256"/>
      <c r="W107" s="254"/>
      <c r="X107" s="703"/>
      <c r="Y107" s="125"/>
      <c r="Z107" s="431"/>
      <c r="AA107" s="499"/>
      <c r="AB107" s="741"/>
      <c r="AC107" s="51"/>
      <c r="AD107" s="51"/>
      <c r="AE107" s="645" t="str">
        <f t="shared" si="20"/>
        <v/>
      </c>
      <c r="AF107" s="1037" t="str">
        <f t="shared" si="21"/>
        <v/>
      </c>
      <c r="AG107" s="1037" t="str">
        <f t="shared" si="22"/>
        <v/>
      </c>
      <c r="AH107" s="1037" t="str">
        <f>IF(AE107="","",VLOOKUP(AE107,リスト!BI:BJ,2,0))</f>
        <v/>
      </c>
      <c r="AI107" s="1037" t="str">
        <f t="shared" si="35"/>
        <v/>
      </c>
      <c r="AJ107" s="1037" t="str">
        <f>IF(AI107="","",VLOOKUP(AI107,リスト!BW:BX,2,0))</f>
        <v/>
      </c>
      <c r="AK107" s="1037" t="str">
        <f t="shared" si="32"/>
        <v/>
      </c>
      <c r="AL107" s="685" t="str">
        <f t="shared" si="23"/>
        <v/>
      </c>
      <c r="AM107" s="646" t="str">
        <f t="shared" si="24"/>
        <v/>
      </c>
      <c r="AN107" s="646" t="str">
        <f t="shared" si="36"/>
        <v/>
      </c>
      <c r="AO107" s="647" t="str">
        <f t="shared" si="37"/>
        <v/>
      </c>
      <c r="AP107" s="647" t="str">
        <f t="shared" si="33"/>
        <v/>
      </c>
      <c r="AQ107" s="647" t="str">
        <f t="shared" si="25"/>
        <v/>
      </c>
      <c r="AR107" s="647" t="str">
        <f t="shared" si="26"/>
        <v/>
      </c>
      <c r="AS107" s="647" t="str">
        <f t="shared" si="27"/>
        <v/>
      </c>
      <c r="AT107" s="647" t="str">
        <f t="shared" si="34"/>
        <v/>
      </c>
      <c r="AU107" s="647" t="str">
        <f t="shared" si="28"/>
        <v/>
      </c>
      <c r="AV107" s="647" t="str">
        <f t="shared" si="29"/>
        <v/>
      </c>
      <c r="AW107" s="647" t="str">
        <f t="shared" si="30"/>
        <v/>
      </c>
      <c r="AX107" s="647" t="str">
        <f t="shared" si="31"/>
        <v/>
      </c>
    </row>
    <row r="108" spans="3:50" s="5" customFormat="1" ht="28.15" hidden="1" customHeight="1" outlineLevel="1">
      <c r="C108" s="649">
        <v>92</v>
      </c>
      <c r="D108" s="1855"/>
      <c r="E108" s="1856"/>
      <c r="F108" s="1856"/>
      <c r="G108" s="1856"/>
      <c r="H108" s="1856"/>
      <c r="I108" s="1856"/>
      <c r="J108" s="1857"/>
      <c r="K108" s="702"/>
      <c r="L108" s="1054"/>
      <c r="M108" s="666"/>
      <c r="N108" s="266"/>
      <c r="O108" s="1040"/>
      <c r="P108" s="1041"/>
      <c r="Q108" s="267"/>
      <c r="R108" s="267"/>
      <c r="S108" s="267"/>
      <c r="T108" s="267"/>
      <c r="U108" s="267"/>
      <c r="V108" s="267"/>
      <c r="W108" s="254"/>
      <c r="X108" s="703"/>
      <c r="Y108" s="125"/>
      <c r="Z108" s="431"/>
      <c r="AA108" s="499"/>
      <c r="AB108" s="741"/>
      <c r="AC108" s="51"/>
      <c r="AD108" s="51"/>
      <c r="AE108" s="645" t="str">
        <f t="shared" si="20"/>
        <v/>
      </c>
      <c r="AF108" s="1037" t="str">
        <f t="shared" si="21"/>
        <v/>
      </c>
      <c r="AG108" s="1037" t="str">
        <f t="shared" si="22"/>
        <v/>
      </c>
      <c r="AH108" s="1037" t="str">
        <f>IF(AE108="","",VLOOKUP(AE108,リスト!BI:BJ,2,0))</f>
        <v/>
      </c>
      <c r="AI108" s="1037" t="str">
        <f t="shared" si="35"/>
        <v/>
      </c>
      <c r="AJ108" s="1037" t="str">
        <f>IF(AI108="","",VLOOKUP(AI108,リスト!BW:BX,2,0))</f>
        <v/>
      </c>
      <c r="AK108" s="1037" t="str">
        <f t="shared" si="32"/>
        <v/>
      </c>
      <c r="AL108" s="685" t="str">
        <f t="shared" si="23"/>
        <v/>
      </c>
      <c r="AM108" s="646" t="str">
        <f t="shared" si="24"/>
        <v/>
      </c>
      <c r="AN108" s="646" t="str">
        <f t="shared" si="36"/>
        <v/>
      </c>
      <c r="AO108" s="647" t="str">
        <f t="shared" si="37"/>
        <v/>
      </c>
      <c r="AP108" s="647" t="str">
        <f t="shared" si="33"/>
        <v/>
      </c>
      <c r="AQ108" s="647" t="str">
        <f t="shared" si="25"/>
        <v/>
      </c>
      <c r="AR108" s="647" t="str">
        <f t="shared" si="26"/>
        <v/>
      </c>
      <c r="AS108" s="647" t="str">
        <f t="shared" si="27"/>
        <v/>
      </c>
      <c r="AT108" s="647" t="str">
        <f t="shared" si="34"/>
        <v/>
      </c>
      <c r="AU108" s="647" t="str">
        <f t="shared" si="28"/>
        <v/>
      </c>
      <c r="AV108" s="647" t="str">
        <f t="shared" si="29"/>
        <v/>
      </c>
      <c r="AW108" s="647" t="str">
        <f t="shared" si="30"/>
        <v/>
      </c>
      <c r="AX108" s="647" t="str">
        <f t="shared" si="31"/>
        <v/>
      </c>
    </row>
    <row r="109" spans="3:50" s="5" customFormat="1" ht="28.15" hidden="1" customHeight="1" outlineLevel="1">
      <c r="C109" s="649">
        <v>93</v>
      </c>
      <c r="D109" s="1865"/>
      <c r="E109" s="1866"/>
      <c r="F109" s="1866"/>
      <c r="G109" s="1866"/>
      <c r="H109" s="1866"/>
      <c r="I109" s="1866"/>
      <c r="J109" s="1866"/>
      <c r="K109" s="704"/>
      <c r="L109" s="1055"/>
      <c r="M109" s="705"/>
      <c r="N109" s="257"/>
      <c r="O109" s="1042"/>
      <c r="P109" s="1041"/>
      <c r="Q109" s="256"/>
      <c r="R109" s="267"/>
      <c r="S109" s="256"/>
      <c r="T109" s="256"/>
      <c r="U109" s="256"/>
      <c r="V109" s="256"/>
      <c r="W109" s="254"/>
      <c r="X109" s="703"/>
      <c r="Y109" s="125"/>
      <c r="Z109" s="431"/>
      <c r="AA109" s="499"/>
      <c r="AB109" s="741"/>
      <c r="AC109" s="51"/>
      <c r="AD109" s="51"/>
      <c r="AE109" s="645" t="str">
        <f t="shared" si="20"/>
        <v/>
      </c>
      <c r="AF109" s="1037" t="str">
        <f t="shared" si="21"/>
        <v/>
      </c>
      <c r="AG109" s="1037" t="str">
        <f t="shared" si="22"/>
        <v/>
      </c>
      <c r="AH109" s="1037" t="str">
        <f>IF(AE109="","",VLOOKUP(AE109,リスト!BI:BJ,2,0))</f>
        <v/>
      </c>
      <c r="AI109" s="1037" t="str">
        <f t="shared" si="35"/>
        <v/>
      </c>
      <c r="AJ109" s="1037" t="str">
        <f>IF(AI109="","",VLOOKUP(AI109,リスト!BW:BX,2,0))</f>
        <v/>
      </c>
      <c r="AK109" s="1037" t="str">
        <f t="shared" si="32"/>
        <v/>
      </c>
      <c r="AL109" s="685" t="str">
        <f t="shared" si="23"/>
        <v/>
      </c>
      <c r="AM109" s="646" t="str">
        <f t="shared" si="24"/>
        <v/>
      </c>
      <c r="AN109" s="646" t="str">
        <f t="shared" si="36"/>
        <v/>
      </c>
      <c r="AO109" s="647" t="str">
        <f t="shared" si="37"/>
        <v/>
      </c>
      <c r="AP109" s="647" t="str">
        <f t="shared" si="33"/>
        <v/>
      </c>
      <c r="AQ109" s="647" t="str">
        <f t="shared" si="25"/>
        <v/>
      </c>
      <c r="AR109" s="647" t="str">
        <f t="shared" si="26"/>
        <v/>
      </c>
      <c r="AS109" s="647" t="str">
        <f t="shared" si="27"/>
        <v/>
      </c>
      <c r="AT109" s="647" t="str">
        <f t="shared" si="34"/>
        <v/>
      </c>
      <c r="AU109" s="647" t="str">
        <f t="shared" si="28"/>
        <v/>
      </c>
      <c r="AV109" s="647" t="str">
        <f t="shared" si="29"/>
        <v/>
      </c>
      <c r="AW109" s="647" t="str">
        <f t="shared" si="30"/>
        <v/>
      </c>
      <c r="AX109" s="647" t="str">
        <f t="shared" si="31"/>
        <v/>
      </c>
    </row>
    <row r="110" spans="3:50" s="5" customFormat="1" ht="28.15" hidden="1" customHeight="1" outlineLevel="1">
      <c r="C110" s="649">
        <v>94</v>
      </c>
      <c r="D110" s="1855"/>
      <c r="E110" s="1856"/>
      <c r="F110" s="1856"/>
      <c r="G110" s="1856"/>
      <c r="H110" s="1856"/>
      <c r="I110" s="1856"/>
      <c r="J110" s="1856"/>
      <c r="K110" s="702"/>
      <c r="L110" s="1054"/>
      <c r="M110" s="705"/>
      <c r="N110" s="255"/>
      <c r="O110" s="1040"/>
      <c r="P110" s="1041"/>
      <c r="Q110" s="256"/>
      <c r="R110" s="267"/>
      <c r="S110" s="256"/>
      <c r="T110" s="256"/>
      <c r="U110" s="256"/>
      <c r="V110" s="256"/>
      <c r="W110" s="254"/>
      <c r="X110" s="703"/>
      <c r="Y110" s="125"/>
      <c r="Z110" s="431"/>
      <c r="AA110" s="499"/>
      <c r="AB110" s="741"/>
      <c r="AC110" s="51"/>
      <c r="AD110" s="51"/>
      <c r="AE110" s="645" t="str">
        <f t="shared" si="20"/>
        <v/>
      </c>
      <c r="AF110" s="1037" t="str">
        <f t="shared" si="21"/>
        <v/>
      </c>
      <c r="AG110" s="1037" t="str">
        <f t="shared" si="22"/>
        <v/>
      </c>
      <c r="AH110" s="1037" t="str">
        <f>IF(AE110="","",VLOOKUP(AE110,リスト!BI:BJ,2,0))</f>
        <v/>
      </c>
      <c r="AI110" s="1037" t="str">
        <f t="shared" si="35"/>
        <v/>
      </c>
      <c r="AJ110" s="1037" t="str">
        <f>IF(AI110="","",VLOOKUP(AI110,リスト!BW:BX,2,0))</f>
        <v/>
      </c>
      <c r="AK110" s="1037" t="str">
        <f t="shared" si="32"/>
        <v/>
      </c>
      <c r="AL110" s="685" t="str">
        <f t="shared" si="23"/>
        <v/>
      </c>
      <c r="AM110" s="646" t="str">
        <f t="shared" si="24"/>
        <v/>
      </c>
      <c r="AN110" s="646" t="str">
        <f t="shared" si="36"/>
        <v/>
      </c>
      <c r="AO110" s="647" t="str">
        <f t="shared" si="37"/>
        <v/>
      </c>
      <c r="AP110" s="647" t="str">
        <f t="shared" si="33"/>
        <v/>
      </c>
      <c r="AQ110" s="647" t="str">
        <f t="shared" si="25"/>
        <v/>
      </c>
      <c r="AR110" s="647" t="str">
        <f t="shared" si="26"/>
        <v/>
      </c>
      <c r="AS110" s="647" t="str">
        <f t="shared" si="27"/>
        <v/>
      </c>
      <c r="AT110" s="647" t="str">
        <f t="shared" si="34"/>
        <v/>
      </c>
      <c r="AU110" s="647" t="str">
        <f t="shared" si="28"/>
        <v/>
      </c>
      <c r="AV110" s="647" t="str">
        <f t="shared" si="29"/>
        <v/>
      </c>
      <c r="AW110" s="647" t="str">
        <f t="shared" si="30"/>
        <v/>
      </c>
      <c r="AX110" s="647" t="str">
        <f t="shared" si="31"/>
        <v/>
      </c>
    </row>
    <row r="111" spans="3:50" s="5" customFormat="1" ht="28.15" hidden="1" customHeight="1" outlineLevel="1">
      <c r="C111" s="649">
        <v>95</v>
      </c>
      <c r="D111" s="1865"/>
      <c r="E111" s="1866"/>
      <c r="F111" s="1866"/>
      <c r="G111" s="1866"/>
      <c r="H111" s="1866"/>
      <c r="I111" s="1866"/>
      <c r="J111" s="1866"/>
      <c r="K111" s="704"/>
      <c r="L111" s="1055"/>
      <c r="M111" s="705"/>
      <c r="N111" s="257"/>
      <c r="O111" s="1042"/>
      <c r="P111" s="1041"/>
      <c r="Q111" s="256"/>
      <c r="R111" s="267"/>
      <c r="S111" s="256"/>
      <c r="T111" s="256"/>
      <c r="U111" s="256"/>
      <c r="V111" s="256"/>
      <c r="W111" s="254"/>
      <c r="X111" s="703"/>
      <c r="Y111" s="125"/>
      <c r="Z111" s="431"/>
      <c r="AA111" s="499"/>
      <c r="AB111" s="741"/>
      <c r="AC111" s="51"/>
      <c r="AD111" s="51"/>
      <c r="AE111" s="645" t="str">
        <f t="shared" si="20"/>
        <v/>
      </c>
      <c r="AF111" s="1037" t="str">
        <f t="shared" si="21"/>
        <v/>
      </c>
      <c r="AG111" s="1037" t="str">
        <f t="shared" si="22"/>
        <v/>
      </c>
      <c r="AH111" s="1037" t="str">
        <f>IF(AE111="","",VLOOKUP(AE111,リスト!BI:BJ,2,0))</f>
        <v/>
      </c>
      <c r="AI111" s="1037" t="str">
        <f t="shared" si="35"/>
        <v/>
      </c>
      <c r="AJ111" s="1037" t="str">
        <f>IF(AI111="","",VLOOKUP(AI111,リスト!BW:BX,2,0))</f>
        <v/>
      </c>
      <c r="AK111" s="1037" t="str">
        <f t="shared" si="32"/>
        <v/>
      </c>
      <c r="AL111" s="685" t="str">
        <f t="shared" si="23"/>
        <v/>
      </c>
      <c r="AM111" s="646" t="str">
        <f t="shared" si="24"/>
        <v/>
      </c>
      <c r="AN111" s="646" t="str">
        <f t="shared" si="36"/>
        <v/>
      </c>
      <c r="AO111" s="647" t="str">
        <f t="shared" si="37"/>
        <v/>
      </c>
      <c r="AP111" s="647" t="str">
        <f t="shared" si="33"/>
        <v/>
      </c>
      <c r="AQ111" s="647" t="str">
        <f t="shared" si="25"/>
        <v/>
      </c>
      <c r="AR111" s="647" t="str">
        <f t="shared" si="26"/>
        <v/>
      </c>
      <c r="AS111" s="647" t="str">
        <f t="shared" si="27"/>
        <v/>
      </c>
      <c r="AT111" s="647" t="str">
        <f t="shared" si="34"/>
        <v/>
      </c>
      <c r="AU111" s="647" t="str">
        <f t="shared" si="28"/>
        <v/>
      </c>
      <c r="AV111" s="647" t="str">
        <f t="shared" si="29"/>
        <v/>
      </c>
      <c r="AW111" s="647" t="str">
        <f t="shared" si="30"/>
        <v/>
      </c>
      <c r="AX111" s="647" t="str">
        <f t="shared" si="31"/>
        <v/>
      </c>
    </row>
    <row r="112" spans="3:50" s="5" customFormat="1" ht="28.15" hidden="1" customHeight="1" outlineLevel="1">
      <c r="C112" s="649">
        <v>96</v>
      </c>
      <c r="D112" s="1855"/>
      <c r="E112" s="1856"/>
      <c r="F112" s="1856"/>
      <c r="G112" s="1856"/>
      <c r="H112" s="1856"/>
      <c r="I112" s="1856"/>
      <c r="J112" s="1856"/>
      <c r="K112" s="702"/>
      <c r="L112" s="1054"/>
      <c r="M112" s="705"/>
      <c r="N112" s="255"/>
      <c r="O112" s="1040"/>
      <c r="P112" s="1041"/>
      <c r="Q112" s="256"/>
      <c r="R112" s="267"/>
      <c r="S112" s="256"/>
      <c r="T112" s="256"/>
      <c r="U112" s="256"/>
      <c r="V112" s="256"/>
      <c r="W112" s="254"/>
      <c r="X112" s="703"/>
      <c r="Y112" s="125"/>
      <c r="Z112" s="431"/>
      <c r="AA112" s="499"/>
      <c r="AB112" s="741"/>
      <c r="AC112" s="51"/>
      <c r="AD112" s="51"/>
      <c r="AE112" s="645" t="str">
        <f t="shared" si="20"/>
        <v/>
      </c>
      <c r="AF112" s="1037" t="str">
        <f t="shared" si="21"/>
        <v/>
      </c>
      <c r="AG112" s="1037" t="str">
        <f t="shared" si="22"/>
        <v/>
      </c>
      <c r="AH112" s="1037" t="str">
        <f>IF(AE112="","",VLOOKUP(AE112,リスト!BI:BJ,2,0))</f>
        <v/>
      </c>
      <c r="AI112" s="1037" t="str">
        <f t="shared" si="35"/>
        <v/>
      </c>
      <c r="AJ112" s="1037" t="str">
        <f>IF(AI112="","",VLOOKUP(AI112,リスト!BW:BX,2,0))</f>
        <v/>
      </c>
      <c r="AK112" s="1037" t="str">
        <f t="shared" si="32"/>
        <v/>
      </c>
      <c r="AL112" s="685" t="str">
        <f t="shared" si="23"/>
        <v/>
      </c>
      <c r="AM112" s="646" t="str">
        <f t="shared" si="24"/>
        <v/>
      </c>
      <c r="AN112" s="646" t="str">
        <f t="shared" si="36"/>
        <v/>
      </c>
      <c r="AO112" s="647" t="str">
        <f t="shared" si="37"/>
        <v/>
      </c>
      <c r="AP112" s="647" t="str">
        <f t="shared" si="33"/>
        <v/>
      </c>
      <c r="AQ112" s="647" t="str">
        <f t="shared" si="25"/>
        <v/>
      </c>
      <c r="AR112" s="647" t="str">
        <f t="shared" si="26"/>
        <v/>
      </c>
      <c r="AS112" s="647" t="str">
        <f t="shared" si="27"/>
        <v/>
      </c>
      <c r="AT112" s="647" t="str">
        <f t="shared" si="34"/>
        <v/>
      </c>
      <c r="AU112" s="647" t="str">
        <f t="shared" si="28"/>
        <v/>
      </c>
      <c r="AV112" s="647" t="str">
        <f t="shared" si="29"/>
        <v/>
      </c>
      <c r="AW112" s="647" t="str">
        <f t="shared" si="30"/>
        <v/>
      </c>
      <c r="AX112" s="647" t="str">
        <f t="shared" si="31"/>
        <v/>
      </c>
    </row>
    <row r="113" spans="3:50" s="5" customFormat="1" ht="28.15" hidden="1" customHeight="1" outlineLevel="1">
      <c r="C113" s="649">
        <v>97</v>
      </c>
      <c r="D113" s="1865"/>
      <c r="E113" s="1866"/>
      <c r="F113" s="1866"/>
      <c r="G113" s="1866"/>
      <c r="H113" s="1866"/>
      <c r="I113" s="1866"/>
      <c r="J113" s="1866"/>
      <c r="K113" s="704"/>
      <c r="L113" s="1055"/>
      <c r="M113" s="705"/>
      <c r="N113" s="257"/>
      <c r="O113" s="1042"/>
      <c r="P113" s="1041"/>
      <c r="Q113" s="256"/>
      <c r="R113" s="267"/>
      <c r="S113" s="256"/>
      <c r="T113" s="256"/>
      <c r="U113" s="256"/>
      <c r="V113" s="256"/>
      <c r="W113" s="254"/>
      <c r="X113" s="703"/>
      <c r="Y113" s="125"/>
      <c r="Z113" s="431"/>
      <c r="AA113" s="499"/>
      <c r="AB113" s="741"/>
      <c r="AC113" s="51"/>
      <c r="AD113" s="51"/>
      <c r="AE113" s="645" t="str">
        <f t="shared" si="20"/>
        <v/>
      </c>
      <c r="AF113" s="1037" t="str">
        <f t="shared" si="21"/>
        <v/>
      </c>
      <c r="AG113" s="1037" t="str">
        <f t="shared" si="22"/>
        <v/>
      </c>
      <c r="AH113" s="1037" t="str">
        <f>IF(AE113="","",VLOOKUP(AE113,リスト!BI:BJ,2,0))</f>
        <v/>
      </c>
      <c r="AI113" s="1037" t="str">
        <f t="shared" si="35"/>
        <v/>
      </c>
      <c r="AJ113" s="1037" t="str">
        <f>IF(AI113="","",VLOOKUP(AI113,リスト!BW:BX,2,0))</f>
        <v/>
      </c>
      <c r="AK113" s="1037" t="str">
        <f t="shared" si="32"/>
        <v/>
      </c>
      <c r="AL113" s="685" t="str">
        <f t="shared" si="23"/>
        <v/>
      </c>
      <c r="AM113" s="646" t="str">
        <f t="shared" si="24"/>
        <v/>
      </c>
      <c r="AN113" s="646" t="str">
        <f t="shared" si="36"/>
        <v/>
      </c>
      <c r="AO113" s="647" t="str">
        <f t="shared" si="37"/>
        <v/>
      </c>
      <c r="AP113" s="647" t="str">
        <f t="shared" si="33"/>
        <v/>
      </c>
      <c r="AQ113" s="647" t="str">
        <f t="shared" si="25"/>
        <v/>
      </c>
      <c r="AR113" s="647" t="str">
        <f t="shared" si="26"/>
        <v/>
      </c>
      <c r="AS113" s="647" t="str">
        <f t="shared" si="27"/>
        <v/>
      </c>
      <c r="AT113" s="647" t="str">
        <f t="shared" si="34"/>
        <v/>
      </c>
      <c r="AU113" s="647" t="str">
        <f t="shared" si="28"/>
        <v/>
      </c>
      <c r="AV113" s="647" t="str">
        <f t="shared" si="29"/>
        <v/>
      </c>
      <c r="AW113" s="647" t="str">
        <f t="shared" si="30"/>
        <v/>
      </c>
      <c r="AX113" s="647" t="str">
        <f t="shared" si="31"/>
        <v/>
      </c>
    </row>
    <row r="114" spans="3:50" s="5" customFormat="1" ht="28.15" hidden="1" customHeight="1" outlineLevel="1">
      <c r="C114" s="649">
        <v>98</v>
      </c>
      <c r="D114" s="1855"/>
      <c r="E114" s="1856"/>
      <c r="F114" s="1856"/>
      <c r="G114" s="1856"/>
      <c r="H114" s="1856"/>
      <c r="I114" s="1856"/>
      <c r="J114" s="1856"/>
      <c r="K114" s="702"/>
      <c r="L114" s="1054"/>
      <c r="M114" s="705"/>
      <c r="N114" s="255"/>
      <c r="O114" s="1040"/>
      <c r="P114" s="1041"/>
      <c r="Q114" s="256"/>
      <c r="R114" s="267"/>
      <c r="S114" s="256"/>
      <c r="T114" s="256"/>
      <c r="U114" s="256"/>
      <c r="V114" s="256"/>
      <c r="W114" s="254"/>
      <c r="X114" s="703"/>
      <c r="Y114" s="125"/>
      <c r="Z114" s="431"/>
      <c r="AA114" s="499"/>
      <c r="AB114" s="741"/>
      <c r="AC114" s="51"/>
      <c r="AD114" s="51"/>
      <c r="AE114" s="645" t="str">
        <f t="shared" si="20"/>
        <v/>
      </c>
      <c r="AF114" s="1037" t="str">
        <f t="shared" si="21"/>
        <v/>
      </c>
      <c r="AG114" s="1037" t="str">
        <f t="shared" si="22"/>
        <v/>
      </c>
      <c r="AH114" s="1037" t="str">
        <f>IF(AE114="","",VLOOKUP(AE114,リスト!BI:BJ,2,0))</f>
        <v/>
      </c>
      <c r="AI114" s="1037" t="str">
        <f t="shared" si="35"/>
        <v/>
      </c>
      <c r="AJ114" s="1037" t="str">
        <f>IF(AI114="","",VLOOKUP(AI114,リスト!BW:BX,2,0))</f>
        <v/>
      </c>
      <c r="AK114" s="1037" t="str">
        <f t="shared" si="32"/>
        <v/>
      </c>
      <c r="AL114" s="685" t="str">
        <f t="shared" si="23"/>
        <v/>
      </c>
      <c r="AM114" s="646" t="str">
        <f t="shared" si="24"/>
        <v/>
      </c>
      <c r="AN114" s="646" t="str">
        <f t="shared" si="36"/>
        <v/>
      </c>
      <c r="AO114" s="647" t="str">
        <f t="shared" si="37"/>
        <v/>
      </c>
      <c r="AP114" s="647" t="str">
        <f t="shared" si="33"/>
        <v/>
      </c>
      <c r="AQ114" s="647" t="str">
        <f t="shared" si="25"/>
        <v/>
      </c>
      <c r="AR114" s="647" t="str">
        <f t="shared" si="26"/>
        <v/>
      </c>
      <c r="AS114" s="647" t="str">
        <f t="shared" si="27"/>
        <v/>
      </c>
      <c r="AT114" s="647" t="str">
        <f t="shared" si="34"/>
        <v/>
      </c>
      <c r="AU114" s="647" t="str">
        <f t="shared" si="28"/>
        <v/>
      </c>
      <c r="AV114" s="647" t="str">
        <f t="shared" si="29"/>
        <v/>
      </c>
      <c r="AW114" s="647" t="str">
        <f t="shared" si="30"/>
        <v/>
      </c>
      <c r="AX114" s="647" t="str">
        <f t="shared" si="31"/>
        <v/>
      </c>
    </row>
    <row r="115" spans="3:50" s="5" customFormat="1" ht="28.15" hidden="1" customHeight="1" outlineLevel="1">
      <c r="C115" s="649">
        <v>99</v>
      </c>
      <c r="D115" s="1865"/>
      <c r="E115" s="1866"/>
      <c r="F115" s="1866"/>
      <c r="G115" s="1866"/>
      <c r="H115" s="1866"/>
      <c r="I115" s="1866"/>
      <c r="J115" s="1866"/>
      <c r="K115" s="704"/>
      <c r="L115" s="1055"/>
      <c r="M115" s="705"/>
      <c r="N115" s="255"/>
      <c r="O115" s="1042"/>
      <c r="P115" s="1041"/>
      <c r="Q115" s="256"/>
      <c r="R115" s="267"/>
      <c r="S115" s="256"/>
      <c r="T115" s="256"/>
      <c r="U115" s="256"/>
      <c r="V115" s="256"/>
      <c r="W115" s="254"/>
      <c r="X115" s="703"/>
      <c r="Y115" s="125"/>
      <c r="Z115" s="431"/>
      <c r="AA115" s="499"/>
      <c r="AB115" s="741"/>
      <c r="AC115" s="51"/>
      <c r="AD115" s="51"/>
      <c r="AE115" s="645" t="str">
        <f t="shared" si="20"/>
        <v/>
      </c>
      <c r="AF115" s="1037" t="str">
        <f t="shared" si="21"/>
        <v/>
      </c>
      <c r="AG115" s="1037" t="str">
        <f t="shared" si="22"/>
        <v/>
      </c>
      <c r="AH115" s="1037" t="str">
        <f>IF(AE115="","",VLOOKUP(AE115,リスト!BI:BJ,2,0))</f>
        <v/>
      </c>
      <c r="AI115" s="1037" t="str">
        <f t="shared" si="35"/>
        <v/>
      </c>
      <c r="AJ115" s="1037" t="str">
        <f>IF(AI115="","",VLOOKUP(AI115,リスト!BW:BX,2,0))</f>
        <v/>
      </c>
      <c r="AK115" s="1037" t="str">
        <f t="shared" si="32"/>
        <v/>
      </c>
      <c r="AL115" s="685" t="str">
        <f t="shared" si="23"/>
        <v/>
      </c>
      <c r="AM115" s="646" t="str">
        <f t="shared" si="24"/>
        <v/>
      </c>
      <c r="AN115" s="646" t="str">
        <f t="shared" si="36"/>
        <v/>
      </c>
      <c r="AO115" s="647" t="str">
        <f t="shared" si="37"/>
        <v/>
      </c>
      <c r="AP115" s="647" t="str">
        <f t="shared" si="33"/>
        <v/>
      </c>
      <c r="AQ115" s="647" t="str">
        <f t="shared" si="25"/>
        <v/>
      </c>
      <c r="AR115" s="647" t="str">
        <f t="shared" si="26"/>
        <v/>
      </c>
      <c r="AS115" s="647" t="str">
        <f t="shared" si="27"/>
        <v/>
      </c>
      <c r="AT115" s="647" t="str">
        <f t="shared" si="34"/>
        <v/>
      </c>
      <c r="AU115" s="647" t="str">
        <f t="shared" si="28"/>
        <v/>
      </c>
      <c r="AV115" s="647" t="str">
        <f t="shared" si="29"/>
        <v/>
      </c>
      <c r="AW115" s="647" t="str">
        <f t="shared" si="30"/>
        <v/>
      </c>
      <c r="AX115" s="647" t="str">
        <f t="shared" si="31"/>
        <v/>
      </c>
    </row>
    <row r="116" spans="3:50" s="5" customFormat="1" ht="28.15" hidden="1" customHeight="1" outlineLevel="1">
      <c r="C116" s="649">
        <v>100</v>
      </c>
      <c r="D116" s="1855"/>
      <c r="E116" s="1856"/>
      <c r="F116" s="1856"/>
      <c r="G116" s="1856"/>
      <c r="H116" s="1856"/>
      <c r="I116" s="1856"/>
      <c r="J116" s="1856"/>
      <c r="K116" s="702"/>
      <c r="L116" s="1054"/>
      <c r="M116" s="705"/>
      <c r="N116" s="255"/>
      <c r="O116" s="1040"/>
      <c r="P116" s="1041"/>
      <c r="Q116" s="256"/>
      <c r="R116" s="267"/>
      <c r="S116" s="256"/>
      <c r="T116" s="256"/>
      <c r="U116" s="256"/>
      <c r="V116" s="256"/>
      <c r="W116" s="254"/>
      <c r="X116" s="703"/>
      <c r="Y116" s="125"/>
      <c r="Z116" s="431"/>
      <c r="AA116" s="499"/>
      <c r="AB116" s="741"/>
      <c r="AC116" s="51"/>
      <c r="AD116" s="51"/>
      <c r="AE116" s="645" t="str">
        <f t="shared" si="20"/>
        <v/>
      </c>
      <c r="AF116" s="1037" t="str">
        <f t="shared" si="21"/>
        <v/>
      </c>
      <c r="AG116" s="1037" t="str">
        <f t="shared" si="22"/>
        <v/>
      </c>
      <c r="AH116" s="1037" t="str">
        <f>IF(AE116="","",VLOOKUP(AE116,リスト!BI:BJ,2,0))</f>
        <v/>
      </c>
      <c r="AI116" s="1037" t="str">
        <f t="shared" si="35"/>
        <v/>
      </c>
      <c r="AJ116" s="1037" t="str">
        <f>IF(AI116="","",VLOOKUP(AI116,リスト!BW:BX,2,0))</f>
        <v/>
      </c>
      <c r="AK116" s="1037" t="str">
        <f t="shared" si="32"/>
        <v/>
      </c>
      <c r="AL116" s="685" t="str">
        <f t="shared" si="23"/>
        <v/>
      </c>
      <c r="AM116" s="646" t="str">
        <f t="shared" si="24"/>
        <v/>
      </c>
      <c r="AN116" s="646" t="str">
        <f t="shared" si="36"/>
        <v/>
      </c>
      <c r="AO116" s="647" t="str">
        <f t="shared" si="37"/>
        <v/>
      </c>
      <c r="AP116" s="647" t="str">
        <f t="shared" si="33"/>
        <v/>
      </c>
      <c r="AQ116" s="647" t="str">
        <f t="shared" si="25"/>
        <v/>
      </c>
      <c r="AR116" s="647" t="str">
        <f t="shared" si="26"/>
        <v/>
      </c>
      <c r="AS116" s="647" t="str">
        <f t="shared" si="27"/>
        <v/>
      </c>
      <c r="AT116" s="647" t="str">
        <f t="shared" si="34"/>
        <v/>
      </c>
      <c r="AU116" s="647" t="str">
        <f t="shared" si="28"/>
        <v/>
      </c>
      <c r="AV116" s="647" t="str">
        <f t="shared" si="29"/>
        <v/>
      </c>
      <c r="AW116" s="647" t="str">
        <f t="shared" si="30"/>
        <v/>
      </c>
      <c r="AX116" s="647" t="str">
        <f t="shared" si="31"/>
        <v/>
      </c>
    </row>
    <row r="117" spans="3:50" s="5" customFormat="1" ht="28.15" hidden="1" customHeight="1" outlineLevel="1">
      <c r="C117" s="649">
        <v>101</v>
      </c>
      <c r="D117" s="1865"/>
      <c r="E117" s="1866"/>
      <c r="F117" s="1866"/>
      <c r="G117" s="1866"/>
      <c r="H117" s="1866"/>
      <c r="I117" s="1866"/>
      <c r="J117" s="1866"/>
      <c r="K117" s="704"/>
      <c r="L117" s="1055"/>
      <c r="M117" s="705"/>
      <c r="N117" s="255"/>
      <c r="O117" s="1042"/>
      <c r="P117" s="1041"/>
      <c r="Q117" s="256"/>
      <c r="R117" s="267"/>
      <c r="S117" s="256"/>
      <c r="T117" s="256"/>
      <c r="U117" s="256"/>
      <c r="V117" s="256"/>
      <c r="W117" s="254"/>
      <c r="X117" s="703"/>
      <c r="Y117" s="125"/>
      <c r="Z117" s="431"/>
      <c r="AA117" s="499"/>
      <c r="AB117" s="741"/>
      <c r="AC117" s="51"/>
      <c r="AD117" s="51"/>
      <c r="AE117" s="645" t="str">
        <f t="shared" si="20"/>
        <v/>
      </c>
      <c r="AF117" s="1037" t="str">
        <f t="shared" si="21"/>
        <v/>
      </c>
      <c r="AG117" s="1037" t="str">
        <f t="shared" si="22"/>
        <v/>
      </c>
      <c r="AH117" s="1037" t="str">
        <f>IF(AE117="","",VLOOKUP(AE117,リスト!BI:BJ,2,0))</f>
        <v/>
      </c>
      <c r="AI117" s="1037" t="str">
        <f t="shared" si="35"/>
        <v/>
      </c>
      <c r="AJ117" s="1037" t="str">
        <f>IF(AI117="","",VLOOKUP(AI117,リスト!BW:BX,2,0))</f>
        <v/>
      </c>
      <c r="AK117" s="1037" t="str">
        <f t="shared" si="32"/>
        <v/>
      </c>
      <c r="AL117" s="685" t="str">
        <f t="shared" si="23"/>
        <v/>
      </c>
      <c r="AM117" s="646" t="str">
        <f t="shared" si="24"/>
        <v/>
      </c>
      <c r="AN117" s="646" t="str">
        <f t="shared" si="36"/>
        <v/>
      </c>
      <c r="AO117" s="647" t="str">
        <f t="shared" si="37"/>
        <v/>
      </c>
      <c r="AP117" s="647" t="str">
        <f t="shared" si="33"/>
        <v/>
      </c>
      <c r="AQ117" s="647" t="str">
        <f t="shared" si="25"/>
        <v/>
      </c>
      <c r="AR117" s="647" t="str">
        <f t="shared" si="26"/>
        <v/>
      </c>
      <c r="AS117" s="647" t="str">
        <f t="shared" si="27"/>
        <v/>
      </c>
      <c r="AT117" s="647" t="str">
        <f t="shared" si="34"/>
        <v/>
      </c>
      <c r="AU117" s="647" t="str">
        <f t="shared" si="28"/>
        <v/>
      </c>
      <c r="AV117" s="647" t="str">
        <f t="shared" si="29"/>
        <v/>
      </c>
      <c r="AW117" s="647" t="str">
        <f t="shared" si="30"/>
        <v/>
      </c>
      <c r="AX117" s="647" t="str">
        <f t="shared" si="31"/>
        <v/>
      </c>
    </row>
    <row r="118" spans="3:50" s="5" customFormat="1" ht="28.15" hidden="1" customHeight="1" outlineLevel="1">
      <c r="C118" s="649">
        <v>102</v>
      </c>
      <c r="D118" s="1855"/>
      <c r="E118" s="1856"/>
      <c r="F118" s="1856"/>
      <c r="G118" s="1856"/>
      <c r="H118" s="1856"/>
      <c r="I118" s="1856"/>
      <c r="J118" s="1856"/>
      <c r="K118" s="702"/>
      <c r="L118" s="1054"/>
      <c r="M118" s="705"/>
      <c r="N118" s="255"/>
      <c r="O118" s="1040"/>
      <c r="P118" s="1041"/>
      <c r="Q118" s="256"/>
      <c r="R118" s="267"/>
      <c r="S118" s="256"/>
      <c r="T118" s="256"/>
      <c r="U118" s="256"/>
      <c r="V118" s="256"/>
      <c r="W118" s="254"/>
      <c r="X118" s="703"/>
      <c r="Y118" s="125"/>
      <c r="Z118" s="431"/>
      <c r="AA118" s="499"/>
      <c r="AB118" s="741"/>
      <c r="AC118" s="51"/>
      <c r="AD118" s="51"/>
      <c r="AE118" s="645" t="str">
        <f t="shared" si="20"/>
        <v/>
      </c>
      <c r="AF118" s="1037" t="str">
        <f t="shared" si="21"/>
        <v/>
      </c>
      <c r="AG118" s="1037" t="str">
        <f t="shared" si="22"/>
        <v/>
      </c>
      <c r="AH118" s="1037" t="str">
        <f>IF(AE118="","",VLOOKUP(AE118,リスト!BI:BJ,2,0))</f>
        <v/>
      </c>
      <c r="AI118" s="1037" t="str">
        <f t="shared" si="35"/>
        <v/>
      </c>
      <c r="AJ118" s="1037" t="str">
        <f>IF(AI118="","",VLOOKUP(AI118,リスト!BW:BX,2,0))</f>
        <v/>
      </c>
      <c r="AK118" s="1037" t="str">
        <f t="shared" si="32"/>
        <v/>
      </c>
      <c r="AL118" s="685" t="str">
        <f t="shared" si="23"/>
        <v/>
      </c>
      <c r="AM118" s="646" t="str">
        <f t="shared" si="24"/>
        <v/>
      </c>
      <c r="AN118" s="646" t="str">
        <f t="shared" si="36"/>
        <v/>
      </c>
      <c r="AO118" s="647" t="str">
        <f t="shared" si="37"/>
        <v/>
      </c>
      <c r="AP118" s="647" t="str">
        <f t="shared" si="33"/>
        <v/>
      </c>
      <c r="AQ118" s="647" t="str">
        <f t="shared" si="25"/>
        <v/>
      </c>
      <c r="AR118" s="647" t="str">
        <f t="shared" si="26"/>
        <v/>
      </c>
      <c r="AS118" s="647" t="str">
        <f t="shared" si="27"/>
        <v/>
      </c>
      <c r="AT118" s="647" t="str">
        <f t="shared" si="34"/>
        <v/>
      </c>
      <c r="AU118" s="647" t="str">
        <f t="shared" si="28"/>
        <v/>
      </c>
      <c r="AV118" s="647" t="str">
        <f t="shared" si="29"/>
        <v/>
      </c>
      <c r="AW118" s="647" t="str">
        <f t="shared" si="30"/>
        <v/>
      </c>
      <c r="AX118" s="647" t="str">
        <f t="shared" si="31"/>
        <v/>
      </c>
    </row>
    <row r="119" spans="3:50" s="5" customFormat="1" ht="28.15" hidden="1" customHeight="1" outlineLevel="1">
      <c r="C119" s="649">
        <v>103</v>
      </c>
      <c r="D119" s="1865"/>
      <c r="E119" s="1866"/>
      <c r="F119" s="1866"/>
      <c r="G119" s="1866"/>
      <c r="H119" s="1866"/>
      <c r="I119" s="1866"/>
      <c r="J119" s="1866"/>
      <c r="K119" s="704"/>
      <c r="L119" s="1055"/>
      <c r="M119" s="705"/>
      <c r="N119" s="255"/>
      <c r="O119" s="1042"/>
      <c r="P119" s="1043"/>
      <c r="Q119" s="256"/>
      <c r="R119" s="267"/>
      <c r="S119" s="256"/>
      <c r="T119" s="256"/>
      <c r="U119" s="256"/>
      <c r="V119" s="256"/>
      <c r="W119" s="254"/>
      <c r="X119" s="703"/>
      <c r="Y119" s="125"/>
      <c r="Z119" s="431"/>
      <c r="AA119" s="499"/>
      <c r="AB119" s="741"/>
      <c r="AC119" s="51"/>
      <c r="AD119" s="51"/>
      <c r="AE119" s="645" t="str">
        <f t="shared" si="20"/>
        <v/>
      </c>
      <c r="AF119" s="1037" t="str">
        <f t="shared" si="21"/>
        <v/>
      </c>
      <c r="AG119" s="1037" t="str">
        <f t="shared" si="22"/>
        <v/>
      </c>
      <c r="AH119" s="1037" t="str">
        <f>IF(AE119="","",VLOOKUP(AE119,リスト!BI:BJ,2,0))</f>
        <v/>
      </c>
      <c r="AI119" s="1037" t="str">
        <f t="shared" si="35"/>
        <v/>
      </c>
      <c r="AJ119" s="1037" t="str">
        <f>IF(AI119="","",VLOOKUP(AI119,リスト!BW:BX,2,0))</f>
        <v/>
      </c>
      <c r="AK119" s="1037" t="str">
        <f t="shared" si="32"/>
        <v/>
      </c>
      <c r="AL119" s="685" t="str">
        <f t="shared" si="23"/>
        <v/>
      </c>
      <c r="AM119" s="646" t="str">
        <f t="shared" si="24"/>
        <v/>
      </c>
      <c r="AN119" s="646" t="str">
        <f t="shared" si="36"/>
        <v/>
      </c>
      <c r="AO119" s="647" t="str">
        <f t="shared" si="37"/>
        <v/>
      </c>
      <c r="AP119" s="647" t="str">
        <f t="shared" si="33"/>
        <v/>
      </c>
      <c r="AQ119" s="647" t="str">
        <f t="shared" si="25"/>
        <v/>
      </c>
      <c r="AR119" s="647" t="str">
        <f t="shared" si="26"/>
        <v/>
      </c>
      <c r="AS119" s="647" t="str">
        <f t="shared" si="27"/>
        <v/>
      </c>
      <c r="AT119" s="647" t="str">
        <f t="shared" si="34"/>
        <v/>
      </c>
      <c r="AU119" s="647" t="str">
        <f t="shared" si="28"/>
        <v/>
      </c>
      <c r="AV119" s="647" t="str">
        <f t="shared" si="29"/>
        <v/>
      </c>
      <c r="AW119" s="647" t="str">
        <f t="shared" si="30"/>
        <v/>
      </c>
      <c r="AX119" s="647" t="str">
        <f t="shared" si="31"/>
        <v/>
      </c>
    </row>
    <row r="120" spans="3:50" s="5" customFormat="1" ht="28.15" hidden="1" customHeight="1" outlineLevel="1">
      <c r="C120" s="649">
        <v>104</v>
      </c>
      <c r="D120" s="1855"/>
      <c r="E120" s="1856"/>
      <c r="F120" s="1856"/>
      <c r="G120" s="1856"/>
      <c r="H120" s="1856"/>
      <c r="I120" s="1856"/>
      <c r="J120" s="1856"/>
      <c r="K120" s="702"/>
      <c r="L120" s="1054"/>
      <c r="M120" s="705"/>
      <c r="N120" s="255"/>
      <c r="O120" s="1040"/>
      <c r="P120" s="1044"/>
      <c r="Q120" s="256"/>
      <c r="R120" s="267"/>
      <c r="S120" s="256"/>
      <c r="T120" s="256"/>
      <c r="U120" s="256"/>
      <c r="V120" s="256"/>
      <c r="W120" s="254"/>
      <c r="X120" s="703"/>
      <c r="Y120" s="125"/>
      <c r="Z120" s="431"/>
      <c r="AA120" s="499"/>
      <c r="AB120" s="741"/>
      <c r="AC120" s="51"/>
      <c r="AD120" s="51"/>
      <c r="AE120" s="645" t="str">
        <f t="shared" si="20"/>
        <v/>
      </c>
      <c r="AF120" s="1037" t="str">
        <f t="shared" si="21"/>
        <v/>
      </c>
      <c r="AG120" s="1037" t="str">
        <f t="shared" si="22"/>
        <v/>
      </c>
      <c r="AH120" s="1037" t="str">
        <f>IF(AE120="","",VLOOKUP(AE120,リスト!BI:BJ,2,0))</f>
        <v/>
      </c>
      <c r="AI120" s="1037" t="str">
        <f t="shared" si="35"/>
        <v/>
      </c>
      <c r="AJ120" s="1037" t="str">
        <f>IF(AI120="","",VLOOKUP(AI120,リスト!BW:BX,2,0))</f>
        <v/>
      </c>
      <c r="AK120" s="1037" t="str">
        <f t="shared" si="32"/>
        <v/>
      </c>
      <c r="AL120" s="685" t="str">
        <f t="shared" si="23"/>
        <v/>
      </c>
      <c r="AM120" s="646" t="str">
        <f t="shared" si="24"/>
        <v/>
      </c>
      <c r="AN120" s="646" t="str">
        <f t="shared" si="36"/>
        <v/>
      </c>
      <c r="AO120" s="647" t="str">
        <f t="shared" si="37"/>
        <v/>
      </c>
      <c r="AP120" s="647" t="str">
        <f t="shared" si="33"/>
        <v/>
      </c>
      <c r="AQ120" s="647" t="str">
        <f t="shared" si="25"/>
        <v/>
      </c>
      <c r="AR120" s="647" t="str">
        <f t="shared" si="26"/>
        <v/>
      </c>
      <c r="AS120" s="647" t="str">
        <f t="shared" si="27"/>
        <v/>
      </c>
      <c r="AT120" s="647" t="str">
        <f t="shared" si="34"/>
        <v/>
      </c>
      <c r="AU120" s="647" t="str">
        <f t="shared" si="28"/>
        <v/>
      </c>
      <c r="AV120" s="647" t="str">
        <f t="shared" si="29"/>
        <v/>
      </c>
      <c r="AW120" s="647" t="str">
        <f t="shared" si="30"/>
        <v/>
      </c>
      <c r="AX120" s="647" t="str">
        <f t="shared" si="31"/>
        <v/>
      </c>
    </row>
    <row r="121" spans="3:50" s="5" customFormat="1" ht="28.15" hidden="1" customHeight="1" outlineLevel="1">
      <c r="C121" s="649">
        <v>105</v>
      </c>
      <c r="D121" s="1855"/>
      <c r="E121" s="1856"/>
      <c r="F121" s="1856"/>
      <c r="G121" s="1856"/>
      <c r="H121" s="1856"/>
      <c r="I121" s="1856"/>
      <c r="J121" s="1856"/>
      <c r="K121" s="702"/>
      <c r="L121" s="1054"/>
      <c r="M121" s="705"/>
      <c r="N121" s="255"/>
      <c r="O121" s="1040"/>
      <c r="P121" s="1044"/>
      <c r="Q121" s="256"/>
      <c r="R121" s="267"/>
      <c r="S121" s="256"/>
      <c r="T121" s="256"/>
      <c r="U121" s="256"/>
      <c r="V121" s="256"/>
      <c r="W121" s="254"/>
      <c r="X121" s="703"/>
      <c r="Y121" s="125"/>
      <c r="Z121" s="431"/>
      <c r="AA121" s="499"/>
      <c r="AB121" s="741"/>
      <c r="AC121" s="51"/>
      <c r="AD121" s="51"/>
      <c r="AE121" s="645" t="str">
        <f t="shared" si="20"/>
        <v/>
      </c>
      <c r="AF121" s="1037" t="str">
        <f t="shared" si="21"/>
        <v/>
      </c>
      <c r="AG121" s="1037" t="str">
        <f t="shared" si="22"/>
        <v/>
      </c>
      <c r="AH121" s="1037" t="str">
        <f>IF(AE121="","",VLOOKUP(AE121,リスト!BI:BJ,2,0))</f>
        <v/>
      </c>
      <c r="AI121" s="1037" t="str">
        <f t="shared" si="35"/>
        <v/>
      </c>
      <c r="AJ121" s="1037" t="str">
        <f>IF(AI121="","",VLOOKUP(AI121,リスト!BW:BX,2,0))</f>
        <v/>
      </c>
      <c r="AK121" s="1037" t="str">
        <f t="shared" si="32"/>
        <v/>
      </c>
      <c r="AL121" s="685" t="str">
        <f t="shared" si="23"/>
        <v/>
      </c>
      <c r="AM121" s="646" t="str">
        <f t="shared" si="24"/>
        <v/>
      </c>
      <c r="AN121" s="646" t="str">
        <f t="shared" si="36"/>
        <v/>
      </c>
      <c r="AO121" s="647" t="str">
        <f t="shared" si="37"/>
        <v/>
      </c>
      <c r="AP121" s="647" t="str">
        <f t="shared" si="33"/>
        <v/>
      </c>
      <c r="AQ121" s="647" t="str">
        <f t="shared" si="25"/>
        <v/>
      </c>
      <c r="AR121" s="647" t="str">
        <f t="shared" si="26"/>
        <v/>
      </c>
      <c r="AS121" s="647" t="str">
        <f t="shared" si="27"/>
        <v/>
      </c>
      <c r="AT121" s="647" t="str">
        <f t="shared" si="34"/>
        <v/>
      </c>
      <c r="AU121" s="647" t="str">
        <f t="shared" si="28"/>
        <v/>
      </c>
      <c r="AV121" s="647" t="str">
        <f t="shared" si="29"/>
        <v/>
      </c>
      <c r="AW121" s="647" t="str">
        <f t="shared" si="30"/>
        <v/>
      </c>
      <c r="AX121" s="647" t="str">
        <f t="shared" si="31"/>
        <v/>
      </c>
    </row>
    <row r="122" spans="3:50" s="5" customFormat="1" ht="28.15" hidden="1" customHeight="1" outlineLevel="1">
      <c r="C122" s="649">
        <v>106</v>
      </c>
      <c r="D122" s="1855"/>
      <c r="E122" s="1856"/>
      <c r="F122" s="1856"/>
      <c r="G122" s="1856"/>
      <c r="H122" s="1856"/>
      <c r="I122" s="1856"/>
      <c r="J122" s="1856"/>
      <c r="K122" s="702"/>
      <c r="L122" s="1054"/>
      <c r="M122" s="705"/>
      <c r="N122" s="257"/>
      <c r="O122" s="1040"/>
      <c r="P122" s="1044"/>
      <c r="Q122" s="256"/>
      <c r="R122" s="267"/>
      <c r="S122" s="256"/>
      <c r="T122" s="256"/>
      <c r="U122" s="256"/>
      <c r="V122" s="256"/>
      <c r="W122" s="254"/>
      <c r="X122" s="703"/>
      <c r="Y122" s="125"/>
      <c r="Z122" s="431"/>
      <c r="AA122" s="499"/>
      <c r="AB122" s="741"/>
      <c r="AC122" s="51"/>
      <c r="AD122" s="51"/>
      <c r="AE122" s="645" t="str">
        <f t="shared" si="20"/>
        <v/>
      </c>
      <c r="AF122" s="1037" t="str">
        <f t="shared" si="21"/>
        <v/>
      </c>
      <c r="AG122" s="1037" t="str">
        <f t="shared" si="22"/>
        <v/>
      </c>
      <c r="AH122" s="1037" t="str">
        <f>IF(AE122="","",VLOOKUP(AE122,リスト!BI:BJ,2,0))</f>
        <v/>
      </c>
      <c r="AI122" s="1037" t="str">
        <f t="shared" si="35"/>
        <v/>
      </c>
      <c r="AJ122" s="1037" t="str">
        <f>IF(AI122="","",VLOOKUP(AI122,リスト!BW:BX,2,0))</f>
        <v/>
      </c>
      <c r="AK122" s="1037" t="str">
        <f t="shared" si="32"/>
        <v/>
      </c>
      <c r="AL122" s="685" t="str">
        <f t="shared" si="23"/>
        <v/>
      </c>
      <c r="AM122" s="646" t="str">
        <f t="shared" si="24"/>
        <v/>
      </c>
      <c r="AN122" s="646" t="str">
        <f t="shared" si="36"/>
        <v/>
      </c>
      <c r="AO122" s="647" t="str">
        <f t="shared" si="37"/>
        <v/>
      </c>
      <c r="AP122" s="647" t="str">
        <f t="shared" si="33"/>
        <v/>
      </c>
      <c r="AQ122" s="647" t="str">
        <f t="shared" si="25"/>
        <v/>
      </c>
      <c r="AR122" s="647" t="str">
        <f t="shared" si="26"/>
        <v/>
      </c>
      <c r="AS122" s="647" t="str">
        <f t="shared" si="27"/>
        <v/>
      </c>
      <c r="AT122" s="647" t="str">
        <f t="shared" si="34"/>
        <v/>
      </c>
      <c r="AU122" s="647" t="str">
        <f t="shared" si="28"/>
        <v/>
      </c>
      <c r="AV122" s="647" t="str">
        <f t="shared" si="29"/>
        <v/>
      </c>
      <c r="AW122" s="647" t="str">
        <f t="shared" si="30"/>
        <v/>
      </c>
      <c r="AX122" s="647" t="str">
        <f t="shared" si="31"/>
        <v/>
      </c>
    </row>
    <row r="123" spans="3:50" s="5" customFormat="1" ht="28.15" hidden="1" customHeight="1" outlineLevel="1">
      <c r="C123" s="649">
        <v>107</v>
      </c>
      <c r="D123" s="1855"/>
      <c r="E123" s="1856"/>
      <c r="F123" s="1856"/>
      <c r="G123" s="1856"/>
      <c r="H123" s="1856"/>
      <c r="I123" s="1856"/>
      <c r="J123" s="1856"/>
      <c r="K123" s="702"/>
      <c r="L123" s="1054"/>
      <c r="M123" s="705"/>
      <c r="N123" s="255"/>
      <c r="O123" s="1040"/>
      <c r="P123" s="1044"/>
      <c r="Q123" s="256"/>
      <c r="R123" s="267"/>
      <c r="S123" s="256"/>
      <c r="T123" s="256"/>
      <c r="U123" s="256"/>
      <c r="V123" s="256"/>
      <c r="W123" s="254"/>
      <c r="X123" s="703"/>
      <c r="Y123" s="125"/>
      <c r="Z123" s="431"/>
      <c r="AA123" s="499"/>
      <c r="AB123" s="741"/>
      <c r="AC123" s="51"/>
      <c r="AD123" s="51"/>
      <c r="AE123" s="645" t="str">
        <f t="shared" si="20"/>
        <v/>
      </c>
      <c r="AF123" s="1037" t="str">
        <f t="shared" si="21"/>
        <v/>
      </c>
      <c r="AG123" s="1037" t="str">
        <f t="shared" si="22"/>
        <v/>
      </c>
      <c r="AH123" s="1037" t="str">
        <f>IF(AE123="","",VLOOKUP(AE123,リスト!BI:BJ,2,0))</f>
        <v/>
      </c>
      <c r="AI123" s="1037" t="str">
        <f t="shared" si="35"/>
        <v/>
      </c>
      <c r="AJ123" s="1037" t="str">
        <f>IF(AI123="","",VLOOKUP(AI123,リスト!BW:BX,2,0))</f>
        <v/>
      </c>
      <c r="AK123" s="1037" t="str">
        <f t="shared" si="32"/>
        <v/>
      </c>
      <c r="AL123" s="685" t="str">
        <f t="shared" si="23"/>
        <v/>
      </c>
      <c r="AM123" s="646" t="str">
        <f t="shared" si="24"/>
        <v/>
      </c>
      <c r="AN123" s="646" t="str">
        <f t="shared" si="36"/>
        <v/>
      </c>
      <c r="AO123" s="647" t="str">
        <f t="shared" si="37"/>
        <v/>
      </c>
      <c r="AP123" s="647" t="str">
        <f t="shared" si="33"/>
        <v/>
      </c>
      <c r="AQ123" s="647" t="str">
        <f t="shared" si="25"/>
        <v/>
      </c>
      <c r="AR123" s="647" t="str">
        <f t="shared" si="26"/>
        <v/>
      </c>
      <c r="AS123" s="647" t="str">
        <f t="shared" si="27"/>
        <v/>
      </c>
      <c r="AT123" s="647" t="str">
        <f t="shared" si="34"/>
        <v/>
      </c>
      <c r="AU123" s="647" t="str">
        <f t="shared" si="28"/>
        <v/>
      </c>
      <c r="AV123" s="647" t="str">
        <f t="shared" si="29"/>
        <v/>
      </c>
      <c r="AW123" s="647" t="str">
        <f t="shared" si="30"/>
        <v/>
      </c>
      <c r="AX123" s="647" t="str">
        <f t="shared" si="31"/>
        <v/>
      </c>
    </row>
    <row r="124" spans="3:50" s="5" customFormat="1" ht="28.15" hidden="1" customHeight="1" outlineLevel="1">
      <c r="C124" s="649">
        <v>108</v>
      </c>
      <c r="D124" s="1855"/>
      <c r="E124" s="1856"/>
      <c r="F124" s="1856"/>
      <c r="G124" s="1856"/>
      <c r="H124" s="1856"/>
      <c r="I124" s="1856"/>
      <c r="J124" s="1856"/>
      <c r="K124" s="702"/>
      <c r="L124" s="1054"/>
      <c r="M124" s="705"/>
      <c r="N124" s="257"/>
      <c r="O124" s="1040"/>
      <c r="P124" s="1044"/>
      <c r="Q124" s="256"/>
      <c r="R124" s="267"/>
      <c r="S124" s="256"/>
      <c r="T124" s="256"/>
      <c r="U124" s="256"/>
      <c r="V124" s="256"/>
      <c r="W124" s="254"/>
      <c r="X124" s="703"/>
      <c r="Y124" s="125"/>
      <c r="Z124" s="431"/>
      <c r="AA124" s="499"/>
      <c r="AB124" s="741"/>
      <c r="AC124" s="51"/>
      <c r="AD124" s="51"/>
      <c r="AE124" s="645" t="str">
        <f t="shared" si="20"/>
        <v/>
      </c>
      <c r="AF124" s="1037" t="str">
        <f t="shared" si="21"/>
        <v/>
      </c>
      <c r="AG124" s="1037" t="str">
        <f t="shared" si="22"/>
        <v/>
      </c>
      <c r="AH124" s="1037" t="str">
        <f>IF(AE124="","",VLOOKUP(AE124,リスト!BI:BJ,2,0))</f>
        <v/>
      </c>
      <c r="AI124" s="1037" t="str">
        <f t="shared" si="35"/>
        <v/>
      </c>
      <c r="AJ124" s="1037" t="str">
        <f>IF(AI124="","",VLOOKUP(AI124,リスト!BW:BX,2,0))</f>
        <v/>
      </c>
      <c r="AK124" s="1037" t="str">
        <f t="shared" si="32"/>
        <v/>
      </c>
      <c r="AL124" s="685" t="str">
        <f t="shared" si="23"/>
        <v/>
      </c>
      <c r="AM124" s="646" t="str">
        <f t="shared" si="24"/>
        <v/>
      </c>
      <c r="AN124" s="646" t="str">
        <f t="shared" si="36"/>
        <v/>
      </c>
      <c r="AO124" s="647" t="str">
        <f t="shared" si="37"/>
        <v/>
      </c>
      <c r="AP124" s="647" t="str">
        <f t="shared" si="33"/>
        <v/>
      </c>
      <c r="AQ124" s="647" t="str">
        <f t="shared" si="25"/>
        <v/>
      </c>
      <c r="AR124" s="647" t="str">
        <f t="shared" si="26"/>
        <v/>
      </c>
      <c r="AS124" s="647" t="str">
        <f t="shared" si="27"/>
        <v/>
      </c>
      <c r="AT124" s="647" t="str">
        <f t="shared" si="34"/>
        <v/>
      </c>
      <c r="AU124" s="647" t="str">
        <f t="shared" si="28"/>
        <v/>
      </c>
      <c r="AV124" s="647" t="str">
        <f t="shared" si="29"/>
        <v/>
      </c>
      <c r="AW124" s="647" t="str">
        <f t="shared" si="30"/>
        <v/>
      </c>
      <c r="AX124" s="647" t="str">
        <f t="shared" si="31"/>
        <v/>
      </c>
    </row>
    <row r="125" spans="3:50" s="5" customFormat="1" ht="28.15" hidden="1" customHeight="1" outlineLevel="1">
      <c r="C125" s="649">
        <v>109</v>
      </c>
      <c r="D125" s="1855"/>
      <c r="E125" s="1856"/>
      <c r="F125" s="1856"/>
      <c r="G125" s="1856"/>
      <c r="H125" s="1856"/>
      <c r="I125" s="1856"/>
      <c r="J125" s="1856"/>
      <c r="K125" s="702"/>
      <c r="L125" s="1054"/>
      <c r="M125" s="705"/>
      <c r="N125" s="255"/>
      <c r="O125" s="1040"/>
      <c r="P125" s="1044"/>
      <c r="Q125" s="256"/>
      <c r="R125" s="267"/>
      <c r="S125" s="256"/>
      <c r="T125" s="256"/>
      <c r="U125" s="256"/>
      <c r="V125" s="256"/>
      <c r="W125" s="254"/>
      <c r="X125" s="703"/>
      <c r="Y125" s="125"/>
      <c r="Z125" s="431"/>
      <c r="AA125" s="499"/>
      <c r="AB125" s="741"/>
      <c r="AC125" s="51"/>
      <c r="AD125" s="51"/>
      <c r="AE125" s="645" t="str">
        <f t="shared" si="20"/>
        <v/>
      </c>
      <c r="AF125" s="1037" t="str">
        <f t="shared" si="21"/>
        <v/>
      </c>
      <c r="AG125" s="1037" t="str">
        <f t="shared" si="22"/>
        <v/>
      </c>
      <c r="AH125" s="1037" t="str">
        <f>IF(AE125="","",VLOOKUP(AE125,リスト!BI:BJ,2,0))</f>
        <v/>
      </c>
      <c r="AI125" s="1037" t="str">
        <f t="shared" si="35"/>
        <v/>
      </c>
      <c r="AJ125" s="1037" t="str">
        <f>IF(AI125="","",VLOOKUP(AI125,リスト!BW:BX,2,0))</f>
        <v/>
      </c>
      <c r="AK125" s="1037" t="str">
        <f t="shared" si="32"/>
        <v/>
      </c>
      <c r="AL125" s="685" t="str">
        <f t="shared" si="23"/>
        <v/>
      </c>
      <c r="AM125" s="646" t="str">
        <f t="shared" si="24"/>
        <v/>
      </c>
      <c r="AN125" s="646" t="str">
        <f t="shared" si="36"/>
        <v/>
      </c>
      <c r="AO125" s="647" t="str">
        <f t="shared" si="37"/>
        <v/>
      </c>
      <c r="AP125" s="647" t="str">
        <f t="shared" si="33"/>
        <v/>
      </c>
      <c r="AQ125" s="647" t="str">
        <f t="shared" si="25"/>
        <v/>
      </c>
      <c r="AR125" s="647" t="str">
        <f t="shared" si="26"/>
        <v/>
      </c>
      <c r="AS125" s="647" t="str">
        <f t="shared" si="27"/>
        <v/>
      </c>
      <c r="AT125" s="647" t="str">
        <f t="shared" si="34"/>
        <v/>
      </c>
      <c r="AU125" s="647" t="str">
        <f t="shared" si="28"/>
        <v/>
      </c>
      <c r="AV125" s="647" t="str">
        <f t="shared" si="29"/>
        <v/>
      </c>
      <c r="AW125" s="647" t="str">
        <f t="shared" si="30"/>
        <v/>
      </c>
      <c r="AX125" s="647" t="str">
        <f t="shared" si="31"/>
        <v/>
      </c>
    </row>
    <row r="126" spans="3:50" s="5" customFormat="1" ht="28.15" hidden="1" customHeight="1" outlineLevel="1">
      <c r="C126" s="649">
        <v>110</v>
      </c>
      <c r="D126" s="1855"/>
      <c r="E126" s="1856"/>
      <c r="F126" s="1856"/>
      <c r="G126" s="1856"/>
      <c r="H126" s="1856"/>
      <c r="I126" s="1856"/>
      <c r="J126" s="1857"/>
      <c r="K126" s="702"/>
      <c r="L126" s="1054"/>
      <c r="M126" s="666"/>
      <c r="N126" s="266"/>
      <c r="O126" s="1040"/>
      <c r="P126" s="1041"/>
      <c r="Q126" s="267"/>
      <c r="R126" s="267"/>
      <c r="S126" s="267"/>
      <c r="T126" s="267"/>
      <c r="U126" s="267"/>
      <c r="V126" s="267"/>
      <c r="W126" s="254"/>
      <c r="X126" s="703"/>
      <c r="Y126" s="125"/>
      <c r="Z126" s="431"/>
      <c r="AA126" s="499"/>
      <c r="AB126" s="741"/>
      <c r="AC126" s="51"/>
      <c r="AD126" s="51"/>
      <c r="AE126" s="645" t="str">
        <f t="shared" si="20"/>
        <v/>
      </c>
      <c r="AF126" s="1037" t="str">
        <f t="shared" si="21"/>
        <v/>
      </c>
      <c r="AG126" s="1037" t="str">
        <f t="shared" si="22"/>
        <v/>
      </c>
      <c r="AH126" s="1037" t="str">
        <f>IF(AE126="","",VLOOKUP(AE126,リスト!BI:BJ,2,0))</f>
        <v/>
      </c>
      <c r="AI126" s="1037" t="str">
        <f t="shared" si="35"/>
        <v/>
      </c>
      <c r="AJ126" s="1037" t="str">
        <f>IF(AI126="","",VLOOKUP(AI126,リスト!BW:BX,2,0))</f>
        <v/>
      </c>
      <c r="AK126" s="1037" t="str">
        <f t="shared" si="32"/>
        <v/>
      </c>
      <c r="AL126" s="685" t="str">
        <f t="shared" si="23"/>
        <v/>
      </c>
      <c r="AM126" s="646" t="str">
        <f t="shared" si="24"/>
        <v/>
      </c>
      <c r="AN126" s="646" t="str">
        <f t="shared" si="36"/>
        <v/>
      </c>
      <c r="AO126" s="647" t="str">
        <f t="shared" si="37"/>
        <v/>
      </c>
      <c r="AP126" s="647" t="str">
        <f t="shared" si="33"/>
        <v/>
      </c>
      <c r="AQ126" s="647" t="str">
        <f t="shared" si="25"/>
        <v/>
      </c>
      <c r="AR126" s="647" t="str">
        <f t="shared" si="26"/>
        <v/>
      </c>
      <c r="AS126" s="647" t="str">
        <f t="shared" si="27"/>
        <v/>
      </c>
      <c r="AT126" s="647" t="str">
        <f t="shared" si="34"/>
        <v/>
      </c>
      <c r="AU126" s="647" t="str">
        <f t="shared" si="28"/>
        <v/>
      </c>
      <c r="AV126" s="647" t="str">
        <f t="shared" si="29"/>
        <v/>
      </c>
      <c r="AW126" s="647" t="str">
        <f t="shared" si="30"/>
        <v/>
      </c>
      <c r="AX126" s="647" t="str">
        <f t="shared" si="31"/>
        <v/>
      </c>
    </row>
    <row r="127" spans="3:50" s="5" customFormat="1" ht="28.15" hidden="1" customHeight="1" outlineLevel="1">
      <c r="C127" s="649">
        <v>111</v>
      </c>
      <c r="D127" s="1865"/>
      <c r="E127" s="1866"/>
      <c r="F127" s="1866"/>
      <c r="G127" s="1866"/>
      <c r="H127" s="1866"/>
      <c r="I127" s="1866"/>
      <c r="J127" s="1866"/>
      <c r="K127" s="704"/>
      <c r="L127" s="1055"/>
      <c r="M127" s="705"/>
      <c r="N127" s="257"/>
      <c r="O127" s="1042"/>
      <c r="P127" s="1041"/>
      <c r="Q127" s="256"/>
      <c r="R127" s="267"/>
      <c r="S127" s="256"/>
      <c r="T127" s="256"/>
      <c r="U127" s="256"/>
      <c r="V127" s="256"/>
      <c r="W127" s="254"/>
      <c r="X127" s="703"/>
      <c r="Y127" s="125"/>
      <c r="Z127" s="431"/>
      <c r="AA127" s="499"/>
      <c r="AB127" s="741"/>
      <c r="AC127" s="51"/>
      <c r="AD127" s="51"/>
      <c r="AE127" s="645" t="str">
        <f t="shared" si="20"/>
        <v/>
      </c>
      <c r="AF127" s="1037" t="str">
        <f t="shared" si="21"/>
        <v/>
      </c>
      <c r="AG127" s="1037" t="str">
        <f t="shared" si="22"/>
        <v/>
      </c>
      <c r="AH127" s="1037" t="str">
        <f>IF(AE127="","",VLOOKUP(AE127,リスト!BI:BJ,2,0))</f>
        <v/>
      </c>
      <c r="AI127" s="1037" t="str">
        <f t="shared" si="35"/>
        <v/>
      </c>
      <c r="AJ127" s="1037" t="str">
        <f>IF(AI127="","",VLOOKUP(AI127,リスト!BW:BX,2,0))</f>
        <v/>
      </c>
      <c r="AK127" s="1037" t="str">
        <f t="shared" si="32"/>
        <v/>
      </c>
      <c r="AL127" s="685" t="str">
        <f t="shared" si="23"/>
        <v/>
      </c>
      <c r="AM127" s="646" t="str">
        <f t="shared" si="24"/>
        <v/>
      </c>
      <c r="AN127" s="646" t="str">
        <f t="shared" si="36"/>
        <v/>
      </c>
      <c r="AO127" s="647" t="str">
        <f t="shared" si="37"/>
        <v/>
      </c>
      <c r="AP127" s="647" t="str">
        <f t="shared" si="33"/>
        <v/>
      </c>
      <c r="AQ127" s="647" t="str">
        <f t="shared" si="25"/>
        <v/>
      </c>
      <c r="AR127" s="647" t="str">
        <f t="shared" si="26"/>
        <v/>
      </c>
      <c r="AS127" s="647" t="str">
        <f t="shared" si="27"/>
        <v/>
      </c>
      <c r="AT127" s="647" t="str">
        <f t="shared" si="34"/>
        <v/>
      </c>
      <c r="AU127" s="647" t="str">
        <f t="shared" si="28"/>
        <v/>
      </c>
      <c r="AV127" s="647" t="str">
        <f t="shared" si="29"/>
        <v/>
      </c>
      <c r="AW127" s="647" t="str">
        <f t="shared" si="30"/>
        <v/>
      </c>
      <c r="AX127" s="647" t="str">
        <f t="shared" si="31"/>
        <v/>
      </c>
    </row>
    <row r="128" spans="3:50" s="5" customFormat="1" ht="28.15" hidden="1" customHeight="1" outlineLevel="1">
      <c r="C128" s="649">
        <v>112</v>
      </c>
      <c r="D128" s="1855"/>
      <c r="E128" s="1856"/>
      <c r="F128" s="1856"/>
      <c r="G128" s="1856"/>
      <c r="H128" s="1856"/>
      <c r="I128" s="1856"/>
      <c r="J128" s="1856"/>
      <c r="K128" s="702"/>
      <c r="L128" s="1054"/>
      <c r="M128" s="705"/>
      <c r="N128" s="255"/>
      <c r="O128" s="1040"/>
      <c r="P128" s="1041"/>
      <c r="Q128" s="256"/>
      <c r="R128" s="267"/>
      <c r="S128" s="256"/>
      <c r="T128" s="256"/>
      <c r="U128" s="256"/>
      <c r="V128" s="256"/>
      <c r="W128" s="254"/>
      <c r="X128" s="703"/>
      <c r="Y128" s="125"/>
      <c r="Z128" s="431"/>
      <c r="AA128" s="499"/>
      <c r="AB128" s="741"/>
      <c r="AC128" s="51"/>
      <c r="AD128" s="51"/>
      <c r="AE128" s="645" t="str">
        <f t="shared" si="20"/>
        <v/>
      </c>
      <c r="AF128" s="1037" t="str">
        <f t="shared" si="21"/>
        <v/>
      </c>
      <c r="AG128" s="1037" t="str">
        <f t="shared" si="22"/>
        <v/>
      </c>
      <c r="AH128" s="1037" t="str">
        <f>IF(AE128="","",VLOOKUP(AE128,リスト!BI:BJ,2,0))</f>
        <v/>
      </c>
      <c r="AI128" s="1037" t="str">
        <f t="shared" si="35"/>
        <v/>
      </c>
      <c r="AJ128" s="1037" t="str">
        <f>IF(AI128="","",VLOOKUP(AI128,リスト!BW:BX,2,0))</f>
        <v/>
      </c>
      <c r="AK128" s="1037" t="str">
        <f t="shared" si="32"/>
        <v/>
      </c>
      <c r="AL128" s="685" t="str">
        <f t="shared" si="23"/>
        <v/>
      </c>
      <c r="AM128" s="646" t="str">
        <f t="shared" si="24"/>
        <v/>
      </c>
      <c r="AN128" s="646" t="str">
        <f t="shared" si="36"/>
        <v/>
      </c>
      <c r="AO128" s="647" t="str">
        <f t="shared" si="37"/>
        <v/>
      </c>
      <c r="AP128" s="647" t="str">
        <f t="shared" si="33"/>
        <v/>
      </c>
      <c r="AQ128" s="647" t="str">
        <f t="shared" si="25"/>
        <v/>
      </c>
      <c r="AR128" s="647" t="str">
        <f t="shared" si="26"/>
        <v/>
      </c>
      <c r="AS128" s="647" t="str">
        <f t="shared" si="27"/>
        <v/>
      </c>
      <c r="AT128" s="647" t="str">
        <f t="shared" si="34"/>
        <v/>
      </c>
      <c r="AU128" s="647" t="str">
        <f t="shared" si="28"/>
        <v/>
      </c>
      <c r="AV128" s="647" t="str">
        <f t="shared" si="29"/>
        <v/>
      </c>
      <c r="AW128" s="647" t="str">
        <f t="shared" si="30"/>
        <v/>
      </c>
      <c r="AX128" s="647" t="str">
        <f t="shared" si="31"/>
        <v/>
      </c>
    </row>
    <row r="129" spans="3:50" s="5" customFormat="1" ht="28.15" hidden="1" customHeight="1" outlineLevel="1">
      <c r="C129" s="649">
        <v>113</v>
      </c>
      <c r="D129" s="1865"/>
      <c r="E129" s="1866"/>
      <c r="F129" s="1866"/>
      <c r="G129" s="1866"/>
      <c r="H129" s="1866"/>
      <c r="I129" s="1866"/>
      <c r="J129" s="1866"/>
      <c r="K129" s="704"/>
      <c r="L129" s="1055"/>
      <c r="M129" s="705"/>
      <c r="N129" s="257"/>
      <c r="O129" s="1042"/>
      <c r="P129" s="1041"/>
      <c r="Q129" s="256"/>
      <c r="R129" s="267"/>
      <c r="S129" s="256"/>
      <c r="T129" s="256"/>
      <c r="U129" s="256"/>
      <c r="V129" s="256"/>
      <c r="W129" s="254"/>
      <c r="X129" s="703"/>
      <c r="Y129" s="125"/>
      <c r="Z129" s="431"/>
      <c r="AA129" s="499"/>
      <c r="AB129" s="741"/>
      <c r="AC129" s="51"/>
      <c r="AD129" s="51"/>
      <c r="AE129" s="645" t="str">
        <f t="shared" si="20"/>
        <v/>
      </c>
      <c r="AF129" s="1037" t="str">
        <f t="shared" si="21"/>
        <v/>
      </c>
      <c r="AG129" s="1037" t="str">
        <f t="shared" si="22"/>
        <v/>
      </c>
      <c r="AH129" s="1037" t="str">
        <f>IF(AE129="","",VLOOKUP(AE129,リスト!BI:BJ,2,0))</f>
        <v/>
      </c>
      <c r="AI129" s="1037" t="str">
        <f t="shared" si="35"/>
        <v/>
      </c>
      <c r="AJ129" s="1037" t="str">
        <f>IF(AI129="","",VLOOKUP(AI129,リスト!BW:BX,2,0))</f>
        <v/>
      </c>
      <c r="AK129" s="1037" t="str">
        <f t="shared" si="32"/>
        <v/>
      </c>
      <c r="AL129" s="685" t="str">
        <f t="shared" si="23"/>
        <v/>
      </c>
      <c r="AM129" s="646" t="str">
        <f t="shared" si="24"/>
        <v/>
      </c>
      <c r="AN129" s="646" t="str">
        <f t="shared" si="36"/>
        <v/>
      </c>
      <c r="AO129" s="647" t="str">
        <f t="shared" si="37"/>
        <v/>
      </c>
      <c r="AP129" s="647" t="str">
        <f t="shared" si="33"/>
        <v/>
      </c>
      <c r="AQ129" s="647" t="str">
        <f t="shared" si="25"/>
        <v/>
      </c>
      <c r="AR129" s="647" t="str">
        <f t="shared" si="26"/>
        <v/>
      </c>
      <c r="AS129" s="647" t="str">
        <f t="shared" si="27"/>
        <v/>
      </c>
      <c r="AT129" s="647" t="str">
        <f t="shared" si="34"/>
        <v/>
      </c>
      <c r="AU129" s="647" t="str">
        <f t="shared" si="28"/>
        <v/>
      </c>
      <c r="AV129" s="647" t="str">
        <f t="shared" si="29"/>
        <v/>
      </c>
      <c r="AW129" s="647" t="str">
        <f t="shared" si="30"/>
        <v/>
      </c>
      <c r="AX129" s="647" t="str">
        <f t="shared" si="31"/>
        <v/>
      </c>
    </row>
    <row r="130" spans="3:50" s="5" customFormat="1" ht="28.15" hidden="1" customHeight="1" outlineLevel="1">
      <c r="C130" s="649">
        <v>114</v>
      </c>
      <c r="D130" s="1855"/>
      <c r="E130" s="1856"/>
      <c r="F130" s="1856"/>
      <c r="G130" s="1856"/>
      <c r="H130" s="1856"/>
      <c r="I130" s="1856"/>
      <c r="J130" s="1856"/>
      <c r="K130" s="702"/>
      <c r="L130" s="1054"/>
      <c r="M130" s="705"/>
      <c r="N130" s="255"/>
      <c r="O130" s="1040"/>
      <c r="P130" s="1041"/>
      <c r="Q130" s="256"/>
      <c r="R130" s="267"/>
      <c r="S130" s="256"/>
      <c r="T130" s="256"/>
      <c r="U130" s="256"/>
      <c r="V130" s="256"/>
      <c r="W130" s="254"/>
      <c r="X130" s="703"/>
      <c r="Y130" s="125"/>
      <c r="Z130" s="431"/>
      <c r="AA130" s="499"/>
      <c r="AB130" s="741"/>
      <c r="AC130" s="51"/>
      <c r="AD130" s="51"/>
      <c r="AE130" s="645" t="str">
        <f t="shared" si="20"/>
        <v/>
      </c>
      <c r="AF130" s="1037" t="str">
        <f t="shared" si="21"/>
        <v/>
      </c>
      <c r="AG130" s="1037" t="str">
        <f t="shared" si="22"/>
        <v/>
      </c>
      <c r="AH130" s="1037" t="str">
        <f>IF(AE130="","",VLOOKUP(AE130,リスト!BI:BJ,2,0))</f>
        <v/>
      </c>
      <c r="AI130" s="1037" t="str">
        <f t="shared" si="35"/>
        <v/>
      </c>
      <c r="AJ130" s="1037" t="str">
        <f>IF(AI130="","",VLOOKUP(AI130,リスト!BW:BX,2,0))</f>
        <v/>
      </c>
      <c r="AK130" s="1037" t="str">
        <f t="shared" si="32"/>
        <v/>
      </c>
      <c r="AL130" s="685" t="str">
        <f t="shared" si="23"/>
        <v/>
      </c>
      <c r="AM130" s="646" t="str">
        <f t="shared" si="24"/>
        <v/>
      </c>
      <c r="AN130" s="646" t="str">
        <f t="shared" si="36"/>
        <v/>
      </c>
      <c r="AO130" s="647" t="str">
        <f t="shared" si="37"/>
        <v/>
      </c>
      <c r="AP130" s="647" t="str">
        <f t="shared" si="33"/>
        <v/>
      </c>
      <c r="AQ130" s="647" t="str">
        <f t="shared" si="25"/>
        <v/>
      </c>
      <c r="AR130" s="647" t="str">
        <f t="shared" si="26"/>
        <v/>
      </c>
      <c r="AS130" s="647" t="str">
        <f t="shared" si="27"/>
        <v/>
      </c>
      <c r="AT130" s="647" t="str">
        <f t="shared" si="34"/>
        <v/>
      </c>
      <c r="AU130" s="647" t="str">
        <f t="shared" si="28"/>
        <v/>
      </c>
      <c r="AV130" s="647" t="str">
        <f t="shared" si="29"/>
        <v/>
      </c>
      <c r="AW130" s="647" t="str">
        <f t="shared" si="30"/>
        <v/>
      </c>
      <c r="AX130" s="647" t="str">
        <f t="shared" si="31"/>
        <v/>
      </c>
    </row>
    <row r="131" spans="3:50" s="5" customFormat="1" ht="28.15" hidden="1" customHeight="1" outlineLevel="1">
      <c r="C131" s="649">
        <v>115</v>
      </c>
      <c r="D131" s="1865"/>
      <c r="E131" s="1866"/>
      <c r="F131" s="1866"/>
      <c r="G131" s="1866"/>
      <c r="H131" s="1866"/>
      <c r="I131" s="1866"/>
      <c r="J131" s="1866"/>
      <c r="K131" s="704"/>
      <c r="L131" s="1055"/>
      <c r="M131" s="705"/>
      <c r="N131" s="257"/>
      <c r="O131" s="1042"/>
      <c r="P131" s="1041"/>
      <c r="Q131" s="256"/>
      <c r="R131" s="267"/>
      <c r="S131" s="256"/>
      <c r="T131" s="256"/>
      <c r="U131" s="256"/>
      <c r="V131" s="256"/>
      <c r="W131" s="254"/>
      <c r="X131" s="703"/>
      <c r="Y131" s="125"/>
      <c r="Z131" s="431"/>
      <c r="AA131" s="499"/>
      <c r="AB131" s="741"/>
      <c r="AC131" s="51"/>
      <c r="AD131" s="51"/>
      <c r="AE131" s="645" t="str">
        <f t="shared" si="20"/>
        <v/>
      </c>
      <c r="AF131" s="1037" t="str">
        <f t="shared" si="21"/>
        <v/>
      </c>
      <c r="AG131" s="1037" t="str">
        <f t="shared" si="22"/>
        <v/>
      </c>
      <c r="AH131" s="1037" t="str">
        <f>IF(AE131="","",VLOOKUP(AE131,リスト!BI:BJ,2,0))</f>
        <v/>
      </c>
      <c r="AI131" s="1037" t="str">
        <f t="shared" si="35"/>
        <v/>
      </c>
      <c r="AJ131" s="1037" t="str">
        <f>IF(AI131="","",VLOOKUP(AI131,リスト!BW:BX,2,0))</f>
        <v/>
      </c>
      <c r="AK131" s="1037" t="str">
        <f t="shared" si="32"/>
        <v/>
      </c>
      <c r="AL131" s="685" t="str">
        <f t="shared" si="23"/>
        <v/>
      </c>
      <c r="AM131" s="646" t="str">
        <f t="shared" si="24"/>
        <v/>
      </c>
      <c r="AN131" s="646" t="str">
        <f t="shared" si="36"/>
        <v/>
      </c>
      <c r="AO131" s="647" t="str">
        <f t="shared" si="37"/>
        <v/>
      </c>
      <c r="AP131" s="647" t="str">
        <f t="shared" si="33"/>
        <v/>
      </c>
      <c r="AQ131" s="647" t="str">
        <f t="shared" si="25"/>
        <v/>
      </c>
      <c r="AR131" s="647" t="str">
        <f t="shared" si="26"/>
        <v/>
      </c>
      <c r="AS131" s="647" t="str">
        <f t="shared" si="27"/>
        <v/>
      </c>
      <c r="AT131" s="647" t="str">
        <f t="shared" si="34"/>
        <v/>
      </c>
      <c r="AU131" s="647" t="str">
        <f t="shared" si="28"/>
        <v/>
      </c>
      <c r="AV131" s="647" t="str">
        <f t="shared" si="29"/>
        <v/>
      </c>
      <c r="AW131" s="647" t="str">
        <f t="shared" si="30"/>
        <v/>
      </c>
      <c r="AX131" s="647" t="str">
        <f t="shared" si="31"/>
        <v/>
      </c>
    </row>
    <row r="132" spans="3:50" s="5" customFormat="1" ht="28.15" hidden="1" customHeight="1" outlineLevel="1">
      <c r="C132" s="649">
        <v>116</v>
      </c>
      <c r="D132" s="1855"/>
      <c r="E132" s="1856"/>
      <c r="F132" s="1856"/>
      <c r="G132" s="1856"/>
      <c r="H132" s="1856"/>
      <c r="I132" s="1856"/>
      <c r="J132" s="1856"/>
      <c r="K132" s="702"/>
      <c r="L132" s="1054"/>
      <c r="M132" s="705"/>
      <c r="N132" s="255"/>
      <c r="O132" s="1040"/>
      <c r="P132" s="1041"/>
      <c r="Q132" s="256"/>
      <c r="R132" s="267"/>
      <c r="S132" s="256"/>
      <c r="T132" s="256"/>
      <c r="U132" s="256"/>
      <c r="V132" s="256"/>
      <c r="W132" s="254"/>
      <c r="X132" s="703"/>
      <c r="Y132" s="125"/>
      <c r="Z132" s="431"/>
      <c r="AA132" s="499"/>
      <c r="AB132" s="741"/>
      <c r="AC132" s="51"/>
      <c r="AD132" s="51"/>
      <c r="AE132" s="645" t="str">
        <f t="shared" si="20"/>
        <v/>
      </c>
      <c r="AF132" s="1037" t="str">
        <f t="shared" si="21"/>
        <v/>
      </c>
      <c r="AG132" s="1037" t="str">
        <f t="shared" si="22"/>
        <v/>
      </c>
      <c r="AH132" s="1037" t="str">
        <f>IF(AE132="","",VLOOKUP(AE132,リスト!BI:BJ,2,0))</f>
        <v/>
      </c>
      <c r="AI132" s="1037" t="str">
        <f t="shared" si="35"/>
        <v/>
      </c>
      <c r="AJ132" s="1037" t="str">
        <f>IF(AI132="","",VLOOKUP(AI132,リスト!BW:BX,2,0))</f>
        <v/>
      </c>
      <c r="AK132" s="1037" t="str">
        <f t="shared" si="32"/>
        <v/>
      </c>
      <c r="AL132" s="685" t="str">
        <f t="shared" si="23"/>
        <v/>
      </c>
      <c r="AM132" s="646" t="str">
        <f t="shared" si="24"/>
        <v/>
      </c>
      <c r="AN132" s="646" t="str">
        <f t="shared" si="36"/>
        <v/>
      </c>
      <c r="AO132" s="647" t="str">
        <f t="shared" si="37"/>
        <v/>
      </c>
      <c r="AP132" s="647" t="str">
        <f t="shared" si="33"/>
        <v/>
      </c>
      <c r="AQ132" s="647" t="str">
        <f t="shared" si="25"/>
        <v/>
      </c>
      <c r="AR132" s="647" t="str">
        <f t="shared" si="26"/>
        <v/>
      </c>
      <c r="AS132" s="647" t="str">
        <f t="shared" si="27"/>
        <v/>
      </c>
      <c r="AT132" s="647" t="str">
        <f t="shared" si="34"/>
        <v/>
      </c>
      <c r="AU132" s="647" t="str">
        <f t="shared" si="28"/>
        <v/>
      </c>
      <c r="AV132" s="647" t="str">
        <f t="shared" si="29"/>
        <v/>
      </c>
      <c r="AW132" s="647" t="str">
        <f t="shared" si="30"/>
        <v/>
      </c>
      <c r="AX132" s="647" t="str">
        <f t="shared" si="31"/>
        <v/>
      </c>
    </row>
    <row r="133" spans="3:50" s="5" customFormat="1" ht="28.15" hidden="1" customHeight="1" outlineLevel="1">
      <c r="C133" s="649">
        <v>117</v>
      </c>
      <c r="D133" s="1865"/>
      <c r="E133" s="1866"/>
      <c r="F133" s="1866"/>
      <c r="G133" s="1866"/>
      <c r="H133" s="1866"/>
      <c r="I133" s="1866"/>
      <c r="J133" s="1866"/>
      <c r="K133" s="704"/>
      <c r="L133" s="1055"/>
      <c r="M133" s="705"/>
      <c r="N133" s="255"/>
      <c r="O133" s="1042"/>
      <c r="P133" s="1041"/>
      <c r="Q133" s="256"/>
      <c r="R133" s="267"/>
      <c r="S133" s="256"/>
      <c r="T133" s="256"/>
      <c r="U133" s="256"/>
      <c r="V133" s="256"/>
      <c r="W133" s="254"/>
      <c r="X133" s="703"/>
      <c r="Y133" s="125"/>
      <c r="Z133" s="431"/>
      <c r="AA133" s="499"/>
      <c r="AB133" s="741"/>
      <c r="AC133" s="51"/>
      <c r="AD133" s="51"/>
      <c r="AE133" s="645" t="str">
        <f t="shared" si="20"/>
        <v/>
      </c>
      <c r="AF133" s="1037" t="str">
        <f t="shared" si="21"/>
        <v/>
      </c>
      <c r="AG133" s="1037" t="str">
        <f t="shared" si="22"/>
        <v/>
      </c>
      <c r="AH133" s="1037" t="str">
        <f>IF(AE133="","",VLOOKUP(AE133,リスト!BI:BJ,2,0))</f>
        <v/>
      </c>
      <c r="AI133" s="1037" t="str">
        <f t="shared" si="35"/>
        <v/>
      </c>
      <c r="AJ133" s="1037" t="str">
        <f>IF(AI133="","",VLOOKUP(AI133,リスト!BW:BX,2,0))</f>
        <v/>
      </c>
      <c r="AK133" s="1037" t="str">
        <f t="shared" si="32"/>
        <v/>
      </c>
      <c r="AL133" s="685" t="str">
        <f t="shared" si="23"/>
        <v/>
      </c>
      <c r="AM133" s="646" t="str">
        <f t="shared" si="24"/>
        <v/>
      </c>
      <c r="AN133" s="646" t="str">
        <f t="shared" si="36"/>
        <v/>
      </c>
      <c r="AO133" s="647" t="str">
        <f t="shared" si="37"/>
        <v/>
      </c>
      <c r="AP133" s="647" t="str">
        <f t="shared" si="33"/>
        <v/>
      </c>
      <c r="AQ133" s="647" t="str">
        <f t="shared" si="25"/>
        <v/>
      </c>
      <c r="AR133" s="647" t="str">
        <f t="shared" si="26"/>
        <v/>
      </c>
      <c r="AS133" s="647" t="str">
        <f t="shared" si="27"/>
        <v/>
      </c>
      <c r="AT133" s="647" t="str">
        <f t="shared" si="34"/>
        <v/>
      </c>
      <c r="AU133" s="647" t="str">
        <f t="shared" si="28"/>
        <v/>
      </c>
      <c r="AV133" s="647" t="str">
        <f t="shared" si="29"/>
        <v/>
      </c>
      <c r="AW133" s="647" t="str">
        <f t="shared" si="30"/>
        <v/>
      </c>
      <c r="AX133" s="647" t="str">
        <f t="shared" si="31"/>
        <v/>
      </c>
    </row>
    <row r="134" spans="3:50" s="5" customFormat="1" ht="28.15" hidden="1" customHeight="1" outlineLevel="1">
      <c r="C134" s="649">
        <v>118</v>
      </c>
      <c r="D134" s="1855"/>
      <c r="E134" s="1856"/>
      <c r="F134" s="1856"/>
      <c r="G134" s="1856"/>
      <c r="H134" s="1856"/>
      <c r="I134" s="1856"/>
      <c r="J134" s="1856"/>
      <c r="K134" s="702"/>
      <c r="L134" s="1054"/>
      <c r="M134" s="705"/>
      <c r="N134" s="255"/>
      <c r="O134" s="1040"/>
      <c r="P134" s="1041"/>
      <c r="Q134" s="256"/>
      <c r="R134" s="267"/>
      <c r="S134" s="256"/>
      <c r="T134" s="256"/>
      <c r="U134" s="256"/>
      <c r="V134" s="256"/>
      <c r="W134" s="254"/>
      <c r="X134" s="703"/>
      <c r="Y134" s="125"/>
      <c r="Z134" s="431"/>
      <c r="AA134" s="499"/>
      <c r="AB134" s="741"/>
      <c r="AC134" s="51"/>
      <c r="AD134" s="51"/>
      <c r="AE134" s="645" t="str">
        <f t="shared" si="20"/>
        <v/>
      </c>
      <c r="AF134" s="1037" t="str">
        <f t="shared" si="21"/>
        <v/>
      </c>
      <c r="AG134" s="1037" t="str">
        <f t="shared" si="22"/>
        <v/>
      </c>
      <c r="AH134" s="1037" t="str">
        <f>IF(AE134="","",VLOOKUP(AE134,リスト!BI:BJ,2,0))</f>
        <v/>
      </c>
      <c r="AI134" s="1037" t="str">
        <f t="shared" si="35"/>
        <v/>
      </c>
      <c r="AJ134" s="1037" t="str">
        <f>IF(AI134="","",VLOOKUP(AI134,リスト!BW:BX,2,0))</f>
        <v/>
      </c>
      <c r="AK134" s="1037" t="str">
        <f t="shared" si="32"/>
        <v/>
      </c>
      <c r="AL134" s="685" t="str">
        <f t="shared" si="23"/>
        <v/>
      </c>
      <c r="AM134" s="646" t="str">
        <f t="shared" si="24"/>
        <v/>
      </c>
      <c r="AN134" s="646" t="str">
        <f t="shared" si="36"/>
        <v/>
      </c>
      <c r="AO134" s="647" t="str">
        <f t="shared" si="37"/>
        <v/>
      </c>
      <c r="AP134" s="647" t="str">
        <f t="shared" si="33"/>
        <v/>
      </c>
      <c r="AQ134" s="647" t="str">
        <f t="shared" si="25"/>
        <v/>
      </c>
      <c r="AR134" s="647" t="str">
        <f t="shared" si="26"/>
        <v/>
      </c>
      <c r="AS134" s="647" t="str">
        <f t="shared" si="27"/>
        <v/>
      </c>
      <c r="AT134" s="647" t="str">
        <f t="shared" si="34"/>
        <v/>
      </c>
      <c r="AU134" s="647" t="str">
        <f t="shared" si="28"/>
        <v/>
      </c>
      <c r="AV134" s="647" t="str">
        <f t="shared" si="29"/>
        <v/>
      </c>
      <c r="AW134" s="647" t="str">
        <f t="shared" si="30"/>
        <v/>
      </c>
      <c r="AX134" s="647" t="str">
        <f t="shared" si="31"/>
        <v/>
      </c>
    </row>
    <row r="135" spans="3:50" s="5" customFormat="1" ht="28.15" hidden="1" customHeight="1" outlineLevel="1">
      <c r="C135" s="649">
        <v>119</v>
      </c>
      <c r="D135" s="1865"/>
      <c r="E135" s="1866"/>
      <c r="F135" s="1866"/>
      <c r="G135" s="1866"/>
      <c r="H135" s="1866"/>
      <c r="I135" s="1866"/>
      <c r="J135" s="1866"/>
      <c r="K135" s="704"/>
      <c r="L135" s="1055"/>
      <c r="M135" s="705"/>
      <c r="N135" s="255"/>
      <c r="O135" s="1042"/>
      <c r="P135" s="1041"/>
      <c r="Q135" s="256"/>
      <c r="R135" s="267"/>
      <c r="S135" s="256"/>
      <c r="T135" s="256"/>
      <c r="U135" s="256"/>
      <c r="V135" s="256"/>
      <c r="W135" s="254"/>
      <c r="X135" s="703"/>
      <c r="Y135" s="125"/>
      <c r="Z135" s="431"/>
      <c r="AA135" s="499"/>
      <c r="AB135" s="741"/>
      <c r="AC135" s="51"/>
      <c r="AD135" s="51"/>
      <c r="AE135" s="645" t="str">
        <f t="shared" si="20"/>
        <v/>
      </c>
      <c r="AF135" s="1037" t="str">
        <f t="shared" si="21"/>
        <v/>
      </c>
      <c r="AG135" s="1037" t="str">
        <f t="shared" si="22"/>
        <v/>
      </c>
      <c r="AH135" s="1037" t="str">
        <f>IF(AE135="","",VLOOKUP(AE135,リスト!BI:BJ,2,0))</f>
        <v/>
      </c>
      <c r="AI135" s="1037" t="str">
        <f t="shared" si="35"/>
        <v/>
      </c>
      <c r="AJ135" s="1037" t="str">
        <f>IF(AI135="","",VLOOKUP(AI135,リスト!BW:BX,2,0))</f>
        <v/>
      </c>
      <c r="AK135" s="1037" t="str">
        <f t="shared" si="32"/>
        <v/>
      </c>
      <c r="AL135" s="685" t="str">
        <f t="shared" si="23"/>
        <v/>
      </c>
      <c r="AM135" s="646" t="str">
        <f t="shared" si="24"/>
        <v/>
      </c>
      <c r="AN135" s="646" t="str">
        <f t="shared" si="36"/>
        <v/>
      </c>
      <c r="AO135" s="647" t="str">
        <f t="shared" si="37"/>
        <v/>
      </c>
      <c r="AP135" s="647" t="str">
        <f t="shared" si="33"/>
        <v/>
      </c>
      <c r="AQ135" s="647" t="str">
        <f t="shared" si="25"/>
        <v/>
      </c>
      <c r="AR135" s="647" t="str">
        <f t="shared" si="26"/>
        <v/>
      </c>
      <c r="AS135" s="647" t="str">
        <f t="shared" si="27"/>
        <v/>
      </c>
      <c r="AT135" s="647" t="str">
        <f t="shared" si="34"/>
        <v/>
      </c>
      <c r="AU135" s="647" t="str">
        <f t="shared" si="28"/>
        <v/>
      </c>
      <c r="AV135" s="647" t="str">
        <f t="shared" si="29"/>
        <v/>
      </c>
      <c r="AW135" s="647" t="str">
        <f t="shared" si="30"/>
        <v/>
      </c>
      <c r="AX135" s="647" t="str">
        <f t="shared" si="31"/>
        <v/>
      </c>
    </row>
    <row r="136" spans="3:50" s="5" customFormat="1" ht="28.15" hidden="1" customHeight="1" outlineLevel="1">
      <c r="C136" s="649">
        <v>120</v>
      </c>
      <c r="D136" s="1855"/>
      <c r="E136" s="1856"/>
      <c r="F136" s="1856"/>
      <c r="G136" s="1856"/>
      <c r="H136" s="1856"/>
      <c r="I136" s="1856"/>
      <c r="J136" s="1856"/>
      <c r="K136" s="702"/>
      <c r="L136" s="1054"/>
      <c r="M136" s="705"/>
      <c r="N136" s="255"/>
      <c r="O136" s="1040"/>
      <c r="P136" s="1041"/>
      <c r="Q136" s="256"/>
      <c r="R136" s="267"/>
      <c r="S136" s="256"/>
      <c r="T136" s="256"/>
      <c r="U136" s="256"/>
      <c r="V136" s="256"/>
      <c r="W136" s="254"/>
      <c r="X136" s="703"/>
      <c r="Y136" s="125"/>
      <c r="Z136" s="431"/>
      <c r="AA136" s="499"/>
      <c r="AB136" s="741"/>
      <c r="AC136" s="51"/>
      <c r="AD136" s="51"/>
      <c r="AE136" s="645" t="str">
        <f t="shared" si="20"/>
        <v/>
      </c>
      <c r="AF136" s="1037" t="str">
        <f t="shared" si="21"/>
        <v/>
      </c>
      <c r="AG136" s="1037" t="str">
        <f t="shared" si="22"/>
        <v/>
      </c>
      <c r="AH136" s="1037" t="str">
        <f>IF(AE136="","",VLOOKUP(AE136,リスト!BI:BJ,2,0))</f>
        <v/>
      </c>
      <c r="AI136" s="1037" t="str">
        <f t="shared" si="35"/>
        <v/>
      </c>
      <c r="AJ136" s="1037" t="str">
        <f>IF(AI136="","",VLOOKUP(AI136,リスト!BW:BX,2,0))</f>
        <v/>
      </c>
      <c r="AK136" s="1037" t="str">
        <f t="shared" si="32"/>
        <v/>
      </c>
      <c r="AL136" s="685" t="str">
        <f t="shared" si="23"/>
        <v/>
      </c>
      <c r="AM136" s="646" t="str">
        <f t="shared" si="24"/>
        <v/>
      </c>
      <c r="AN136" s="646" t="str">
        <f t="shared" si="36"/>
        <v/>
      </c>
      <c r="AO136" s="647" t="str">
        <f t="shared" si="37"/>
        <v/>
      </c>
      <c r="AP136" s="647" t="str">
        <f t="shared" si="33"/>
        <v/>
      </c>
      <c r="AQ136" s="647" t="str">
        <f t="shared" si="25"/>
        <v/>
      </c>
      <c r="AR136" s="647" t="str">
        <f t="shared" si="26"/>
        <v/>
      </c>
      <c r="AS136" s="647" t="str">
        <f t="shared" si="27"/>
        <v/>
      </c>
      <c r="AT136" s="647" t="str">
        <f t="shared" si="34"/>
        <v/>
      </c>
      <c r="AU136" s="647" t="str">
        <f t="shared" si="28"/>
        <v/>
      </c>
      <c r="AV136" s="647" t="str">
        <f t="shared" si="29"/>
        <v/>
      </c>
      <c r="AW136" s="647" t="str">
        <f t="shared" si="30"/>
        <v/>
      </c>
      <c r="AX136" s="647" t="str">
        <f t="shared" si="31"/>
        <v/>
      </c>
    </row>
    <row r="137" spans="3:50" s="5" customFormat="1" ht="28.15" hidden="1" customHeight="1" outlineLevel="1">
      <c r="C137" s="649">
        <v>121</v>
      </c>
      <c r="D137" s="1865"/>
      <c r="E137" s="1866"/>
      <c r="F137" s="1866"/>
      <c r="G137" s="1866"/>
      <c r="H137" s="1866"/>
      <c r="I137" s="1866"/>
      <c r="J137" s="1866"/>
      <c r="K137" s="704"/>
      <c r="L137" s="1055"/>
      <c r="M137" s="705"/>
      <c r="N137" s="255"/>
      <c r="O137" s="1042"/>
      <c r="P137" s="1043"/>
      <c r="Q137" s="256"/>
      <c r="R137" s="267"/>
      <c r="S137" s="256"/>
      <c r="T137" s="256"/>
      <c r="U137" s="256"/>
      <c r="V137" s="256"/>
      <c r="W137" s="254"/>
      <c r="X137" s="703"/>
      <c r="Y137" s="125"/>
      <c r="Z137" s="431"/>
      <c r="AA137" s="499"/>
      <c r="AB137" s="741"/>
      <c r="AC137" s="51"/>
      <c r="AD137" s="51"/>
      <c r="AE137" s="645" t="str">
        <f t="shared" si="20"/>
        <v/>
      </c>
      <c r="AF137" s="1037" t="str">
        <f t="shared" si="21"/>
        <v/>
      </c>
      <c r="AG137" s="1037" t="str">
        <f t="shared" si="22"/>
        <v/>
      </c>
      <c r="AH137" s="1037" t="str">
        <f>IF(AE137="","",VLOOKUP(AE137,リスト!BI:BJ,2,0))</f>
        <v/>
      </c>
      <c r="AI137" s="1037" t="str">
        <f t="shared" si="35"/>
        <v/>
      </c>
      <c r="AJ137" s="1037" t="str">
        <f>IF(AI137="","",VLOOKUP(AI137,リスト!BW:BX,2,0))</f>
        <v/>
      </c>
      <c r="AK137" s="1037" t="str">
        <f t="shared" si="32"/>
        <v/>
      </c>
      <c r="AL137" s="685" t="str">
        <f t="shared" si="23"/>
        <v/>
      </c>
      <c r="AM137" s="646" t="str">
        <f t="shared" si="24"/>
        <v/>
      </c>
      <c r="AN137" s="646" t="str">
        <f t="shared" si="36"/>
        <v/>
      </c>
      <c r="AO137" s="647" t="str">
        <f t="shared" si="37"/>
        <v/>
      </c>
      <c r="AP137" s="647" t="str">
        <f t="shared" si="33"/>
        <v/>
      </c>
      <c r="AQ137" s="647" t="str">
        <f t="shared" si="25"/>
        <v/>
      </c>
      <c r="AR137" s="647" t="str">
        <f t="shared" si="26"/>
        <v/>
      </c>
      <c r="AS137" s="647" t="str">
        <f t="shared" si="27"/>
        <v/>
      </c>
      <c r="AT137" s="647" t="str">
        <f t="shared" si="34"/>
        <v/>
      </c>
      <c r="AU137" s="647" t="str">
        <f t="shared" si="28"/>
        <v/>
      </c>
      <c r="AV137" s="647" t="str">
        <f t="shared" si="29"/>
        <v/>
      </c>
      <c r="AW137" s="647" t="str">
        <f t="shared" si="30"/>
        <v/>
      </c>
      <c r="AX137" s="647" t="str">
        <f t="shared" si="31"/>
        <v/>
      </c>
    </row>
    <row r="138" spans="3:50" s="5" customFormat="1" ht="28.15" hidden="1" customHeight="1" outlineLevel="1">
      <c r="C138" s="649">
        <v>122</v>
      </c>
      <c r="D138" s="1855"/>
      <c r="E138" s="1856"/>
      <c r="F138" s="1856"/>
      <c r="G138" s="1856"/>
      <c r="H138" s="1856"/>
      <c r="I138" s="1856"/>
      <c r="J138" s="1856"/>
      <c r="K138" s="702"/>
      <c r="L138" s="1054"/>
      <c r="M138" s="705"/>
      <c r="N138" s="255"/>
      <c r="O138" s="1040"/>
      <c r="P138" s="1044"/>
      <c r="Q138" s="256"/>
      <c r="R138" s="267"/>
      <c r="S138" s="256"/>
      <c r="T138" s="256"/>
      <c r="U138" s="256"/>
      <c r="V138" s="256"/>
      <c r="W138" s="254"/>
      <c r="X138" s="703"/>
      <c r="Y138" s="125"/>
      <c r="Z138" s="431"/>
      <c r="AA138" s="499"/>
      <c r="AB138" s="741"/>
      <c r="AC138" s="51"/>
      <c r="AD138" s="51"/>
      <c r="AE138" s="645" t="str">
        <f t="shared" si="20"/>
        <v/>
      </c>
      <c r="AF138" s="1037" t="str">
        <f t="shared" si="21"/>
        <v/>
      </c>
      <c r="AG138" s="1037" t="str">
        <f t="shared" si="22"/>
        <v/>
      </c>
      <c r="AH138" s="1037" t="str">
        <f>IF(AE138="","",VLOOKUP(AE138,リスト!BI:BJ,2,0))</f>
        <v/>
      </c>
      <c r="AI138" s="1037" t="str">
        <f t="shared" si="35"/>
        <v/>
      </c>
      <c r="AJ138" s="1037" t="str">
        <f>IF(AI138="","",VLOOKUP(AI138,リスト!BW:BX,2,0))</f>
        <v/>
      </c>
      <c r="AK138" s="1037" t="str">
        <f t="shared" si="32"/>
        <v/>
      </c>
      <c r="AL138" s="685" t="str">
        <f t="shared" si="23"/>
        <v/>
      </c>
      <c r="AM138" s="646" t="str">
        <f t="shared" si="24"/>
        <v/>
      </c>
      <c r="AN138" s="646" t="str">
        <f t="shared" si="36"/>
        <v/>
      </c>
      <c r="AO138" s="647" t="str">
        <f t="shared" si="37"/>
        <v/>
      </c>
      <c r="AP138" s="647" t="str">
        <f t="shared" si="33"/>
        <v/>
      </c>
      <c r="AQ138" s="647" t="str">
        <f t="shared" si="25"/>
        <v/>
      </c>
      <c r="AR138" s="647" t="str">
        <f t="shared" si="26"/>
        <v/>
      </c>
      <c r="AS138" s="647" t="str">
        <f t="shared" si="27"/>
        <v/>
      </c>
      <c r="AT138" s="647" t="str">
        <f t="shared" si="34"/>
        <v/>
      </c>
      <c r="AU138" s="647" t="str">
        <f t="shared" si="28"/>
        <v/>
      </c>
      <c r="AV138" s="647" t="str">
        <f t="shared" si="29"/>
        <v/>
      </c>
      <c r="AW138" s="647" t="str">
        <f t="shared" si="30"/>
        <v/>
      </c>
      <c r="AX138" s="647" t="str">
        <f t="shared" si="31"/>
        <v/>
      </c>
    </row>
    <row r="139" spans="3:50" s="5" customFormat="1" ht="28.15" hidden="1" customHeight="1" outlineLevel="1">
      <c r="C139" s="649">
        <v>123</v>
      </c>
      <c r="D139" s="1855"/>
      <c r="E139" s="1856"/>
      <c r="F139" s="1856"/>
      <c r="G139" s="1856"/>
      <c r="H139" s="1856"/>
      <c r="I139" s="1856"/>
      <c r="J139" s="1856"/>
      <c r="K139" s="702"/>
      <c r="L139" s="1054"/>
      <c r="M139" s="705"/>
      <c r="N139" s="255"/>
      <c r="O139" s="1040"/>
      <c r="P139" s="1044"/>
      <c r="Q139" s="256"/>
      <c r="R139" s="267"/>
      <c r="S139" s="256"/>
      <c r="T139" s="256"/>
      <c r="U139" s="256"/>
      <c r="V139" s="256"/>
      <c r="W139" s="254"/>
      <c r="X139" s="703"/>
      <c r="Y139" s="125"/>
      <c r="Z139" s="431"/>
      <c r="AA139" s="499"/>
      <c r="AB139" s="741"/>
      <c r="AC139" s="51"/>
      <c r="AD139" s="51"/>
      <c r="AE139" s="645" t="str">
        <f t="shared" si="20"/>
        <v/>
      </c>
      <c r="AF139" s="1037" t="str">
        <f t="shared" si="21"/>
        <v/>
      </c>
      <c r="AG139" s="1037" t="str">
        <f t="shared" si="22"/>
        <v/>
      </c>
      <c r="AH139" s="1037" t="str">
        <f>IF(AE139="","",VLOOKUP(AE139,リスト!BI:BJ,2,0))</f>
        <v/>
      </c>
      <c r="AI139" s="1037" t="str">
        <f t="shared" si="35"/>
        <v/>
      </c>
      <c r="AJ139" s="1037" t="str">
        <f>IF(AI139="","",VLOOKUP(AI139,リスト!BW:BX,2,0))</f>
        <v/>
      </c>
      <c r="AK139" s="1037" t="str">
        <f t="shared" si="32"/>
        <v/>
      </c>
      <c r="AL139" s="685" t="str">
        <f t="shared" si="23"/>
        <v/>
      </c>
      <c r="AM139" s="646" t="str">
        <f t="shared" si="24"/>
        <v/>
      </c>
      <c r="AN139" s="646" t="str">
        <f t="shared" si="36"/>
        <v/>
      </c>
      <c r="AO139" s="647" t="str">
        <f t="shared" si="37"/>
        <v/>
      </c>
      <c r="AP139" s="647" t="str">
        <f t="shared" si="33"/>
        <v/>
      </c>
      <c r="AQ139" s="647" t="str">
        <f t="shared" si="25"/>
        <v/>
      </c>
      <c r="AR139" s="647" t="str">
        <f t="shared" si="26"/>
        <v/>
      </c>
      <c r="AS139" s="647" t="str">
        <f t="shared" si="27"/>
        <v/>
      </c>
      <c r="AT139" s="647" t="str">
        <f t="shared" si="34"/>
        <v/>
      </c>
      <c r="AU139" s="647" t="str">
        <f t="shared" si="28"/>
        <v/>
      </c>
      <c r="AV139" s="647" t="str">
        <f t="shared" si="29"/>
        <v/>
      </c>
      <c r="AW139" s="647" t="str">
        <f t="shared" si="30"/>
        <v/>
      </c>
      <c r="AX139" s="647" t="str">
        <f t="shared" si="31"/>
        <v/>
      </c>
    </row>
    <row r="140" spans="3:50" s="5" customFormat="1" ht="28.15" hidden="1" customHeight="1" outlineLevel="1">
      <c r="C140" s="649">
        <v>124</v>
      </c>
      <c r="D140" s="1855"/>
      <c r="E140" s="1856"/>
      <c r="F140" s="1856"/>
      <c r="G140" s="1856"/>
      <c r="H140" s="1856"/>
      <c r="I140" s="1856"/>
      <c r="J140" s="1856"/>
      <c r="K140" s="702"/>
      <c r="L140" s="1054"/>
      <c r="M140" s="705"/>
      <c r="N140" s="257"/>
      <c r="O140" s="1040"/>
      <c r="P140" s="1044"/>
      <c r="Q140" s="256"/>
      <c r="R140" s="267"/>
      <c r="S140" s="256"/>
      <c r="T140" s="256"/>
      <c r="U140" s="256"/>
      <c r="V140" s="256"/>
      <c r="W140" s="254"/>
      <c r="X140" s="703"/>
      <c r="Y140" s="125"/>
      <c r="Z140" s="431"/>
      <c r="AA140" s="499"/>
      <c r="AB140" s="741"/>
      <c r="AC140" s="51"/>
      <c r="AD140" s="51"/>
      <c r="AE140" s="645" t="str">
        <f t="shared" si="20"/>
        <v/>
      </c>
      <c r="AF140" s="1037" t="str">
        <f t="shared" si="21"/>
        <v/>
      </c>
      <c r="AG140" s="1037" t="str">
        <f t="shared" si="22"/>
        <v/>
      </c>
      <c r="AH140" s="1037" t="str">
        <f>IF(AE140="","",VLOOKUP(AE140,リスト!BI:BJ,2,0))</f>
        <v/>
      </c>
      <c r="AI140" s="1037" t="str">
        <f t="shared" si="35"/>
        <v/>
      </c>
      <c r="AJ140" s="1037" t="str">
        <f>IF(AI140="","",VLOOKUP(AI140,リスト!BW:BX,2,0))</f>
        <v/>
      </c>
      <c r="AK140" s="1037" t="str">
        <f t="shared" si="32"/>
        <v/>
      </c>
      <c r="AL140" s="685" t="str">
        <f t="shared" si="23"/>
        <v/>
      </c>
      <c r="AM140" s="646" t="str">
        <f t="shared" si="24"/>
        <v/>
      </c>
      <c r="AN140" s="646" t="str">
        <f t="shared" si="36"/>
        <v/>
      </c>
      <c r="AO140" s="647" t="str">
        <f t="shared" si="37"/>
        <v/>
      </c>
      <c r="AP140" s="647" t="str">
        <f t="shared" si="33"/>
        <v/>
      </c>
      <c r="AQ140" s="647" t="str">
        <f t="shared" si="25"/>
        <v/>
      </c>
      <c r="AR140" s="647" t="str">
        <f t="shared" si="26"/>
        <v/>
      </c>
      <c r="AS140" s="647" t="str">
        <f t="shared" si="27"/>
        <v/>
      </c>
      <c r="AT140" s="647" t="str">
        <f t="shared" si="34"/>
        <v/>
      </c>
      <c r="AU140" s="647" t="str">
        <f t="shared" si="28"/>
        <v/>
      </c>
      <c r="AV140" s="647" t="str">
        <f t="shared" si="29"/>
        <v/>
      </c>
      <c r="AW140" s="647" t="str">
        <f t="shared" si="30"/>
        <v/>
      </c>
      <c r="AX140" s="647" t="str">
        <f t="shared" si="31"/>
        <v/>
      </c>
    </row>
    <row r="141" spans="3:50" s="5" customFormat="1" ht="28.15" hidden="1" customHeight="1" outlineLevel="1">
      <c r="C141" s="649">
        <v>125</v>
      </c>
      <c r="D141" s="1855"/>
      <c r="E141" s="1856"/>
      <c r="F141" s="1856"/>
      <c r="G141" s="1856"/>
      <c r="H141" s="1856"/>
      <c r="I141" s="1856"/>
      <c r="J141" s="1856"/>
      <c r="K141" s="702"/>
      <c r="L141" s="1054"/>
      <c r="M141" s="705"/>
      <c r="N141" s="255"/>
      <c r="O141" s="1040"/>
      <c r="P141" s="1044"/>
      <c r="Q141" s="256"/>
      <c r="R141" s="267"/>
      <c r="S141" s="256"/>
      <c r="T141" s="256"/>
      <c r="U141" s="256"/>
      <c r="V141" s="256"/>
      <c r="W141" s="254"/>
      <c r="X141" s="703"/>
      <c r="Y141" s="125"/>
      <c r="Z141" s="431"/>
      <c r="AA141" s="499"/>
      <c r="AB141" s="741"/>
      <c r="AC141" s="51"/>
      <c r="AD141" s="51"/>
      <c r="AE141" s="645" t="str">
        <f t="shared" si="20"/>
        <v/>
      </c>
      <c r="AF141" s="1037" t="str">
        <f t="shared" si="21"/>
        <v/>
      </c>
      <c r="AG141" s="1037" t="str">
        <f t="shared" si="22"/>
        <v/>
      </c>
      <c r="AH141" s="1037" t="str">
        <f>IF(AE141="","",VLOOKUP(AE141,リスト!BI:BJ,2,0))</f>
        <v/>
      </c>
      <c r="AI141" s="1037" t="str">
        <f t="shared" si="35"/>
        <v/>
      </c>
      <c r="AJ141" s="1037" t="str">
        <f>IF(AI141="","",VLOOKUP(AI141,リスト!BW:BX,2,0))</f>
        <v/>
      </c>
      <c r="AK141" s="1037" t="str">
        <f t="shared" si="32"/>
        <v/>
      </c>
      <c r="AL141" s="685" t="str">
        <f t="shared" si="23"/>
        <v/>
      </c>
      <c r="AM141" s="646" t="str">
        <f t="shared" si="24"/>
        <v/>
      </c>
      <c r="AN141" s="646" t="str">
        <f t="shared" si="36"/>
        <v/>
      </c>
      <c r="AO141" s="647" t="str">
        <f t="shared" si="37"/>
        <v/>
      </c>
      <c r="AP141" s="647" t="str">
        <f t="shared" si="33"/>
        <v/>
      </c>
      <c r="AQ141" s="647" t="str">
        <f t="shared" si="25"/>
        <v/>
      </c>
      <c r="AR141" s="647" t="str">
        <f t="shared" si="26"/>
        <v/>
      </c>
      <c r="AS141" s="647" t="str">
        <f t="shared" si="27"/>
        <v/>
      </c>
      <c r="AT141" s="647" t="str">
        <f t="shared" si="34"/>
        <v/>
      </c>
      <c r="AU141" s="647" t="str">
        <f t="shared" si="28"/>
        <v/>
      </c>
      <c r="AV141" s="647" t="str">
        <f t="shared" si="29"/>
        <v/>
      </c>
      <c r="AW141" s="647" t="str">
        <f t="shared" si="30"/>
        <v/>
      </c>
      <c r="AX141" s="647" t="str">
        <f t="shared" si="31"/>
        <v/>
      </c>
    </row>
    <row r="142" spans="3:50" s="5" customFormat="1" ht="28.15" hidden="1" customHeight="1" outlineLevel="1">
      <c r="C142" s="649">
        <v>126</v>
      </c>
      <c r="D142" s="1855"/>
      <c r="E142" s="1856"/>
      <c r="F142" s="1856"/>
      <c r="G142" s="1856"/>
      <c r="H142" s="1856"/>
      <c r="I142" s="1856"/>
      <c r="J142" s="1856"/>
      <c r="K142" s="702"/>
      <c r="L142" s="1054"/>
      <c r="M142" s="705"/>
      <c r="N142" s="257"/>
      <c r="O142" s="1040"/>
      <c r="P142" s="1044"/>
      <c r="Q142" s="256"/>
      <c r="R142" s="267"/>
      <c r="S142" s="256"/>
      <c r="T142" s="256"/>
      <c r="U142" s="256"/>
      <c r="V142" s="256"/>
      <c r="W142" s="254"/>
      <c r="X142" s="703"/>
      <c r="Y142" s="125"/>
      <c r="Z142" s="431"/>
      <c r="AA142" s="499"/>
      <c r="AB142" s="741"/>
      <c r="AC142" s="51"/>
      <c r="AD142" s="51"/>
      <c r="AE142" s="645" t="str">
        <f t="shared" si="20"/>
        <v/>
      </c>
      <c r="AF142" s="1037" t="str">
        <f t="shared" si="21"/>
        <v/>
      </c>
      <c r="AG142" s="1037" t="str">
        <f t="shared" si="22"/>
        <v/>
      </c>
      <c r="AH142" s="1037" t="str">
        <f>IF(AE142="","",VLOOKUP(AE142,リスト!BI:BJ,2,0))</f>
        <v/>
      </c>
      <c r="AI142" s="1037" t="str">
        <f t="shared" si="35"/>
        <v/>
      </c>
      <c r="AJ142" s="1037" t="str">
        <f>IF(AI142="","",VLOOKUP(AI142,リスト!BW:BX,2,0))</f>
        <v/>
      </c>
      <c r="AK142" s="1037" t="str">
        <f t="shared" si="32"/>
        <v/>
      </c>
      <c r="AL142" s="685" t="str">
        <f t="shared" si="23"/>
        <v/>
      </c>
      <c r="AM142" s="646" t="str">
        <f t="shared" si="24"/>
        <v/>
      </c>
      <c r="AN142" s="646" t="str">
        <f t="shared" si="36"/>
        <v/>
      </c>
      <c r="AO142" s="647" t="str">
        <f t="shared" si="37"/>
        <v/>
      </c>
      <c r="AP142" s="647" t="str">
        <f t="shared" si="33"/>
        <v/>
      </c>
      <c r="AQ142" s="647" t="str">
        <f t="shared" si="25"/>
        <v/>
      </c>
      <c r="AR142" s="647" t="str">
        <f t="shared" si="26"/>
        <v/>
      </c>
      <c r="AS142" s="647" t="str">
        <f t="shared" si="27"/>
        <v/>
      </c>
      <c r="AT142" s="647" t="str">
        <f t="shared" si="34"/>
        <v/>
      </c>
      <c r="AU142" s="647" t="str">
        <f t="shared" si="28"/>
        <v/>
      </c>
      <c r="AV142" s="647" t="str">
        <f t="shared" si="29"/>
        <v/>
      </c>
      <c r="AW142" s="647" t="str">
        <f t="shared" si="30"/>
        <v/>
      </c>
      <c r="AX142" s="647" t="str">
        <f t="shared" si="31"/>
        <v/>
      </c>
    </row>
    <row r="143" spans="3:50" s="5" customFormat="1" ht="28.15" hidden="1" customHeight="1" outlineLevel="1">
      <c r="C143" s="649">
        <v>127</v>
      </c>
      <c r="D143" s="1855"/>
      <c r="E143" s="1856"/>
      <c r="F143" s="1856"/>
      <c r="G143" s="1856"/>
      <c r="H143" s="1856"/>
      <c r="I143" s="1856"/>
      <c r="J143" s="1856"/>
      <c r="K143" s="702"/>
      <c r="L143" s="1054"/>
      <c r="M143" s="705"/>
      <c r="N143" s="255"/>
      <c r="O143" s="1040"/>
      <c r="P143" s="1044"/>
      <c r="Q143" s="256"/>
      <c r="R143" s="267"/>
      <c r="S143" s="256"/>
      <c r="T143" s="256"/>
      <c r="U143" s="256"/>
      <c r="V143" s="256"/>
      <c r="W143" s="254"/>
      <c r="X143" s="703"/>
      <c r="Y143" s="125"/>
      <c r="Z143" s="431"/>
      <c r="AA143" s="499"/>
      <c r="AB143" s="741"/>
      <c r="AC143" s="51"/>
      <c r="AD143" s="51"/>
      <c r="AE143" s="645" t="str">
        <f t="shared" si="20"/>
        <v/>
      </c>
      <c r="AF143" s="1037" t="str">
        <f t="shared" si="21"/>
        <v/>
      </c>
      <c r="AG143" s="1037" t="str">
        <f t="shared" si="22"/>
        <v/>
      </c>
      <c r="AH143" s="1037" t="str">
        <f>IF(AE143="","",VLOOKUP(AE143,リスト!BI:BJ,2,0))</f>
        <v/>
      </c>
      <c r="AI143" s="1037" t="str">
        <f t="shared" si="35"/>
        <v/>
      </c>
      <c r="AJ143" s="1037" t="str">
        <f>IF(AI143="","",VLOOKUP(AI143,リスト!BW:BX,2,0))</f>
        <v/>
      </c>
      <c r="AK143" s="1037" t="str">
        <f t="shared" si="32"/>
        <v/>
      </c>
      <c r="AL143" s="685" t="str">
        <f t="shared" si="23"/>
        <v/>
      </c>
      <c r="AM143" s="646" t="str">
        <f t="shared" si="24"/>
        <v/>
      </c>
      <c r="AN143" s="646" t="str">
        <f t="shared" si="36"/>
        <v/>
      </c>
      <c r="AO143" s="647" t="str">
        <f t="shared" si="37"/>
        <v/>
      </c>
      <c r="AP143" s="647" t="str">
        <f t="shared" si="33"/>
        <v/>
      </c>
      <c r="AQ143" s="647" t="str">
        <f t="shared" si="25"/>
        <v/>
      </c>
      <c r="AR143" s="647" t="str">
        <f t="shared" si="26"/>
        <v/>
      </c>
      <c r="AS143" s="647" t="str">
        <f t="shared" si="27"/>
        <v/>
      </c>
      <c r="AT143" s="647" t="str">
        <f t="shared" si="34"/>
        <v/>
      </c>
      <c r="AU143" s="647" t="str">
        <f t="shared" si="28"/>
        <v/>
      </c>
      <c r="AV143" s="647" t="str">
        <f t="shared" si="29"/>
        <v/>
      </c>
      <c r="AW143" s="647" t="str">
        <f t="shared" si="30"/>
        <v/>
      </c>
      <c r="AX143" s="647" t="str">
        <f t="shared" si="31"/>
        <v/>
      </c>
    </row>
    <row r="144" spans="3:50" s="5" customFormat="1" ht="28.15" hidden="1" customHeight="1" outlineLevel="1">
      <c r="C144" s="649">
        <v>128</v>
      </c>
      <c r="D144" s="1855"/>
      <c r="E144" s="1856"/>
      <c r="F144" s="1856"/>
      <c r="G144" s="1856"/>
      <c r="H144" s="1856"/>
      <c r="I144" s="1856"/>
      <c r="J144" s="1857"/>
      <c r="K144" s="702"/>
      <c r="L144" s="1054"/>
      <c r="M144" s="666"/>
      <c r="N144" s="266"/>
      <c r="O144" s="1040"/>
      <c r="P144" s="1041"/>
      <c r="Q144" s="267"/>
      <c r="R144" s="267"/>
      <c r="S144" s="267"/>
      <c r="T144" s="267"/>
      <c r="U144" s="267"/>
      <c r="V144" s="267"/>
      <c r="W144" s="254"/>
      <c r="X144" s="703"/>
      <c r="Y144" s="125"/>
      <c r="Z144" s="431"/>
      <c r="AA144" s="499"/>
      <c r="AB144" s="741"/>
      <c r="AC144" s="51"/>
      <c r="AD144" s="51"/>
      <c r="AE144" s="645" t="str">
        <f t="shared" si="20"/>
        <v/>
      </c>
      <c r="AF144" s="1037" t="str">
        <f t="shared" si="21"/>
        <v/>
      </c>
      <c r="AG144" s="1037" t="str">
        <f t="shared" si="22"/>
        <v/>
      </c>
      <c r="AH144" s="1037" t="str">
        <f>IF(AE144="","",VLOOKUP(AE144,リスト!BI:BJ,2,0))</f>
        <v/>
      </c>
      <c r="AI144" s="1037" t="str">
        <f t="shared" si="35"/>
        <v/>
      </c>
      <c r="AJ144" s="1037" t="str">
        <f>IF(AI144="","",VLOOKUP(AI144,リスト!BW:BX,2,0))</f>
        <v/>
      </c>
      <c r="AK144" s="1037" t="str">
        <f t="shared" si="32"/>
        <v/>
      </c>
      <c r="AL144" s="685" t="str">
        <f t="shared" si="23"/>
        <v/>
      </c>
      <c r="AM144" s="646" t="str">
        <f t="shared" si="24"/>
        <v/>
      </c>
      <c r="AN144" s="646" t="str">
        <f t="shared" si="36"/>
        <v/>
      </c>
      <c r="AO144" s="647" t="str">
        <f t="shared" si="37"/>
        <v/>
      </c>
      <c r="AP144" s="647" t="str">
        <f t="shared" si="33"/>
        <v/>
      </c>
      <c r="AQ144" s="647" t="str">
        <f t="shared" si="25"/>
        <v/>
      </c>
      <c r="AR144" s="647" t="str">
        <f t="shared" si="26"/>
        <v/>
      </c>
      <c r="AS144" s="647" t="str">
        <f t="shared" si="27"/>
        <v/>
      </c>
      <c r="AT144" s="647" t="str">
        <f t="shared" si="34"/>
        <v/>
      </c>
      <c r="AU144" s="647" t="str">
        <f t="shared" si="28"/>
        <v/>
      </c>
      <c r="AV144" s="647" t="str">
        <f t="shared" si="29"/>
        <v/>
      </c>
      <c r="AW144" s="647" t="str">
        <f t="shared" si="30"/>
        <v/>
      </c>
      <c r="AX144" s="647" t="str">
        <f t="shared" si="31"/>
        <v/>
      </c>
    </row>
    <row r="145" spans="3:50" s="5" customFormat="1" ht="28.15" hidden="1" customHeight="1" outlineLevel="1">
      <c r="C145" s="649">
        <v>129</v>
      </c>
      <c r="D145" s="1865"/>
      <c r="E145" s="1866"/>
      <c r="F145" s="1866"/>
      <c r="G145" s="1866"/>
      <c r="H145" s="1866"/>
      <c r="I145" s="1866"/>
      <c r="J145" s="1866"/>
      <c r="K145" s="704"/>
      <c r="L145" s="1055"/>
      <c r="M145" s="705"/>
      <c r="N145" s="257"/>
      <c r="O145" s="1042"/>
      <c r="P145" s="1041"/>
      <c r="Q145" s="256"/>
      <c r="R145" s="267"/>
      <c r="S145" s="256"/>
      <c r="T145" s="256"/>
      <c r="U145" s="256"/>
      <c r="V145" s="256"/>
      <c r="W145" s="254"/>
      <c r="X145" s="703"/>
      <c r="Y145" s="125"/>
      <c r="Z145" s="431"/>
      <c r="AA145" s="499"/>
      <c r="AB145" s="741"/>
      <c r="AC145" s="51"/>
      <c r="AD145" s="51"/>
      <c r="AE145" s="645" t="str">
        <f t="shared" si="20"/>
        <v/>
      </c>
      <c r="AF145" s="1037" t="str">
        <f t="shared" si="21"/>
        <v/>
      </c>
      <c r="AG145" s="1037" t="str">
        <f t="shared" si="22"/>
        <v/>
      </c>
      <c r="AH145" s="1037" t="str">
        <f>IF(AE145="","",VLOOKUP(AE145,リスト!BI:BJ,2,0))</f>
        <v/>
      </c>
      <c r="AI145" s="1037" t="str">
        <f t="shared" si="35"/>
        <v/>
      </c>
      <c r="AJ145" s="1037" t="str">
        <f>IF(AI145="","",VLOOKUP(AI145,リスト!BW:BX,2,0))</f>
        <v/>
      </c>
      <c r="AK145" s="1037" t="str">
        <f t="shared" ref="AK145:AK208" si="38">IF(AE145="","",調査年-O145)</f>
        <v/>
      </c>
      <c r="AL145" s="685" t="str">
        <f t="shared" si="23"/>
        <v/>
      </c>
      <c r="AM145" s="646" t="str">
        <f t="shared" si="24"/>
        <v/>
      </c>
      <c r="AN145" s="646" t="str">
        <f t="shared" si="36"/>
        <v/>
      </c>
      <c r="AO145" s="647" t="str">
        <f t="shared" si="37"/>
        <v/>
      </c>
      <c r="AP145" s="647" t="str">
        <f t="shared" ref="AP145:AP208" si="39">IF(W145="","",IF(OR(O145=調査年,AM145=""),"",ROUND(AM145*W145%,0)))</f>
        <v/>
      </c>
      <c r="AQ145" s="647" t="str">
        <f t="shared" si="25"/>
        <v/>
      </c>
      <c r="AR145" s="647" t="str">
        <f t="shared" si="26"/>
        <v/>
      </c>
      <c r="AS145" s="647" t="str">
        <f t="shared" si="27"/>
        <v/>
      </c>
      <c r="AT145" s="647" t="str">
        <f t="shared" ref="AT145:AT208" si="40">IF(OR(W145="",AND(OR(O145&lt;&gt;調査年,AF145=0),R145="")),"",
SUM(
IF(AND(O145=調査年,AF145=1),ROUND(Q145*W145%,0),),
ROUND(R145*W145%,0)))</f>
        <v/>
      </c>
      <c r="AU145" s="647" t="str">
        <f t="shared" si="28"/>
        <v/>
      </c>
      <c r="AV145" s="647" t="str">
        <f t="shared" si="29"/>
        <v/>
      </c>
      <c r="AW145" s="647" t="str">
        <f t="shared" si="30"/>
        <v/>
      </c>
      <c r="AX145" s="647" t="str">
        <f t="shared" si="31"/>
        <v/>
      </c>
    </row>
    <row r="146" spans="3:50" s="5" customFormat="1" ht="28.15" hidden="1" customHeight="1" outlineLevel="1">
      <c r="C146" s="649">
        <v>130</v>
      </c>
      <c r="D146" s="1855"/>
      <c r="E146" s="1856"/>
      <c r="F146" s="1856"/>
      <c r="G146" s="1856"/>
      <c r="H146" s="1856"/>
      <c r="I146" s="1856"/>
      <c r="J146" s="1856"/>
      <c r="K146" s="702"/>
      <c r="L146" s="1054"/>
      <c r="M146" s="705"/>
      <c r="N146" s="255"/>
      <c r="O146" s="1040"/>
      <c r="P146" s="1041"/>
      <c r="Q146" s="256"/>
      <c r="R146" s="267"/>
      <c r="S146" s="256"/>
      <c r="T146" s="256"/>
      <c r="U146" s="256"/>
      <c r="V146" s="256"/>
      <c r="W146" s="254"/>
      <c r="X146" s="703"/>
      <c r="Y146" s="125"/>
      <c r="Z146" s="431"/>
      <c r="AA146" s="499"/>
      <c r="AB146" s="741"/>
      <c r="AC146" s="51"/>
      <c r="AD146" s="51"/>
      <c r="AE146" s="645" t="str">
        <f t="shared" si="20"/>
        <v/>
      </c>
      <c r="AF146" s="1037" t="str">
        <f t="shared" si="21"/>
        <v/>
      </c>
      <c r="AG146" s="1037" t="str">
        <f t="shared" si="22"/>
        <v/>
      </c>
      <c r="AH146" s="1037" t="str">
        <f>IF(AE146="","",VLOOKUP(AE146,リスト!BI:BJ,2,0))</f>
        <v/>
      </c>
      <c r="AI146" s="1037" t="str">
        <f t="shared" ref="AI146:AI209" si="41">IF(AG146=1,3,IF(M146="2：中古",MIN(AH146,N146),AH146))</f>
        <v/>
      </c>
      <c r="AJ146" s="1037" t="str">
        <f>IF(AI146="","",VLOOKUP(AI146,リスト!BW:BX,2,0))</f>
        <v/>
      </c>
      <c r="AK146" s="1037" t="str">
        <f t="shared" si="38"/>
        <v/>
      </c>
      <c r="AL146" s="685" t="str">
        <f t="shared" si="23"/>
        <v/>
      </c>
      <c r="AM146" s="646" t="str">
        <f t="shared" si="24"/>
        <v/>
      </c>
      <c r="AN146" s="646" t="str">
        <f t="shared" ref="AN146:AN161" si="42">IF(OR(AE146="",AF146=1),"",
IF(X146="",AL146,
IF(X146="2：廃棄等",SUM(AM146,Y146),
IF(X146="1：売却",AM146-Y146,
IF(AND(Y146="",AL146=""),"",SUM(Y146,AL146))))))</f>
        <v/>
      </c>
      <c r="AO146" s="647" t="str">
        <f t="shared" ref="AO146:AO161" si="43">IF(AND(AN146="",AL146=""),"",
IF(OR(X146="2：廃棄等",X146="1：売却"),SUM(AN146)-SUM(AL146),""))</f>
        <v/>
      </c>
      <c r="AP146" s="647" t="str">
        <f t="shared" si="39"/>
        <v/>
      </c>
      <c r="AQ146" s="647" t="str">
        <f t="shared" si="25"/>
        <v/>
      </c>
      <c r="AR146" s="647" t="str">
        <f t="shared" si="26"/>
        <v/>
      </c>
      <c r="AS146" s="647" t="str">
        <f t="shared" si="27"/>
        <v/>
      </c>
      <c r="AT146" s="647" t="str">
        <f t="shared" si="40"/>
        <v/>
      </c>
      <c r="AU146" s="647" t="str">
        <f t="shared" si="28"/>
        <v/>
      </c>
      <c r="AV146" s="647" t="str">
        <f t="shared" si="29"/>
        <v/>
      </c>
      <c r="AW146" s="647" t="str">
        <f t="shared" si="30"/>
        <v/>
      </c>
      <c r="AX146" s="647" t="str">
        <f t="shared" si="31"/>
        <v/>
      </c>
    </row>
    <row r="147" spans="3:50" s="5" customFormat="1" ht="28.15" hidden="1" customHeight="1" outlineLevel="1">
      <c r="C147" s="649">
        <v>131</v>
      </c>
      <c r="D147" s="1865"/>
      <c r="E147" s="1866"/>
      <c r="F147" s="1866"/>
      <c r="G147" s="1866"/>
      <c r="H147" s="1866"/>
      <c r="I147" s="1866"/>
      <c r="J147" s="1866"/>
      <c r="K147" s="704"/>
      <c r="L147" s="1055"/>
      <c r="M147" s="705"/>
      <c r="N147" s="257"/>
      <c r="O147" s="1042"/>
      <c r="P147" s="1041"/>
      <c r="Q147" s="256"/>
      <c r="R147" s="267"/>
      <c r="S147" s="256"/>
      <c r="T147" s="256"/>
      <c r="U147" s="256"/>
      <c r="V147" s="256"/>
      <c r="W147" s="254"/>
      <c r="X147" s="703"/>
      <c r="Y147" s="125"/>
      <c r="Z147" s="431"/>
      <c r="AA147" s="499"/>
      <c r="AB147" s="741"/>
      <c r="AC147" s="51"/>
      <c r="AD147" s="51"/>
      <c r="AE147" s="645" t="str">
        <f t="shared" si="20"/>
        <v/>
      </c>
      <c r="AF147" s="1037" t="str">
        <f t="shared" si="21"/>
        <v/>
      </c>
      <c r="AG147" s="1037" t="str">
        <f t="shared" si="22"/>
        <v/>
      </c>
      <c r="AH147" s="1037" t="str">
        <f>IF(AE147="","",VLOOKUP(AE147,リスト!BI:BJ,2,0))</f>
        <v/>
      </c>
      <c r="AI147" s="1037" t="str">
        <f t="shared" si="41"/>
        <v/>
      </c>
      <c r="AJ147" s="1037" t="str">
        <f>IF(AI147="","",VLOOKUP(AI147,リスト!BW:BX,2,0))</f>
        <v/>
      </c>
      <c r="AK147" s="1037" t="str">
        <f t="shared" si="38"/>
        <v/>
      </c>
      <c r="AL147" s="685" t="str">
        <f t="shared" si="23"/>
        <v/>
      </c>
      <c r="AM147" s="646" t="str">
        <f t="shared" si="24"/>
        <v/>
      </c>
      <c r="AN147" s="646" t="str">
        <f t="shared" si="42"/>
        <v/>
      </c>
      <c r="AO147" s="647" t="str">
        <f t="shared" si="43"/>
        <v/>
      </c>
      <c r="AP147" s="647" t="str">
        <f t="shared" si="39"/>
        <v/>
      </c>
      <c r="AQ147" s="647" t="str">
        <f t="shared" si="25"/>
        <v/>
      </c>
      <c r="AR147" s="647" t="str">
        <f t="shared" si="26"/>
        <v/>
      </c>
      <c r="AS147" s="647" t="str">
        <f t="shared" si="27"/>
        <v/>
      </c>
      <c r="AT147" s="647" t="str">
        <f t="shared" si="40"/>
        <v/>
      </c>
      <c r="AU147" s="647" t="str">
        <f t="shared" si="28"/>
        <v/>
      </c>
      <c r="AV147" s="647" t="str">
        <f t="shared" si="29"/>
        <v/>
      </c>
      <c r="AW147" s="647" t="str">
        <f t="shared" si="30"/>
        <v/>
      </c>
      <c r="AX147" s="647" t="str">
        <f t="shared" si="31"/>
        <v/>
      </c>
    </row>
    <row r="148" spans="3:50" s="5" customFormat="1" ht="28.15" hidden="1" customHeight="1" outlineLevel="1">
      <c r="C148" s="649">
        <v>132</v>
      </c>
      <c r="D148" s="1855"/>
      <c r="E148" s="1856"/>
      <c r="F148" s="1856"/>
      <c r="G148" s="1856"/>
      <c r="H148" s="1856"/>
      <c r="I148" s="1856"/>
      <c r="J148" s="1856"/>
      <c r="K148" s="702"/>
      <c r="L148" s="1054"/>
      <c r="M148" s="705"/>
      <c r="N148" s="255"/>
      <c r="O148" s="1040"/>
      <c r="P148" s="1041"/>
      <c r="Q148" s="256"/>
      <c r="R148" s="267"/>
      <c r="S148" s="256"/>
      <c r="T148" s="256"/>
      <c r="U148" s="256"/>
      <c r="V148" s="256"/>
      <c r="W148" s="254"/>
      <c r="X148" s="703"/>
      <c r="Y148" s="125"/>
      <c r="Z148" s="431"/>
      <c r="AA148" s="499"/>
      <c r="AB148" s="741"/>
      <c r="AC148" s="51"/>
      <c r="AD148" s="51"/>
      <c r="AE148" s="645" t="str">
        <f t="shared" si="20"/>
        <v/>
      </c>
      <c r="AF148" s="1037" t="str">
        <f t="shared" si="21"/>
        <v/>
      </c>
      <c r="AG148" s="1037" t="str">
        <f t="shared" si="22"/>
        <v/>
      </c>
      <c r="AH148" s="1037" t="str">
        <f>IF(AE148="","",VLOOKUP(AE148,リスト!BI:BJ,2,0))</f>
        <v/>
      </c>
      <c r="AI148" s="1037" t="str">
        <f t="shared" si="41"/>
        <v/>
      </c>
      <c r="AJ148" s="1037" t="str">
        <f>IF(AI148="","",VLOOKUP(AI148,リスト!BW:BX,2,0))</f>
        <v/>
      </c>
      <c r="AK148" s="1037" t="str">
        <f t="shared" si="38"/>
        <v/>
      </c>
      <c r="AL148" s="685" t="str">
        <f t="shared" si="23"/>
        <v/>
      </c>
      <c r="AM148" s="646" t="str">
        <f t="shared" si="24"/>
        <v/>
      </c>
      <c r="AN148" s="646" t="str">
        <f t="shared" si="42"/>
        <v/>
      </c>
      <c r="AO148" s="647" t="str">
        <f t="shared" si="43"/>
        <v/>
      </c>
      <c r="AP148" s="647" t="str">
        <f t="shared" si="39"/>
        <v/>
      </c>
      <c r="AQ148" s="647" t="str">
        <f t="shared" si="25"/>
        <v/>
      </c>
      <c r="AR148" s="647" t="str">
        <f t="shared" si="26"/>
        <v/>
      </c>
      <c r="AS148" s="647" t="str">
        <f t="shared" si="27"/>
        <v/>
      </c>
      <c r="AT148" s="647" t="str">
        <f t="shared" si="40"/>
        <v/>
      </c>
      <c r="AU148" s="647" t="str">
        <f t="shared" si="28"/>
        <v/>
      </c>
      <c r="AV148" s="647" t="str">
        <f t="shared" si="29"/>
        <v/>
      </c>
      <c r="AW148" s="647" t="str">
        <f t="shared" si="30"/>
        <v/>
      </c>
      <c r="AX148" s="647" t="str">
        <f t="shared" si="31"/>
        <v/>
      </c>
    </row>
    <row r="149" spans="3:50" s="5" customFormat="1" ht="28.15" hidden="1" customHeight="1" outlineLevel="1">
      <c r="C149" s="649">
        <v>133</v>
      </c>
      <c r="D149" s="1865"/>
      <c r="E149" s="1866"/>
      <c r="F149" s="1866"/>
      <c r="G149" s="1866"/>
      <c r="H149" s="1866"/>
      <c r="I149" s="1866"/>
      <c r="J149" s="1866"/>
      <c r="K149" s="704"/>
      <c r="L149" s="1055"/>
      <c r="M149" s="705"/>
      <c r="N149" s="257"/>
      <c r="O149" s="1042"/>
      <c r="P149" s="1041"/>
      <c r="Q149" s="256"/>
      <c r="R149" s="267"/>
      <c r="S149" s="256"/>
      <c r="T149" s="256"/>
      <c r="U149" s="256"/>
      <c r="V149" s="256"/>
      <c r="W149" s="254"/>
      <c r="X149" s="703"/>
      <c r="Y149" s="125"/>
      <c r="Z149" s="431"/>
      <c r="AA149" s="499"/>
      <c r="AB149" s="741"/>
      <c r="AC149" s="51"/>
      <c r="AD149" s="51"/>
      <c r="AE149" s="645" t="str">
        <f t="shared" si="20"/>
        <v/>
      </c>
      <c r="AF149" s="1037" t="str">
        <f t="shared" si="21"/>
        <v/>
      </c>
      <c r="AG149" s="1037" t="str">
        <f t="shared" si="22"/>
        <v/>
      </c>
      <c r="AH149" s="1037" t="str">
        <f>IF(AE149="","",VLOOKUP(AE149,リスト!BI:BJ,2,0))</f>
        <v/>
      </c>
      <c r="AI149" s="1037" t="str">
        <f t="shared" si="41"/>
        <v/>
      </c>
      <c r="AJ149" s="1037" t="str">
        <f>IF(AI149="","",VLOOKUP(AI149,リスト!BW:BX,2,0))</f>
        <v/>
      </c>
      <c r="AK149" s="1037" t="str">
        <f t="shared" si="38"/>
        <v/>
      </c>
      <c r="AL149" s="685" t="str">
        <f t="shared" si="23"/>
        <v/>
      </c>
      <c r="AM149" s="646" t="str">
        <f t="shared" si="24"/>
        <v/>
      </c>
      <c r="AN149" s="646" t="str">
        <f t="shared" si="42"/>
        <v/>
      </c>
      <c r="AO149" s="647" t="str">
        <f t="shared" si="43"/>
        <v/>
      </c>
      <c r="AP149" s="647" t="str">
        <f t="shared" si="39"/>
        <v/>
      </c>
      <c r="AQ149" s="647" t="str">
        <f t="shared" si="25"/>
        <v/>
      </c>
      <c r="AR149" s="647" t="str">
        <f t="shared" si="26"/>
        <v/>
      </c>
      <c r="AS149" s="647" t="str">
        <f t="shared" si="27"/>
        <v/>
      </c>
      <c r="AT149" s="647" t="str">
        <f t="shared" si="40"/>
        <v/>
      </c>
      <c r="AU149" s="647" t="str">
        <f t="shared" si="28"/>
        <v/>
      </c>
      <c r="AV149" s="647" t="str">
        <f t="shared" si="29"/>
        <v/>
      </c>
      <c r="AW149" s="647" t="str">
        <f t="shared" si="30"/>
        <v/>
      </c>
      <c r="AX149" s="647" t="str">
        <f t="shared" si="31"/>
        <v/>
      </c>
    </row>
    <row r="150" spans="3:50" s="5" customFormat="1" ht="28.15" hidden="1" customHeight="1" outlineLevel="1">
      <c r="C150" s="649">
        <v>134</v>
      </c>
      <c r="D150" s="1855"/>
      <c r="E150" s="1856"/>
      <c r="F150" s="1856"/>
      <c r="G150" s="1856"/>
      <c r="H150" s="1856"/>
      <c r="I150" s="1856"/>
      <c r="J150" s="1856"/>
      <c r="K150" s="702"/>
      <c r="L150" s="1054"/>
      <c r="M150" s="705"/>
      <c r="N150" s="255"/>
      <c r="O150" s="1040"/>
      <c r="P150" s="1041"/>
      <c r="Q150" s="256"/>
      <c r="R150" s="267"/>
      <c r="S150" s="256"/>
      <c r="T150" s="256"/>
      <c r="U150" s="256"/>
      <c r="V150" s="256"/>
      <c r="W150" s="254"/>
      <c r="X150" s="703"/>
      <c r="Y150" s="125"/>
      <c r="Z150" s="431"/>
      <c r="AA150" s="499"/>
      <c r="AB150" s="741"/>
      <c r="AC150" s="51"/>
      <c r="AD150" s="51"/>
      <c r="AE150" s="645" t="str">
        <f t="shared" si="20"/>
        <v/>
      </c>
      <c r="AF150" s="1037" t="str">
        <f t="shared" si="21"/>
        <v/>
      </c>
      <c r="AG150" s="1037" t="str">
        <f t="shared" si="22"/>
        <v/>
      </c>
      <c r="AH150" s="1037" t="str">
        <f>IF(AE150="","",VLOOKUP(AE150,リスト!BI:BJ,2,0))</f>
        <v/>
      </c>
      <c r="AI150" s="1037" t="str">
        <f t="shared" si="41"/>
        <v/>
      </c>
      <c r="AJ150" s="1037" t="str">
        <f>IF(AI150="","",VLOOKUP(AI150,リスト!BW:BX,2,0))</f>
        <v/>
      </c>
      <c r="AK150" s="1037" t="str">
        <f t="shared" si="38"/>
        <v/>
      </c>
      <c r="AL150" s="685" t="str">
        <f t="shared" si="23"/>
        <v/>
      </c>
      <c r="AM150" s="646" t="str">
        <f t="shared" si="24"/>
        <v/>
      </c>
      <c r="AN150" s="646" t="str">
        <f t="shared" si="42"/>
        <v/>
      </c>
      <c r="AO150" s="647" t="str">
        <f t="shared" si="43"/>
        <v/>
      </c>
      <c r="AP150" s="647" t="str">
        <f t="shared" si="39"/>
        <v/>
      </c>
      <c r="AQ150" s="647" t="str">
        <f t="shared" si="25"/>
        <v/>
      </c>
      <c r="AR150" s="647" t="str">
        <f t="shared" si="26"/>
        <v/>
      </c>
      <c r="AS150" s="647" t="str">
        <f t="shared" si="27"/>
        <v/>
      </c>
      <c r="AT150" s="647" t="str">
        <f t="shared" si="40"/>
        <v/>
      </c>
      <c r="AU150" s="647" t="str">
        <f t="shared" si="28"/>
        <v/>
      </c>
      <c r="AV150" s="647" t="str">
        <f t="shared" si="29"/>
        <v/>
      </c>
      <c r="AW150" s="647" t="str">
        <f t="shared" si="30"/>
        <v/>
      </c>
      <c r="AX150" s="647" t="str">
        <f t="shared" si="31"/>
        <v/>
      </c>
    </row>
    <row r="151" spans="3:50" s="5" customFormat="1" ht="28.15" hidden="1" customHeight="1" outlineLevel="1">
      <c r="C151" s="649">
        <v>135</v>
      </c>
      <c r="D151" s="1865"/>
      <c r="E151" s="1866"/>
      <c r="F151" s="1866"/>
      <c r="G151" s="1866"/>
      <c r="H151" s="1866"/>
      <c r="I151" s="1866"/>
      <c r="J151" s="1866"/>
      <c r="K151" s="704"/>
      <c r="L151" s="1055"/>
      <c r="M151" s="705"/>
      <c r="N151" s="255"/>
      <c r="O151" s="1042"/>
      <c r="P151" s="1041"/>
      <c r="Q151" s="256"/>
      <c r="R151" s="267"/>
      <c r="S151" s="256"/>
      <c r="T151" s="256"/>
      <c r="U151" s="256"/>
      <c r="V151" s="256"/>
      <c r="W151" s="254"/>
      <c r="X151" s="703"/>
      <c r="Y151" s="125"/>
      <c r="Z151" s="431"/>
      <c r="AA151" s="499"/>
      <c r="AB151" s="741"/>
      <c r="AC151" s="51"/>
      <c r="AD151" s="51"/>
      <c r="AE151" s="645" t="str">
        <f t="shared" si="20"/>
        <v/>
      </c>
      <c r="AF151" s="1037" t="str">
        <f t="shared" si="21"/>
        <v/>
      </c>
      <c r="AG151" s="1037" t="str">
        <f t="shared" si="22"/>
        <v/>
      </c>
      <c r="AH151" s="1037" t="str">
        <f>IF(AE151="","",VLOOKUP(AE151,リスト!BI:BJ,2,0))</f>
        <v/>
      </c>
      <c r="AI151" s="1037" t="str">
        <f t="shared" si="41"/>
        <v/>
      </c>
      <c r="AJ151" s="1037" t="str">
        <f>IF(AI151="","",VLOOKUP(AI151,リスト!BW:BX,2,0))</f>
        <v/>
      </c>
      <c r="AK151" s="1037" t="str">
        <f t="shared" si="38"/>
        <v/>
      </c>
      <c r="AL151" s="685" t="str">
        <f t="shared" si="23"/>
        <v/>
      </c>
      <c r="AM151" s="646" t="str">
        <f t="shared" si="24"/>
        <v/>
      </c>
      <c r="AN151" s="646" t="str">
        <f t="shared" si="42"/>
        <v/>
      </c>
      <c r="AO151" s="647" t="str">
        <f t="shared" si="43"/>
        <v/>
      </c>
      <c r="AP151" s="647" t="str">
        <f t="shared" si="39"/>
        <v/>
      </c>
      <c r="AQ151" s="647" t="str">
        <f t="shared" si="25"/>
        <v/>
      </c>
      <c r="AR151" s="647" t="str">
        <f t="shared" si="26"/>
        <v/>
      </c>
      <c r="AS151" s="647" t="str">
        <f t="shared" si="27"/>
        <v/>
      </c>
      <c r="AT151" s="647" t="str">
        <f t="shared" si="40"/>
        <v/>
      </c>
      <c r="AU151" s="647" t="str">
        <f t="shared" si="28"/>
        <v/>
      </c>
      <c r="AV151" s="647" t="str">
        <f t="shared" si="29"/>
        <v/>
      </c>
      <c r="AW151" s="647" t="str">
        <f t="shared" si="30"/>
        <v/>
      </c>
      <c r="AX151" s="647" t="str">
        <f t="shared" si="31"/>
        <v/>
      </c>
    </row>
    <row r="152" spans="3:50" s="5" customFormat="1" ht="28.15" hidden="1" customHeight="1" outlineLevel="1">
      <c r="C152" s="649">
        <v>136</v>
      </c>
      <c r="D152" s="1855"/>
      <c r="E152" s="1856"/>
      <c r="F152" s="1856"/>
      <c r="G152" s="1856"/>
      <c r="H152" s="1856"/>
      <c r="I152" s="1856"/>
      <c r="J152" s="1856"/>
      <c r="K152" s="702"/>
      <c r="L152" s="1054"/>
      <c r="M152" s="705"/>
      <c r="N152" s="255"/>
      <c r="O152" s="1040"/>
      <c r="P152" s="1041"/>
      <c r="Q152" s="256"/>
      <c r="R152" s="267"/>
      <c r="S152" s="256"/>
      <c r="T152" s="256"/>
      <c r="U152" s="256"/>
      <c r="V152" s="256"/>
      <c r="W152" s="254"/>
      <c r="X152" s="703"/>
      <c r="Y152" s="125"/>
      <c r="Z152" s="431"/>
      <c r="AA152" s="499"/>
      <c r="AB152" s="741"/>
      <c r="AC152" s="51"/>
      <c r="AD152" s="51"/>
      <c r="AE152" s="645" t="str">
        <f t="shared" si="20"/>
        <v/>
      </c>
      <c r="AF152" s="1037" t="str">
        <f t="shared" si="21"/>
        <v/>
      </c>
      <c r="AG152" s="1037" t="str">
        <f t="shared" si="22"/>
        <v/>
      </c>
      <c r="AH152" s="1037" t="str">
        <f>IF(AE152="","",VLOOKUP(AE152,リスト!BI:BJ,2,0))</f>
        <v/>
      </c>
      <c r="AI152" s="1037" t="str">
        <f t="shared" si="41"/>
        <v/>
      </c>
      <c r="AJ152" s="1037" t="str">
        <f>IF(AI152="","",VLOOKUP(AI152,リスト!BW:BX,2,0))</f>
        <v/>
      </c>
      <c r="AK152" s="1037" t="str">
        <f t="shared" si="38"/>
        <v/>
      </c>
      <c r="AL152" s="685" t="str">
        <f t="shared" si="23"/>
        <v/>
      </c>
      <c r="AM152" s="646" t="str">
        <f t="shared" si="24"/>
        <v/>
      </c>
      <c r="AN152" s="646" t="str">
        <f t="shared" si="42"/>
        <v/>
      </c>
      <c r="AO152" s="647" t="str">
        <f t="shared" si="43"/>
        <v/>
      </c>
      <c r="AP152" s="647" t="str">
        <f t="shared" si="39"/>
        <v/>
      </c>
      <c r="AQ152" s="647" t="str">
        <f t="shared" si="25"/>
        <v/>
      </c>
      <c r="AR152" s="647" t="str">
        <f t="shared" si="26"/>
        <v/>
      </c>
      <c r="AS152" s="647" t="str">
        <f t="shared" si="27"/>
        <v/>
      </c>
      <c r="AT152" s="647" t="str">
        <f t="shared" si="40"/>
        <v/>
      </c>
      <c r="AU152" s="647" t="str">
        <f t="shared" si="28"/>
        <v/>
      </c>
      <c r="AV152" s="647" t="str">
        <f t="shared" si="29"/>
        <v/>
      </c>
      <c r="AW152" s="647" t="str">
        <f t="shared" si="30"/>
        <v/>
      </c>
      <c r="AX152" s="647" t="str">
        <f t="shared" si="31"/>
        <v/>
      </c>
    </row>
    <row r="153" spans="3:50" s="5" customFormat="1" ht="28.15" hidden="1" customHeight="1" outlineLevel="1">
      <c r="C153" s="649">
        <v>137</v>
      </c>
      <c r="D153" s="1865"/>
      <c r="E153" s="1866"/>
      <c r="F153" s="1866"/>
      <c r="G153" s="1866"/>
      <c r="H153" s="1866"/>
      <c r="I153" s="1866"/>
      <c r="J153" s="1866"/>
      <c r="K153" s="704"/>
      <c r="L153" s="1055"/>
      <c r="M153" s="705"/>
      <c r="N153" s="255"/>
      <c r="O153" s="1042"/>
      <c r="P153" s="1041"/>
      <c r="Q153" s="256"/>
      <c r="R153" s="267"/>
      <c r="S153" s="256"/>
      <c r="T153" s="256"/>
      <c r="U153" s="256"/>
      <c r="V153" s="256"/>
      <c r="W153" s="254"/>
      <c r="X153" s="703"/>
      <c r="Y153" s="125"/>
      <c r="Z153" s="431"/>
      <c r="AA153" s="499"/>
      <c r="AB153" s="741"/>
      <c r="AC153" s="51"/>
      <c r="AD153" s="51"/>
      <c r="AE153" s="645" t="str">
        <f t="shared" si="20"/>
        <v/>
      </c>
      <c r="AF153" s="1037" t="str">
        <f t="shared" si="21"/>
        <v/>
      </c>
      <c r="AG153" s="1037" t="str">
        <f t="shared" si="22"/>
        <v/>
      </c>
      <c r="AH153" s="1037" t="str">
        <f>IF(AE153="","",VLOOKUP(AE153,リスト!BI:BJ,2,0))</f>
        <v/>
      </c>
      <c r="AI153" s="1037" t="str">
        <f t="shared" si="41"/>
        <v/>
      </c>
      <c r="AJ153" s="1037" t="str">
        <f>IF(AI153="","",VLOOKUP(AI153,リスト!BW:BX,2,0))</f>
        <v/>
      </c>
      <c r="AK153" s="1037" t="str">
        <f t="shared" si="38"/>
        <v/>
      </c>
      <c r="AL153" s="685" t="str">
        <f t="shared" si="23"/>
        <v/>
      </c>
      <c r="AM153" s="646" t="str">
        <f t="shared" si="24"/>
        <v/>
      </c>
      <c r="AN153" s="646" t="str">
        <f t="shared" si="42"/>
        <v/>
      </c>
      <c r="AO153" s="647" t="str">
        <f t="shared" si="43"/>
        <v/>
      </c>
      <c r="AP153" s="647" t="str">
        <f t="shared" si="39"/>
        <v/>
      </c>
      <c r="AQ153" s="647" t="str">
        <f t="shared" si="25"/>
        <v/>
      </c>
      <c r="AR153" s="647" t="str">
        <f t="shared" si="26"/>
        <v/>
      </c>
      <c r="AS153" s="647" t="str">
        <f t="shared" si="27"/>
        <v/>
      </c>
      <c r="AT153" s="647" t="str">
        <f t="shared" si="40"/>
        <v/>
      </c>
      <c r="AU153" s="647" t="str">
        <f t="shared" si="28"/>
        <v/>
      </c>
      <c r="AV153" s="647" t="str">
        <f t="shared" si="29"/>
        <v/>
      </c>
      <c r="AW153" s="647" t="str">
        <f t="shared" si="30"/>
        <v/>
      </c>
      <c r="AX153" s="647" t="str">
        <f t="shared" si="31"/>
        <v/>
      </c>
    </row>
    <row r="154" spans="3:50" s="5" customFormat="1" ht="28.15" hidden="1" customHeight="1" outlineLevel="1">
      <c r="C154" s="649">
        <v>138</v>
      </c>
      <c r="D154" s="1855"/>
      <c r="E154" s="1856"/>
      <c r="F154" s="1856"/>
      <c r="G154" s="1856"/>
      <c r="H154" s="1856"/>
      <c r="I154" s="1856"/>
      <c r="J154" s="1856"/>
      <c r="K154" s="702"/>
      <c r="L154" s="1054"/>
      <c r="M154" s="705"/>
      <c r="N154" s="255"/>
      <c r="O154" s="1040"/>
      <c r="P154" s="1041"/>
      <c r="Q154" s="256"/>
      <c r="R154" s="267"/>
      <c r="S154" s="256"/>
      <c r="T154" s="256"/>
      <c r="U154" s="256"/>
      <c r="V154" s="256"/>
      <c r="W154" s="254"/>
      <c r="X154" s="703"/>
      <c r="Y154" s="125"/>
      <c r="Z154" s="431"/>
      <c r="AA154" s="499"/>
      <c r="AB154" s="741"/>
      <c r="AC154" s="51"/>
      <c r="AD154" s="51"/>
      <c r="AE154" s="645" t="str">
        <f t="shared" si="20"/>
        <v/>
      </c>
      <c r="AF154" s="1037" t="str">
        <f t="shared" si="21"/>
        <v/>
      </c>
      <c r="AG154" s="1037" t="str">
        <f t="shared" si="22"/>
        <v/>
      </c>
      <c r="AH154" s="1037" t="str">
        <f>IF(AE154="","",VLOOKUP(AE154,リスト!BI:BJ,2,0))</f>
        <v/>
      </c>
      <c r="AI154" s="1037" t="str">
        <f t="shared" si="41"/>
        <v/>
      </c>
      <c r="AJ154" s="1037" t="str">
        <f>IF(AI154="","",VLOOKUP(AI154,リスト!BW:BX,2,0))</f>
        <v/>
      </c>
      <c r="AK154" s="1037" t="str">
        <f t="shared" si="38"/>
        <v/>
      </c>
      <c r="AL154" s="685" t="str">
        <f t="shared" si="23"/>
        <v/>
      </c>
      <c r="AM154" s="646" t="str">
        <f t="shared" si="24"/>
        <v/>
      </c>
      <c r="AN154" s="646" t="str">
        <f t="shared" si="42"/>
        <v/>
      </c>
      <c r="AO154" s="647" t="str">
        <f t="shared" si="43"/>
        <v/>
      </c>
      <c r="AP154" s="647" t="str">
        <f t="shared" si="39"/>
        <v/>
      </c>
      <c r="AQ154" s="647" t="str">
        <f t="shared" si="25"/>
        <v/>
      </c>
      <c r="AR154" s="647" t="str">
        <f t="shared" si="26"/>
        <v/>
      </c>
      <c r="AS154" s="647" t="str">
        <f t="shared" si="27"/>
        <v/>
      </c>
      <c r="AT154" s="647" t="str">
        <f t="shared" si="40"/>
        <v/>
      </c>
      <c r="AU154" s="647" t="str">
        <f t="shared" si="28"/>
        <v/>
      </c>
      <c r="AV154" s="647" t="str">
        <f t="shared" si="29"/>
        <v/>
      </c>
      <c r="AW154" s="647" t="str">
        <f t="shared" si="30"/>
        <v/>
      </c>
      <c r="AX154" s="647" t="str">
        <f t="shared" si="31"/>
        <v/>
      </c>
    </row>
    <row r="155" spans="3:50" s="5" customFormat="1" ht="28.15" hidden="1" customHeight="1" outlineLevel="1">
      <c r="C155" s="649">
        <v>139</v>
      </c>
      <c r="D155" s="1865"/>
      <c r="E155" s="1866"/>
      <c r="F155" s="1866"/>
      <c r="G155" s="1866"/>
      <c r="H155" s="1866"/>
      <c r="I155" s="1866"/>
      <c r="J155" s="1866"/>
      <c r="K155" s="704"/>
      <c r="L155" s="1055"/>
      <c r="M155" s="705"/>
      <c r="N155" s="255"/>
      <c r="O155" s="1042"/>
      <c r="P155" s="1043"/>
      <c r="Q155" s="256"/>
      <c r="R155" s="267"/>
      <c r="S155" s="256"/>
      <c r="T155" s="256"/>
      <c r="U155" s="256"/>
      <c r="V155" s="256"/>
      <c r="W155" s="254"/>
      <c r="X155" s="703"/>
      <c r="Y155" s="125"/>
      <c r="Z155" s="431"/>
      <c r="AA155" s="499"/>
      <c r="AB155" s="741"/>
      <c r="AC155" s="51"/>
      <c r="AD155" s="51"/>
      <c r="AE155" s="645" t="str">
        <f t="shared" si="20"/>
        <v/>
      </c>
      <c r="AF155" s="1037" t="str">
        <f t="shared" si="21"/>
        <v/>
      </c>
      <c r="AG155" s="1037" t="str">
        <f t="shared" si="22"/>
        <v/>
      </c>
      <c r="AH155" s="1037" t="str">
        <f>IF(AE155="","",VLOOKUP(AE155,リスト!BI:BJ,2,0))</f>
        <v/>
      </c>
      <c r="AI155" s="1037" t="str">
        <f t="shared" si="41"/>
        <v/>
      </c>
      <c r="AJ155" s="1037" t="str">
        <f>IF(AI155="","",VLOOKUP(AI155,リスト!BW:BX,2,0))</f>
        <v/>
      </c>
      <c r="AK155" s="1037" t="str">
        <f t="shared" si="38"/>
        <v/>
      </c>
      <c r="AL155" s="685" t="str">
        <f t="shared" si="23"/>
        <v/>
      </c>
      <c r="AM155" s="646" t="str">
        <f t="shared" si="24"/>
        <v/>
      </c>
      <c r="AN155" s="646" t="str">
        <f t="shared" si="42"/>
        <v/>
      </c>
      <c r="AO155" s="647" t="str">
        <f t="shared" si="43"/>
        <v/>
      </c>
      <c r="AP155" s="647" t="str">
        <f t="shared" si="39"/>
        <v/>
      </c>
      <c r="AQ155" s="647" t="str">
        <f t="shared" si="25"/>
        <v/>
      </c>
      <c r="AR155" s="647" t="str">
        <f t="shared" si="26"/>
        <v/>
      </c>
      <c r="AS155" s="647" t="str">
        <f t="shared" si="27"/>
        <v/>
      </c>
      <c r="AT155" s="647" t="str">
        <f t="shared" si="40"/>
        <v/>
      </c>
      <c r="AU155" s="647" t="str">
        <f t="shared" si="28"/>
        <v/>
      </c>
      <c r="AV155" s="647" t="str">
        <f t="shared" si="29"/>
        <v/>
      </c>
      <c r="AW155" s="647" t="str">
        <f t="shared" si="30"/>
        <v/>
      </c>
      <c r="AX155" s="647" t="str">
        <f t="shared" si="31"/>
        <v/>
      </c>
    </row>
    <row r="156" spans="3:50" s="5" customFormat="1" ht="28.15" hidden="1" customHeight="1" outlineLevel="1">
      <c r="C156" s="649">
        <v>140</v>
      </c>
      <c r="D156" s="1855"/>
      <c r="E156" s="1856"/>
      <c r="F156" s="1856"/>
      <c r="G156" s="1856"/>
      <c r="H156" s="1856"/>
      <c r="I156" s="1856"/>
      <c r="J156" s="1856"/>
      <c r="K156" s="702"/>
      <c r="L156" s="1054"/>
      <c r="M156" s="705"/>
      <c r="N156" s="255"/>
      <c r="O156" s="1040"/>
      <c r="P156" s="1044"/>
      <c r="Q156" s="256"/>
      <c r="R156" s="267"/>
      <c r="S156" s="256"/>
      <c r="T156" s="256"/>
      <c r="U156" s="256"/>
      <c r="V156" s="256"/>
      <c r="W156" s="254"/>
      <c r="X156" s="703"/>
      <c r="Y156" s="125"/>
      <c r="Z156" s="431"/>
      <c r="AA156" s="499"/>
      <c r="AB156" s="741"/>
      <c r="AC156" s="51"/>
      <c r="AD156" s="51"/>
      <c r="AE156" s="645" t="str">
        <f t="shared" si="20"/>
        <v/>
      </c>
      <c r="AF156" s="1037" t="str">
        <f t="shared" si="21"/>
        <v/>
      </c>
      <c r="AG156" s="1037" t="str">
        <f t="shared" si="22"/>
        <v/>
      </c>
      <c r="AH156" s="1037" t="str">
        <f>IF(AE156="","",VLOOKUP(AE156,リスト!BI:BJ,2,0))</f>
        <v/>
      </c>
      <c r="AI156" s="1037" t="str">
        <f t="shared" si="41"/>
        <v/>
      </c>
      <c r="AJ156" s="1037" t="str">
        <f>IF(AI156="","",VLOOKUP(AI156,リスト!BW:BX,2,0))</f>
        <v/>
      </c>
      <c r="AK156" s="1037" t="str">
        <f t="shared" si="38"/>
        <v/>
      </c>
      <c r="AL156" s="685" t="str">
        <f t="shared" si="23"/>
        <v/>
      </c>
      <c r="AM156" s="646" t="str">
        <f t="shared" si="24"/>
        <v/>
      </c>
      <c r="AN156" s="646" t="str">
        <f t="shared" si="42"/>
        <v/>
      </c>
      <c r="AO156" s="647" t="str">
        <f t="shared" si="43"/>
        <v/>
      </c>
      <c r="AP156" s="647" t="str">
        <f t="shared" si="39"/>
        <v/>
      </c>
      <c r="AQ156" s="647" t="str">
        <f t="shared" si="25"/>
        <v/>
      </c>
      <c r="AR156" s="647" t="str">
        <f t="shared" si="26"/>
        <v/>
      </c>
      <c r="AS156" s="647" t="str">
        <f t="shared" si="27"/>
        <v/>
      </c>
      <c r="AT156" s="647" t="str">
        <f t="shared" si="40"/>
        <v/>
      </c>
      <c r="AU156" s="647" t="str">
        <f t="shared" si="28"/>
        <v/>
      </c>
      <c r="AV156" s="647" t="str">
        <f t="shared" si="29"/>
        <v/>
      </c>
      <c r="AW156" s="647" t="str">
        <f t="shared" si="30"/>
        <v/>
      </c>
      <c r="AX156" s="647" t="str">
        <f t="shared" si="31"/>
        <v/>
      </c>
    </row>
    <row r="157" spans="3:50" s="5" customFormat="1" ht="28.15" hidden="1" customHeight="1" outlineLevel="1">
      <c r="C157" s="649">
        <v>141</v>
      </c>
      <c r="D157" s="1855"/>
      <c r="E157" s="1856"/>
      <c r="F157" s="1856"/>
      <c r="G157" s="1856"/>
      <c r="H157" s="1856"/>
      <c r="I157" s="1856"/>
      <c r="J157" s="1856"/>
      <c r="K157" s="702"/>
      <c r="L157" s="1054"/>
      <c r="M157" s="705"/>
      <c r="N157" s="255"/>
      <c r="O157" s="1040"/>
      <c r="P157" s="1044"/>
      <c r="Q157" s="256"/>
      <c r="R157" s="267"/>
      <c r="S157" s="256"/>
      <c r="T157" s="256"/>
      <c r="U157" s="256"/>
      <c r="V157" s="256"/>
      <c r="W157" s="254"/>
      <c r="X157" s="703"/>
      <c r="Y157" s="125"/>
      <c r="Z157" s="431"/>
      <c r="AA157" s="499"/>
      <c r="AB157" s="741"/>
      <c r="AC157" s="51"/>
      <c r="AD157" s="51"/>
      <c r="AE157" s="645" t="str">
        <f t="shared" si="20"/>
        <v/>
      </c>
      <c r="AF157" s="1037" t="str">
        <f t="shared" si="21"/>
        <v/>
      </c>
      <c r="AG157" s="1037" t="str">
        <f t="shared" si="22"/>
        <v/>
      </c>
      <c r="AH157" s="1037" t="str">
        <f>IF(AE157="","",VLOOKUP(AE157,リスト!BI:BJ,2,0))</f>
        <v/>
      </c>
      <c r="AI157" s="1037" t="str">
        <f t="shared" si="41"/>
        <v/>
      </c>
      <c r="AJ157" s="1037" t="str">
        <f>IF(AI157="","",VLOOKUP(AI157,リスト!BW:BX,2,0))</f>
        <v/>
      </c>
      <c r="AK157" s="1037" t="str">
        <f t="shared" si="38"/>
        <v/>
      </c>
      <c r="AL157" s="685" t="str">
        <f t="shared" si="23"/>
        <v/>
      </c>
      <c r="AM157" s="646" t="str">
        <f t="shared" si="24"/>
        <v/>
      </c>
      <c r="AN157" s="646" t="str">
        <f t="shared" si="42"/>
        <v/>
      </c>
      <c r="AO157" s="647" t="str">
        <f t="shared" si="43"/>
        <v/>
      </c>
      <c r="AP157" s="647" t="str">
        <f t="shared" si="39"/>
        <v/>
      </c>
      <c r="AQ157" s="647" t="str">
        <f t="shared" si="25"/>
        <v/>
      </c>
      <c r="AR157" s="647" t="str">
        <f t="shared" si="26"/>
        <v/>
      </c>
      <c r="AS157" s="647" t="str">
        <f t="shared" si="27"/>
        <v/>
      </c>
      <c r="AT157" s="647" t="str">
        <f t="shared" si="40"/>
        <v/>
      </c>
      <c r="AU157" s="647" t="str">
        <f t="shared" si="28"/>
        <v/>
      </c>
      <c r="AV157" s="647" t="str">
        <f t="shared" si="29"/>
        <v/>
      </c>
      <c r="AW157" s="647" t="str">
        <f t="shared" si="30"/>
        <v/>
      </c>
      <c r="AX157" s="647" t="str">
        <f t="shared" si="31"/>
        <v/>
      </c>
    </row>
    <row r="158" spans="3:50" s="5" customFormat="1" ht="28.15" hidden="1" customHeight="1" outlineLevel="1">
      <c r="C158" s="649">
        <v>142</v>
      </c>
      <c r="D158" s="1855"/>
      <c r="E158" s="1856"/>
      <c r="F158" s="1856"/>
      <c r="G158" s="1856"/>
      <c r="H158" s="1856"/>
      <c r="I158" s="1856"/>
      <c r="J158" s="1856"/>
      <c r="K158" s="702"/>
      <c r="L158" s="1054"/>
      <c r="M158" s="705"/>
      <c r="N158" s="257"/>
      <c r="O158" s="1040"/>
      <c r="P158" s="1044"/>
      <c r="Q158" s="256"/>
      <c r="R158" s="267"/>
      <c r="S158" s="256"/>
      <c r="T158" s="256"/>
      <c r="U158" s="256"/>
      <c r="V158" s="256"/>
      <c r="W158" s="254"/>
      <c r="X158" s="703"/>
      <c r="Y158" s="125"/>
      <c r="Z158" s="431"/>
      <c r="AA158" s="499"/>
      <c r="AB158" s="741"/>
      <c r="AC158" s="51"/>
      <c r="AD158" s="51"/>
      <c r="AE158" s="645" t="str">
        <f t="shared" si="20"/>
        <v/>
      </c>
      <c r="AF158" s="1037" t="str">
        <f t="shared" si="21"/>
        <v/>
      </c>
      <c r="AG158" s="1037" t="str">
        <f t="shared" si="22"/>
        <v/>
      </c>
      <c r="AH158" s="1037" t="str">
        <f>IF(AE158="","",VLOOKUP(AE158,リスト!BI:BJ,2,0))</f>
        <v/>
      </c>
      <c r="AI158" s="1037" t="str">
        <f t="shared" si="41"/>
        <v/>
      </c>
      <c r="AJ158" s="1037" t="str">
        <f>IF(AI158="","",VLOOKUP(AI158,リスト!BW:BX,2,0))</f>
        <v/>
      </c>
      <c r="AK158" s="1037" t="str">
        <f t="shared" si="38"/>
        <v/>
      </c>
      <c r="AL158" s="685" t="str">
        <f t="shared" si="23"/>
        <v/>
      </c>
      <c r="AM158" s="646" t="str">
        <f t="shared" si="24"/>
        <v/>
      </c>
      <c r="AN158" s="646" t="str">
        <f t="shared" si="42"/>
        <v/>
      </c>
      <c r="AO158" s="647" t="str">
        <f t="shared" si="43"/>
        <v/>
      </c>
      <c r="AP158" s="647" t="str">
        <f t="shared" si="39"/>
        <v/>
      </c>
      <c r="AQ158" s="647" t="str">
        <f t="shared" si="25"/>
        <v/>
      </c>
      <c r="AR158" s="647" t="str">
        <f t="shared" si="26"/>
        <v/>
      </c>
      <c r="AS158" s="647" t="str">
        <f t="shared" si="27"/>
        <v/>
      </c>
      <c r="AT158" s="647" t="str">
        <f t="shared" si="40"/>
        <v/>
      </c>
      <c r="AU158" s="647" t="str">
        <f t="shared" si="28"/>
        <v/>
      </c>
      <c r="AV158" s="647" t="str">
        <f t="shared" si="29"/>
        <v/>
      </c>
      <c r="AW158" s="647" t="str">
        <f t="shared" si="30"/>
        <v/>
      </c>
      <c r="AX158" s="647" t="str">
        <f t="shared" si="31"/>
        <v/>
      </c>
    </row>
    <row r="159" spans="3:50" s="5" customFormat="1" ht="28.15" hidden="1" customHeight="1" outlineLevel="1">
      <c r="C159" s="649">
        <v>143</v>
      </c>
      <c r="D159" s="1855"/>
      <c r="E159" s="1856"/>
      <c r="F159" s="1856"/>
      <c r="G159" s="1856"/>
      <c r="H159" s="1856"/>
      <c r="I159" s="1856"/>
      <c r="J159" s="1856"/>
      <c r="K159" s="702"/>
      <c r="L159" s="1054"/>
      <c r="M159" s="705"/>
      <c r="N159" s="255"/>
      <c r="O159" s="1040"/>
      <c r="P159" s="1044"/>
      <c r="Q159" s="256"/>
      <c r="R159" s="267"/>
      <c r="S159" s="256"/>
      <c r="T159" s="256"/>
      <c r="U159" s="256"/>
      <c r="V159" s="256"/>
      <c r="W159" s="254"/>
      <c r="X159" s="703"/>
      <c r="Y159" s="125"/>
      <c r="Z159" s="431"/>
      <c r="AA159" s="499"/>
      <c r="AB159" s="741"/>
      <c r="AC159" s="51"/>
      <c r="AD159" s="51"/>
      <c r="AE159" s="645" t="str">
        <f t="shared" si="20"/>
        <v/>
      </c>
      <c r="AF159" s="1037" t="str">
        <f t="shared" si="21"/>
        <v/>
      </c>
      <c r="AG159" s="1037" t="str">
        <f t="shared" si="22"/>
        <v/>
      </c>
      <c r="AH159" s="1037" t="str">
        <f>IF(AE159="","",VLOOKUP(AE159,リスト!BI:BJ,2,0))</f>
        <v/>
      </c>
      <c r="AI159" s="1037" t="str">
        <f t="shared" si="41"/>
        <v/>
      </c>
      <c r="AJ159" s="1037" t="str">
        <f>IF(AI159="","",VLOOKUP(AI159,リスト!BW:BX,2,0))</f>
        <v/>
      </c>
      <c r="AK159" s="1037" t="str">
        <f t="shared" si="38"/>
        <v/>
      </c>
      <c r="AL159" s="685" t="str">
        <f t="shared" si="23"/>
        <v/>
      </c>
      <c r="AM159" s="646" t="str">
        <f t="shared" si="24"/>
        <v/>
      </c>
      <c r="AN159" s="646" t="str">
        <f t="shared" si="42"/>
        <v/>
      </c>
      <c r="AO159" s="647" t="str">
        <f t="shared" si="43"/>
        <v/>
      </c>
      <c r="AP159" s="647" t="str">
        <f t="shared" si="39"/>
        <v/>
      </c>
      <c r="AQ159" s="647" t="str">
        <f t="shared" si="25"/>
        <v/>
      </c>
      <c r="AR159" s="647" t="str">
        <f t="shared" si="26"/>
        <v/>
      </c>
      <c r="AS159" s="647" t="str">
        <f t="shared" si="27"/>
        <v/>
      </c>
      <c r="AT159" s="647" t="str">
        <f t="shared" si="40"/>
        <v/>
      </c>
      <c r="AU159" s="647" t="str">
        <f t="shared" si="28"/>
        <v/>
      </c>
      <c r="AV159" s="647" t="str">
        <f t="shared" si="29"/>
        <v/>
      </c>
      <c r="AW159" s="647" t="str">
        <f t="shared" si="30"/>
        <v/>
      </c>
      <c r="AX159" s="647" t="str">
        <f t="shared" si="31"/>
        <v/>
      </c>
    </row>
    <row r="160" spans="3:50" s="5" customFormat="1" ht="28.15" hidden="1" customHeight="1" outlineLevel="1">
      <c r="C160" s="649">
        <v>144</v>
      </c>
      <c r="D160" s="1855"/>
      <c r="E160" s="1856"/>
      <c r="F160" s="1856"/>
      <c r="G160" s="1856"/>
      <c r="H160" s="1856"/>
      <c r="I160" s="1856"/>
      <c r="J160" s="1856"/>
      <c r="K160" s="702"/>
      <c r="L160" s="1054"/>
      <c r="M160" s="705"/>
      <c r="N160" s="257"/>
      <c r="O160" s="1040"/>
      <c r="P160" s="1044"/>
      <c r="Q160" s="256"/>
      <c r="R160" s="267"/>
      <c r="S160" s="256"/>
      <c r="T160" s="256"/>
      <c r="U160" s="256"/>
      <c r="V160" s="256"/>
      <c r="W160" s="254"/>
      <c r="X160" s="703"/>
      <c r="Y160" s="125"/>
      <c r="Z160" s="431"/>
      <c r="AA160" s="499"/>
      <c r="AB160" s="741"/>
      <c r="AC160" s="51"/>
      <c r="AD160" s="51"/>
      <c r="AE160" s="645" t="str">
        <f t="shared" si="20"/>
        <v/>
      </c>
      <c r="AF160" s="1037" t="str">
        <f t="shared" si="21"/>
        <v/>
      </c>
      <c r="AG160" s="1037" t="str">
        <f t="shared" si="22"/>
        <v/>
      </c>
      <c r="AH160" s="1037" t="str">
        <f>IF(AE160="","",VLOOKUP(AE160,リスト!BI:BJ,2,0))</f>
        <v/>
      </c>
      <c r="AI160" s="1037" t="str">
        <f t="shared" si="41"/>
        <v/>
      </c>
      <c r="AJ160" s="1037" t="str">
        <f>IF(AI160="","",VLOOKUP(AI160,リスト!BW:BX,2,0))</f>
        <v/>
      </c>
      <c r="AK160" s="1037" t="str">
        <f t="shared" si="38"/>
        <v/>
      </c>
      <c r="AL160" s="685" t="str">
        <f t="shared" si="23"/>
        <v/>
      </c>
      <c r="AM160" s="646" t="str">
        <f t="shared" si="24"/>
        <v/>
      </c>
      <c r="AN160" s="646" t="str">
        <f t="shared" si="42"/>
        <v/>
      </c>
      <c r="AO160" s="647" t="str">
        <f t="shared" si="43"/>
        <v/>
      </c>
      <c r="AP160" s="647" t="str">
        <f t="shared" si="39"/>
        <v/>
      </c>
      <c r="AQ160" s="647" t="str">
        <f t="shared" si="25"/>
        <v/>
      </c>
      <c r="AR160" s="647" t="str">
        <f t="shared" si="26"/>
        <v/>
      </c>
      <c r="AS160" s="647" t="str">
        <f t="shared" si="27"/>
        <v/>
      </c>
      <c r="AT160" s="647" t="str">
        <f t="shared" si="40"/>
        <v/>
      </c>
      <c r="AU160" s="647" t="str">
        <f t="shared" si="28"/>
        <v/>
      </c>
      <c r="AV160" s="647" t="str">
        <f t="shared" si="29"/>
        <v/>
      </c>
      <c r="AW160" s="647" t="str">
        <f t="shared" si="30"/>
        <v/>
      </c>
      <c r="AX160" s="647" t="str">
        <f t="shared" si="31"/>
        <v/>
      </c>
    </row>
    <row r="161" spans="3:50" s="5" customFormat="1" ht="28.15" hidden="1" customHeight="1" outlineLevel="1">
      <c r="C161" s="649">
        <v>145</v>
      </c>
      <c r="D161" s="1855"/>
      <c r="E161" s="1856"/>
      <c r="F161" s="1856"/>
      <c r="G161" s="1856"/>
      <c r="H161" s="1856"/>
      <c r="I161" s="1856"/>
      <c r="J161" s="1856"/>
      <c r="K161" s="702"/>
      <c r="L161" s="1054"/>
      <c r="M161" s="705"/>
      <c r="N161" s="255"/>
      <c r="O161" s="1040"/>
      <c r="P161" s="1044"/>
      <c r="Q161" s="256"/>
      <c r="R161" s="267"/>
      <c r="S161" s="256"/>
      <c r="T161" s="256"/>
      <c r="U161" s="256"/>
      <c r="V161" s="256"/>
      <c r="W161" s="254"/>
      <c r="X161" s="703"/>
      <c r="Y161" s="125"/>
      <c r="Z161" s="431"/>
      <c r="AA161" s="499"/>
      <c r="AB161" s="741"/>
      <c r="AC161" s="51"/>
      <c r="AD161" s="51"/>
      <c r="AE161" s="645" t="str">
        <f t="shared" si="20"/>
        <v/>
      </c>
      <c r="AF161" s="1037" t="str">
        <f t="shared" si="21"/>
        <v/>
      </c>
      <c r="AG161" s="1037" t="str">
        <f t="shared" si="22"/>
        <v/>
      </c>
      <c r="AH161" s="1037" t="str">
        <f>IF(AE161="","",VLOOKUP(AE161,リスト!BI:BJ,2,0))</f>
        <v/>
      </c>
      <c r="AI161" s="1037" t="str">
        <f t="shared" si="41"/>
        <v/>
      </c>
      <c r="AJ161" s="1037" t="str">
        <f>IF(AI161="","",VLOOKUP(AI161,リスト!BW:BX,2,0))</f>
        <v/>
      </c>
      <c r="AK161" s="1037" t="str">
        <f t="shared" si="38"/>
        <v/>
      </c>
      <c r="AL161" s="685" t="str">
        <f t="shared" si="23"/>
        <v/>
      </c>
      <c r="AM161" s="646" t="str">
        <f t="shared" si="24"/>
        <v/>
      </c>
      <c r="AN161" s="646" t="str">
        <f t="shared" si="42"/>
        <v/>
      </c>
      <c r="AO161" s="647" t="str">
        <f t="shared" si="43"/>
        <v/>
      </c>
      <c r="AP161" s="647" t="str">
        <f t="shared" si="39"/>
        <v/>
      </c>
      <c r="AQ161" s="647" t="str">
        <f t="shared" si="25"/>
        <v/>
      </c>
      <c r="AR161" s="647" t="str">
        <f t="shared" si="26"/>
        <v/>
      </c>
      <c r="AS161" s="647" t="str">
        <f t="shared" si="27"/>
        <v/>
      </c>
      <c r="AT161" s="647" t="str">
        <f t="shared" si="40"/>
        <v/>
      </c>
      <c r="AU161" s="647" t="str">
        <f t="shared" si="28"/>
        <v/>
      </c>
      <c r="AV161" s="647" t="str">
        <f t="shared" si="29"/>
        <v/>
      </c>
      <c r="AW161" s="647" t="str">
        <f t="shared" si="30"/>
        <v/>
      </c>
      <c r="AX161" s="647" t="str">
        <f t="shared" si="31"/>
        <v/>
      </c>
    </row>
    <row r="162" spans="3:50" s="5" customFormat="1" ht="28.15" hidden="1" customHeight="1" outlineLevel="1">
      <c r="C162" s="649">
        <v>146</v>
      </c>
      <c r="D162" s="1855"/>
      <c r="E162" s="1856"/>
      <c r="F162" s="1856"/>
      <c r="G162" s="1856"/>
      <c r="H162" s="1856"/>
      <c r="I162" s="1856"/>
      <c r="J162" s="1857"/>
      <c r="K162" s="702"/>
      <c r="L162" s="1054"/>
      <c r="M162" s="666"/>
      <c r="N162" s="266"/>
      <c r="O162" s="1040"/>
      <c r="P162" s="1041"/>
      <c r="Q162" s="267"/>
      <c r="R162" s="267"/>
      <c r="S162" s="267"/>
      <c r="T162" s="267"/>
      <c r="U162" s="267"/>
      <c r="V162" s="267"/>
      <c r="W162" s="254"/>
      <c r="X162" s="703"/>
      <c r="Y162" s="125"/>
      <c r="Z162" s="431"/>
      <c r="AA162" s="499"/>
      <c r="AB162" s="741"/>
      <c r="AC162" s="51"/>
      <c r="AD162" s="51"/>
      <c r="AE162" s="645" t="str">
        <f t="shared" ref="AE162:AE179" si="44">IF(AND(K162="",L162=""),"","["&amp;RIGHT(LEFT(K162,2),1)&amp;RIGHT(LEFT(L162,2),1)&amp;"]")</f>
        <v/>
      </c>
      <c r="AF162" s="1037" t="str">
        <f t="shared" ref="AF162:AF179" si="45">IF(AE162="","",IF(Q162&lt;100000,1,0))</f>
        <v/>
      </c>
      <c r="AG162" s="1037" t="str">
        <f t="shared" ref="AG162:AG179" si="46">IF(AE162="","",IF(AND(AF162=0,Q162&lt;200000),1,))</f>
        <v/>
      </c>
      <c r="AH162" s="1037" t="str">
        <f>IF(AE162="","",VLOOKUP(AE162,リスト!BI:BJ,2,0))</f>
        <v/>
      </c>
      <c r="AI162" s="1037" t="str">
        <f t="shared" si="41"/>
        <v/>
      </c>
      <c r="AJ162" s="1037" t="str">
        <f>IF(AI162="","",VLOOKUP(AI162,リスト!BW:BX,2,0))</f>
        <v/>
      </c>
      <c r="AK162" s="1037" t="str">
        <f t="shared" si="38"/>
        <v/>
      </c>
      <c r="AL162" s="685" t="str">
        <f t="shared" ref="AL162:AL179" si="47">IF(OR(AE162="",AF162=1),"",
IF(AND(AI162&gt;0,AK162&lt;AI162,AM162&lt;=ROUND((Q162-1)*AJ162,0)),ROUND(AM162,0),
IF(AND(AI162&gt;0,AK162&lt;AI162),ROUND((Q162-1)*AJ162,0),
"")))</f>
        <v/>
      </c>
      <c r="AM162" s="646" t="str">
        <f t="shared" ref="AM162:AM179" si="48">IF(OR(AE162="",AF162=1),"",
IF(AND(AI162&gt;0,AK162&lt;AI162),Q162-ROUND((Q162-1)*AJ162*AK162,0),1
))</f>
        <v/>
      </c>
      <c r="AN162" s="646" t="str">
        <f t="shared" ref="AN162:AN179" si="49">IF(OR(AE162="",AF162=1),"",
IF(X162="",AL162,
IF(X162="2：廃棄等",SUM(AM162,Y162),
IF(X162="1：売却",AM162-Y162,
IF(AND(Y162="",AL162=""),"",SUM(Y162,AL162))))))</f>
        <v/>
      </c>
      <c r="AO162" s="647" t="str">
        <f t="shared" ref="AO162:AO179" si="50">IF(AND(AN162="",AL162=""),"",
IF(OR(X162="2：廃棄等",X162="1：売却"),SUM(AN162)-SUM(AL162),""))</f>
        <v/>
      </c>
      <c r="AP162" s="647" t="str">
        <f t="shared" si="39"/>
        <v/>
      </c>
      <c r="AQ162" s="647" t="str">
        <f t="shared" ref="AQ162:AQ179" si="51">IF(W162="","",IF(AN162="","",ROUND(AN162*W162%,0)))</f>
        <v/>
      </c>
      <c r="AR162" s="647" t="str">
        <f t="shared" ref="AR162:AR179" si="52">IF(W162="","",IF(AO162="","",ROUND(AO162*W162%,0)))</f>
        <v/>
      </c>
      <c r="AS162" s="647" t="str">
        <f t="shared" ref="AS162:AS179" si="53">IF(W162="","",IF(AM162="","",ROUND(AM162*W162%,0)))</f>
        <v/>
      </c>
      <c r="AT162" s="647" t="str">
        <f t="shared" si="40"/>
        <v/>
      </c>
      <c r="AU162" s="647" t="str">
        <f t="shared" ref="AU162:AU179" si="54">IF(W162="","",IF(S162="","",ROUND(S162*W162%,0)))</f>
        <v/>
      </c>
      <c r="AV162" s="647" t="str">
        <f t="shared" ref="AV162:AV179" si="55">IF(W162="","",IF(T162="","",ROUND(T162*W162%,0)))</f>
        <v/>
      </c>
      <c r="AW162" s="647" t="str">
        <f t="shared" ref="AW162:AW179" si="56">IF(W162="","",IF(U162="","",ROUND(U162*W162%,0)))</f>
        <v/>
      </c>
      <c r="AX162" s="647" t="str">
        <f t="shared" ref="AX162:AX179" si="57">IF(W162="","",IF(V162="","",ROUND(V162*W162%,0)))</f>
        <v/>
      </c>
    </row>
    <row r="163" spans="3:50" s="5" customFormat="1" ht="28.15" hidden="1" customHeight="1" outlineLevel="1">
      <c r="C163" s="649">
        <v>147</v>
      </c>
      <c r="D163" s="1865"/>
      <c r="E163" s="1866"/>
      <c r="F163" s="1866"/>
      <c r="G163" s="1866"/>
      <c r="H163" s="1866"/>
      <c r="I163" s="1866"/>
      <c r="J163" s="1866"/>
      <c r="K163" s="704"/>
      <c r="L163" s="1055"/>
      <c r="M163" s="705"/>
      <c r="N163" s="257"/>
      <c r="O163" s="1042"/>
      <c r="P163" s="1041"/>
      <c r="Q163" s="256"/>
      <c r="R163" s="267"/>
      <c r="S163" s="256"/>
      <c r="T163" s="256"/>
      <c r="U163" s="256"/>
      <c r="V163" s="256"/>
      <c r="W163" s="254"/>
      <c r="X163" s="703"/>
      <c r="Y163" s="125"/>
      <c r="Z163" s="431"/>
      <c r="AA163" s="499"/>
      <c r="AB163" s="741"/>
      <c r="AC163" s="51"/>
      <c r="AD163" s="51"/>
      <c r="AE163" s="645" t="str">
        <f t="shared" si="44"/>
        <v/>
      </c>
      <c r="AF163" s="1037" t="str">
        <f t="shared" si="45"/>
        <v/>
      </c>
      <c r="AG163" s="1037" t="str">
        <f t="shared" si="46"/>
        <v/>
      </c>
      <c r="AH163" s="1037" t="str">
        <f>IF(AE163="","",VLOOKUP(AE163,リスト!BI:BJ,2,0))</f>
        <v/>
      </c>
      <c r="AI163" s="1037" t="str">
        <f t="shared" si="41"/>
        <v/>
      </c>
      <c r="AJ163" s="1037" t="str">
        <f>IF(AI163="","",VLOOKUP(AI163,リスト!BW:BX,2,0))</f>
        <v/>
      </c>
      <c r="AK163" s="1037" t="str">
        <f t="shared" si="38"/>
        <v/>
      </c>
      <c r="AL163" s="685" t="str">
        <f t="shared" si="47"/>
        <v/>
      </c>
      <c r="AM163" s="646" t="str">
        <f t="shared" si="48"/>
        <v/>
      </c>
      <c r="AN163" s="646" t="str">
        <f t="shared" si="49"/>
        <v/>
      </c>
      <c r="AO163" s="647" t="str">
        <f t="shared" si="50"/>
        <v/>
      </c>
      <c r="AP163" s="647" t="str">
        <f t="shared" si="39"/>
        <v/>
      </c>
      <c r="AQ163" s="647" t="str">
        <f t="shared" si="51"/>
        <v/>
      </c>
      <c r="AR163" s="647" t="str">
        <f t="shared" si="52"/>
        <v/>
      </c>
      <c r="AS163" s="647" t="str">
        <f t="shared" si="53"/>
        <v/>
      </c>
      <c r="AT163" s="647" t="str">
        <f t="shared" si="40"/>
        <v/>
      </c>
      <c r="AU163" s="647" t="str">
        <f t="shared" si="54"/>
        <v/>
      </c>
      <c r="AV163" s="647" t="str">
        <f t="shared" si="55"/>
        <v/>
      </c>
      <c r="AW163" s="647" t="str">
        <f t="shared" si="56"/>
        <v/>
      </c>
      <c r="AX163" s="647" t="str">
        <f t="shared" si="57"/>
        <v/>
      </c>
    </row>
    <row r="164" spans="3:50" s="5" customFormat="1" ht="28.15" hidden="1" customHeight="1" outlineLevel="1">
      <c r="C164" s="649">
        <v>148</v>
      </c>
      <c r="D164" s="1855"/>
      <c r="E164" s="1856"/>
      <c r="F164" s="1856"/>
      <c r="G164" s="1856"/>
      <c r="H164" s="1856"/>
      <c r="I164" s="1856"/>
      <c r="J164" s="1856"/>
      <c r="K164" s="702"/>
      <c r="L164" s="1054"/>
      <c r="M164" s="705"/>
      <c r="N164" s="255"/>
      <c r="O164" s="1040"/>
      <c r="P164" s="1041"/>
      <c r="Q164" s="256"/>
      <c r="R164" s="267"/>
      <c r="S164" s="256"/>
      <c r="T164" s="256"/>
      <c r="U164" s="256"/>
      <c r="V164" s="256"/>
      <c r="W164" s="254"/>
      <c r="X164" s="703"/>
      <c r="Y164" s="125"/>
      <c r="Z164" s="431"/>
      <c r="AA164" s="499"/>
      <c r="AB164" s="741"/>
      <c r="AC164" s="51"/>
      <c r="AD164" s="51"/>
      <c r="AE164" s="645" t="str">
        <f t="shared" si="44"/>
        <v/>
      </c>
      <c r="AF164" s="1037" t="str">
        <f t="shared" si="45"/>
        <v/>
      </c>
      <c r="AG164" s="1037" t="str">
        <f t="shared" si="46"/>
        <v/>
      </c>
      <c r="AH164" s="1037" t="str">
        <f>IF(AE164="","",VLOOKUP(AE164,リスト!BI:BJ,2,0))</f>
        <v/>
      </c>
      <c r="AI164" s="1037" t="str">
        <f t="shared" si="41"/>
        <v/>
      </c>
      <c r="AJ164" s="1037" t="str">
        <f>IF(AI164="","",VLOOKUP(AI164,リスト!BW:BX,2,0))</f>
        <v/>
      </c>
      <c r="AK164" s="1037" t="str">
        <f t="shared" si="38"/>
        <v/>
      </c>
      <c r="AL164" s="685" t="str">
        <f t="shared" si="47"/>
        <v/>
      </c>
      <c r="AM164" s="646" t="str">
        <f t="shared" si="48"/>
        <v/>
      </c>
      <c r="AN164" s="646" t="str">
        <f t="shared" si="49"/>
        <v/>
      </c>
      <c r="AO164" s="647" t="str">
        <f t="shared" si="50"/>
        <v/>
      </c>
      <c r="AP164" s="647" t="str">
        <f t="shared" si="39"/>
        <v/>
      </c>
      <c r="AQ164" s="647" t="str">
        <f t="shared" si="51"/>
        <v/>
      </c>
      <c r="AR164" s="647" t="str">
        <f t="shared" si="52"/>
        <v/>
      </c>
      <c r="AS164" s="647" t="str">
        <f t="shared" si="53"/>
        <v/>
      </c>
      <c r="AT164" s="647" t="str">
        <f t="shared" si="40"/>
        <v/>
      </c>
      <c r="AU164" s="647" t="str">
        <f t="shared" si="54"/>
        <v/>
      </c>
      <c r="AV164" s="647" t="str">
        <f t="shared" si="55"/>
        <v/>
      </c>
      <c r="AW164" s="647" t="str">
        <f t="shared" si="56"/>
        <v/>
      </c>
      <c r="AX164" s="647" t="str">
        <f t="shared" si="57"/>
        <v/>
      </c>
    </row>
    <row r="165" spans="3:50" s="5" customFormat="1" ht="28.15" hidden="1" customHeight="1" outlineLevel="1">
      <c r="C165" s="649">
        <v>149</v>
      </c>
      <c r="D165" s="1865"/>
      <c r="E165" s="1866"/>
      <c r="F165" s="1866"/>
      <c r="G165" s="1866"/>
      <c r="H165" s="1866"/>
      <c r="I165" s="1866"/>
      <c r="J165" s="1866"/>
      <c r="K165" s="704"/>
      <c r="L165" s="1055"/>
      <c r="M165" s="705"/>
      <c r="N165" s="257"/>
      <c r="O165" s="1042"/>
      <c r="P165" s="1041"/>
      <c r="Q165" s="256"/>
      <c r="R165" s="267"/>
      <c r="S165" s="256"/>
      <c r="T165" s="256"/>
      <c r="U165" s="256"/>
      <c r="V165" s="256"/>
      <c r="W165" s="254"/>
      <c r="X165" s="703"/>
      <c r="Y165" s="125"/>
      <c r="Z165" s="431"/>
      <c r="AA165" s="499"/>
      <c r="AB165" s="741"/>
      <c r="AC165" s="51"/>
      <c r="AD165" s="51"/>
      <c r="AE165" s="645" t="str">
        <f t="shared" si="44"/>
        <v/>
      </c>
      <c r="AF165" s="1037" t="str">
        <f t="shared" si="45"/>
        <v/>
      </c>
      <c r="AG165" s="1037" t="str">
        <f t="shared" si="46"/>
        <v/>
      </c>
      <c r="AH165" s="1037" t="str">
        <f>IF(AE165="","",VLOOKUP(AE165,リスト!BI:BJ,2,0))</f>
        <v/>
      </c>
      <c r="AI165" s="1037" t="str">
        <f t="shared" si="41"/>
        <v/>
      </c>
      <c r="AJ165" s="1037" t="str">
        <f>IF(AI165="","",VLOOKUP(AI165,リスト!BW:BX,2,0))</f>
        <v/>
      </c>
      <c r="AK165" s="1037" t="str">
        <f t="shared" si="38"/>
        <v/>
      </c>
      <c r="AL165" s="685" t="str">
        <f t="shared" si="47"/>
        <v/>
      </c>
      <c r="AM165" s="646" t="str">
        <f t="shared" si="48"/>
        <v/>
      </c>
      <c r="AN165" s="646" t="str">
        <f t="shared" si="49"/>
        <v/>
      </c>
      <c r="AO165" s="647" t="str">
        <f t="shared" si="50"/>
        <v/>
      </c>
      <c r="AP165" s="647" t="str">
        <f t="shared" si="39"/>
        <v/>
      </c>
      <c r="AQ165" s="647" t="str">
        <f t="shared" si="51"/>
        <v/>
      </c>
      <c r="AR165" s="647" t="str">
        <f t="shared" si="52"/>
        <v/>
      </c>
      <c r="AS165" s="647" t="str">
        <f t="shared" si="53"/>
        <v/>
      </c>
      <c r="AT165" s="647" t="str">
        <f t="shared" si="40"/>
        <v/>
      </c>
      <c r="AU165" s="647" t="str">
        <f t="shared" si="54"/>
        <v/>
      </c>
      <c r="AV165" s="647" t="str">
        <f t="shared" si="55"/>
        <v/>
      </c>
      <c r="AW165" s="647" t="str">
        <f t="shared" si="56"/>
        <v/>
      </c>
      <c r="AX165" s="647" t="str">
        <f t="shared" si="57"/>
        <v/>
      </c>
    </row>
    <row r="166" spans="3:50" s="5" customFormat="1" ht="28.15" hidden="1" customHeight="1" outlineLevel="1">
      <c r="C166" s="649">
        <v>150</v>
      </c>
      <c r="D166" s="1855"/>
      <c r="E166" s="1856"/>
      <c r="F166" s="1856"/>
      <c r="G166" s="1856"/>
      <c r="H166" s="1856"/>
      <c r="I166" s="1856"/>
      <c r="J166" s="1856"/>
      <c r="K166" s="702"/>
      <c r="L166" s="1054"/>
      <c r="M166" s="705"/>
      <c r="N166" s="255"/>
      <c r="O166" s="1040"/>
      <c r="P166" s="1041"/>
      <c r="Q166" s="256"/>
      <c r="R166" s="267"/>
      <c r="S166" s="256"/>
      <c r="T166" s="256"/>
      <c r="U166" s="256"/>
      <c r="V166" s="256"/>
      <c r="W166" s="254"/>
      <c r="X166" s="703"/>
      <c r="Y166" s="125"/>
      <c r="Z166" s="431"/>
      <c r="AA166" s="499"/>
      <c r="AB166" s="741"/>
      <c r="AC166" s="51"/>
      <c r="AD166" s="51"/>
      <c r="AE166" s="645" t="str">
        <f t="shared" si="44"/>
        <v/>
      </c>
      <c r="AF166" s="1037" t="str">
        <f t="shared" si="45"/>
        <v/>
      </c>
      <c r="AG166" s="1037" t="str">
        <f t="shared" si="46"/>
        <v/>
      </c>
      <c r="AH166" s="1037" t="str">
        <f>IF(AE166="","",VLOOKUP(AE166,リスト!BI:BJ,2,0))</f>
        <v/>
      </c>
      <c r="AI166" s="1037" t="str">
        <f t="shared" si="41"/>
        <v/>
      </c>
      <c r="AJ166" s="1037" t="str">
        <f>IF(AI166="","",VLOOKUP(AI166,リスト!BW:BX,2,0))</f>
        <v/>
      </c>
      <c r="AK166" s="1037" t="str">
        <f t="shared" si="38"/>
        <v/>
      </c>
      <c r="AL166" s="685" t="str">
        <f t="shared" si="47"/>
        <v/>
      </c>
      <c r="AM166" s="646" t="str">
        <f t="shared" si="48"/>
        <v/>
      </c>
      <c r="AN166" s="646" t="str">
        <f t="shared" si="49"/>
        <v/>
      </c>
      <c r="AO166" s="647" t="str">
        <f t="shared" si="50"/>
        <v/>
      </c>
      <c r="AP166" s="647" t="str">
        <f t="shared" si="39"/>
        <v/>
      </c>
      <c r="AQ166" s="647" t="str">
        <f t="shared" si="51"/>
        <v/>
      </c>
      <c r="AR166" s="647" t="str">
        <f t="shared" si="52"/>
        <v/>
      </c>
      <c r="AS166" s="647" t="str">
        <f t="shared" si="53"/>
        <v/>
      </c>
      <c r="AT166" s="647" t="str">
        <f t="shared" si="40"/>
        <v/>
      </c>
      <c r="AU166" s="647" t="str">
        <f t="shared" si="54"/>
        <v/>
      </c>
      <c r="AV166" s="647" t="str">
        <f t="shared" si="55"/>
        <v/>
      </c>
      <c r="AW166" s="647" t="str">
        <f t="shared" si="56"/>
        <v/>
      </c>
      <c r="AX166" s="647" t="str">
        <f t="shared" si="57"/>
        <v/>
      </c>
    </row>
    <row r="167" spans="3:50" s="5" customFormat="1" ht="28.15" hidden="1" customHeight="1" outlineLevel="1">
      <c r="C167" s="649">
        <v>151</v>
      </c>
      <c r="D167" s="1865"/>
      <c r="E167" s="1866"/>
      <c r="F167" s="1866"/>
      <c r="G167" s="1866"/>
      <c r="H167" s="1866"/>
      <c r="I167" s="1866"/>
      <c r="J167" s="1866"/>
      <c r="K167" s="704"/>
      <c r="L167" s="1055"/>
      <c r="M167" s="705"/>
      <c r="N167" s="257"/>
      <c r="O167" s="1042"/>
      <c r="P167" s="1041"/>
      <c r="Q167" s="256"/>
      <c r="R167" s="267"/>
      <c r="S167" s="256"/>
      <c r="T167" s="256"/>
      <c r="U167" s="256"/>
      <c r="V167" s="256"/>
      <c r="W167" s="254"/>
      <c r="X167" s="703"/>
      <c r="Y167" s="125"/>
      <c r="Z167" s="431"/>
      <c r="AA167" s="499"/>
      <c r="AB167" s="741"/>
      <c r="AC167" s="51"/>
      <c r="AD167" s="51"/>
      <c r="AE167" s="645" t="str">
        <f t="shared" si="44"/>
        <v/>
      </c>
      <c r="AF167" s="1037" t="str">
        <f t="shared" si="45"/>
        <v/>
      </c>
      <c r="AG167" s="1037" t="str">
        <f t="shared" si="46"/>
        <v/>
      </c>
      <c r="AH167" s="1037" t="str">
        <f>IF(AE167="","",VLOOKUP(AE167,リスト!BI:BJ,2,0))</f>
        <v/>
      </c>
      <c r="AI167" s="1037" t="str">
        <f t="shared" si="41"/>
        <v/>
      </c>
      <c r="AJ167" s="1037" t="str">
        <f>IF(AI167="","",VLOOKUP(AI167,リスト!BW:BX,2,0))</f>
        <v/>
      </c>
      <c r="AK167" s="1037" t="str">
        <f t="shared" si="38"/>
        <v/>
      </c>
      <c r="AL167" s="685" t="str">
        <f t="shared" si="47"/>
        <v/>
      </c>
      <c r="AM167" s="646" t="str">
        <f t="shared" si="48"/>
        <v/>
      </c>
      <c r="AN167" s="646" t="str">
        <f t="shared" si="49"/>
        <v/>
      </c>
      <c r="AO167" s="647" t="str">
        <f t="shared" si="50"/>
        <v/>
      </c>
      <c r="AP167" s="647" t="str">
        <f t="shared" si="39"/>
        <v/>
      </c>
      <c r="AQ167" s="647" t="str">
        <f t="shared" si="51"/>
        <v/>
      </c>
      <c r="AR167" s="647" t="str">
        <f t="shared" si="52"/>
        <v/>
      </c>
      <c r="AS167" s="647" t="str">
        <f t="shared" si="53"/>
        <v/>
      </c>
      <c r="AT167" s="647" t="str">
        <f t="shared" si="40"/>
        <v/>
      </c>
      <c r="AU167" s="647" t="str">
        <f t="shared" si="54"/>
        <v/>
      </c>
      <c r="AV167" s="647" t="str">
        <f t="shared" si="55"/>
        <v/>
      </c>
      <c r="AW167" s="647" t="str">
        <f t="shared" si="56"/>
        <v/>
      </c>
      <c r="AX167" s="647" t="str">
        <f t="shared" si="57"/>
        <v/>
      </c>
    </row>
    <row r="168" spans="3:50" s="5" customFormat="1" ht="28.15" hidden="1" customHeight="1" outlineLevel="1">
      <c r="C168" s="649">
        <v>152</v>
      </c>
      <c r="D168" s="1855"/>
      <c r="E168" s="1856"/>
      <c r="F168" s="1856"/>
      <c r="G168" s="1856"/>
      <c r="H168" s="1856"/>
      <c r="I168" s="1856"/>
      <c r="J168" s="1856"/>
      <c r="K168" s="702"/>
      <c r="L168" s="1054"/>
      <c r="M168" s="705"/>
      <c r="N168" s="255"/>
      <c r="O168" s="1040"/>
      <c r="P168" s="1041"/>
      <c r="Q168" s="256"/>
      <c r="R168" s="267"/>
      <c r="S168" s="256"/>
      <c r="T168" s="256"/>
      <c r="U168" s="256"/>
      <c r="V168" s="256"/>
      <c r="W168" s="254"/>
      <c r="X168" s="703"/>
      <c r="Y168" s="125"/>
      <c r="Z168" s="431"/>
      <c r="AA168" s="499"/>
      <c r="AB168" s="741"/>
      <c r="AC168" s="51"/>
      <c r="AD168" s="51"/>
      <c r="AE168" s="645" t="str">
        <f t="shared" si="44"/>
        <v/>
      </c>
      <c r="AF168" s="1037" t="str">
        <f t="shared" si="45"/>
        <v/>
      </c>
      <c r="AG168" s="1037" t="str">
        <f t="shared" si="46"/>
        <v/>
      </c>
      <c r="AH168" s="1037" t="str">
        <f>IF(AE168="","",VLOOKUP(AE168,リスト!BI:BJ,2,0))</f>
        <v/>
      </c>
      <c r="AI168" s="1037" t="str">
        <f t="shared" si="41"/>
        <v/>
      </c>
      <c r="AJ168" s="1037" t="str">
        <f>IF(AI168="","",VLOOKUP(AI168,リスト!BW:BX,2,0))</f>
        <v/>
      </c>
      <c r="AK168" s="1037" t="str">
        <f t="shared" si="38"/>
        <v/>
      </c>
      <c r="AL168" s="685" t="str">
        <f t="shared" si="47"/>
        <v/>
      </c>
      <c r="AM168" s="646" t="str">
        <f t="shared" si="48"/>
        <v/>
      </c>
      <c r="AN168" s="646" t="str">
        <f t="shared" si="49"/>
        <v/>
      </c>
      <c r="AO168" s="647" t="str">
        <f t="shared" si="50"/>
        <v/>
      </c>
      <c r="AP168" s="647" t="str">
        <f t="shared" si="39"/>
        <v/>
      </c>
      <c r="AQ168" s="647" t="str">
        <f t="shared" si="51"/>
        <v/>
      </c>
      <c r="AR168" s="647" t="str">
        <f t="shared" si="52"/>
        <v/>
      </c>
      <c r="AS168" s="647" t="str">
        <f t="shared" si="53"/>
        <v/>
      </c>
      <c r="AT168" s="647" t="str">
        <f t="shared" si="40"/>
        <v/>
      </c>
      <c r="AU168" s="647" t="str">
        <f t="shared" si="54"/>
        <v/>
      </c>
      <c r="AV168" s="647" t="str">
        <f t="shared" si="55"/>
        <v/>
      </c>
      <c r="AW168" s="647" t="str">
        <f t="shared" si="56"/>
        <v/>
      </c>
      <c r="AX168" s="647" t="str">
        <f t="shared" si="57"/>
        <v/>
      </c>
    </row>
    <row r="169" spans="3:50" s="5" customFormat="1" ht="28.15" hidden="1" customHeight="1" outlineLevel="1">
      <c r="C169" s="649">
        <v>153</v>
      </c>
      <c r="D169" s="1865"/>
      <c r="E169" s="1866"/>
      <c r="F169" s="1866"/>
      <c r="G169" s="1866"/>
      <c r="H169" s="1866"/>
      <c r="I169" s="1866"/>
      <c r="J169" s="1866"/>
      <c r="K169" s="704"/>
      <c r="L169" s="1055"/>
      <c r="M169" s="705"/>
      <c r="N169" s="255"/>
      <c r="O169" s="1042"/>
      <c r="P169" s="1041"/>
      <c r="Q169" s="256"/>
      <c r="R169" s="267"/>
      <c r="S169" s="256"/>
      <c r="T169" s="256"/>
      <c r="U169" s="256"/>
      <c r="V169" s="256"/>
      <c r="W169" s="254"/>
      <c r="X169" s="703"/>
      <c r="Y169" s="125"/>
      <c r="Z169" s="431"/>
      <c r="AA169" s="499"/>
      <c r="AB169" s="741"/>
      <c r="AC169" s="51"/>
      <c r="AD169" s="51"/>
      <c r="AE169" s="645" t="str">
        <f t="shared" si="44"/>
        <v/>
      </c>
      <c r="AF169" s="1037" t="str">
        <f t="shared" si="45"/>
        <v/>
      </c>
      <c r="AG169" s="1037" t="str">
        <f t="shared" si="46"/>
        <v/>
      </c>
      <c r="AH169" s="1037" t="str">
        <f>IF(AE169="","",VLOOKUP(AE169,リスト!BI:BJ,2,0))</f>
        <v/>
      </c>
      <c r="AI169" s="1037" t="str">
        <f t="shared" si="41"/>
        <v/>
      </c>
      <c r="AJ169" s="1037" t="str">
        <f>IF(AI169="","",VLOOKUP(AI169,リスト!BW:BX,2,0))</f>
        <v/>
      </c>
      <c r="AK169" s="1037" t="str">
        <f t="shared" si="38"/>
        <v/>
      </c>
      <c r="AL169" s="685" t="str">
        <f t="shared" si="47"/>
        <v/>
      </c>
      <c r="AM169" s="646" t="str">
        <f t="shared" si="48"/>
        <v/>
      </c>
      <c r="AN169" s="646" t="str">
        <f t="shared" si="49"/>
        <v/>
      </c>
      <c r="AO169" s="647" t="str">
        <f t="shared" si="50"/>
        <v/>
      </c>
      <c r="AP169" s="647" t="str">
        <f t="shared" si="39"/>
        <v/>
      </c>
      <c r="AQ169" s="647" t="str">
        <f t="shared" si="51"/>
        <v/>
      </c>
      <c r="AR169" s="647" t="str">
        <f t="shared" si="52"/>
        <v/>
      </c>
      <c r="AS169" s="647" t="str">
        <f t="shared" si="53"/>
        <v/>
      </c>
      <c r="AT169" s="647" t="str">
        <f t="shared" si="40"/>
        <v/>
      </c>
      <c r="AU169" s="647" t="str">
        <f t="shared" si="54"/>
        <v/>
      </c>
      <c r="AV169" s="647" t="str">
        <f t="shared" si="55"/>
        <v/>
      </c>
      <c r="AW169" s="647" t="str">
        <f t="shared" si="56"/>
        <v/>
      </c>
      <c r="AX169" s="647" t="str">
        <f t="shared" si="57"/>
        <v/>
      </c>
    </row>
    <row r="170" spans="3:50" s="5" customFormat="1" ht="28.15" hidden="1" customHeight="1" outlineLevel="1">
      <c r="C170" s="649">
        <v>154</v>
      </c>
      <c r="D170" s="1855"/>
      <c r="E170" s="1856"/>
      <c r="F170" s="1856"/>
      <c r="G170" s="1856"/>
      <c r="H170" s="1856"/>
      <c r="I170" s="1856"/>
      <c r="J170" s="1856"/>
      <c r="K170" s="702"/>
      <c r="L170" s="1054"/>
      <c r="M170" s="705"/>
      <c r="N170" s="255"/>
      <c r="O170" s="1040"/>
      <c r="P170" s="1041"/>
      <c r="Q170" s="256"/>
      <c r="R170" s="267"/>
      <c r="S170" s="256"/>
      <c r="T170" s="256"/>
      <c r="U170" s="256"/>
      <c r="V170" s="256"/>
      <c r="W170" s="254"/>
      <c r="X170" s="703"/>
      <c r="Y170" s="125"/>
      <c r="Z170" s="431"/>
      <c r="AA170" s="499"/>
      <c r="AB170" s="741"/>
      <c r="AC170" s="51"/>
      <c r="AD170" s="51"/>
      <c r="AE170" s="645" t="str">
        <f t="shared" si="44"/>
        <v/>
      </c>
      <c r="AF170" s="1037" t="str">
        <f t="shared" si="45"/>
        <v/>
      </c>
      <c r="AG170" s="1037" t="str">
        <f t="shared" si="46"/>
        <v/>
      </c>
      <c r="AH170" s="1037" t="str">
        <f>IF(AE170="","",VLOOKUP(AE170,リスト!BI:BJ,2,0))</f>
        <v/>
      </c>
      <c r="AI170" s="1037" t="str">
        <f t="shared" si="41"/>
        <v/>
      </c>
      <c r="AJ170" s="1037" t="str">
        <f>IF(AI170="","",VLOOKUP(AI170,リスト!BW:BX,2,0))</f>
        <v/>
      </c>
      <c r="AK170" s="1037" t="str">
        <f t="shared" si="38"/>
        <v/>
      </c>
      <c r="AL170" s="685" t="str">
        <f t="shared" si="47"/>
        <v/>
      </c>
      <c r="AM170" s="646" t="str">
        <f t="shared" si="48"/>
        <v/>
      </c>
      <c r="AN170" s="646" t="str">
        <f t="shared" si="49"/>
        <v/>
      </c>
      <c r="AO170" s="647" t="str">
        <f t="shared" si="50"/>
        <v/>
      </c>
      <c r="AP170" s="647" t="str">
        <f t="shared" si="39"/>
        <v/>
      </c>
      <c r="AQ170" s="647" t="str">
        <f t="shared" si="51"/>
        <v/>
      </c>
      <c r="AR170" s="647" t="str">
        <f t="shared" si="52"/>
        <v/>
      </c>
      <c r="AS170" s="647" t="str">
        <f t="shared" si="53"/>
        <v/>
      </c>
      <c r="AT170" s="647" t="str">
        <f t="shared" si="40"/>
        <v/>
      </c>
      <c r="AU170" s="647" t="str">
        <f t="shared" si="54"/>
        <v/>
      </c>
      <c r="AV170" s="647" t="str">
        <f t="shared" si="55"/>
        <v/>
      </c>
      <c r="AW170" s="647" t="str">
        <f t="shared" si="56"/>
        <v/>
      </c>
      <c r="AX170" s="647" t="str">
        <f t="shared" si="57"/>
        <v/>
      </c>
    </row>
    <row r="171" spans="3:50" s="5" customFormat="1" ht="28.15" hidden="1" customHeight="1" outlineLevel="1">
      <c r="C171" s="649">
        <v>155</v>
      </c>
      <c r="D171" s="1865"/>
      <c r="E171" s="1866"/>
      <c r="F171" s="1866"/>
      <c r="G171" s="1866"/>
      <c r="H171" s="1866"/>
      <c r="I171" s="1866"/>
      <c r="J171" s="1866"/>
      <c r="K171" s="704"/>
      <c r="L171" s="1055"/>
      <c r="M171" s="705"/>
      <c r="N171" s="255"/>
      <c r="O171" s="1042"/>
      <c r="P171" s="1041"/>
      <c r="Q171" s="256"/>
      <c r="R171" s="267"/>
      <c r="S171" s="256"/>
      <c r="T171" s="256"/>
      <c r="U171" s="256"/>
      <c r="V171" s="256"/>
      <c r="W171" s="254"/>
      <c r="X171" s="703"/>
      <c r="Y171" s="125"/>
      <c r="Z171" s="431"/>
      <c r="AA171" s="499"/>
      <c r="AB171" s="741"/>
      <c r="AC171" s="51"/>
      <c r="AD171" s="51"/>
      <c r="AE171" s="645" t="str">
        <f t="shared" si="44"/>
        <v/>
      </c>
      <c r="AF171" s="1037" t="str">
        <f t="shared" si="45"/>
        <v/>
      </c>
      <c r="AG171" s="1037" t="str">
        <f t="shared" si="46"/>
        <v/>
      </c>
      <c r="AH171" s="1037" t="str">
        <f>IF(AE171="","",VLOOKUP(AE171,リスト!BI:BJ,2,0))</f>
        <v/>
      </c>
      <c r="AI171" s="1037" t="str">
        <f t="shared" si="41"/>
        <v/>
      </c>
      <c r="AJ171" s="1037" t="str">
        <f>IF(AI171="","",VLOOKUP(AI171,リスト!BW:BX,2,0))</f>
        <v/>
      </c>
      <c r="AK171" s="1037" t="str">
        <f t="shared" si="38"/>
        <v/>
      </c>
      <c r="AL171" s="685" t="str">
        <f t="shared" si="47"/>
        <v/>
      </c>
      <c r="AM171" s="646" t="str">
        <f t="shared" si="48"/>
        <v/>
      </c>
      <c r="AN171" s="646" t="str">
        <f t="shared" si="49"/>
        <v/>
      </c>
      <c r="AO171" s="647" t="str">
        <f t="shared" si="50"/>
        <v/>
      </c>
      <c r="AP171" s="647" t="str">
        <f t="shared" si="39"/>
        <v/>
      </c>
      <c r="AQ171" s="647" t="str">
        <f t="shared" si="51"/>
        <v/>
      </c>
      <c r="AR171" s="647" t="str">
        <f t="shared" si="52"/>
        <v/>
      </c>
      <c r="AS171" s="647" t="str">
        <f t="shared" si="53"/>
        <v/>
      </c>
      <c r="AT171" s="647" t="str">
        <f t="shared" si="40"/>
        <v/>
      </c>
      <c r="AU171" s="647" t="str">
        <f t="shared" si="54"/>
        <v/>
      </c>
      <c r="AV171" s="647" t="str">
        <f t="shared" si="55"/>
        <v/>
      </c>
      <c r="AW171" s="647" t="str">
        <f t="shared" si="56"/>
        <v/>
      </c>
      <c r="AX171" s="647" t="str">
        <f t="shared" si="57"/>
        <v/>
      </c>
    </row>
    <row r="172" spans="3:50" s="5" customFormat="1" ht="28.15" hidden="1" customHeight="1" outlineLevel="1">
      <c r="C172" s="649">
        <v>156</v>
      </c>
      <c r="D172" s="1855"/>
      <c r="E172" s="1856"/>
      <c r="F172" s="1856"/>
      <c r="G172" s="1856"/>
      <c r="H172" s="1856"/>
      <c r="I172" s="1856"/>
      <c r="J172" s="1856"/>
      <c r="K172" s="702"/>
      <c r="L172" s="1054"/>
      <c r="M172" s="705"/>
      <c r="N172" s="255"/>
      <c r="O172" s="1040"/>
      <c r="P172" s="1041"/>
      <c r="Q172" s="256"/>
      <c r="R172" s="267"/>
      <c r="S172" s="256"/>
      <c r="T172" s="256"/>
      <c r="U172" s="256"/>
      <c r="V172" s="256"/>
      <c r="W172" s="254"/>
      <c r="X172" s="703"/>
      <c r="Y172" s="125"/>
      <c r="Z172" s="431"/>
      <c r="AA172" s="499"/>
      <c r="AB172" s="741"/>
      <c r="AC172" s="51"/>
      <c r="AD172" s="51"/>
      <c r="AE172" s="645" t="str">
        <f t="shared" si="44"/>
        <v/>
      </c>
      <c r="AF172" s="1037" t="str">
        <f t="shared" si="45"/>
        <v/>
      </c>
      <c r="AG172" s="1037" t="str">
        <f t="shared" si="46"/>
        <v/>
      </c>
      <c r="AH172" s="1037" t="str">
        <f>IF(AE172="","",VLOOKUP(AE172,リスト!BI:BJ,2,0))</f>
        <v/>
      </c>
      <c r="AI172" s="1037" t="str">
        <f t="shared" si="41"/>
        <v/>
      </c>
      <c r="AJ172" s="1037" t="str">
        <f>IF(AI172="","",VLOOKUP(AI172,リスト!BW:BX,2,0))</f>
        <v/>
      </c>
      <c r="AK172" s="1037" t="str">
        <f t="shared" si="38"/>
        <v/>
      </c>
      <c r="AL172" s="685" t="str">
        <f t="shared" si="47"/>
        <v/>
      </c>
      <c r="AM172" s="646" t="str">
        <f t="shared" si="48"/>
        <v/>
      </c>
      <c r="AN172" s="646" t="str">
        <f t="shared" si="49"/>
        <v/>
      </c>
      <c r="AO172" s="647" t="str">
        <f t="shared" si="50"/>
        <v/>
      </c>
      <c r="AP172" s="647" t="str">
        <f t="shared" si="39"/>
        <v/>
      </c>
      <c r="AQ172" s="647" t="str">
        <f t="shared" si="51"/>
        <v/>
      </c>
      <c r="AR172" s="647" t="str">
        <f t="shared" si="52"/>
        <v/>
      </c>
      <c r="AS172" s="647" t="str">
        <f t="shared" si="53"/>
        <v/>
      </c>
      <c r="AT172" s="647" t="str">
        <f t="shared" si="40"/>
        <v/>
      </c>
      <c r="AU172" s="647" t="str">
        <f t="shared" si="54"/>
        <v/>
      </c>
      <c r="AV172" s="647" t="str">
        <f t="shared" si="55"/>
        <v/>
      </c>
      <c r="AW172" s="647" t="str">
        <f t="shared" si="56"/>
        <v/>
      </c>
      <c r="AX172" s="647" t="str">
        <f t="shared" si="57"/>
        <v/>
      </c>
    </row>
    <row r="173" spans="3:50" s="5" customFormat="1" ht="28.15" hidden="1" customHeight="1" outlineLevel="1">
      <c r="C173" s="649">
        <v>157</v>
      </c>
      <c r="D173" s="1865"/>
      <c r="E173" s="1866"/>
      <c r="F173" s="1866"/>
      <c r="G173" s="1866"/>
      <c r="H173" s="1866"/>
      <c r="I173" s="1866"/>
      <c r="J173" s="1866"/>
      <c r="K173" s="704"/>
      <c r="L173" s="1055"/>
      <c r="M173" s="705"/>
      <c r="N173" s="255"/>
      <c r="O173" s="1042"/>
      <c r="P173" s="1043"/>
      <c r="Q173" s="256"/>
      <c r="R173" s="267"/>
      <c r="S173" s="256"/>
      <c r="T173" s="256"/>
      <c r="U173" s="256"/>
      <c r="V173" s="256"/>
      <c r="W173" s="254"/>
      <c r="X173" s="703"/>
      <c r="Y173" s="125"/>
      <c r="Z173" s="431"/>
      <c r="AA173" s="499"/>
      <c r="AB173" s="741"/>
      <c r="AC173" s="51"/>
      <c r="AD173" s="51"/>
      <c r="AE173" s="645" t="str">
        <f t="shared" si="44"/>
        <v/>
      </c>
      <c r="AF173" s="1037" t="str">
        <f t="shared" si="45"/>
        <v/>
      </c>
      <c r="AG173" s="1037" t="str">
        <f t="shared" si="46"/>
        <v/>
      </c>
      <c r="AH173" s="1037" t="str">
        <f>IF(AE173="","",VLOOKUP(AE173,リスト!BI:BJ,2,0))</f>
        <v/>
      </c>
      <c r="AI173" s="1037" t="str">
        <f t="shared" si="41"/>
        <v/>
      </c>
      <c r="AJ173" s="1037" t="str">
        <f>IF(AI173="","",VLOOKUP(AI173,リスト!BW:BX,2,0))</f>
        <v/>
      </c>
      <c r="AK173" s="1037" t="str">
        <f t="shared" si="38"/>
        <v/>
      </c>
      <c r="AL173" s="685" t="str">
        <f t="shared" si="47"/>
        <v/>
      </c>
      <c r="AM173" s="646" t="str">
        <f t="shared" si="48"/>
        <v/>
      </c>
      <c r="AN173" s="646" t="str">
        <f t="shared" si="49"/>
        <v/>
      </c>
      <c r="AO173" s="647" t="str">
        <f t="shared" si="50"/>
        <v/>
      </c>
      <c r="AP173" s="647" t="str">
        <f t="shared" si="39"/>
        <v/>
      </c>
      <c r="AQ173" s="647" t="str">
        <f t="shared" si="51"/>
        <v/>
      </c>
      <c r="AR173" s="647" t="str">
        <f t="shared" si="52"/>
        <v/>
      </c>
      <c r="AS173" s="647" t="str">
        <f t="shared" si="53"/>
        <v/>
      </c>
      <c r="AT173" s="647" t="str">
        <f t="shared" si="40"/>
        <v/>
      </c>
      <c r="AU173" s="647" t="str">
        <f t="shared" si="54"/>
        <v/>
      </c>
      <c r="AV173" s="647" t="str">
        <f t="shared" si="55"/>
        <v/>
      </c>
      <c r="AW173" s="647" t="str">
        <f t="shared" si="56"/>
        <v/>
      </c>
      <c r="AX173" s="647" t="str">
        <f t="shared" si="57"/>
        <v/>
      </c>
    </row>
    <row r="174" spans="3:50" s="5" customFormat="1" ht="28.15" hidden="1" customHeight="1" outlineLevel="1">
      <c r="C174" s="649">
        <v>158</v>
      </c>
      <c r="D174" s="1855"/>
      <c r="E174" s="1856"/>
      <c r="F174" s="1856"/>
      <c r="G174" s="1856"/>
      <c r="H174" s="1856"/>
      <c r="I174" s="1856"/>
      <c r="J174" s="1856"/>
      <c r="K174" s="702"/>
      <c r="L174" s="1054"/>
      <c r="M174" s="705"/>
      <c r="N174" s="255"/>
      <c r="O174" s="1040"/>
      <c r="P174" s="1044"/>
      <c r="Q174" s="256"/>
      <c r="R174" s="267"/>
      <c r="S174" s="256"/>
      <c r="T174" s="256"/>
      <c r="U174" s="256"/>
      <c r="V174" s="256"/>
      <c r="W174" s="254"/>
      <c r="X174" s="703"/>
      <c r="Y174" s="125"/>
      <c r="Z174" s="431"/>
      <c r="AA174" s="499"/>
      <c r="AB174" s="741"/>
      <c r="AC174" s="51"/>
      <c r="AD174" s="51"/>
      <c r="AE174" s="645" t="str">
        <f t="shared" si="44"/>
        <v/>
      </c>
      <c r="AF174" s="1037" t="str">
        <f t="shared" si="45"/>
        <v/>
      </c>
      <c r="AG174" s="1037" t="str">
        <f t="shared" si="46"/>
        <v/>
      </c>
      <c r="AH174" s="1037" t="str">
        <f>IF(AE174="","",VLOOKUP(AE174,リスト!BI:BJ,2,0))</f>
        <v/>
      </c>
      <c r="AI174" s="1037" t="str">
        <f t="shared" si="41"/>
        <v/>
      </c>
      <c r="AJ174" s="1037" t="str">
        <f>IF(AI174="","",VLOOKUP(AI174,リスト!BW:BX,2,0))</f>
        <v/>
      </c>
      <c r="AK174" s="1037" t="str">
        <f t="shared" si="38"/>
        <v/>
      </c>
      <c r="AL174" s="685" t="str">
        <f t="shared" si="47"/>
        <v/>
      </c>
      <c r="AM174" s="646" t="str">
        <f t="shared" si="48"/>
        <v/>
      </c>
      <c r="AN174" s="646" t="str">
        <f t="shared" si="49"/>
        <v/>
      </c>
      <c r="AO174" s="647" t="str">
        <f t="shared" si="50"/>
        <v/>
      </c>
      <c r="AP174" s="647" t="str">
        <f t="shared" si="39"/>
        <v/>
      </c>
      <c r="AQ174" s="647" t="str">
        <f t="shared" si="51"/>
        <v/>
      </c>
      <c r="AR174" s="647" t="str">
        <f t="shared" si="52"/>
        <v/>
      </c>
      <c r="AS174" s="647" t="str">
        <f t="shared" si="53"/>
        <v/>
      </c>
      <c r="AT174" s="647" t="str">
        <f t="shared" si="40"/>
        <v/>
      </c>
      <c r="AU174" s="647" t="str">
        <f t="shared" si="54"/>
        <v/>
      </c>
      <c r="AV174" s="647" t="str">
        <f t="shared" si="55"/>
        <v/>
      </c>
      <c r="AW174" s="647" t="str">
        <f t="shared" si="56"/>
        <v/>
      </c>
      <c r="AX174" s="647" t="str">
        <f t="shared" si="57"/>
        <v/>
      </c>
    </row>
    <row r="175" spans="3:50" s="5" customFormat="1" ht="28.15" hidden="1" customHeight="1" outlineLevel="1">
      <c r="C175" s="649">
        <v>159</v>
      </c>
      <c r="D175" s="1855"/>
      <c r="E175" s="1856"/>
      <c r="F175" s="1856"/>
      <c r="G175" s="1856"/>
      <c r="H175" s="1856"/>
      <c r="I175" s="1856"/>
      <c r="J175" s="1856"/>
      <c r="K175" s="702"/>
      <c r="L175" s="1054"/>
      <c r="M175" s="705"/>
      <c r="N175" s="255"/>
      <c r="O175" s="1040"/>
      <c r="P175" s="1044"/>
      <c r="Q175" s="256"/>
      <c r="R175" s="267"/>
      <c r="S175" s="256"/>
      <c r="T175" s="256"/>
      <c r="U175" s="256"/>
      <c r="V175" s="256"/>
      <c r="W175" s="254"/>
      <c r="X175" s="703"/>
      <c r="Y175" s="125"/>
      <c r="Z175" s="431"/>
      <c r="AA175" s="499"/>
      <c r="AB175" s="741"/>
      <c r="AC175" s="51"/>
      <c r="AD175" s="51"/>
      <c r="AE175" s="645" t="str">
        <f t="shared" si="44"/>
        <v/>
      </c>
      <c r="AF175" s="1037" t="str">
        <f t="shared" si="45"/>
        <v/>
      </c>
      <c r="AG175" s="1037" t="str">
        <f t="shared" si="46"/>
        <v/>
      </c>
      <c r="AH175" s="1037" t="str">
        <f>IF(AE175="","",VLOOKUP(AE175,リスト!BI:BJ,2,0))</f>
        <v/>
      </c>
      <c r="AI175" s="1037" t="str">
        <f t="shared" si="41"/>
        <v/>
      </c>
      <c r="AJ175" s="1037" t="str">
        <f>IF(AI175="","",VLOOKUP(AI175,リスト!BW:BX,2,0))</f>
        <v/>
      </c>
      <c r="AK175" s="1037" t="str">
        <f t="shared" si="38"/>
        <v/>
      </c>
      <c r="AL175" s="685" t="str">
        <f t="shared" si="47"/>
        <v/>
      </c>
      <c r="AM175" s="646" t="str">
        <f t="shared" si="48"/>
        <v/>
      </c>
      <c r="AN175" s="646" t="str">
        <f t="shared" si="49"/>
        <v/>
      </c>
      <c r="AO175" s="647" t="str">
        <f t="shared" si="50"/>
        <v/>
      </c>
      <c r="AP175" s="647" t="str">
        <f t="shared" si="39"/>
        <v/>
      </c>
      <c r="AQ175" s="647" t="str">
        <f t="shared" si="51"/>
        <v/>
      </c>
      <c r="AR175" s="647" t="str">
        <f t="shared" si="52"/>
        <v/>
      </c>
      <c r="AS175" s="647" t="str">
        <f t="shared" si="53"/>
        <v/>
      </c>
      <c r="AT175" s="647" t="str">
        <f t="shared" si="40"/>
        <v/>
      </c>
      <c r="AU175" s="647" t="str">
        <f t="shared" si="54"/>
        <v/>
      </c>
      <c r="AV175" s="647" t="str">
        <f t="shared" si="55"/>
        <v/>
      </c>
      <c r="AW175" s="647" t="str">
        <f t="shared" si="56"/>
        <v/>
      </c>
      <c r="AX175" s="647" t="str">
        <f t="shared" si="57"/>
        <v/>
      </c>
    </row>
    <row r="176" spans="3:50" s="5" customFormat="1" ht="28.15" hidden="1" customHeight="1" outlineLevel="1">
      <c r="C176" s="649">
        <v>160</v>
      </c>
      <c r="D176" s="1855"/>
      <c r="E176" s="1856"/>
      <c r="F176" s="1856"/>
      <c r="G176" s="1856"/>
      <c r="H176" s="1856"/>
      <c r="I176" s="1856"/>
      <c r="J176" s="1856"/>
      <c r="K176" s="702"/>
      <c r="L176" s="1054"/>
      <c r="M176" s="705"/>
      <c r="N176" s="257"/>
      <c r="O176" s="1040"/>
      <c r="P176" s="1044"/>
      <c r="Q176" s="256"/>
      <c r="R176" s="267"/>
      <c r="S176" s="256"/>
      <c r="T176" s="256"/>
      <c r="U176" s="256"/>
      <c r="V176" s="256"/>
      <c r="W176" s="254"/>
      <c r="X176" s="703"/>
      <c r="Y176" s="125"/>
      <c r="Z176" s="431"/>
      <c r="AA176" s="499"/>
      <c r="AB176" s="741"/>
      <c r="AC176" s="51"/>
      <c r="AD176" s="51"/>
      <c r="AE176" s="645" t="str">
        <f t="shared" si="44"/>
        <v/>
      </c>
      <c r="AF176" s="1037" t="str">
        <f t="shared" si="45"/>
        <v/>
      </c>
      <c r="AG176" s="1037" t="str">
        <f t="shared" si="46"/>
        <v/>
      </c>
      <c r="AH176" s="1037" t="str">
        <f>IF(AE176="","",VLOOKUP(AE176,リスト!BI:BJ,2,0))</f>
        <v/>
      </c>
      <c r="AI176" s="1037" t="str">
        <f t="shared" si="41"/>
        <v/>
      </c>
      <c r="AJ176" s="1037" t="str">
        <f>IF(AI176="","",VLOOKUP(AI176,リスト!BW:BX,2,0))</f>
        <v/>
      </c>
      <c r="AK176" s="1037" t="str">
        <f t="shared" si="38"/>
        <v/>
      </c>
      <c r="AL176" s="685" t="str">
        <f t="shared" si="47"/>
        <v/>
      </c>
      <c r="AM176" s="646" t="str">
        <f t="shared" si="48"/>
        <v/>
      </c>
      <c r="AN176" s="646" t="str">
        <f t="shared" si="49"/>
        <v/>
      </c>
      <c r="AO176" s="647" t="str">
        <f t="shared" si="50"/>
        <v/>
      </c>
      <c r="AP176" s="647" t="str">
        <f t="shared" si="39"/>
        <v/>
      </c>
      <c r="AQ176" s="647" t="str">
        <f t="shared" si="51"/>
        <v/>
      </c>
      <c r="AR176" s="647" t="str">
        <f t="shared" si="52"/>
        <v/>
      </c>
      <c r="AS176" s="647" t="str">
        <f t="shared" si="53"/>
        <v/>
      </c>
      <c r="AT176" s="647" t="str">
        <f t="shared" si="40"/>
        <v/>
      </c>
      <c r="AU176" s="647" t="str">
        <f t="shared" si="54"/>
        <v/>
      </c>
      <c r="AV176" s="647" t="str">
        <f t="shared" si="55"/>
        <v/>
      </c>
      <c r="AW176" s="647" t="str">
        <f t="shared" si="56"/>
        <v/>
      </c>
      <c r="AX176" s="647" t="str">
        <f t="shared" si="57"/>
        <v/>
      </c>
    </row>
    <row r="177" spans="3:50" s="5" customFormat="1" ht="28.15" hidden="1" customHeight="1" outlineLevel="1">
      <c r="C177" s="649">
        <v>161</v>
      </c>
      <c r="D177" s="1855"/>
      <c r="E177" s="1856"/>
      <c r="F177" s="1856"/>
      <c r="G177" s="1856"/>
      <c r="H177" s="1856"/>
      <c r="I177" s="1856"/>
      <c r="J177" s="1856"/>
      <c r="K177" s="702"/>
      <c r="L177" s="1054"/>
      <c r="M177" s="705"/>
      <c r="N177" s="255"/>
      <c r="O177" s="1040"/>
      <c r="P177" s="1044"/>
      <c r="Q177" s="256"/>
      <c r="R177" s="267"/>
      <c r="S177" s="256"/>
      <c r="T177" s="256"/>
      <c r="U177" s="256"/>
      <c r="V177" s="256"/>
      <c r="W177" s="254"/>
      <c r="X177" s="703"/>
      <c r="Y177" s="125"/>
      <c r="Z177" s="431"/>
      <c r="AA177" s="499"/>
      <c r="AB177" s="741"/>
      <c r="AC177" s="51"/>
      <c r="AD177" s="51"/>
      <c r="AE177" s="645" t="str">
        <f t="shared" si="44"/>
        <v/>
      </c>
      <c r="AF177" s="1037" t="str">
        <f t="shared" si="45"/>
        <v/>
      </c>
      <c r="AG177" s="1037" t="str">
        <f t="shared" si="46"/>
        <v/>
      </c>
      <c r="AH177" s="1037" t="str">
        <f>IF(AE177="","",VLOOKUP(AE177,リスト!BI:BJ,2,0))</f>
        <v/>
      </c>
      <c r="AI177" s="1037" t="str">
        <f t="shared" si="41"/>
        <v/>
      </c>
      <c r="AJ177" s="1037" t="str">
        <f>IF(AI177="","",VLOOKUP(AI177,リスト!BW:BX,2,0))</f>
        <v/>
      </c>
      <c r="AK177" s="1037" t="str">
        <f t="shared" si="38"/>
        <v/>
      </c>
      <c r="AL177" s="685" t="str">
        <f t="shared" si="47"/>
        <v/>
      </c>
      <c r="AM177" s="646" t="str">
        <f t="shared" si="48"/>
        <v/>
      </c>
      <c r="AN177" s="646" t="str">
        <f t="shared" si="49"/>
        <v/>
      </c>
      <c r="AO177" s="647" t="str">
        <f t="shared" si="50"/>
        <v/>
      </c>
      <c r="AP177" s="647" t="str">
        <f t="shared" si="39"/>
        <v/>
      </c>
      <c r="AQ177" s="647" t="str">
        <f t="shared" si="51"/>
        <v/>
      </c>
      <c r="AR177" s="647" t="str">
        <f t="shared" si="52"/>
        <v/>
      </c>
      <c r="AS177" s="647" t="str">
        <f t="shared" si="53"/>
        <v/>
      </c>
      <c r="AT177" s="647" t="str">
        <f t="shared" si="40"/>
        <v/>
      </c>
      <c r="AU177" s="647" t="str">
        <f t="shared" si="54"/>
        <v/>
      </c>
      <c r="AV177" s="647" t="str">
        <f t="shared" si="55"/>
        <v/>
      </c>
      <c r="AW177" s="647" t="str">
        <f t="shared" si="56"/>
        <v/>
      </c>
      <c r="AX177" s="647" t="str">
        <f t="shared" si="57"/>
        <v/>
      </c>
    </row>
    <row r="178" spans="3:50" s="5" customFormat="1" ht="28.15" hidden="1" customHeight="1" outlineLevel="1">
      <c r="C178" s="649">
        <v>162</v>
      </c>
      <c r="D178" s="1855"/>
      <c r="E178" s="1856"/>
      <c r="F178" s="1856"/>
      <c r="G178" s="1856"/>
      <c r="H178" s="1856"/>
      <c r="I178" s="1856"/>
      <c r="J178" s="1856"/>
      <c r="K178" s="702"/>
      <c r="L178" s="1054"/>
      <c r="M178" s="705"/>
      <c r="N178" s="257"/>
      <c r="O178" s="1040"/>
      <c r="P178" s="1044"/>
      <c r="Q178" s="256"/>
      <c r="R178" s="267"/>
      <c r="S178" s="256"/>
      <c r="T178" s="256"/>
      <c r="U178" s="256"/>
      <c r="V178" s="256"/>
      <c r="W178" s="254"/>
      <c r="X178" s="703"/>
      <c r="Y178" s="125"/>
      <c r="Z178" s="431"/>
      <c r="AA178" s="499"/>
      <c r="AB178" s="741"/>
      <c r="AC178" s="51"/>
      <c r="AD178" s="51"/>
      <c r="AE178" s="645" t="str">
        <f t="shared" si="44"/>
        <v/>
      </c>
      <c r="AF178" s="1037" t="str">
        <f t="shared" si="45"/>
        <v/>
      </c>
      <c r="AG178" s="1037" t="str">
        <f t="shared" si="46"/>
        <v/>
      </c>
      <c r="AH178" s="1037" t="str">
        <f>IF(AE178="","",VLOOKUP(AE178,リスト!BI:BJ,2,0))</f>
        <v/>
      </c>
      <c r="AI178" s="1037" t="str">
        <f t="shared" si="41"/>
        <v/>
      </c>
      <c r="AJ178" s="1037" t="str">
        <f>IF(AI178="","",VLOOKUP(AI178,リスト!BW:BX,2,0))</f>
        <v/>
      </c>
      <c r="AK178" s="1037" t="str">
        <f t="shared" si="38"/>
        <v/>
      </c>
      <c r="AL178" s="685" t="str">
        <f t="shared" si="47"/>
        <v/>
      </c>
      <c r="AM178" s="646" t="str">
        <f t="shared" si="48"/>
        <v/>
      </c>
      <c r="AN178" s="646" t="str">
        <f t="shared" si="49"/>
        <v/>
      </c>
      <c r="AO178" s="647" t="str">
        <f t="shared" si="50"/>
        <v/>
      </c>
      <c r="AP178" s="647" t="str">
        <f t="shared" si="39"/>
        <v/>
      </c>
      <c r="AQ178" s="647" t="str">
        <f t="shared" si="51"/>
        <v/>
      </c>
      <c r="AR178" s="647" t="str">
        <f t="shared" si="52"/>
        <v/>
      </c>
      <c r="AS178" s="647" t="str">
        <f t="shared" si="53"/>
        <v/>
      </c>
      <c r="AT178" s="647" t="str">
        <f t="shared" si="40"/>
        <v/>
      </c>
      <c r="AU178" s="647" t="str">
        <f t="shared" si="54"/>
        <v/>
      </c>
      <c r="AV178" s="647" t="str">
        <f t="shared" si="55"/>
        <v/>
      </c>
      <c r="AW178" s="647" t="str">
        <f t="shared" si="56"/>
        <v/>
      </c>
      <c r="AX178" s="647" t="str">
        <f t="shared" si="57"/>
        <v/>
      </c>
    </row>
    <row r="179" spans="3:50" s="5" customFormat="1" ht="28.15" hidden="1" customHeight="1" outlineLevel="1">
      <c r="C179" s="649">
        <v>163</v>
      </c>
      <c r="D179" s="1855"/>
      <c r="E179" s="1856"/>
      <c r="F179" s="1856"/>
      <c r="G179" s="1856"/>
      <c r="H179" s="1856"/>
      <c r="I179" s="1856"/>
      <c r="J179" s="1856"/>
      <c r="K179" s="702"/>
      <c r="L179" s="1054"/>
      <c r="M179" s="705"/>
      <c r="N179" s="255"/>
      <c r="O179" s="1040"/>
      <c r="P179" s="1044"/>
      <c r="Q179" s="256"/>
      <c r="R179" s="267"/>
      <c r="S179" s="256"/>
      <c r="T179" s="256"/>
      <c r="U179" s="256"/>
      <c r="V179" s="256"/>
      <c r="W179" s="254"/>
      <c r="X179" s="703"/>
      <c r="Y179" s="125"/>
      <c r="Z179" s="431"/>
      <c r="AA179" s="499"/>
      <c r="AB179" s="741"/>
      <c r="AC179" s="51"/>
      <c r="AD179" s="51"/>
      <c r="AE179" s="645" t="str">
        <f t="shared" si="44"/>
        <v/>
      </c>
      <c r="AF179" s="1037" t="str">
        <f t="shared" si="45"/>
        <v/>
      </c>
      <c r="AG179" s="1037" t="str">
        <f t="shared" si="46"/>
        <v/>
      </c>
      <c r="AH179" s="1037" t="str">
        <f>IF(AE179="","",VLOOKUP(AE179,リスト!BI:BJ,2,0))</f>
        <v/>
      </c>
      <c r="AI179" s="1037" t="str">
        <f t="shared" si="41"/>
        <v/>
      </c>
      <c r="AJ179" s="1037" t="str">
        <f>IF(AI179="","",VLOOKUP(AI179,リスト!BW:BX,2,0))</f>
        <v/>
      </c>
      <c r="AK179" s="1037" t="str">
        <f t="shared" si="38"/>
        <v/>
      </c>
      <c r="AL179" s="685" t="str">
        <f t="shared" si="47"/>
        <v/>
      </c>
      <c r="AM179" s="646" t="str">
        <f t="shared" si="48"/>
        <v/>
      </c>
      <c r="AN179" s="646" t="str">
        <f t="shared" si="49"/>
        <v/>
      </c>
      <c r="AO179" s="647" t="str">
        <f t="shared" si="50"/>
        <v/>
      </c>
      <c r="AP179" s="647" t="str">
        <f t="shared" si="39"/>
        <v/>
      </c>
      <c r="AQ179" s="647" t="str">
        <f t="shared" si="51"/>
        <v/>
      </c>
      <c r="AR179" s="647" t="str">
        <f t="shared" si="52"/>
        <v/>
      </c>
      <c r="AS179" s="647" t="str">
        <f t="shared" si="53"/>
        <v/>
      </c>
      <c r="AT179" s="647" t="str">
        <f t="shared" si="40"/>
        <v/>
      </c>
      <c r="AU179" s="647" t="str">
        <f t="shared" si="54"/>
        <v/>
      </c>
      <c r="AV179" s="647" t="str">
        <f t="shared" si="55"/>
        <v/>
      </c>
      <c r="AW179" s="647" t="str">
        <f t="shared" si="56"/>
        <v/>
      </c>
      <c r="AX179" s="647" t="str">
        <f t="shared" si="57"/>
        <v/>
      </c>
    </row>
    <row r="180" spans="3:50" s="5" customFormat="1" ht="28.15" hidden="1" customHeight="1" outlineLevel="1">
      <c r="C180" s="649">
        <v>164</v>
      </c>
      <c r="D180" s="1855"/>
      <c r="E180" s="1856"/>
      <c r="F180" s="1856"/>
      <c r="G180" s="1856"/>
      <c r="H180" s="1856"/>
      <c r="I180" s="1856"/>
      <c r="J180" s="1857"/>
      <c r="K180" s="702"/>
      <c r="L180" s="1054"/>
      <c r="M180" s="666"/>
      <c r="N180" s="266"/>
      <c r="O180" s="1040"/>
      <c r="P180" s="1041"/>
      <c r="Q180" s="267"/>
      <c r="R180" s="267"/>
      <c r="S180" s="267"/>
      <c r="T180" s="267"/>
      <c r="U180" s="267"/>
      <c r="V180" s="267"/>
      <c r="W180" s="254"/>
      <c r="X180" s="703"/>
      <c r="Y180" s="125"/>
      <c r="Z180" s="431"/>
      <c r="AA180" s="499"/>
      <c r="AB180" s="741"/>
      <c r="AC180" s="51"/>
      <c r="AD180" s="51"/>
      <c r="AE180" s="645" t="str">
        <f t="shared" si="1"/>
        <v/>
      </c>
      <c r="AF180" s="1037" t="str">
        <f t="shared" si="2"/>
        <v/>
      </c>
      <c r="AG180" s="1037" t="str">
        <f t="shared" si="3"/>
        <v/>
      </c>
      <c r="AH180" s="1037" t="str">
        <f>IF(AE180="","",VLOOKUP(AE180,リスト!BI:BJ,2,0))</f>
        <v/>
      </c>
      <c r="AI180" s="1037" t="str">
        <f t="shared" si="41"/>
        <v/>
      </c>
      <c r="AJ180" s="1037" t="str">
        <f>IF(AI180="","",VLOOKUP(AI180,リスト!BW:BX,2,0))</f>
        <v/>
      </c>
      <c r="AK180" s="1037" t="str">
        <f t="shared" si="38"/>
        <v/>
      </c>
      <c r="AL180" s="685" t="str">
        <f t="shared" si="6"/>
        <v/>
      </c>
      <c r="AM180" s="646" t="str">
        <f t="shared" si="7"/>
        <v/>
      </c>
      <c r="AN180" s="646" t="str">
        <f t="shared" ref="AN180:AN197" si="58">IF(OR(AE180="",AF180=1),"",
IF(X180="",AL180,
IF(X180="2：廃棄等",SUM(AM180,Y180),
IF(X180="1：売却",AM180-Y180,
IF(AND(Y180="",AL180=""),"",SUM(Y180,AL180))))))</f>
        <v/>
      </c>
      <c r="AO180" s="647" t="str">
        <f t="shared" ref="AO180:AO197" si="59">IF(AND(AN180="",AL180=""),"",
IF(OR(X180="2：廃棄等",X180="1：売却"),SUM(AN180)-SUM(AL180),""))</f>
        <v/>
      </c>
      <c r="AP180" s="647" t="str">
        <f t="shared" si="39"/>
        <v/>
      </c>
      <c r="AQ180" s="647" t="str">
        <f t="shared" si="9"/>
        <v/>
      </c>
      <c r="AR180" s="647" t="str">
        <f t="shared" si="10"/>
        <v/>
      </c>
      <c r="AS180" s="647" t="str">
        <f t="shared" si="11"/>
        <v/>
      </c>
      <c r="AT180" s="647" t="str">
        <f t="shared" si="40"/>
        <v/>
      </c>
      <c r="AU180" s="647" t="str">
        <f t="shared" si="13"/>
        <v/>
      </c>
      <c r="AV180" s="647" t="str">
        <f t="shared" si="14"/>
        <v/>
      </c>
      <c r="AW180" s="647" t="str">
        <f t="shared" si="15"/>
        <v/>
      </c>
      <c r="AX180" s="647" t="str">
        <f t="shared" si="16"/>
        <v/>
      </c>
    </row>
    <row r="181" spans="3:50" s="5" customFormat="1" ht="28.15" hidden="1" customHeight="1" outlineLevel="1">
      <c r="C181" s="649">
        <v>165</v>
      </c>
      <c r="D181" s="1865"/>
      <c r="E181" s="1866"/>
      <c r="F181" s="1866"/>
      <c r="G181" s="1866"/>
      <c r="H181" s="1866"/>
      <c r="I181" s="1866"/>
      <c r="J181" s="1866"/>
      <c r="K181" s="704"/>
      <c r="L181" s="1055"/>
      <c r="M181" s="705"/>
      <c r="N181" s="257"/>
      <c r="O181" s="1042"/>
      <c r="P181" s="1041"/>
      <c r="Q181" s="256"/>
      <c r="R181" s="267"/>
      <c r="S181" s="256"/>
      <c r="T181" s="256"/>
      <c r="U181" s="256"/>
      <c r="V181" s="256"/>
      <c r="W181" s="254"/>
      <c r="X181" s="703"/>
      <c r="Y181" s="125"/>
      <c r="Z181" s="431"/>
      <c r="AA181" s="499"/>
      <c r="AB181" s="741"/>
      <c r="AC181" s="51"/>
      <c r="AD181" s="51"/>
      <c r="AE181" s="645" t="str">
        <f t="shared" si="1"/>
        <v/>
      </c>
      <c r="AF181" s="1037" t="str">
        <f t="shared" si="2"/>
        <v/>
      </c>
      <c r="AG181" s="1037" t="str">
        <f t="shared" si="3"/>
        <v/>
      </c>
      <c r="AH181" s="1037" t="str">
        <f>IF(AE181="","",VLOOKUP(AE181,リスト!BI:BJ,2,0))</f>
        <v/>
      </c>
      <c r="AI181" s="1037" t="str">
        <f t="shared" si="41"/>
        <v/>
      </c>
      <c r="AJ181" s="1037" t="str">
        <f>IF(AI181="","",VLOOKUP(AI181,リスト!BW:BX,2,0))</f>
        <v/>
      </c>
      <c r="AK181" s="1037" t="str">
        <f t="shared" si="38"/>
        <v/>
      </c>
      <c r="AL181" s="685" t="str">
        <f t="shared" si="6"/>
        <v/>
      </c>
      <c r="AM181" s="646" t="str">
        <f t="shared" si="7"/>
        <v/>
      </c>
      <c r="AN181" s="646" t="str">
        <f t="shared" si="58"/>
        <v/>
      </c>
      <c r="AO181" s="647" t="str">
        <f t="shared" si="59"/>
        <v/>
      </c>
      <c r="AP181" s="647" t="str">
        <f t="shared" si="39"/>
        <v/>
      </c>
      <c r="AQ181" s="647" t="str">
        <f t="shared" si="9"/>
        <v/>
      </c>
      <c r="AR181" s="647" t="str">
        <f t="shared" si="10"/>
        <v/>
      </c>
      <c r="AS181" s="647" t="str">
        <f t="shared" si="11"/>
        <v/>
      </c>
      <c r="AT181" s="647" t="str">
        <f t="shared" si="40"/>
        <v/>
      </c>
      <c r="AU181" s="647" t="str">
        <f t="shared" si="13"/>
        <v/>
      </c>
      <c r="AV181" s="647" t="str">
        <f t="shared" si="14"/>
        <v/>
      </c>
      <c r="AW181" s="647" t="str">
        <f t="shared" si="15"/>
        <v/>
      </c>
      <c r="AX181" s="647" t="str">
        <f t="shared" si="16"/>
        <v/>
      </c>
    </row>
    <row r="182" spans="3:50" s="5" customFormat="1" ht="28.15" hidden="1" customHeight="1" outlineLevel="1">
      <c r="C182" s="649">
        <v>166</v>
      </c>
      <c r="D182" s="1855"/>
      <c r="E182" s="1856"/>
      <c r="F182" s="1856"/>
      <c r="G182" s="1856"/>
      <c r="H182" s="1856"/>
      <c r="I182" s="1856"/>
      <c r="J182" s="1856"/>
      <c r="K182" s="702"/>
      <c r="L182" s="1054"/>
      <c r="M182" s="705"/>
      <c r="N182" s="255"/>
      <c r="O182" s="1040"/>
      <c r="P182" s="1041"/>
      <c r="Q182" s="256"/>
      <c r="R182" s="267"/>
      <c r="S182" s="256"/>
      <c r="T182" s="256"/>
      <c r="U182" s="256"/>
      <c r="V182" s="256"/>
      <c r="W182" s="254"/>
      <c r="X182" s="703"/>
      <c r="Y182" s="125"/>
      <c r="Z182" s="431"/>
      <c r="AA182" s="499"/>
      <c r="AB182" s="741"/>
      <c r="AC182" s="51"/>
      <c r="AD182" s="51"/>
      <c r="AE182" s="645" t="str">
        <f t="shared" si="1"/>
        <v/>
      </c>
      <c r="AF182" s="1037" t="str">
        <f t="shared" si="2"/>
        <v/>
      </c>
      <c r="AG182" s="1037" t="str">
        <f t="shared" si="3"/>
        <v/>
      </c>
      <c r="AH182" s="1037" t="str">
        <f>IF(AE182="","",VLOOKUP(AE182,リスト!BI:BJ,2,0))</f>
        <v/>
      </c>
      <c r="AI182" s="1037" t="str">
        <f t="shared" si="41"/>
        <v/>
      </c>
      <c r="AJ182" s="1037" t="str">
        <f>IF(AI182="","",VLOOKUP(AI182,リスト!BW:BX,2,0))</f>
        <v/>
      </c>
      <c r="AK182" s="1037" t="str">
        <f t="shared" si="38"/>
        <v/>
      </c>
      <c r="AL182" s="685" t="str">
        <f t="shared" si="6"/>
        <v/>
      </c>
      <c r="AM182" s="646" t="str">
        <f t="shared" si="7"/>
        <v/>
      </c>
      <c r="AN182" s="646" t="str">
        <f t="shared" si="58"/>
        <v/>
      </c>
      <c r="AO182" s="647" t="str">
        <f t="shared" si="59"/>
        <v/>
      </c>
      <c r="AP182" s="647" t="str">
        <f t="shared" si="39"/>
        <v/>
      </c>
      <c r="AQ182" s="647" t="str">
        <f t="shared" si="9"/>
        <v/>
      </c>
      <c r="AR182" s="647" t="str">
        <f t="shared" si="10"/>
        <v/>
      </c>
      <c r="AS182" s="647" t="str">
        <f t="shared" si="11"/>
        <v/>
      </c>
      <c r="AT182" s="647" t="str">
        <f t="shared" si="40"/>
        <v/>
      </c>
      <c r="AU182" s="647" t="str">
        <f t="shared" si="13"/>
        <v/>
      </c>
      <c r="AV182" s="647" t="str">
        <f t="shared" si="14"/>
        <v/>
      </c>
      <c r="AW182" s="647" t="str">
        <f t="shared" si="15"/>
        <v/>
      </c>
      <c r="AX182" s="647" t="str">
        <f t="shared" si="16"/>
        <v/>
      </c>
    </row>
    <row r="183" spans="3:50" s="5" customFormat="1" ht="28.15" hidden="1" customHeight="1" outlineLevel="1">
      <c r="C183" s="649">
        <v>167</v>
      </c>
      <c r="D183" s="1865"/>
      <c r="E183" s="1866"/>
      <c r="F183" s="1866"/>
      <c r="G183" s="1866"/>
      <c r="H183" s="1866"/>
      <c r="I183" s="1866"/>
      <c r="J183" s="1866"/>
      <c r="K183" s="704"/>
      <c r="L183" s="1055"/>
      <c r="M183" s="705"/>
      <c r="N183" s="257"/>
      <c r="O183" s="1042"/>
      <c r="P183" s="1041"/>
      <c r="Q183" s="256"/>
      <c r="R183" s="267"/>
      <c r="S183" s="256"/>
      <c r="T183" s="256"/>
      <c r="U183" s="256"/>
      <c r="V183" s="256"/>
      <c r="W183" s="254"/>
      <c r="X183" s="703"/>
      <c r="Y183" s="125"/>
      <c r="Z183" s="431"/>
      <c r="AA183" s="499"/>
      <c r="AB183" s="741"/>
      <c r="AC183" s="51"/>
      <c r="AD183" s="51"/>
      <c r="AE183" s="645" t="str">
        <f t="shared" si="1"/>
        <v/>
      </c>
      <c r="AF183" s="1037" t="str">
        <f t="shared" si="2"/>
        <v/>
      </c>
      <c r="AG183" s="1037" t="str">
        <f t="shared" si="3"/>
        <v/>
      </c>
      <c r="AH183" s="1037" t="str">
        <f>IF(AE183="","",VLOOKUP(AE183,リスト!BI:BJ,2,0))</f>
        <v/>
      </c>
      <c r="AI183" s="1037" t="str">
        <f t="shared" si="41"/>
        <v/>
      </c>
      <c r="AJ183" s="1037" t="str">
        <f>IF(AI183="","",VLOOKUP(AI183,リスト!BW:BX,2,0))</f>
        <v/>
      </c>
      <c r="AK183" s="1037" t="str">
        <f t="shared" si="38"/>
        <v/>
      </c>
      <c r="AL183" s="685" t="str">
        <f t="shared" si="6"/>
        <v/>
      </c>
      <c r="AM183" s="646" t="str">
        <f t="shared" si="7"/>
        <v/>
      </c>
      <c r="AN183" s="646" t="str">
        <f t="shared" si="58"/>
        <v/>
      </c>
      <c r="AO183" s="647" t="str">
        <f t="shared" si="59"/>
        <v/>
      </c>
      <c r="AP183" s="647" t="str">
        <f t="shared" si="39"/>
        <v/>
      </c>
      <c r="AQ183" s="647" t="str">
        <f t="shared" si="9"/>
        <v/>
      </c>
      <c r="AR183" s="647" t="str">
        <f t="shared" si="10"/>
        <v/>
      </c>
      <c r="AS183" s="647" t="str">
        <f t="shared" si="11"/>
        <v/>
      </c>
      <c r="AT183" s="647" t="str">
        <f t="shared" si="40"/>
        <v/>
      </c>
      <c r="AU183" s="647" t="str">
        <f t="shared" si="13"/>
        <v/>
      </c>
      <c r="AV183" s="647" t="str">
        <f t="shared" si="14"/>
        <v/>
      </c>
      <c r="AW183" s="647" t="str">
        <f t="shared" si="15"/>
        <v/>
      </c>
      <c r="AX183" s="647" t="str">
        <f t="shared" si="16"/>
        <v/>
      </c>
    </row>
    <row r="184" spans="3:50" s="5" customFormat="1" ht="28.15" hidden="1" customHeight="1" outlineLevel="1">
      <c r="C184" s="649">
        <v>168</v>
      </c>
      <c r="D184" s="1855"/>
      <c r="E184" s="1856"/>
      <c r="F184" s="1856"/>
      <c r="G184" s="1856"/>
      <c r="H184" s="1856"/>
      <c r="I184" s="1856"/>
      <c r="J184" s="1856"/>
      <c r="K184" s="702"/>
      <c r="L184" s="1054"/>
      <c r="M184" s="705"/>
      <c r="N184" s="255"/>
      <c r="O184" s="1040"/>
      <c r="P184" s="1041"/>
      <c r="Q184" s="256"/>
      <c r="R184" s="267"/>
      <c r="S184" s="256"/>
      <c r="T184" s="256"/>
      <c r="U184" s="256"/>
      <c r="V184" s="256"/>
      <c r="W184" s="254"/>
      <c r="X184" s="703"/>
      <c r="Y184" s="125"/>
      <c r="Z184" s="431"/>
      <c r="AA184" s="499"/>
      <c r="AB184" s="741"/>
      <c r="AC184" s="51"/>
      <c r="AD184" s="51"/>
      <c r="AE184" s="645" t="str">
        <f t="shared" si="1"/>
        <v/>
      </c>
      <c r="AF184" s="1037" t="str">
        <f t="shared" si="2"/>
        <v/>
      </c>
      <c r="AG184" s="1037" t="str">
        <f t="shared" si="3"/>
        <v/>
      </c>
      <c r="AH184" s="1037" t="str">
        <f>IF(AE184="","",VLOOKUP(AE184,リスト!BI:BJ,2,0))</f>
        <v/>
      </c>
      <c r="AI184" s="1037" t="str">
        <f t="shared" si="41"/>
        <v/>
      </c>
      <c r="AJ184" s="1037" t="str">
        <f>IF(AI184="","",VLOOKUP(AI184,リスト!BW:BX,2,0))</f>
        <v/>
      </c>
      <c r="AK184" s="1037" t="str">
        <f t="shared" si="38"/>
        <v/>
      </c>
      <c r="AL184" s="685" t="str">
        <f t="shared" si="6"/>
        <v/>
      </c>
      <c r="AM184" s="646" t="str">
        <f t="shared" si="7"/>
        <v/>
      </c>
      <c r="AN184" s="646" t="str">
        <f t="shared" si="58"/>
        <v/>
      </c>
      <c r="AO184" s="647" t="str">
        <f t="shared" si="59"/>
        <v/>
      </c>
      <c r="AP184" s="647" t="str">
        <f t="shared" si="39"/>
        <v/>
      </c>
      <c r="AQ184" s="647" t="str">
        <f t="shared" si="9"/>
        <v/>
      </c>
      <c r="AR184" s="647" t="str">
        <f t="shared" si="10"/>
        <v/>
      </c>
      <c r="AS184" s="647" t="str">
        <f t="shared" si="11"/>
        <v/>
      </c>
      <c r="AT184" s="647" t="str">
        <f t="shared" si="40"/>
        <v/>
      </c>
      <c r="AU184" s="647" t="str">
        <f t="shared" si="13"/>
        <v/>
      </c>
      <c r="AV184" s="647" t="str">
        <f t="shared" si="14"/>
        <v/>
      </c>
      <c r="AW184" s="647" t="str">
        <f t="shared" si="15"/>
        <v/>
      </c>
      <c r="AX184" s="647" t="str">
        <f t="shared" si="16"/>
        <v/>
      </c>
    </row>
    <row r="185" spans="3:50" s="5" customFormat="1" ht="28.15" hidden="1" customHeight="1" outlineLevel="1">
      <c r="C185" s="649">
        <v>169</v>
      </c>
      <c r="D185" s="1865"/>
      <c r="E185" s="1866"/>
      <c r="F185" s="1866"/>
      <c r="G185" s="1866"/>
      <c r="H185" s="1866"/>
      <c r="I185" s="1866"/>
      <c r="J185" s="1866"/>
      <c r="K185" s="704"/>
      <c r="L185" s="1055"/>
      <c r="M185" s="705"/>
      <c r="N185" s="257"/>
      <c r="O185" s="1042"/>
      <c r="P185" s="1041"/>
      <c r="Q185" s="256"/>
      <c r="R185" s="267"/>
      <c r="S185" s="256"/>
      <c r="T185" s="256"/>
      <c r="U185" s="256"/>
      <c r="V185" s="256"/>
      <c r="W185" s="254"/>
      <c r="X185" s="703"/>
      <c r="Y185" s="125"/>
      <c r="Z185" s="431"/>
      <c r="AA185" s="499"/>
      <c r="AB185" s="741"/>
      <c r="AC185" s="51"/>
      <c r="AD185" s="51"/>
      <c r="AE185" s="645" t="str">
        <f t="shared" si="1"/>
        <v/>
      </c>
      <c r="AF185" s="1037" t="str">
        <f t="shared" si="2"/>
        <v/>
      </c>
      <c r="AG185" s="1037" t="str">
        <f t="shared" si="3"/>
        <v/>
      </c>
      <c r="AH185" s="1037" t="str">
        <f>IF(AE185="","",VLOOKUP(AE185,リスト!BI:BJ,2,0))</f>
        <v/>
      </c>
      <c r="AI185" s="1037" t="str">
        <f t="shared" si="41"/>
        <v/>
      </c>
      <c r="AJ185" s="1037" t="str">
        <f>IF(AI185="","",VLOOKUP(AI185,リスト!BW:BX,2,0))</f>
        <v/>
      </c>
      <c r="AK185" s="1037" t="str">
        <f t="shared" si="38"/>
        <v/>
      </c>
      <c r="AL185" s="685" t="str">
        <f t="shared" si="6"/>
        <v/>
      </c>
      <c r="AM185" s="646" t="str">
        <f t="shared" si="7"/>
        <v/>
      </c>
      <c r="AN185" s="646" t="str">
        <f t="shared" si="58"/>
        <v/>
      </c>
      <c r="AO185" s="647" t="str">
        <f t="shared" si="59"/>
        <v/>
      </c>
      <c r="AP185" s="647" t="str">
        <f t="shared" si="39"/>
        <v/>
      </c>
      <c r="AQ185" s="647" t="str">
        <f t="shared" si="9"/>
        <v/>
      </c>
      <c r="AR185" s="647" t="str">
        <f t="shared" si="10"/>
        <v/>
      </c>
      <c r="AS185" s="647" t="str">
        <f t="shared" si="11"/>
        <v/>
      </c>
      <c r="AT185" s="647" t="str">
        <f t="shared" si="40"/>
        <v/>
      </c>
      <c r="AU185" s="647" t="str">
        <f t="shared" si="13"/>
        <v/>
      </c>
      <c r="AV185" s="647" t="str">
        <f t="shared" si="14"/>
        <v/>
      </c>
      <c r="AW185" s="647" t="str">
        <f t="shared" si="15"/>
        <v/>
      </c>
      <c r="AX185" s="647" t="str">
        <f t="shared" si="16"/>
        <v/>
      </c>
    </row>
    <row r="186" spans="3:50" s="5" customFormat="1" ht="28.15" hidden="1" customHeight="1" outlineLevel="1">
      <c r="C186" s="649">
        <v>170</v>
      </c>
      <c r="D186" s="1855"/>
      <c r="E186" s="1856"/>
      <c r="F186" s="1856"/>
      <c r="G186" s="1856"/>
      <c r="H186" s="1856"/>
      <c r="I186" s="1856"/>
      <c r="J186" s="1856"/>
      <c r="K186" s="702"/>
      <c r="L186" s="1054"/>
      <c r="M186" s="705"/>
      <c r="N186" s="255"/>
      <c r="O186" s="1040"/>
      <c r="P186" s="1041"/>
      <c r="Q186" s="256"/>
      <c r="R186" s="267"/>
      <c r="S186" s="256"/>
      <c r="T186" s="256"/>
      <c r="U186" s="256"/>
      <c r="V186" s="256"/>
      <c r="W186" s="254"/>
      <c r="X186" s="703"/>
      <c r="Y186" s="125"/>
      <c r="Z186" s="431"/>
      <c r="AA186" s="499"/>
      <c r="AB186" s="741"/>
      <c r="AC186" s="51"/>
      <c r="AD186" s="51"/>
      <c r="AE186" s="645" t="str">
        <f t="shared" si="1"/>
        <v/>
      </c>
      <c r="AF186" s="1037" t="str">
        <f t="shared" si="2"/>
        <v/>
      </c>
      <c r="AG186" s="1037" t="str">
        <f t="shared" si="3"/>
        <v/>
      </c>
      <c r="AH186" s="1037" t="str">
        <f>IF(AE186="","",VLOOKUP(AE186,リスト!BI:BJ,2,0))</f>
        <v/>
      </c>
      <c r="AI186" s="1037" t="str">
        <f t="shared" si="41"/>
        <v/>
      </c>
      <c r="AJ186" s="1037" t="str">
        <f>IF(AI186="","",VLOOKUP(AI186,リスト!BW:BX,2,0))</f>
        <v/>
      </c>
      <c r="AK186" s="1037" t="str">
        <f t="shared" si="38"/>
        <v/>
      </c>
      <c r="AL186" s="685" t="str">
        <f t="shared" si="6"/>
        <v/>
      </c>
      <c r="AM186" s="646" t="str">
        <f t="shared" si="7"/>
        <v/>
      </c>
      <c r="AN186" s="646" t="str">
        <f t="shared" si="58"/>
        <v/>
      </c>
      <c r="AO186" s="647" t="str">
        <f t="shared" si="59"/>
        <v/>
      </c>
      <c r="AP186" s="647" t="str">
        <f t="shared" si="39"/>
        <v/>
      </c>
      <c r="AQ186" s="647" t="str">
        <f t="shared" si="9"/>
        <v/>
      </c>
      <c r="AR186" s="647" t="str">
        <f t="shared" si="10"/>
        <v/>
      </c>
      <c r="AS186" s="647" t="str">
        <f t="shared" si="11"/>
        <v/>
      </c>
      <c r="AT186" s="647" t="str">
        <f t="shared" si="40"/>
        <v/>
      </c>
      <c r="AU186" s="647" t="str">
        <f t="shared" si="13"/>
        <v/>
      </c>
      <c r="AV186" s="647" t="str">
        <f t="shared" si="14"/>
        <v/>
      </c>
      <c r="AW186" s="647" t="str">
        <f t="shared" si="15"/>
        <v/>
      </c>
      <c r="AX186" s="647" t="str">
        <f t="shared" si="16"/>
        <v/>
      </c>
    </row>
    <row r="187" spans="3:50" s="5" customFormat="1" ht="28.15" hidden="1" customHeight="1" outlineLevel="1">
      <c r="C187" s="649">
        <v>171</v>
      </c>
      <c r="D187" s="1865"/>
      <c r="E187" s="1866"/>
      <c r="F187" s="1866"/>
      <c r="G187" s="1866"/>
      <c r="H187" s="1866"/>
      <c r="I187" s="1866"/>
      <c r="J187" s="1866"/>
      <c r="K187" s="704"/>
      <c r="L187" s="1055"/>
      <c r="M187" s="705"/>
      <c r="N187" s="255"/>
      <c r="O187" s="1042"/>
      <c r="P187" s="1041"/>
      <c r="Q187" s="256"/>
      <c r="R187" s="267"/>
      <c r="S187" s="256"/>
      <c r="T187" s="256"/>
      <c r="U187" s="256"/>
      <c r="V187" s="256"/>
      <c r="W187" s="254"/>
      <c r="X187" s="703"/>
      <c r="Y187" s="125"/>
      <c r="Z187" s="431"/>
      <c r="AA187" s="499"/>
      <c r="AB187" s="741"/>
      <c r="AC187" s="51"/>
      <c r="AD187" s="51"/>
      <c r="AE187" s="645" t="str">
        <f t="shared" si="1"/>
        <v/>
      </c>
      <c r="AF187" s="1037" t="str">
        <f t="shared" si="2"/>
        <v/>
      </c>
      <c r="AG187" s="1037" t="str">
        <f t="shared" si="3"/>
        <v/>
      </c>
      <c r="AH187" s="1037" t="str">
        <f>IF(AE187="","",VLOOKUP(AE187,リスト!BI:BJ,2,0))</f>
        <v/>
      </c>
      <c r="AI187" s="1037" t="str">
        <f t="shared" si="41"/>
        <v/>
      </c>
      <c r="AJ187" s="1037" t="str">
        <f>IF(AI187="","",VLOOKUP(AI187,リスト!BW:BX,2,0))</f>
        <v/>
      </c>
      <c r="AK187" s="1037" t="str">
        <f t="shared" si="38"/>
        <v/>
      </c>
      <c r="AL187" s="685" t="str">
        <f t="shared" si="6"/>
        <v/>
      </c>
      <c r="AM187" s="646" t="str">
        <f t="shared" si="7"/>
        <v/>
      </c>
      <c r="AN187" s="646" t="str">
        <f t="shared" si="58"/>
        <v/>
      </c>
      <c r="AO187" s="647" t="str">
        <f t="shared" si="59"/>
        <v/>
      </c>
      <c r="AP187" s="647" t="str">
        <f t="shared" si="39"/>
        <v/>
      </c>
      <c r="AQ187" s="647" t="str">
        <f t="shared" si="9"/>
        <v/>
      </c>
      <c r="AR187" s="647" t="str">
        <f t="shared" si="10"/>
        <v/>
      </c>
      <c r="AS187" s="647" t="str">
        <f t="shared" si="11"/>
        <v/>
      </c>
      <c r="AT187" s="647" t="str">
        <f t="shared" si="40"/>
        <v/>
      </c>
      <c r="AU187" s="647" t="str">
        <f t="shared" si="13"/>
        <v/>
      </c>
      <c r="AV187" s="647" t="str">
        <f t="shared" si="14"/>
        <v/>
      </c>
      <c r="AW187" s="647" t="str">
        <f t="shared" si="15"/>
        <v/>
      </c>
      <c r="AX187" s="647" t="str">
        <f t="shared" si="16"/>
        <v/>
      </c>
    </row>
    <row r="188" spans="3:50" s="5" customFormat="1" ht="28.15" hidden="1" customHeight="1" outlineLevel="1">
      <c r="C188" s="649">
        <v>172</v>
      </c>
      <c r="D188" s="1855"/>
      <c r="E188" s="1856"/>
      <c r="F188" s="1856"/>
      <c r="G188" s="1856"/>
      <c r="H188" s="1856"/>
      <c r="I188" s="1856"/>
      <c r="J188" s="1856"/>
      <c r="K188" s="702"/>
      <c r="L188" s="1054"/>
      <c r="M188" s="705"/>
      <c r="N188" s="255"/>
      <c r="O188" s="1040"/>
      <c r="P188" s="1041"/>
      <c r="Q188" s="256"/>
      <c r="R188" s="267"/>
      <c r="S188" s="256"/>
      <c r="T188" s="256"/>
      <c r="U188" s="256"/>
      <c r="V188" s="256"/>
      <c r="W188" s="254"/>
      <c r="X188" s="703"/>
      <c r="Y188" s="125"/>
      <c r="Z188" s="431"/>
      <c r="AA188" s="499"/>
      <c r="AB188" s="741"/>
      <c r="AC188" s="51"/>
      <c r="AD188" s="51"/>
      <c r="AE188" s="645" t="str">
        <f t="shared" si="1"/>
        <v/>
      </c>
      <c r="AF188" s="1037" t="str">
        <f t="shared" si="2"/>
        <v/>
      </c>
      <c r="AG188" s="1037" t="str">
        <f t="shared" si="3"/>
        <v/>
      </c>
      <c r="AH188" s="1037" t="str">
        <f>IF(AE188="","",VLOOKUP(AE188,リスト!BI:BJ,2,0))</f>
        <v/>
      </c>
      <c r="AI188" s="1037" t="str">
        <f t="shared" si="41"/>
        <v/>
      </c>
      <c r="AJ188" s="1037" t="str">
        <f>IF(AI188="","",VLOOKUP(AI188,リスト!BW:BX,2,0))</f>
        <v/>
      </c>
      <c r="AK188" s="1037" t="str">
        <f t="shared" si="38"/>
        <v/>
      </c>
      <c r="AL188" s="685" t="str">
        <f t="shared" si="6"/>
        <v/>
      </c>
      <c r="AM188" s="646" t="str">
        <f t="shared" si="7"/>
        <v/>
      </c>
      <c r="AN188" s="646" t="str">
        <f t="shared" si="58"/>
        <v/>
      </c>
      <c r="AO188" s="647" t="str">
        <f t="shared" si="59"/>
        <v/>
      </c>
      <c r="AP188" s="647" t="str">
        <f t="shared" si="39"/>
        <v/>
      </c>
      <c r="AQ188" s="647" t="str">
        <f t="shared" si="9"/>
        <v/>
      </c>
      <c r="AR188" s="647" t="str">
        <f t="shared" si="10"/>
        <v/>
      </c>
      <c r="AS188" s="647" t="str">
        <f t="shared" si="11"/>
        <v/>
      </c>
      <c r="AT188" s="647" t="str">
        <f t="shared" si="40"/>
        <v/>
      </c>
      <c r="AU188" s="647" t="str">
        <f t="shared" si="13"/>
        <v/>
      </c>
      <c r="AV188" s="647" t="str">
        <f t="shared" si="14"/>
        <v/>
      </c>
      <c r="AW188" s="647" t="str">
        <f t="shared" si="15"/>
        <v/>
      </c>
      <c r="AX188" s="647" t="str">
        <f t="shared" si="16"/>
        <v/>
      </c>
    </row>
    <row r="189" spans="3:50" s="5" customFormat="1" ht="28.15" hidden="1" customHeight="1" outlineLevel="1">
      <c r="C189" s="649">
        <v>173</v>
      </c>
      <c r="D189" s="1865"/>
      <c r="E189" s="1866"/>
      <c r="F189" s="1866"/>
      <c r="G189" s="1866"/>
      <c r="H189" s="1866"/>
      <c r="I189" s="1866"/>
      <c r="J189" s="1866"/>
      <c r="K189" s="704"/>
      <c r="L189" s="1055"/>
      <c r="M189" s="705"/>
      <c r="N189" s="255"/>
      <c r="O189" s="1042"/>
      <c r="P189" s="1041"/>
      <c r="Q189" s="256"/>
      <c r="R189" s="267"/>
      <c r="S189" s="256"/>
      <c r="T189" s="256"/>
      <c r="U189" s="256"/>
      <c r="V189" s="256"/>
      <c r="W189" s="254"/>
      <c r="X189" s="703"/>
      <c r="Y189" s="125"/>
      <c r="Z189" s="431"/>
      <c r="AA189" s="499"/>
      <c r="AB189" s="741"/>
      <c r="AC189" s="51"/>
      <c r="AD189" s="51"/>
      <c r="AE189" s="645" t="str">
        <f t="shared" si="1"/>
        <v/>
      </c>
      <c r="AF189" s="1037" t="str">
        <f t="shared" si="2"/>
        <v/>
      </c>
      <c r="AG189" s="1037" t="str">
        <f t="shared" si="3"/>
        <v/>
      </c>
      <c r="AH189" s="1037" t="str">
        <f>IF(AE189="","",VLOOKUP(AE189,リスト!BI:BJ,2,0))</f>
        <v/>
      </c>
      <c r="AI189" s="1037" t="str">
        <f t="shared" si="41"/>
        <v/>
      </c>
      <c r="AJ189" s="1037" t="str">
        <f>IF(AI189="","",VLOOKUP(AI189,リスト!BW:BX,2,0))</f>
        <v/>
      </c>
      <c r="AK189" s="1037" t="str">
        <f t="shared" si="38"/>
        <v/>
      </c>
      <c r="AL189" s="685" t="str">
        <f t="shared" si="6"/>
        <v/>
      </c>
      <c r="AM189" s="646" t="str">
        <f t="shared" si="7"/>
        <v/>
      </c>
      <c r="AN189" s="646" t="str">
        <f t="shared" si="58"/>
        <v/>
      </c>
      <c r="AO189" s="647" t="str">
        <f t="shared" si="59"/>
        <v/>
      </c>
      <c r="AP189" s="647" t="str">
        <f t="shared" si="39"/>
        <v/>
      </c>
      <c r="AQ189" s="647" t="str">
        <f t="shared" si="9"/>
        <v/>
      </c>
      <c r="AR189" s="647" t="str">
        <f t="shared" si="10"/>
        <v/>
      </c>
      <c r="AS189" s="647" t="str">
        <f t="shared" si="11"/>
        <v/>
      </c>
      <c r="AT189" s="647" t="str">
        <f t="shared" si="40"/>
        <v/>
      </c>
      <c r="AU189" s="647" t="str">
        <f t="shared" si="13"/>
        <v/>
      </c>
      <c r="AV189" s="647" t="str">
        <f t="shared" si="14"/>
        <v/>
      </c>
      <c r="AW189" s="647" t="str">
        <f t="shared" si="15"/>
        <v/>
      </c>
      <c r="AX189" s="647" t="str">
        <f t="shared" si="16"/>
        <v/>
      </c>
    </row>
    <row r="190" spans="3:50" s="5" customFormat="1" ht="28.15" hidden="1" customHeight="1" outlineLevel="1">
      <c r="C190" s="649">
        <v>174</v>
      </c>
      <c r="D190" s="1855"/>
      <c r="E190" s="1856"/>
      <c r="F190" s="1856"/>
      <c r="G190" s="1856"/>
      <c r="H190" s="1856"/>
      <c r="I190" s="1856"/>
      <c r="J190" s="1856"/>
      <c r="K190" s="702"/>
      <c r="L190" s="1054"/>
      <c r="M190" s="705"/>
      <c r="N190" s="255"/>
      <c r="O190" s="1040"/>
      <c r="P190" s="1041"/>
      <c r="Q190" s="256"/>
      <c r="R190" s="267"/>
      <c r="S190" s="256"/>
      <c r="T190" s="256"/>
      <c r="U190" s="256"/>
      <c r="V190" s="256"/>
      <c r="W190" s="254"/>
      <c r="X190" s="703"/>
      <c r="Y190" s="125"/>
      <c r="Z190" s="431"/>
      <c r="AA190" s="499"/>
      <c r="AB190" s="741"/>
      <c r="AC190" s="51"/>
      <c r="AD190" s="51"/>
      <c r="AE190" s="645" t="str">
        <f t="shared" si="1"/>
        <v/>
      </c>
      <c r="AF190" s="1037" t="str">
        <f t="shared" si="2"/>
        <v/>
      </c>
      <c r="AG190" s="1037" t="str">
        <f t="shared" si="3"/>
        <v/>
      </c>
      <c r="AH190" s="1037" t="str">
        <f>IF(AE190="","",VLOOKUP(AE190,リスト!BI:BJ,2,0))</f>
        <v/>
      </c>
      <c r="AI190" s="1037" t="str">
        <f t="shared" si="41"/>
        <v/>
      </c>
      <c r="AJ190" s="1037" t="str">
        <f>IF(AI190="","",VLOOKUP(AI190,リスト!BW:BX,2,0))</f>
        <v/>
      </c>
      <c r="AK190" s="1037" t="str">
        <f t="shared" si="38"/>
        <v/>
      </c>
      <c r="AL190" s="685" t="str">
        <f t="shared" si="6"/>
        <v/>
      </c>
      <c r="AM190" s="646" t="str">
        <f t="shared" si="7"/>
        <v/>
      </c>
      <c r="AN190" s="646" t="str">
        <f t="shared" si="58"/>
        <v/>
      </c>
      <c r="AO190" s="647" t="str">
        <f t="shared" si="59"/>
        <v/>
      </c>
      <c r="AP190" s="647" t="str">
        <f t="shared" si="39"/>
        <v/>
      </c>
      <c r="AQ190" s="647" t="str">
        <f t="shared" si="9"/>
        <v/>
      </c>
      <c r="AR190" s="647" t="str">
        <f t="shared" si="10"/>
        <v/>
      </c>
      <c r="AS190" s="647" t="str">
        <f t="shared" si="11"/>
        <v/>
      </c>
      <c r="AT190" s="647" t="str">
        <f t="shared" si="40"/>
        <v/>
      </c>
      <c r="AU190" s="647" t="str">
        <f t="shared" si="13"/>
        <v/>
      </c>
      <c r="AV190" s="647" t="str">
        <f t="shared" si="14"/>
        <v/>
      </c>
      <c r="AW190" s="647" t="str">
        <f t="shared" si="15"/>
        <v/>
      </c>
      <c r="AX190" s="647" t="str">
        <f t="shared" si="16"/>
        <v/>
      </c>
    </row>
    <row r="191" spans="3:50" s="5" customFormat="1" ht="28.15" hidden="1" customHeight="1" outlineLevel="1">
      <c r="C191" s="649">
        <v>175</v>
      </c>
      <c r="D191" s="1865"/>
      <c r="E191" s="1866"/>
      <c r="F191" s="1866"/>
      <c r="G191" s="1866"/>
      <c r="H191" s="1866"/>
      <c r="I191" s="1866"/>
      <c r="J191" s="1866"/>
      <c r="K191" s="704"/>
      <c r="L191" s="1055"/>
      <c r="M191" s="705"/>
      <c r="N191" s="255"/>
      <c r="O191" s="1042"/>
      <c r="P191" s="1043"/>
      <c r="Q191" s="256"/>
      <c r="R191" s="267"/>
      <c r="S191" s="256"/>
      <c r="T191" s="256"/>
      <c r="U191" s="256"/>
      <c r="V191" s="256"/>
      <c r="W191" s="254"/>
      <c r="X191" s="703"/>
      <c r="Y191" s="125"/>
      <c r="Z191" s="431"/>
      <c r="AA191" s="499"/>
      <c r="AB191" s="741"/>
      <c r="AC191" s="51"/>
      <c r="AD191" s="51"/>
      <c r="AE191" s="645" t="str">
        <f t="shared" si="1"/>
        <v/>
      </c>
      <c r="AF191" s="1037" t="str">
        <f t="shared" si="2"/>
        <v/>
      </c>
      <c r="AG191" s="1037" t="str">
        <f t="shared" si="3"/>
        <v/>
      </c>
      <c r="AH191" s="1037" t="str">
        <f>IF(AE191="","",VLOOKUP(AE191,リスト!BI:BJ,2,0))</f>
        <v/>
      </c>
      <c r="AI191" s="1037" t="str">
        <f t="shared" si="41"/>
        <v/>
      </c>
      <c r="AJ191" s="1037" t="str">
        <f>IF(AI191="","",VLOOKUP(AI191,リスト!BW:BX,2,0))</f>
        <v/>
      </c>
      <c r="AK191" s="1037" t="str">
        <f t="shared" si="38"/>
        <v/>
      </c>
      <c r="AL191" s="685" t="str">
        <f t="shared" si="6"/>
        <v/>
      </c>
      <c r="AM191" s="646" t="str">
        <f t="shared" si="7"/>
        <v/>
      </c>
      <c r="AN191" s="646" t="str">
        <f t="shared" si="58"/>
        <v/>
      </c>
      <c r="AO191" s="647" t="str">
        <f t="shared" si="59"/>
        <v/>
      </c>
      <c r="AP191" s="647" t="str">
        <f t="shared" si="39"/>
        <v/>
      </c>
      <c r="AQ191" s="647" t="str">
        <f t="shared" si="9"/>
        <v/>
      </c>
      <c r="AR191" s="647" t="str">
        <f t="shared" si="10"/>
        <v/>
      </c>
      <c r="AS191" s="647" t="str">
        <f t="shared" si="11"/>
        <v/>
      </c>
      <c r="AT191" s="647" t="str">
        <f t="shared" si="40"/>
        <v/>
      </c>
      <c r="AU191" s="647" t="str">
        <f t="shared" si="13"/>
        <v/>
      </c>
      <c r="AV191" s="647" t="str">
        <f t="shared" si="14"/>
        <v/>
      </c>
      <c r="AW191" s="647" t="str">
        <f t="shared" si="15"/>
        <v/>
      </c>
      <c r="AX191" s="647" t="str">
        <f t="shared" si="16"/>
        <v/>
      </c>
    </row>
    <row r="192" spans="3:50" s="5" customFormat="1" ht="28.15" hidden="1" customHeight="1" outlineLevel="1">
      <c r="C192" s="649">
        <v>176</v>
      </c>
      <c r="D192" s="1855"/>
      <c r="E192" s="1856"/>
      <c r="F192" s="1856"/>
      <c r="G192" s="1856"/>
      <c r="H192" s="1856"/>
      <c r="I192" s="1856"/>
      <c r="J192" s="1856"/>
      <c r="K192" s="702"/>
      <c r="L192" s="1054"/>
      <c r="M192" s="705"/>
      <c r="N192" s="255"/>
      <c r="O192" s="1040"/>
      <c r="P192" s="1044"/>
      <c r="Q192" s="256"/>
      <c r="R192" s="267"/>
      <c r="S192" s="256"/>
      <c r="T192" s="256"/>
      <c r="U192" s="256"/>
      <c r="V192" s="256"/>
      <c r="W192" s="254"/>
      <c r="X192" s="703"/>
      <c r="Y192" s="125"/>
      <c r="Z192" s="431"/>
      <c r="AA192" s="499"/>
      <c r="AB192" s="741"/>
      <c r="AC192" s="51"/>
      <c r="AD192" s="51"/>
      <c r="AE192" s="645" t="str">
        <f t="shared" si="1"/>
        <v/>
      </c>
      <c r="AF192" s="1037" t="str">
        <f t="shared" si="2"/>
        <v/>
      </c>
      <c r="AG192" s="1037" t="str">
        <f t="shared" si="3"/>
        <v/>
      </c>
      <c r="AH192" s="1037" t="str">
        <f>IF(AE192="","",VLOOKUP(AE192,リスト!BI:BJ,2,0))</f>
        <v/>
      </c>
      <c r="AI192" s="1037" t="str">
        <f t="shared" si="41"/>
        <v/>
      </c>
      <c r="AJ192" s="1037" t="str">
        <f>IF(AI192="","",VLOOKUP(AI192,リスト!BW:BX,2,0))</f>
        <v/>
      </c>
      <c r="AK192" s="1037" t="str">
        <f t="shared" si="38"/>
        <v/>
      </c>
      <c r="AL192" s="685" t="str">
        <f t="shared" si="6"/>
        <v/>
      </c>
      <c r="AM192" s="646" t="str">
        <f t="shared" si="7"/>
        <v/>
      </c>
      <c r="AN192" s="646" t="str">
        <f t="shared" si="58"/>
        <v/>
      </c>
      <c r="AO192" s="647" t="str">
        <f t="shared" si="59"/>
        <v/>
      </c>
      <c r="AP192" s="647" t="str">
        <f t="shared" si="39"/>
        <v/>
      </c>
      <c r="AQ192" s="647" t="str">
        <f t="shared" si="9"/>
        <v/>
      </c>
      <c r="AR192" s="647" t="str">
        <f t="shared" si="10"/>
        <v/>
      </c>
      <c r="AS192" s="647" t="str">
        <f t="shared" si="11"/>
        <v/>
      </c>
      <c r="AT192" s="647" t="str">
        <f t="shared" si="40"/>
        <v/>
      </c>
      <c r="AU192" s="647" t="str">
        <f t="shared" si="13"/>
        <v/>
      </c>
      <c r="AV192" s="647" t="str">
        <f t="shared" si="14"/>
        <v/>
      </c>
      <c r="AW192" s="647" t="str">
        <f t="shared" si="15"/>
        <v/>
      </c>
      <c r="AX192" s="647" t="str">
        <f t="shared" si="16"/>
        <v/>
      </c>
    </row>
    <row r="193" spans="3:50" s="5" customFormat="1" ht="28.15" hidden="1" customHeight="1" outlineLevel="1">
      <c r="C193" s="649">
        <v>177</v>
      </c>
      <c r="D193" s="1855"/>
      <c r="E193" s="1856"/>
      <c r="F193" s="1856"/>
      <c r="G193" s="1856"/>
      <c r="H193" s="1856"/>
      <c r="I193" s="1856"/>
      <c r="J193" s="1856"/>
      <c r="K193" s="702"/>
      <c r="L193" s="1054"/>
      <c r="M193" s="705"/>
      <c r="N193" s="255"/>
      <c r="O193" s="1040"/>
      <c r="P193" s="1044"/>
      <c r="Q193" s="256"/>
      <c r="R193" s="267"/>
      <c r="S193" s="256"/>
      <c r="T193" s="256"/>
      <c r="U193" s="256"/>
      <c r="V193" s="256"/>
      <c r="W193" s="254"/>
      <c r="X193" s="703"/>
      <c r="Y193" s="125"/>
      <c r="Z193" s="431"/>
      <c r="AA193" s="499"/>
      <c r="AB193" s="741"/>
      <c r="AC193" s="51"/>
      <c r="AD193" s="51"/>
      <c r="AE193" s="645" t="str">
        <f t="shared" si="1"/>
        <v/>
      </c>
      <c r="AF193" s="1037" t="str">
        <f t="shared" si="2"/>
        <v/>
      </c>
      <c r="AG193" s="1037" t="str">
        <f t="shared" si="3"/>
        <v/>
      </c>
      <c r="AH193" s="1037" t="str">
        <f>IF(AE193="","",VLOOKUP(AE193,リスト!BI:BJ,2,0))</f>
        <v/>
      </c>
      <c r="AI193" s="1037" t="str">
        <f t="shared" si="41"/>
        <v/>
      </c>
      <c r="AJ193" s="1037" t="str">
        <f>IF(AI193="","",VLOOKUP(AI193,リスト!BW:BX,2,0))</f>
        <v/>
      </c>
      <c r="AK193" s="1037" t="str">
        <f t="shared" si="38"/>
        <v/>
      </c>
      <c r="AL193" s="685" t="str">
        <f t="shared" si="6"/>
        <v/>
      </c>
      <c r="AM193" s="646" t="str">
        <f t="shared" si="7"/>
        <v/>
      </c>
      <c r="AN193" s="646" t="str">
        <f t="shared" si="58"/>
        <v/>
      </c>
      <c r="AO193" s="647" t="str">
        <f t="shared" si="59"/>
        <v/>
      </c>
      <c r="AP193" s="647" t="str">
        <f t="shared" si="39"/>
        <v/>
      </c>
      <c r="AQ193" s="647" t="str">
        <f t="shared" si="9"/>
        <v/>
      </c>
      <c r="AR193" s="647" t="str">
        <f t="shared" si="10"/>
        <v/>
      </c>
      <c r="AS193" s="647" t="str">
        <f t="shared" si="11"/>
        <v/>
      </c>
      <c r="AT193" s="647" t="str">
        <f t="shared" si="40"/>
        <v/>
      </c>
      <c r="AU193" s="647" t="str">
        <f t="shared" si="13"/>
        <v/>
      </c>
      <c r="AV193" s="647" t="str">
        <f t="shared" si="14"/>
        <v/>
      </c>
      <c r="AW193" s="647" t="str">
        <f t="shared" si="15"/>
        <v/>
      </c>
      <c r="AX193" s="647" t="str">
        <f t="shared" si="16"/>
        <v/>
      </c>
    </row>
    <row r="194" spans="3:50" s="5" customFormat="1" ht="28.15" hidden="1" customHeight="1" outlineLevel="1">
      <c r="C194" s="649">
        <v>178</v>
      </c>
      <c r="D194" s="1855"/>
      <c r="E194" s="1856"/>
      <c r="F194" s="1856"/>
      <c r="G194" s="1856"/>
      <c r="H194" s="1856"/>
      <c r="I194" s="1856"/>
      <c r="J194" s="1856"/>
      <c r="K194" s="702"/>
      <c r="L194" s="1054"/>
      <c r="M194" s="705"/>
      <c r="N194" s="257"/>
      <c r="O194" s="1040"/>
      <c r="P194" s="1044"/>
      <c r="Q194" s="256"/>
      <c r="R194" s="267"/>
      <c r="S194" s="256"/>
      <c r="T194" s="256"/>
      <c r="U194" s="256"/>
      <c r="V194" s="256"/>
      <c r="W194" s="254"/>
      <c r="X194" s="703"/>
      <c r="Y194" s="125"/>
      <c r="Z194" s="431"/>
      <c r="AA194" s="499"/>
      <c r="AB194" s="741"/>
      <c r="AC194" s="51"/>
      <c r="AD194" s="51"/>
      <c r="AE194" s="645" t="str">
        <f t="shared" si="1"/>
        <v/>
      </c>
      <c r="AF194" s="1037" t="str">
        <f t="shared" si="2"/>
        <v/>
      </c>
      <c r="AG194" s="1037" t="str">
        <f t="shared" si="3"/>
        <v/>
      </c>
      <c r="AH194" s="1037" t="str">
        <f>IF(AE194="","",VLOOKUP(AE194,リスト!BI:BJ,2,0))</f>
        <v/>
      </c>
      <c r="AI194" s="1037" t="str">
        <f t="shared" si="41"/>
        <v/>
      </c>
      <c r="AJ194" s="1037" t="str">
        <f>IF(AI194="","",VLOOKUP(AI194,リスト!BW:BX,2,0))</f>
        <v/>
      </c>
      <c r="AK194" s="1037" t="str">
        <f t="shared" si="38"/>
        <v/>
      </c>
      <c r="AL194" s="685" t="str">
        <f t="shared" si="6"/>
        <v/>
      </c>
      <c r="AM194" s="646" t="str">
        <f t="shared" si="7"/>
        <v/>
      </c>
      <c r="AN194" s="646" t="str">
        <f t="shared" si="58"/>
        <v/>
      </c>
      <c r="AO194" s="647" t="str">
        <f t="shared" si="59"/>
        <v/>
      </c>
      <c r="AP194" s="647" t="str">
        <f t="shared" si="39"/>
        <v/>
      </c>
      <c r="AQ194" s="647" t="str">
        <f t="shared" si="9"/>
        <v/>
      </c>
      <c r="AR194" s="647" t="str">
        <f t="shared" si="10"/>
        <v/>
      </c>
      <c r="AS194" s="647" t="str">
        <f t="shared" si="11"/>
        <v/>
      </c>
      <c r="AT194" s="647" t="str">
        <f t="shared" si="40"/>
        <v/>
      </c>
      <c r="AU194" s="647" t="str">
        <f t="shared" si="13"/>
        <v/>
      </c>
      <c r="AV194" s="647" t="str">
        <f t="shared" si="14"/>
        <v/>
      </c>
      <c r="AW194" s="647" t="str">
        <f t="shared" si="15"/>
        <v/>
      </c>
      <c r="AX194" s="647" t="str">
        <f t="shared" si="16"/>
        <v/>
      </c>
    </row>
    <row r="195" spans="3:50" s="5" customFormat="1" ht="28.15" hidden="1" customHeight="1" outlineLevel="1">
      <c r="C195" s="649">
        <v>179</v>
      </c>
      <c r="D195" s="1855"/>
      <c r="E195" s="1856"/>
      <c r="F195" s="1856"/>
      <c r="G195" s="1856"/>
      <c r="H195" s="1856"/>
      <c r="I195" s="1856"/>
      <c r="J195" s="1856"/>
      <c r="K195" s="702"/>
      <c r="L195" s="1054"/>
      <c r="M195" s="705"/>
      <c r="N195" s="255"/>
      <c r="O195" s="1040"/>
      <c r="P195" s="1044"/>
      <c r="Q195" s="256"/>
      <c r="R195" s="267"/>
      <c r="S195" s="256"/>
      <c r="T195" s="256"/>
      <c r="U195" s="256"/>
      <c r="V195" s="256"/>
      <c r="W195" s="254"/>
      <c r="X195" s="703"/>
      <c r="Y195" s="125"/>
      <c r="Z195" s="431"/>
      <c r="AA195" s="499"/>
      <c r="AB195" s="741"/>
      <c r="AC195" s="51"/>
      <c r="AD195" s="51"/>
      <c r="AE195" s="645" t="str">
        <f t="shared" si="1"/>
        <v/>
      </c>
      <c r="AF195" s="1037" t="str">
        <f t="shared" si="2"/>
        <v/>
      </c>
      <c r="AG195" s="1037" t="str">
        <f t="shared" si="3"/>
        <v/>
      </c>
      <c r="AH195" s="1037" t="str">
        <f>IF(AE195="","",VLOOKUP(AE195,リスト!BI:BJ,2,0))</f>
        <v/>
      </c>
      <c r="AI195" s="1037" t="str">
        <f t="shared" si="41"/>
        <v/>
      </c>
      <c r="AJ195" s="1037" t="str">
        <f>IF(AI195="","",VLOOKUP(AI195,リスト!BW:BX,2,0))</f>
        <v/>
      </c>
      <c r="AK195" s="1037" t="str">
        <f t="shared" si="38"/>
        <v/>
      </c>
      <c r="AL195" s="685" t="str">
        <f t="shared" si="6"/>
        <v/>
      </c>
      <c r="AM195" s="646" t="str">
        <f t="shared" si="7"/>
        <v/>
      </c>
      <c r="AN195" s="646" t="str">
        <f t="shared" si="58"/>
        <v/>
      </c>
      <c r="AO195" s="647" t="str">
        <f t="shared" si="59"/>
        <v/>
      </c>
      <c r="AP195" s="647" t="str">
        <f t="shared" si="39"/>
        <v/>
      </c>
      <c r="AQ195" s="647" t="str">
        <f t="shared" si="9"/>
        <v/>
      </c>
      <c r="AR195" s="647" t="str">
        <f t="shared" si="10"/>
        <v/>
      </c>
      <c r="AS195" s="647" t="str">
        <f t="shared" si="11"/>
        <v/>
      </c>
      <c r="AT195" s="647" t="str">
        <f t="shared" si="40"/>
        <v/>
      </c>
      <c r="AU195" s="647" t="str">
        <f t="shared" si="13"/>
        <v/>
      </c>
      <c r="AV195" s="647" t="str">
        <f t="shared" si="14"/>
        <v/>
      </c>
      <c r="AW195" s="647" t="str">
        <f t="shared" si="15"/>
        <v/>
      </c>
      <c r="AX195" s="647" t="str">
        <f t="shared" si="16"/>
        <v/>
      </c>
    </row>
    <row r="196" spans="3:50" s="5" customFormat="1" ht="28.15" hidden="1" customHeight="1" outlineLevel="1">
      <c r="C196" s="649">
        <v>180</v>
      </c>
      <c r="D196" s="1855"/>
      <c r="E196" s="1856"/>
      <c r="F196" s="1856"/>
      <c r="G196" s="1856"/>
      <c r="H196" s="1856"/>
      <c r="I196" s="1856"/>
      <c r="J196" s="1856"/>
      <c r="K196" s="702"/>
      <c r="L196" s="1054"/>
      <c r="M196" s="705"/>
      <c r="N196" s="257"/>
      <c r="O196" s="1040"/>
      <c r="P196" s="1044"/>
      <c r="Q196" s="256"/>
      <c r="R196" s="267"/>
      <c r="S196" s="256"/>
      <c r="T196" s="256"/>
      <c r="U196" s="256"/>
      <c r="V196" s="256"/>
      <c r="W196" s="254"/>
      <c r="X196" s="703"/>
      <c r="Y196" s="125"/>
      <c r="Z196" s="431"/>
      <c r="AA196" s="499"/>
      <c r="AB196" s="741"/>
      <c r="AC196" s="51"/>
      <c r="AD196" s="51"/>
      <c r="AE196" s="645" t="str">
        <f t="shared" si="1"/>
        <v/>
      </c>
      <c r="AF196" s="1037" t="str">
        <f t="shared" si="2"/>
        <v/>
      </c>
      <c r="AG196" s="1037" t="str">
        <f t="shared" si="3"/>
        <v/>
      </c>
      <c r="AH196" s="1037" t="str">
        <f>IF(AE196="","",VLOOKUP(AE196,リスト!BI:BJ,2,0))</f>
        <v/>
      </c>
      <c r="AI196" s="1037" t="str">
        <f t="shared" si="41"/>
        <v/>
      </c>
      <c r="AJ196" s="1037" t="str">
        <f>IF(AI196="","",VLOOKUP(AI196,リスト!BW:BX,2,0))</f>
        <v/>
      </c>
      <c r="AK196" s="1037" t="str">
        <f t="shared" si="38"/>
        <v/>
      </c>
      <c r="AL196" s="685" t="str">
        <f t="shared" si="6"/>
        <v/>
      </c>
      <c r="AM196" s="646" t="str">
        <f t="shared" si="7"/>
        <v/>
      </c>
      <c r="AN196" s="646" t="str">
        <f t="shared" si="58"/>
        <v/>
      </c>
      <c r="AO196" s="647" t="str">
        <f t="shared" si="59"/>
        <v/>
      </c>
      <c r="AP196" s="647" t="str">
        <f t="shared" si="39"/>
        <v/>
      </c>
      <c r="AQ196" s="647" t="str">
        <f t="shared" si="9"/>
        <v/>
      </c>
      <c r="AR196" s="647" t="str">
        <f t="shared" si="10"/>
        <v/>
      </c>
      <c r="AS196" s="647" t="str">
        <f t="shared" si="11"/>
        <v/>
      </c>
      <c r="AT196" s="647" t="str">
        <f t="shared" si="40"/>
        <v/>
      </c>
      <c r="AU196" s="647" t="str">
        <f t="shared" si="13"/>
        <v/>
      </c>
      <c r="AV196" s="647" t="str">
        <f t="shared" si="14"/>
        <v/>
      </c>
      <c r="AW196" s="647" t="str">
        <f t="shared" si="15"/>
        <v/>
      </c>
      <c r="AX196" s="647" t="str">
        <f t="shared" si="16"/>
        <v/>
      </c>
    </row>
    <row r="197" spans="3:50" s="5" customFormat="1" ht="28.15" hidden="1" customHeight="1" outlineLevel="1">
      <c r="C197" s="649">
        <v>181</v>
      </c>
      <c r="D197" s="1855"/>
      <c r="E197" s="1856"/>
      <c r="F197" s="1856"/>
      <c r="G197" s="1856"/>
      <c r="H197" s="1856"/>
      <c r="I197" s="1856"/>
      <c r="J197" s="1856"/>
      <c r="K197" s="702"/>
      <c r="L197" s="1054"/>
      <c r="M197" s="705"/>
      <c r="N197" s="255"/>
      <c r="O197" s="1040"/>
      <c r="P197" s="1044"/>
      <c r="Q197" s="256"/>
      <c r="R197" s="267"/>
      <c r="S197" s="256"/>
      <c r="T197" s="256"/>
      <c r="U197" s="256"/>
      <c r="V197" s="256"/>
      <c r="W197" s="254"/>
      <c r="X197" s="703"/>
      <c r="Y197" s="125"/>
      <c r="Z197" s="431"/>
      <c r="AA197" s="499"/>
      <c r="AB197" s="741"/>
      <c r="AC197" s="51"/>
      <c r="AD197" s="51"/>
      <c r="AE197" s="645" t="str">
        <f t="shared" si="1"/>
        <v/>
      </c>
      <c r="AF197" s="1037" t="str">
        <f t="shared" si="2"/>
        <v/>
      </c>
      <c r="AG197" s="1037" t="str">
        <f t="shared" si="3"/>
        <v/>
      </c>
      <c r="AH197" s="1037" t="str">
        <f>IF(AE197="","",VLOOKUP(AE197,リスト!BI:BJ,2,0))</f>
        <v/>
      </c>
      <c r="AI197" s="1037" t="str">
        <f t="shared" si="41"/>
        <v/>
      </c>
      <c r="AJ197" s="1037" t="str">
        <f>IF(AI197="","",VLOOKUP(AI197,リスト!BW:BX,2,0))</f>
        <v/>
      </c>
      <c r="AK197" s="1037" t="str">
        <f t="shared" si="38"/>
        <v/>
      </c>
      <c r="AL197" s="685" t="str">
        <f t="shared" si="6"/>
        <v/>
      </c>
      <c r="AM197" s="646" t="str">
        <f t="shared" si="7"/>
        <v/>
      </c>
      <c r="AN197" s="646" t="str">
        <f t="shared" si="58"/>
        <v/>
      </c>
      <c r="AO197" s="647" t="str">
        <f t="shared" si="59"/>
        <v/>
      </c>
      <c r="AP197" s="647" t="str">
        <f t="shared" si="39"/>
        <v/>
      </c>
      <c r="AQ197" s="647" t="str">
        <f t="shared" si="9"/>
        <v/>
      </c>
      <c r="AR197" s="647" t="str">
        <f t="shared" si="10"/>
        <v/>
      </c>
      <c r="AS197" s="647" t="str">
        <f t="shared" si="11"/>
        <v/>
      </c>
      <c r="AT197" s="647" t="str">
        <f t="shared" si="40"/>
        <v/>
      </c>
      <c r="AU197" s="647" t="str">
        <f t="shared" si="13"/>
        <v/>
      </c>
      <c r="AV197" s="647" t="str">
        <f t="shared" si="14"/>
        <v/>
      </c>
      <c r="AW197" s="647" t="str">
        <f t="shared" si="15"/>
        <v/>
      </c>
      <c r="AX197" s="647" t="str">
        <f t="shared" si="16"/>
        <v/>
      </c>
    </row>
    <row r="198" spans="3:50" s="5" customFormat="1" ht="28.15" hidden="1" customHeight="1" outlineLevel="1">
      <c r="C198" s="649">
        <v>182</v>
      </c>
      <c r="D198" s="1855"/>
      <c r="E198" s="1856"/>
      <c r="F198" s="1856"/>
      <c r="G198" s="1856"/>
      <c r="H198" s="1856"/>
      <c r="I198" s="1856"/>
      <c r="J198" s="1857"/>
      <c r="K198" s="702"/>
      <c r="L198" s="1054"/>
      <c r="M198" s="666"/>
      <c r="N198" s="266"/>
      <c r="O198" s="1040"/>
      <c r="P198" s="1041"/>
      <c r="Q198" s="267"/>
      <c r="R198" s="267"/>
      <c r="S198" s="267"/>
      <c r="T198" s="267"/>
      <c r="U198" s="267"/>
      <c r="V198" s="267"/>
      <c r="W198" s="254"/>
      <c r="X198" s="703"/>
      <c r="Y198" s="125"/>
      <c r="Z198" s="431"/>
      <c r="AA198" s="499"/>
      <c r="AB198" s="741"/>
      <c r="AC198" s="51"/>
      <c r="AD198" s="51"/>
      <c r="AE198" s="645" t="str">
        <f t="shared" ref="AE198:AE215" si="60">IF(AND(K198="",L198=""),"","["&amp;RIGHT(LEFT(K198,2),1)&amp;RIGHT(LEFT(L198,2),1)&amp;"]")</f>
        <v/>
      </c>
      <c r="AF198" s="1037" t="str">
        <f t="shared" ref="AF198:AF215" si="61">IF(AE198="","",IF(Q198&lt;100000,1,0))</f>
        <v/>
      </c>
      <c r="AG198" s="1037" t="str">
        <f t="shared" ref="AG198:AG215" si="62">IF(AE198="","",IF(AND(AF198=0,Q198&lt;200000),1,))</f>
        <v/>
      </c>
      <c r="AH198" s="1037" t="str">
        <f>IF(AE198="","",VLOOKUP(AE198,リスト!BI:BJ,2,0))</f>
        <v/>
      </c>
      <c r="AI198" s="1037" t="str">
        <f t="shared" si="41"/>
        <v/>
      </c>
      <c r="AJ198" s="1037" t="str">
        <f>IF(AI198="","",VLOOKUP(AI198,リスト!BW:BX,2,0))</f>
        <v/>
      </c>
      <c r="AK198" s="1037" t="str">
        <f t="shared" si="38"/>
        <v/>
      </c>
      <c r="AL198" s="685" t="str">
        <f t="shared" ref="AL198:AL215" si="63">IF(OR(AE198="",AF198=1),"",
IF(AND(AI198&gt;0,AK198&lt;AI198,AM198&lt;=ROUND((Q198-1)*AJ198,0)),ROUND(AM198,0),
IF(AND(AI198&gt;0,AK198&lt;AI198),ROUND((Q198-1)*AJ198,0),
"")))</f>
        <v/>
      </c>
      <c r="AM198" s="646" t="str">
        <f t="shared" ref="AM198:AM215" si="64">IF(OR(AE198="",AF198=1),"",
IF(AND(AI198&gt;0,AK198&lt;AI198),Q198-ROUND((Q198-1)*AJ198*AK198,0),1
))</f>
        <v/>
      </c>
      <c r="AN198" s="646" t="str">
        <f t="shared" ref="AN198:AN215" si="65">IF(OR(AE198="",AF198=1),"",
IF(X198="",AL198,
IF(X198="2：廃棄等",SUM(AM198,Y198),
IF(X198="1：売却",AM198-Y198,
IF(AND(Y198="",AL198=""),"",SUM(Y198,AL198))))))</f>
        <v/>
      </c>
      <c r="AO198" s="647" t="str">
        <f t="shared" ref="AO198:AO215" si="66">IF(AND(AN198="",AL198=""),"",
IF(OR(X198="2：廃棄等",X198="1：売却"),SUM(AN198)-SUM(AL198),""))</f>
        <v/>
      </c>
      <c r="AP198" s="647" t="str">
        <f t="shared" si="39"/>
        <v/>
      </c>
      <c r="AQ198" s="647" t="str">
        <f t="shared" ref="AQ198:AQ215" si="67">IF(W198="","",IF(AN198="","",ROUND(AN198*W198%,0)))</f>
        <v/>
      </c>
      <c r="AR198" s="647" t="str">
        <f t="shared" ref="AR198:AR215" si="68">IF(W198="","",IF(AO198="","",ROUND(AO198*W198%,0)))</f>
        <v/>
      </c>
      <c r="AS198" s="647" t="str">
        <f t="shared" ref="AS198:AS215" si="69">IF(W198="","",IF(AM198="","",ROUND(AM198*W198%,0)))</f>
        <v/>
      </c>
      <c r="AT198" s="647" t="str">
        <f t="shared" si="40"/>
        <v/>
      </c>
      <c r="AU198" s="647" t="str">
        <f t="shared" ref="AU198:AU215" si="70">IF(W198="","",IF(S198="","",ROUND(S198*W198%,0)))</f>
        <v/>
      </c>
      <c r="AV198" s="647" t="str">
        <f t="shared" ref="AV198:AV215" si="71">IF(W198="","",IF(T198="","",ROUND(T198*W198%,0)))</f>
        <v/>
      </c>
      <c r="AW198" s="647" t="str">
        <f t="shared" ref="AW198:AW215" si="72">IF(W198="","",IF(U198="","",ROUND(U198*W198%,0)))</f>
        <v/>
      </c>
      <c r="AX198" s="647" t="str">
        <f t="shared" ref="AX198:AX215" si="73">IF(W198="","",IF(V198="","",ROUND(V198*W198%,0)))</f>
        <v/>
      </c>
    </row>
    <row r="199" spans="3:50" s="5" customFormat="1" ht="28.15" hidden="1" customHeight="1" outlineLevel="1">
      <c r="C199" s="649">
        <v>183</v>
      </c>
      <c r="D199" s="1865"/>
      <c r="E199" s="1866"/>
      <c r="F199" s="1866"/>
      <c r="G199" s="1866"/>
      <c r="H199" s="1866"/>
      <c r="I199" s="1866"/>
      <c r="J199" s="1866"/>
      <c r="K199" s="704"/>
      <c r="L199" s="1055"/>
      <c r="M199" s="705"/>
      <c r="N199" s="257"/>
      <c r="O199" s="1042"/>
      <c r="P199" s="1041"/>
      <c r="Q199" s="256"/>
      <c r="R199" s="267"/>
      <c r="S199" s="256"/>
      <c r="T199" s="256"/>
      <c r="U199" s="256"/>
      <c r="V199" s="256"/>
      <c r="W199" s="254"/>
      <c r="X199" s="703"/>
      <c r="Y199" s="125"/>
      <c r="Z199" s="431"/>
      <c r="AA199" s="499"/>
      <c r="AB199" s="741"/>
      <c r="AC199" s="51"/>
      <c r="AD199" s="51"/>
      <c r="AE199" s="645" t="str">
        <f t="shared" si="60"/>
        <v/>
      </c>
      <c r="AF199" s="1037" t="str">
        <f t="shared" si="61"/>
        <v/>
      </c>
      <c r="AG199" s="1037" t="str">
        <f t="shared" si="62"/>
        <v/>
      </c>
      <c r="AH199" s="1037" t="str">
        <f>IF(AE199="","",VLOOKUP(AE199,リスト!BI:BJ,2,0))</f>
        <v/>
      </c>
      <c r="AI199" s="1037" t="str">
        <f t="shared" si="41"/>
        <v/>
      </c>
      <c r="AJ199" s="1037" t="str">
        <f>IF(AI199="","",VLOOKUP(AI199,リスト!BW:BX,2,0))</f>
        <v/>
      </c>
      <c r="AK199" s="1037" t="str">
        <f t="shared" si="38"/>
        <v/>
      </c>
      <c r="AL199" s="685" t="str">
        <f t="shared" si="63"/>
        <v/>
      </c>
      <c r="AM199" s="646" t="str">
        <f t="shared" si="64"/>
        <v/>
      </c>
      <c r="AN199" s="646" t="str">
        <f t="shared" si="65"/>
        <v/>
      </c>
      <c r="AO199" s="647" t="str">
        <f t="shared" si="66"/>
        <v/>
      </c>
      <c r="AP199" s="647" t="str">
        <f t="shared" si="39"/>
        <v/>
      </c>
      <c r="AQ199" s="647" t="str">
        <f t="shared" si="67"/>
        <v/>
      </c>
      <c r="AR199" s="647" t="str">
        <f t="shared" si="68"/>
        <v/>
      </c>
      <c r="AS199" s="647" t="str">
        <f t="shared" si="69"/>
        <v/>
      </c>
      <c r="AT199" s="647" t="str">
        <f t="shared" si="40"/>
        <v/>
      </c>
      <c r="AU199" s="647" t="str">
        <f t="shared" si="70"/>
        <v/>
      </c>
      <c r="AV199" s="647" t="str">
        <f t="shared" si="71"/>
        <v/>
      </c>
      <c r="AW199" s="647" t="str">
        <f t="shared" si="72"/>
        <v/>
      </c>
      <c r="AX199" s="647" t="str">
        <f t="shared" si="73"/>
        <v/>
      </c>
    </row>
    <row r="200" spans="3:50" s="5" customFormat="1" ht="28.15" hidden="1" customHeight="1" outlineLevel="1">
      <c r="C200" s="649">
        <v>184</v>
      </c>
      <c r="D200" s="1855"/>
      <c r="E200" s="1856"/>
      <c r="F200" s="1856"/>
      <c r="G200" s="1856"/>
      <c r="H200" s="1856"/>
      <c r="I200" s="1856"/>
      <c r="J200" s="1856"/>
      <c r="K200" s="702"/>
      <c r="L200" s="1054"/>
      <c r="M200" s="705"/>
      <c r="N200" s="255"/>
      <c r="O200" s="1040"/>
      <c r="P200" s="1041"/>
      <c r="Q200" s="256"/>
      <c r="R200" s="267"/>
      <c r="S200" s="256"/>
      <c r="T200" s="256"/>
      <c r="U200" s="256"/>
      <c r="V200" s="256"/>
      <c r="W200" s="254"/>
      <c r="X200" s="703"/>
      <c r="Y200" s="125"/>
      <c r="Z200" s="431"/>
      <c r="AA200" s="499"/>
      <c r="AB200" s="741"/>
      <c r="AC200" s="51"/>
      <c r="AD200" s="51"/>
      <c r="AE200" s="645" t="str">
        <f t="shared" si="60"/>
        <v/>
      </c>
      <c r="AF200" s="1037" t="str">
        <f t="shared" si="61"/>
        <v/>
      </c>
      <c r="AG200" s="1037" t="str">
        <f t="shared" si="62"/>
        <v/>
      </c>
      <c r="AH200" s="1037" t="str">
        <f>IF(AE200="","",VLOOKUP(AE200,リスト!BI:BJ,2,0))</f>
        <v/>
      </c>
      <c r="AI200" s="1037" t="str">
        <f t="shared" si="41"/>
        <v/>
      </c>
      <c r="AJ200" s="1037" t="str">
        <f>IF(AI200="","",VLOOKUP(AI200,リスト!BW:BX,2,0))</f>
        <v/>
      </c>
      <c r="AK200" s="1037" t="str">
        <f t="shared" si="38"/>
        <v/>
      </c>
      <c r="AL200" s="685" t="str">
        <f t="shared" si="63"/>
        <v/>
      </c>
      <c r="AM200" s="646" t="str">
        <f t="shared" si="64"/>
        <v/>
      </c>
      <c r="AN200" s="646" t="str">
        <f t="shared" si="65"/>
        <v/>
      </c>
      <c r="AO200" s="647" t="str">
        <f t="shared" si="66"/>
        <v/>
      </c>
      <c r="AP200" s="647" t="str">
        <f t="shared" si="39"/>
        <v/>
      </c>
      <c r="AQ200" s="647" t="str">
        <f t="shared" si="67"/>
        <v/>
      </c>
      <c r="AR200" s="647" t="str">
        <f t="shared" si="68"/>
        <v/>
      </c>
      <c r="AS200" s="647" t="str">
        <f t="shared" si="69"/>
        <v/>
      </c>
      <c r="AT200" s="647" t="str">
        <f t="shared" si="40"/>
        <v/>
      </c>
      <c r="AU200" s="647" t="str">
        <f t="shared" si="70"/>
        <v/>
      </c>
      <c r="AV200" s="647" t="str">
        <f t="shared" si="71"/>
        <v/>
      </c>
      <c r="AW200" s="647" t="str">
        <f t="shared" si="72"/>
        <v/>
      </c>
      <c r="AX200" s="647" t="str">
        <f t="shared" si="73"/>
        <v/>
      </c>
    </row>
    <row r="201" spans="3:50" s="5" customFormat="1" ht="28.15" hidden="1" customHeight="1" outlineLevel="1">
      <c r="C201" s="649">
        <v>185</v>
      </c>
      <c r="D201" s="1865"/>
      <c r="E201" s="1866"/>
      <c r="F201" s="1866"/>
      <c r="G201" s="1866"/>
      <c r="H201" s="1866"/>
      <c r="I201" s="1866"/>
      <c r="J201" s="1866"/>
      <c r="K201" s="704"/>
      <c r="L201" s="1055"/>
      <c r="M201" s="705"/>
      <c r="N201" s="257"/>
      <c r="O201" s="1042"/>
      <c r="P201" s="1041"/>
      <c r="Q201" s="256"/>
      <c r="R201" s="267"/>
      <c r="S201" s="256"/>
      <c r="T201" s="256"/>
      <c r="U201" s="256"/>
      <c r="V201" s="256"/>
      <c r="W201" s="254"/>
      <c r="X201" s="703"/>
      <c r="Y201" s="125"/>
      <c r="Z201" s="431"/>
      <c r="AA201" s="499"/>
      <c r="AB201" s="741"/>
      <c r="AC201" s="51"/>
      <c r="AD201" s="51"/>
      <c r="AE201" s="645" t="str">
        <f t="shared" si="60"/>
        <v/>
      </c>
      <c r="AF201" s="1037" t="str">
        <f t="shared" si="61"/>
        <v/>
      </c>
      <c r="AG201" s="1037" t="str">
        <f t="shared" si="62"/>
        <v/>
      </c>
      <c r="AH201" s="1037" t="str">
        <f>IF(AE201="","",VLOOKUP(AE201,リスト!BI:BJ,2,0))</f>
        <v/>
      </c>
      <c r="AI201" s="1037" t="str">
        <f t="shared" si="41"/>
        <v/>
      </c>
      <c r="AJ201" s="1037" t="str">
        <f>IF(AI201="","",VLOOKUP(AI201,リスト!BW:BX,2,0))</f>
        <v/>
      </c>
      <c r="AK201" s="1037" t="str">
        <f t="shared" si="38"/>
        <v/>
      </c>
      <c r="AL201" s="685" t="str">
        <f t="shared" si="63"/>
        <v/>
      </c>
      <c r="AM201" s="646" t="str">
        <f t="shared" si="64"/>
        <v/>
      </c>
      <c r="AN201" s="646" t="str">
        <f t="shared" si="65"/>
        <v/>
      </c>
      <c r="AO201" s="647" t="str">
        <f t="shared" si="66"/>
        <v/>
      </c>
      <c r="AP201" s="647" t="str">
        <f t="shared" si="39"/>
        <v/>
      </c>
      <c r="AQ201" s="647" t="str">
        <f t="shared" si="67"/>
        <v/>
      </c>
      <c r="AR201" s="647" t="str">
        <f t="shared" si="68"/>
        <v/>
      </c>
      <c r="AS201" s="647" t="str">
        <f t="shared" si="69"/>
        <v/>
      </c>
      <c r="AT201" s="647" t="str">
        <f t="shared" si="40"/>
        <v/>
      </c>
      <c r="AU201" s="647" t="str">
        <f t="shared" si="70"/>
        <v/>
      </c>
      <c r="AV201" s="647" t="str">
        <f t="shared" si="71"/>
        <v/>
      </c>
      <c r="AW201" s="647" t="str">
        <f t="shared" si="72"/>
        <v/>
      </c>
      <c r="AX201" s="647" t="str">
        <f t="shared" si="73"/>
        <v/>
      </c>
    </row>
    <row r="202" spans="3:50" s="5" customFormat="1" ht="28.15" hidden="1" customHeight="1" outlineLevel="1">
      <c r="C202" s="649">
        <v>186</v>
      </c>
      <c r="D202" s="1855"/>
      <c r="E202" s="1856"/>
      <c r="F202" s="1856"/>
      <c r="G202" s="1856"/>
      <c r="H202" s="1856"/>
      <c r="I202" s="1856"/>
      <c r="J202" s="1856"/>
      <c r="K202" s="702"/>
      <c r="L202" s="1054"/>
      <c r="M202" s="705"/>
      <c r="N202" s="255"/>
      <c r="O202" s="1040"/>
      <c r="P202" s="1041"/>
      <c r="Q202" s="256"/>
      <c r="R202" s="267"/>
      <c r="S202" s="256"/>
      <c r="T202" s="256"/>
      <c r="U202" s="256"/>
      <c r="V202" s="256"/>
      <c r="W202" s="254"/>
      <c r="X202" s="703"/>
      <c r="Y202" s="125"/>
      <c r="Z202" s="431"/>
      <c r="AA202" s="499"/>
      <c r="AB202" s="741"/>
      <c r="AC202" s="51"/>
      <c r="AD202" s="51"/>
      <c r="AE202" s="645" t="str">
        <f t="shared" si="60"/>
        <v/>
      </c>
      <c r="AF202" s="1037" t="str">
        <f t="shared" si="61"/>
        <v/>
      </c>
      <c r="AG202" s="1037" t="str">
        <f t="shared" si="62"/>
        <v/>
      </c>
      <c r="AH202" s="1037" t="str">
        <f>IF(AE202="","",VLOOKUP(AE202,リスト!BI:BJ,2,0))</f>
        <v/>
      </c>
      <c r="AI202" s="1037" t="str">
        <f t="shared" si="41"/>
        <v/>
      </c>
      <c r="AJ202" s="1037" t="str">
        <f>IF(AI202="","",VLOOKUP(AI202,リスト!BW:BX,2,0))</f>
        <v/>
      </c>
      <c r="AK202" s="1037" t="str">
        <f t="shared" si="38"/>
        <v/>
      </c>
      <c r="AL202" s="685" t="str">
        <f t="shared" si="63"/>
        <v/>
      </c>
      <c r="AM202" s="646" t="str">
        <f t="shared" si="64"/>
        <v/>
      </c>
      <c r="AN202" s="646" t="str">
        <f t="shared" si="65"/>
        <v/>
      </c>
      <c r="AO202" s="647" t="str">
        <f t="shared" si="66"/>
        <v/>
      </c>
      <c r="AP202" s="647" t="str">
        <f t="shared" si="39"/>
        <v/>
      </c>
      <c r="AQ202" s="647" t="str">
        <f t="shared" si="67"/>
        <v/>
      </c>
      <c r="AR202" s="647" t="str">
        <f t="shared" si="68"/>
        <v/>
      </c>
      <c r="AS202" s="647" t="str">
        <f t="shared" si="69"/>
        <v/>
      </c>
      <c r="AT202" s="647" t="str">
        <f t="shared" si="40"/>
        <v/>
      </c>
      <c r="AU202" s="647" t="str">
        <f t="shared" si="70"/>
        <v/>
      </c>
      <c r="AV202" s="647" t="str">
        <f t="shared" si="71"/>
        <v/>
      </c>
      <c r="AW202" s="647" t="str">
        <f t="shared" si="72"/>
        <v/>
      </c>
      <c r="AX202" s="647" t="str">
        <f t="shared" si="73"/>
        <v/>
      </c>
    </row>
    <row r="203" spans="3:50" s="5" customFormat="1" ht="28.15" hidden="1" customHeight="1" outlineLevel="1">
      <c r="C203" s="649">
        <v>187</v>
      </c>
      <c r="D203" s="1865"/>
      <c r="E203" s="1866"/>
      <c r="F203" s="1866"/>
      <c r="G203" s="1866"/>
      <c r="H203" s="1866"/>
      <c r="I203" s="1866"/>
      <c r="J203" s="1866"/>
      <c r="K203" s="704"/>
      <c r="L203" s="1055"/>
      <c r="M203" s="705"/>
      <c r="N203" s="257"/>
      <c r="O203" s="1042"/>
      <c r="P203" s="1041"/>
      <c r="Q203" s="256"/>
      <c r="R203" s="267"/>
      <c r="S203" s="256"/>
      <c r="T203" s="256"/>
      <c r="U203" s="256"/>
      <c r="V203" s="256"/>
      <c r="W203" s="254"/>
      <c r="X203" s="703"/>
      <c r="Y203" s="125"/>
      <c r="Z203" s="431"/>
      <c r="AA203" s="499"/>
      <c r="AB203" s="741"/>
      <c r="AC203" s="51"/>
      <c r="AD203" s="51"/>
      <c r="AE203" s="645" t="str">
        <f t="shared" si="60"/>
        <v/>
      </c>
      <c r="AF203" s="1037" t="str">
        <f t="shared" si="61"/>
        <v/>
      </c>
      <c r="AG203" s="1037" t="str">
        <f t="shared" si="62"/>
        <v/>
      </c>
      <c r="AH203" s="1037" t="str">
        <f>IF(AE203="","",VLOOKUP(AE203,リスト!BI:BJ,2,0))</f>
        <v/>
      </c>
      <c r="AI203" s="1037" t="str">
        <f t="shared" si="41"/>
        <v/>
      </c>
      <c r="AJ203" s="1037" t="str">
        <f>IF(AI203="","",VLOOKUP(AI203,リスト!BW:BX,2,0))</f>
        <v/>
      </c>
      <c r="AK203" s="1037" t="str">
        <f t="shared" si="38"/>
        <v/>
      </c>
      <c r="AL203" s="685" t="str">
        <f t="shared" si="63"/>
        <v/>
      </c>
      <c r="AM203" s="646" t="str">
        <f t="shared" si="64"/>
        <v/>
      </c>
      <c r="AN203" s="646" t="str">
        <f t="shared" si="65"/>
        <v/>
      </c>
      <c r="AO203" s="647" t="str">
        <f t="shared" si="66"/>
        <v/>
      </c>
      <c r="AP203" s="647" t="str">
        <f t="shared" si="39"/>
        <v/>
      </c>
      <c r="AQ203" s="647" t="str">
        <f t="shared" si="67"/>
        <v/>
      </c>
      <c r="AR203" s="647" t="str">
        <f t="shared" si="68"/>
        <v/>
      </c>
      <c r="AS203" s="647" t="str">
        <f t="shared" si="69"/>
        <v/>
      </c>
      <c r="AT203" s="647" t="str">
        <f t="shared" si="40"/>
        <v/>
      </c>
      <c r="AU203" s="647" t="str">
        <f t="shared" si="70"/>
        <v/>
      </c>
      <c r="AV203" s="647" t="str">
        <f t="shared" si="71"/>
        <v/>
      </c>
      <c r="AW203" s="647" t="str">
        <f t="shared" si="72"/>
        <v/>
      </c>
      <c r="AX203" s="647" t="str">
        <f t="shared" si="73"/>
        <v/>
      </c>
    </row>
    <row r="204" spans="3:50" s="5" customFormat="1" ht="28.15" hidden="1" customHeight="1" outlineLevel="1">
      <c r="C204" s="649">
        <v>188</v>
      </c>
      <c r="D204" s="1855"/>
      <c r="E204" s="1856"/>
      <c r="F204" s="1856"/>
      <c r="G204" s="1856"/>
      <c r="H204" s="1856"/>
      <c r="I204" s="1856"/>
      <c r="J204" s="1856"/>
      <c r="K204" s="702"/>
      <c r="L204" s="1054"/>
      <c r="M204" s="705"/>
      <c r="N204" s="255"/>
      <c r="O204" s="1040"/>
      <c r="P204" s="1041"/>
      <c r="Q204" s="256"/>
      <c r="R204" s="267"/>
      <c r="S204" s="256"/>
      <c r="T204" s="256"/>
      <c r="U204" s="256"/>
      <c r="V204" s="256"/>
      <c r="W204" s="254"/>
      <c r="X204" s="703"/>
      <c r="Y204" s="125"/>
      <c r="Z204" s="431"/>
      <c r="AA204" s="499"/>
      <c r="AB204" s="741"/>
      <c r="AC204" s="51"/>
      <c r="AD204" s="51"/>
      <c r="AE204" s="645" t="str">
        <f t="shared" si="60"/>
        <v/>
      </c>
      <c r="AF204" s="1037" t="str">
        <f t="shared" si="61"/>
        <v/>
      </c>
      <c r="AG204" s="1037" t="str">
        <f t="shared" si="62"/>
        <v/>
      </c>
      <c r="AH204" s="1037" t="str">
        <f>IF(AE204="","",VLOOKUP(AE204,リスト!BI:BJ,2,0))</f>
        <v/>
      </c>
      <c r="AI204" s="1037" t="str">
        <f t="shared" si="41"/>
        <v/>
      </c>
      <c r="AJ204" s="1037" t="str">
        <f>IF(AI204="","",VLOOKUP(AI204,リスト!BW:BX,2,0))</f>
        <v/>
      </c>
      <c r="AK204" s="1037" t="str">
        <f t="shared" si="38"/>
        <v/>
      </c>
      <c r="AL204" s="685" t="str">
        <f t="shared" si="63"/>
        <v/>
      </c>
      <c r="AM204" s="646" t="str">
        <f t="shared" si="64"/>
        <v/>
      </c>
      <c r="AN204" s="646" t="str">
        <f t="shared" si="65"/>
        <v/>
      </c>
      <c r="AO204" s="647" t="str">
        <f t="shared" si="66"/>
        <v/>
      </c>
      <c r="AP204" s="647" t="str">
        <f t="shared" si="39"/>
        <v/>
      </c>
      <c r="AQ204" s="647" t="str">
        <f t="shared" si="67"/>
        <v/>
      </c>
      <c r="AR204" s="647" t="str">
        <f t="shared" si="68"/>
        <v/>
      </c>
      <c r="AS204" s="647" t="str">
        <f t="shared" si="69"/>
        <v/>
      </c>
      <c r="AT204" s="647" t="str">
        <f t="shared" si="40"/>
        <v/>
      </c>
      <c r="AU204" s="647" t="str">
        <f t="shared" si="70"/>
        <v/>
      </c>
      <c r="AV204" s="647" t="str">
        <f t="shared" si="71"/>
        <v/>
      </c>
      <c r="AW204" s="647" t="str">
        <f t="shared" si="72"/>
        <v/>
      </c>
      <c r="AX204" s="647" t="str">
        <f t="shared" si="73"/>
        <v/>
      </c>
    </row>
    <row r="205" spans="3:50" s="5" customFormat="1" ht="28.15" hidden="1" customHeight="1" outlineLevel="1">
      <c r="C205" s="649">
        <v>189</v>
      </c>
      <c r="D205" s="1865"/>
      <c r="E205" s="1866"/>
      <c r="F205" s="1866"/>
      <c r="G205" s="1866"/>
      <c r="H205" s="1866"/>
      <c r="I205" s="1866"/>
      <c r="J205" s="1866"/>
      <c r="K205" s="704"/>
      <c r="L205" s="1055"/>
      <c r="M205" s="705"/>
      <c r="N205" s="255"/>
      <c r="O205" s="1042"/>
      <c r="P205" s="1041"/>
      <c r="Q205" s="256"/>
      <c r="R205" s="267"/>
      <c r="S205" s="256"/>
      <c r="T205" s="256"/>
      <c r="U205" s="256"/>
      <c r="V205" s="256"/>
      <c r="W205" s="254"/>
      <c r="X205" s="703"/>
      <c r="Y205" s="125"/>
      <c r="Z205" s="431"/>
      <c r="AA205" s="499"/>
      <c r="AB205" s="741"/>
      <c r="AC205" s="51"/>
      <c r="AD205" s="51"/>
      <c r="AE205" s="645" t="str">
        <f t="shared" si="60"/>
        <v/>
      </c>
      <c r="AF205" s="1037" t="str">
        <f t="shared" si="61"/>
        <v/>
      </c>
      <c r="AG205" s="1037" t="str">
        <f t="shared" si="62"/>
        <v/>
      </c>
      <c r="AH205" s="1037" t="str">
        <f>IF(AE205="","",VLOOKUP(AE205,リスト!BI:BJ,2,0))</f>
        <v/>
      </c>
      <c r="AI205" s="1037" t="str">
        <f t="shared" si="41"/>
        <v/>
      </c>
      <c r="AJ205" s="1037" t="str">
        <f>IF(AI205="","",VLOOKUP(AI205,リスト!BW:BX,2,0))</f>
        <v/>
      </c>
      <c r="AK205" s="1037" t="str">
        <f t="shared" si="38"/>
        <v/>
      </c>
      <c r="AL205" s="685" t="str">
        <f t="shared" si="63"/>
        <v/>
      </c>
      <c r="AM205" s="646" t="str">
        <f t="shared" si="64"/>
        <v/>
      </c>
      <c r="AN205" s="646" t="str">
        <f t="shared" si="65"/>
        <v/>
      </c>
      <c r="AO205" s="647" t="str">
        <f t="shared" si="66"/>
        <v/>
      </c>
      <c r="AP205" s="647" t="str">
        <f t="shared" si="39"/>
        <v/>
      </c>
      <c r="AQ205" s="647" t="str">
        <f t="shared" si="67"/>
        <v/>
      </c>
      <c r="AR205" s="647" t="str">
        <f t="shared" si="68"/>
        <v/>
      </c>
      <c r="AS205" s="647" t="str">
        <f t="shared" si="69"/>
        <v/>
      </c>
      <c r="AT205" s="647" t="str">
        <f t="shared" si="40"/>
        <v/>
      </c>
      <c r="AU205" s="647" t="str">
        <f t="shared" si="70"/>
        <v/>
      </c>
      <c r="AV205" s="647" t="str">
        <f t="shared" si="71"/>
        <v/>
      </c>
      <c r="AW205" s="647" t="str">
        <f t="shared" si="72"/>
        <v/>
      </c>
      <c r="AX205" s="647" t="str">
        <f t="shared" si="73"/>
        <v/>
      </c>
    </row>
    <row r="206" spans="3:50" s="5" customFormat="1" ht="28.15" hidden="1" customHeight="1" outlineLevel="1">
      <c r="C206" s="649">
        <v>190</v>
      </c>
      <c r="D206" s="1855"/>
      <c r="E206" s="1856"/>
      <c r="F206" s="1856"/>
      <c r="G206" s="1856"/>
      <c r="H206" s="1856"/>
      <c r="I206" s="1856"/>
      <c r="J206" s="1856"/>
      <c r="K206" s="702"/>
      <c r="L206" s="1054"/>
      <c r="M206" s="705"/>
      <c r="N206" s="255"/>
      <c r="O206" s="1040"/>
      <c r="P206" s="1041"/>
      <c r="Q206" s="256"/>
      <c r="R206" s="267"/>
      <c r="S206" s="256"/>
      <c r="T206" s="256"/>
      <c r="U206" s="256"/>
      <c r="V206" s="256"/>
      <c r="W206" s="254"/>
      <c r="X206" s="703"/>
      <c r="Y206" s="125"/>
      <c r="Z206" s="431"/>
      <c r="AA206" s="499"/>
      <c r="AB206" s="741"/>
      <c r="AC206" s="51"/>
      <c r="AD206" s="51"/>
      <c r="AE206" s="645" t="str">
        <f t="shared" si="60"/>
        <v/>
      </c>
      <c r="AF206" s="1037" t="str">
        <f t="shared" si="61"/>
        <v/>
      </c>
      <c r="AG206" s="1037" t="str">
        <f t="shared" si="62"/>
        <v/>
      </c>
      <c r="AH206" s="1037" t="str">
        <f>IF(AE206="","",VLOOKUP(AE206,リスト!BI:BJ,2,0))</f>
        <v/>
      </c>
      <c r="AI206" s="1037" t="str">
        <f t="shared" si="41"/>
        <v/>
      </c>
      <c r="AJ206" s="1037" t="str">
        <f>IF(AI206="","",VLOOKUP(AI206,リスト!BW:BX,2,0))</f>
        <v/>
      </c>
      <c r="AK206" s="1037" t="str">
        <f t="shared" si="38"/>
        <v/>
      </c>
      <c r="AL206" s="685" t="str">
        <f t="shared" si="63"/>
        <v/>
      </c>
      <c r="AM206" s="646" t="str">
        <f t="shared" si="64"/>
        <v/>
      </c>
      <c r="AN206" s="646" t="str">
        <f t="shared" si="65"/>
        <v/>
      </c>
      <c r="AO206" s="647" t="str">
        <f t="shared" si="66"/>
        <v/>
      </c>
      <c r="AP206" s="647" t="str">
        <f t="shared" si="39"/>
        <v/>
      </c>
      <c r="AQ206" s="647" t="str">
        <f t="shared" si="67"/>
        <v/>
      </c>
      <c r="AR206" s="647" t="str">
        <f t="shared" si="68"/>
        <v/>
      </c>
      <c r="AS206" s="647" t="str">
        <f t="shared" si="69"/>
        <v/>
      </c>
      <c r="AT206" s="647" t="str">
        <f t="shared" si="40"/>
        <v/>
      </c>
      <c r="AU206" s="647" t="str">
        <f t="shared" si="70"/>
        <v/>
      </c>
      <c r="AV206" s="647" t="str">
        <f t="shared" si="71"/>
        <v/>
      </c>
      <c r="AW206" s="647" t="str">
        <f t="shared" si="72"/>
        <v/>
      </c>
      <c r="AX206" s="647" t="str">
        <f t="shared" si="73"/>
        <v/>
      </c>
    </row>
    <row r="207" spans="3:50" s="5" customFormat="1" ht="28.15" hidden="1" customHeight="1" outlineLevel="1">
      <c r="C207" s="649">
        <v>191</v>
      </c>
      <c r="D207" s="1865"/>
      <c r="E207" s="1866"/>
      <c r="F207" s="1866"/>
      <c r="G207" s="1866"/>
      <c r="H207" s="1866"/>
      <c r="I207" s="1866"/>
      <c r="J207" s="1866"/>
      <c r="K207" s="704"/>
      <c r="L207" s="1055"/>
      <c r="M207" s="705"/>
      <c r="N207" s="255"/>
      <c r="O207" s="1042"/>
      <c r="P207" s="1041"/>
      <c r="Q207" s="256"/>
      <c r="R207" s="267"/>
      <c r="S207" s="256"/>
      <c r="T207" s="256"/>
      <c r="U207" s="256"/>
      <c r="V207" s="256"/>
      <c r="W207" s="254"/>
      <c r="X207" s="703"/>
      <c r="Y207" s="125"/>
      <c r="Z207" s="431"/>
      <c r="AA207" s="499"/>
      <c r="AB207" s="741"/>
      <c r="AC207" s="51"/>
      <c r="AD207" s="51"/>
      <c r="AE207" s="645" t="str">
        <f t="shared" si="60"/>
        <v/>
      </c>
      <c r="AF207" s="1037" t="str">
        <f t="shared" si="61"/>
        <v/>
      </c>
      <c r="AG207" s="1037" t="str">
        <f t="shared" si="62"/>
        <v/>
      </c>
      <c r="AH207" s="1037" t="str">
        <f>IF(AE207="","",VLOOKUP(AE207,リスト!BI:BJ,2,0))</f>
        <v/>
      </c>
      <c r="AI207" s="1037" t="str">
        <f t="shared" si="41"/>
        <v/>
      </c>
      <c r="AJ207" s="1037" t="str">
        <f>IF(AI207="","",VLOOKUP(AI207,リスト!BW:BX,2,0))</f>
        <v/>
      </c>
      <c r="AK207" s="1037" t="str">
        <f t="shared" si="38"/>
        <v/>
      </c>
      <c r="AL207" s="685" t="str">
        <f t="shared" si="63"/>
        <v/>
      </c>
      <c r="AM207" s="646" t="str">
        <f t="shared" si="64"/>
        <v/>
      </c>
      <c r="AN207" s="646" t="str">
        <f t="shared" si="65"/>
        <v/>
      </c>
      <c r="AO207" s="647" t="str">
        <f t="shared" si="66"/>
        <v/>
      </c>
      <c r="AP207" s="647" t="str">
        <f t="shared" si="39"/>
        <v/>
      </c>
      <c r="AQ207" s="647" t="str">
        <f t="shared" si="67"/>
        <v/>
      </c>
      <c r="AR207" s="647" t="str">
        <f t="shared" si="68"/>
        <v/>
      </c>
      <c r="AS207" s="647" t="str">
        <f t="shared" si="69"/>
        <v/>
      </c>
      <c r="AT207" s="647" t="str">
        <f t="shared" si="40"/>
        <v/>
      </c>
      <c r="AU207" s="647" t="str">
        <f t="shared" si="70"/>
        <v/>
      </c>
      <c r="AV207" s="647" t="str">
        <f t="shared" si="71"/>
        <v/>
      </c>
      <c r="AW207" s="647" t="str">
        <f t="shared" si="72"/>
        <v/>
      </c>
      <c r="AX207" s="647" t="str">
        <f t="shared" si="73"/>
        <v/>
      </c>
    </row>
    <row r="208" spans="3:50" s="5" customFormat="1" ht="28.15" hidden="1" customHeight="1" outlineLevel="1">
      <c r="C208" s="649">
        <v>192</v>
      </c>
      <c r="D208" s="1855"/>
      <c r="E208" s="1856"/>
      <c r="F208" s="1856"/>
      <c r="G208" s="1856"/>
      <c r="H208" s="1856"/>
      <c r="I208" s="1856"/>
      <c r="J208" s="1856"/>
      <c r="K208" s="702"/>
      <c r="L208" s="1054"/>
      <c r="M208" s="705"/>
      <c r="N208" s="255"/>
      <c r="O208" s="1040"/>
      <c r="P208" s="1041"/>
      <c r="Q208" s="256"/>
      <c r="R208" s="267"/>
      <c r="S208" s="256"/>
      <c r="T208" s="256"/>
      <c r="U208" s="256"/>
      <c r="V208" s="256"/>
      <c r="W208" s="254"/>
      <c r="X208" s="703"/>
      <c r="Y208" s="125"/>
      <c r="Z208" s="431"/>
      <c r="AA208" s="499"/>
      <c r="AB208" s="741"/>
      <c r="AC208" s="51"/>
      <c r="AD208" s="51"/>
      <c r="AE208" s="645" t="str">
        <f t="shared" si="60"/>
        <v/>
      </c>
      <c r="AF208" s="1037" t="str">
        <f t="shared" si="61"/>
        <v/>
      </c>
      <c r="AG208" s="1037" t="str">
        <f t="shared" si="62"/>
        <v/>
      </c>
      <c r="AH208" s="1037" t="str">
        <f>IF(AE208="","",VLOOKUP(AE208,リスト!BI:BJ,2,0))</f>
        <v/>
      </c>
      <c r="AI208" s="1037" t="str">
        <f t="shared" si="41"/>
        <v/>
      </c>
      <c r="AJ208" s="1037" t="str">
        <f>IF(AI208="","",VLOOKUP(AI208,リスト!BW:BX,2,0))</f>
        <v/>
      </c>
      <c r="AK208" s="1037" t="str">
        <f t="shared" si="38"/>
        <v/>
      </c>
      <c r="AL208" s="685" t="str">
        <f t="shared" si="63"/>
        <v/>
      </c>
      <c r="AM208" s="646" t="str">
        <f t="shared" si="64"/>
        <v/>
      </c>
      <c r="AN208" s="646" t="str">
        <f t="shared" si="65"/>
        <v/>
      </c>
      <c r="AO208" s="647" t="str">
        <f t="shared" si="66"/>
        <v/>
      </c>
      <c r="AP208" s="647" t="str">
        <f t="shared" si="39"/>
        <v/>
      </c>
      <c r="AQ208" s="647" t="str">
        <f t="shared" si="67"/>
        <v/>
      </c>
      <c r="AR208" s="647" t="str">
        <f t="shared" si="68"/>
        <v/>
      </c>
      <c r="AS208" s="647" t="str">
        <f t="shared" si="69"/>
        <v/>
      </c>
      <c r="AT208" s="647" t="str">
        <f t="shared" si="40"/>
        <v/>
      </c>
      <c r="AU208" s="647" t="str">
        <f t="shared" si="70"/>
        <v/>
      </c>
      <c r="AV208" s="647" t="str">
        <f t="shared" si="71"/>
        <v/>
      </c>
      <c r="AW208" s="647" t="str">
        <f t="shared" si="72"/>
        <v/>
      </c>
      <c r="AX208" s="647" t="str">
        <f t="shared" si="73"/>
        <v/>
      </c>
    </row>
    <row r="209" spans="3:50" s="5" customFormat="1" ht="28.15" hidden="1" customHeight="1" outlineLevel="1">
      <c r="C209" s="649">
        <v>193</v>
      </c>
      <c r="D209" s="1865"/>
      <c r="E209" s="1866"/>
      <c r="F209" s="1866"/>
      <c r="G209" s="1866"/>
      <c r="H209" s="1866"/>
      <c r="I209" s="1866"/>
      <c r="J209" s="1866"/>
      <c r="K209" s="704"/>
      <c r="L209" s="1055"/>
      <c r="M209" s="705"/>
      <c r="N209" s="255"/>
      <c r="O209" s="1042"/>
      <c r="P209" s="1043"/>
      <c r="Q209" s="256"/>
      <c r="R209" s="267"/>
      <c r="S209" s="256"/>
      <c r="T209" s="256"/>
      <c r="U209" s="256"/>
      <c r="V209" s="256"/>
      <c r="W209" s="254"/>
      <c r="X209" s="703"/>
      <c r="Y209" s="125"/>
      <c r="Z209" s="431"/>
      <c r="AA209" s="499"/>
      <c r="AB209" s="741"/>
      <c r="AC209" s="51"/>
      <c r="AD209" s="51"/>
      <c r="AE209" s="645" t="str">
        <f t="shared" si="60"/>
        <v/>
      </c>
      <c r="AF209" s="1037" t="str">
        <f t="shared" si="61"/>
        <v/>
      </c>
      <c r="AG209" s="1037" t="str">
        <f t="shared" si="62"/>
        <v/>
      </c>
      <c r="AH209" s="1037" t="str">
        <f>IF(AE209="","",VLOOKUP(AE209,リスト!BI:BJ,2,0))</f>
        <v/>
      </c>
      <c r="AI209" s="1037" t="str">
        <f t="shared" si="41"/>
        <v/>
      </c>
      <c r="AJ209" s="1037" t="str">
        <f>IF(AI209="","",VLOOKUP(AI209,リスト!BW:BX,2,0))</f>
        <v/>
      </c>
      <c r="AK209" s="1037" t="str">
        <f t="shared" ref="AK209:AK272" si="74">IF(AE209="","",調査年-O209)</f>
        <v/>
      </c>
      <c r="AL209" s="685" t="str">
        <f t="shared" si="63"/>
        <v/>
      </c>
      <c r="AM209" s="646" t="str">
        <f t="shared" si="64"/>
        <v/>
      </c>
      <c r="AN209" s="646" t="str">
        <f t="shared" si="65"/>
        <v/>
      </c>
      <c r="AO209" s="647" t="str">
        <f t="shared" si="66"/>
        <v/>
      </c>
      <c r="AP209" s="647" t="str">
        <f t="shared" ref="AP209:AP272" si="75">IF(W209="","",IF(OR(O209=調査年,AM209=""),"",ROUND(AM209*W209%,0)))</f>
        <v/>
      </c>
      <c r="AQ209" s="647" t="str">
        <f t="shared" si="67"/>
        <v/>
      </c>
      <c r="AR209" s="647" t="str">
        <f t="shared" si="68"/>
        <v/>
      </c>
      <c r="AS209" s="647" t="str">
        <f t="shared" si="69"/>
        <v/>
      </c>
      <c r="AT209" s="647" t="str">
        <f t="shared" ref="AT209:AT272" si="76">IF(OR(W209="",AND(OR(O209&lt;&gt;調査年,AF209=0),R209="")),"",
SUM(
IF(AND(O209=調査年,AF209=1),ROUND(Q209*W209%,0),),
ROUND(R209*W209%,0)))</f>
        <v/>
      </c>
      <c r="AU209" s="647" t="str">
        <f t="shared" si="70"/>
        <v/>
      </c>
      <c r="AV209" s="647" t="str">
        <f t="shared" si="71"/>
        <v/>
      </c>
      <c r="AW209" s="647" t="str">
        <f t="shared" si="72"/>
        <v/>
      </c>
      <c r="AX209" s="647" t="str">
        <f t="shared" si="73"/>
        <v/>
      </c>
    </row>
    <row r="210" spans="3:50" s="5" customFormat="1" ht="28.15" hidden="1" customHeight="1" outlineLevel="1">
      <c r="C210" s="649">
        <v>194</v>
      </c>
      <c r="D210" s="1855"/>
      <c r="E210" s="1856"/>
      <c r="F210" s="1856"/>
      <c r="G210" s="1856"/>
      <c r="H210" s="1856"/>
      <c r="I210" s="1856"/>
      <c r="J210" s="1856"/>
      <c r="K210" s="702"/>
      <c r="L210" s="1054"/>
      <c r="M210" s="705"/>
      <c r="N210" s="255"/>
      <c r="O210" s="1040"/>
      <c r="P210" s="1044"/>
      <c r="Q210" s="256"/>
      <c r="R210" s="267"/>
      <c r="S210" s="256"/>
      <c r="T210" s="256"/>
      <c r="U210" s="256"/>
      <c r="V210" s="256"/>
      <c r="W210" s="254"/>
      <c r="X210" s="703"/>
      <c r="Y210" s="125"/>
      <c r="Z210" s="431"/>
      <c r="AA210" s="499"/>
      <c r="AB210" s="741"/>
      <c r="AC210" s="51"/>
      <c r="AD210" s="51"/>
      <c r="AE210" s="645" t="str">
        <f t="shared" si="60"/>
        <v/>
      </c>
      <c r="AF210" s="1037" t="str">
        <f t="shared" si="61"/>
        <v/>
      </c>
      <c r="AG210" s="1037" t="str">
        <f t="shared" si="62"/>
        <v/>
      </c>
      <c r="AH210" s="1037" t="str">
        <f>IF(AE210="","",VLOOKUP(AE210,リスト!BI:BJ,2,0))</f>
        <v/>
      </c>
      <c r="AI210" s="1037" t="str">
        <f t="shared" ref="AI210:AI273" si="77">IF(AG210=1,3,IF(M210="2：中古",MIN(AH210,N210),AH210))</f>
        <v/>
      </c>
      <c r="AJ210" s="1037" t="str">
        <f>IF(AI210="","",VLOOKUP(AI210,リスト!BW:BX,2,0))</f>
        <v/>
      </c>
      <c r="AK210" s="1037" t="str">
        <f t="shared" si="74"/>
        <v/>
      </c>
      <c r="AL210" s="685" t="str">
        <f t="shared" si="63"/>
        <v/>
      </c>
      <c r="AM210" s="646" t="str">
        <f t="shared" si="64"/>
        <v/>
      </c>
      <c r="AN210" s="646" t="str">
        <f t="shared" si="65"/>
        <v/>
      </c>
      <c r="AO210" s="647" t="str">
        <f t="shared" si="66"/>
        <v/>
      </c>
      <c r="AP210" s="647" t="str">
        <f t="shared" si="75"/>
        <v/>
      </c>
      <c r="AQ210" s="647" t="str">
        <f t="shared" si="67"/>
        <v/>
      </c>
      <c r="AR210" s="647" t="str">
        <f t="shared" si="68"/>
        <v/>
      </c>
      <c r="AS210" s="647" t="str">
        <f t="shared" si="69"/>
        <v/>
      </c>
      <c r="AT210" s="647" t="str">
        <f t="shared" si="76"/>
        <v/>
      </c>
      <c r="AU210" s="647" t="str">
        <f t="shared" si="70"/>
        <v/>
      </c>
      <c r="AV210" s="647" t="str">
        <f t="shared" si="71"/>
        <v/>
      </c>
      <c r="AW210" s="647" t="str">
        <f t="shared" si="72"/>
        <v/>
      </c>
      <c r="AX210" s="647" t="str">
        <f t="shared" si="73"/>
        <v/>
      </c>
    </row>
    <row r="211" spans="3:50" s="5" customFormat="1" ht="28.15" hidden="1" customHeight="1" outlineLevel="1">
      <c r="C211" s="649">
        <v>195</v>
      </c>
      <c r="D211" s="1855"/>
      <c r="E211" s="1856"/>
      <c r="F211" s="1856"/>
      <c r="G211" s="1856"/>
      <c r="H211" s="1856"/>
      <c r="I211" s="1856"/>
      <c r="J211" s="1856"/>
      <c r="K211" s="702"/>
      <c r="L211" s="1054"/>
      <c r="M211" s="705"/>
      <c r="N211" s="255"/>
      <c r="O211" s="1040"/>
      <c r="P211" s="1044"/>
      <c r="Q211" s="256"/>
      <c r="R211" s="267"/>
      <c r="S211" s="256"/>
      <c r="T211" s="256"/>
      <c r="U211" s="256"/>
      <c r="V211" s="256"/>
      <c r="W211" s="254"/>
      <c r="X211" s="703"/>
      <c r="Y211" s="125"/>
      <c r="Z211" s="431"/>
      <c r="AA211" s="499"/>
      <c r="AB211" s="741"/>
      <c r="AC211" s="51"/>
      <c r="AD211" s="51"/>
      <c r="AE211" s="645" t="str">
        <f t="shared" si="60"/>
        <v/>
      </c>
      <c r="AF211" s="1037" t="str">
        <f t="shared" si="61"/>
        <v/>
      </c>
      <c r="AG211" s="1037" t="str">
        <f t="shared" si="62"/>
        <v/>
      </c>
      <c r="AH211" s="1037" t="str">
        <f>IF(AE211="","",VLOOKUP(AE211,リスト!BI:BJ,2,0))</f>
        <v/>
      </c>
      <c r="AI211" s="1037" t="str">
        <f t="shared" si="77"/>
        <v/>
      </c>
      <c r="AJ211" s="1037" t="str">
        <f>IF(AI211="","",VLOOKUP(AI211,リスト!BW:BX,2,0))</f>
        <v/>
      </c>
      <c r="AK211" s="1037" t="str">
        <f t="shared" si="74"/>
        <v/>
      </c>
      <c r="AL211" s="685" t="str">
        <f t="shared" si="63"/>
        <v/>
      </c>
      <c r="AM211" s="646" t="str">
        <f t="shared" si="64"/>
        <v/>
      </c>
      <c r="AN211" s="646" t="str">
        <f t="shared" si="65"/>
        <v/>
      </c>
      <c r="AO211" s="647" t="str">
        <f t="shared" si="66"/>
        <v/>
      </c>
      <c r="AP211" s="647" t="str">
        <f t="shared" si="75"/>
        <v/>
      </c>
      <c r="AQ211" s="647" t="str">
        <f t="shared" si="67"/>
        <v/>
      </c>
      <c r="AR211" s="647" t="str">
        <f t="shared" si="68"/>
        <v/>
      </c>
      <c r="AS211" s="647" t="str">
        <f t="shared" si="69"/>
        <v/>
      </c>
      <c r="AT211" s="647" t="str">
        <f t="shared" si="76"/>
        <v/>
      </c>
      <c r="AU211" s="647" t="str">
        <f t="shared" si="70"/>
        <v/>
      </c>
      <c r="AV211" s="647" t="str">
        <f t="shared" si="71"/>
        <v/>
      </c>
      <c r="AW211" s="647" t="str">
        <f t="shared" si="72"/>
        <v/>
      </c>
      <c r="AX211" s="647" t="str">
        <f t="shared" si="73"/>
        <v/>
      </c>
    </row>
    <row r="212" spans="3:50" s="5" customFormat="1" ht="28.15" hidden="1" customHeight="1" outlineLevel="1">
      <c r="C212" s="649">
        <v>196</v>
      </c>
      <c r="D212" s="1855"/>
      <c r="E212" s="1856"/>
      <c r="F212" s="1856"/>
      <c r="G212" s="1856"/>
      <c r="H212" s="1856"/>
      <c r="I212" s="1856"/>
      <c r="J212" s="1856"/>
      <c r="K212" s="702"/>
      <c r="L212" s="1054"/>
      <c r="M212" s="705"/>
      <c r="N212" s="257"/>
      <c r="O212" s="1040"/>
      <c r="P212" s="1044"/>
      <c r="Q212" s="256"/>
      <c r="R212" s="267"/>
      <c r="S212" s="256"/>
      <c r="T212" s="256"/>
      <c r="U212" s="256"/>
      <c r="V212" s="256"/>
      <c r="W212" s="254"/>
      <c r="X212" s="703"/>
      <c r="Y212" s="125"/>
      <c r="Z212" s="431"/>
      <c r="AA212" s="499"/>
      <c r="AB212" s="741"/>
      <c r="AC212" s="51"/>
      <c r="AD212" s="51"/>
      <c r="AE212" s="645" t="str">
        <f t="shared" si="60"/>
        <v/>
      </c>
      <c r="AF212" s="1037" t="str">
        <f t="shared" si="61"/>
        <v/>
      </c>
      <c r="AG212" s="1037" t="str">
        <f t="shared" si="62"/>
        <v/>
      </c>
      <c r="AH212" s="1037" t="str">
        <f>IF(AE212="","",VLOOKUP(AE212,リスト!BI:BJ,2,0))</f>
        <v/>
      </c>
      <c r="AI212" s="1037" t="str">
        <f t="shared" si="77"/>
        <v/>
      </c>
      <c r="AJ212" s="1037" t="str">
        <f>IF(AI212="","",VLOOKUP(AI212,リスト!BW:BX,2,0))</f>
        <v/>
      </c>
      <c r="AK212" s="1037" t="str">
        <f t="shared" si="74"/>
        <v/>
      </c>
      <c r="AL212" s="685" t="str">
        <f t="shared" si="63"/>
        <v/>
      </c>
      <c r="AM212" s="646" t="str">
        <f t="shared" si="64"/>
        <v/>
      </c>
      <c r="AN212" s="646" t="str">
        <f t="shared" si="65"/>
        <v/>
      </c>
      <c r="AO212" s="647" t="str">
        <f t="shared" si="66"/>
        <v/>
      </c>
      <c r="AP212" s="647" t="str">
        <f t="shared" si="75"/>
        <v/>
      </c>
      <c r="AQ212" s="647" t="str">
        <f t="shared" si="67"/>
        <v/>
      </c>
      <c r="AR212" s="647" t="str">
        <f t="shared" si="68"/>
        <v/>
      </c>
      <c r="AS212" s="647" t="str">
        <f t="shared" si="69"/>
        <v/>
      </c>
      <c r="AT212" s="647" t="str">
        <f t="shared" si="76"/>
        <v/>
      </c>
      <c r="AU212" s="647" t="str">
        <f t="shared" si="70"/>
        <v/>
      </c>
      <c r="AV212" s="647" t="str">
        <f t="shared" si="71"/>
        <v/>
      </c>
      <c r="AW212" s="647" t="str">
        <f t="shared" si="72"/>
        <v/>
      </c>
      <c r="AX212" s="647" t="str">
        <f t="shared" si="73"/>
        <v/>
      </c>
    </row>
    <row r="213" spans="3:50" s="5" customFormat="1" ht="28.15" hidden="1" customHeight="1" outlineLevel="1">
      <c r="C213" s="649">
        <v>197</v>
      </c>
      <c r="D213" s="1855"/>
      <c r="E213" s="1856"/>
      <c r="F213" s="1856"/>
      <c r="G213" s="1856"/>
      <c r="H213" s="1856"/>
      <c r="I213" s="1856"/>
      <c r="J213" s="1856"/>
      <c r="K213" s="702"/>
      <c r="L213" s="1054"/>
      <c r="M213" s="705"/>
      <c r="N213" s="255"/>
      <c r="O213" s="1040"/>
      <c r="P213" s="1044"/>
      <c r="Q213" s="256"/>
      <c r="R213" s="267"/>
      <c r="S213" s="256"/>
      <c r="T213" s="256"/>
      <c r="U213" s="256"/>
      <c r="V213" s="256"/>
      <c r="W213" s="254"/>
      <c r="X213" s="703"/>
      <c r="Y213" s="125"/>
      <c r="Z213" s="431"/>
      <c r="AA213" s="499"/>
      <c r="AB213" s="741"/>
      <c r="AC213" s="51"/>
      <c r="AD213" s="51"/>
      <c r="AE213" s="645" t="str">
        <f t="shared" si="60"/>
        <v/>
      </c>
      <c r="AF213" s="1037" t="str">
        <f t="shared" si="61"/>
        <v/>
      </c>
      <c r="AG213" s="1037" t="str">
        <f t="shared" si="62"/>
        <v/>
      </c>
      <c r="AH213" s="1037" t="str">
        <f>IF(AE213="","",VLOOKUP(AE213,リスト!BI:BJ,2,0))</f>
        <v/>
      </c>
      <c r="AI213" s="1037" t="str">
        <f t="shared" si="77"/>
        <v/>
      </c>
      <c r="AJ213" s="1037" t="str">
        <f>IF(AI213="","",VLOOKUP(AI213,リスト!BW:BX,2,0))</f>
        <v/>
      </c>
      <c r="AK213" s="1037" t="str">
        <f t="shared" si="74"/>
        <v/>
      </c>
      <c r="AL213" s="685" t="str">
        <f t="shared" si="63"/>
        <v/>
      </c>
      <c r="AM213" s="646" t="str">
        <f t="shared" si="64"/>
        <v/>
      </c>
      <c r="AN213" s="646" t="str">
        <f t="shared" si="65"/>
        <v/>
      </c>
      <c r="AO213" s="647" t="str">
        <f t="shared" si="66"/>
        <v/>
      </c>
      <c r="AP213" s="647" t="str">
        <f t="shared" si="75"/>
        <v/>
      </c>
      <c r="AQ213" s="647" t="str">
        <f t="shared" si="67"/>
        <v/>
      </c>
      <c r="AR213" s="647" t="str">
        <f t="shared" si="68"/>
        <v/>
      </c>
      <c r="AS213" s="647" t="str">
        <f t="shared" si="69"/>
        <v/>
      </c>
      <c r="AT213" s="647" t="str">
        <f t="shared" si="76"/>
        <v/>
      </c>
      <c r="AU213" s="647" t="str">
        <f t="shared" si="70"/>
        <v/>
      </c>
      <c r="AV213" s="647" t="str">
        <f t="shared" si="71"/>
        <v/>
      </c>
      <c r="AW213" s="647" t="str">
        <f t="shared" si="72"/>
        <v/>
      </c>
      <c r="AX213" s="647" t="str">
        <f t="shared" si="73"/>
        <v/>
      </c>
    </row>
    <row r="214" spans="3:50" s="5" customFormat="1" ht="28.15" hidden="1" customHeight="1" outlineLevel="1">
      <c r="C214" s="649">
        <v>198</v>
      </c>
      <c r="D214" s="1855"/>
      <c r="E214" s="1856"/>
      <c r="F214" s="1856"/>
      <c r="G214" s="1856"/>
      <c r="H214" s="1856"/>
      <c r="I214" s="1856"/>
      <c r="J214" s="1856"/>
      <c r="K214" s="702"/>
      <c r="L214" s="1054"/>
      <c r="M214" s="705"/>
      <c r="N214" s="257"/>
      <c r="O214" s="1040"/>
      <c r="P214" s="1044"/>
      <c r="Q214" s="256"/>
      <c r="R214" s="267"/>
      <c r="S214" s="256"/>
      <c r="T214" s="256"/>
      <c r="U214" s="256"/>
      <c r="V214" s="256"/>
      <c r="W214" s="254"/>
      <c r="X214" s="703"/>
      <c r="Y214" s="125"/>
      <c r="Z214" s="431"/>
      <c r="AA214" s="499"/>
      <c r="AB214" s="741"/>
      <c r="AC214" s="51"/>
      <c r="AD214" s="51"/>
      <c r="AE214" s="645" t="str">
        <f t="shared" si="60"/>
        <v/>
      </c>
      <c r="AF214" s="1037" t="str">
        <f t="shared" si="61"/>
        <v/>
      </c>
      <c r="AG214" s="1037" t="str">
        <f t="shared" si="62"/>
        <v/>
      </c>
      <c r="AH214" s="1037" t="str">
        <f>IF(AE214="","",VLOOKUP(AE214,リスト!BI:BJ,2,0))</f>
        <v/>
      </c>
      <c r="AI214" s="1037" t="str">
        <f t="shared" si="77"/>
        <v/>
      </c>
      <c r="AJ214" s="1037" t="str">
        <f>IF(AI214="","",VLOOKUP(AI214,リスト!BW:BX,2,0))</f>
        <v/>
      </c>
      <c r="AK214" s="1037" t="str">
        <f t="shared" si="74"/>
        <v/>
      </c>
      <c r="AL214" s="685" t="str">
        <f t="shared" si="63"/>
        <v/>
      </c>
      <c r="AM214" s="646" t="str">
        <f t="shared" si="64"/>
        <v/>
      </c>
      <c r="AN214" s="646" t="str">
        <f t="shared" si="65"/>
        <v/>
      </c>
      <c r="AO214" s="647" t="str">
        <f t="shared" si="66"/>
        <v/>
      </c>
      <c r="AP214" s="647" t="str">
        <f t="shared" si="75"/>
        <v/>
      </c>
      <c r="AQ214" s="647" t="str">
        <f t="shared" si="67"/>
        <v/>
      </c>
      <c r="AR214" s="647" t="str">
        <f t="shared" si="68"/>
        <v/>
      </c>
      <c r="AS214" s="647" t="str">
        <f t="shared" si="69"/>
        <v/>
      </c>
      <c r="AT214" s="647" t="str">
        <f t="shared" si="76"/>
        <v/>
      </c>
      <c r="AU214" s="647" t="str">
        <f t="shared" si="70"/>
        <v/>
      </c>
      <c r="AV214" s="647" t="str">
        <f t="shared" si="71"/>
        <v/>
      </c>
      <c r="AW214" s="647" t="str">
        <f t="shared" si="72"/>
        <v/>
      </c>
      <c r="AX214" s="647" t="str">
        <f t="shared" si="73"/>
        <v/>
      </c>
    </row>
    <row r="215" spans="3:50" s="5" customFormat="1" ht="28.15" hidden="1" customHeight="1" outlineLevel="1">
      <c r="C215" s="649">
        <v>199</v>
      </c>
      <c r="D215" s="1855"/>
      <c r="E215" s="1856"/>
      <c r="F215" s="1856"/>
      <c r="G215" s="1856"/>
      <c r="H215" s="1856"/>
      <c r="I215" s="1856"/>
      <c r="J215" s="1856"/>
      <c r="K215" s="702"/>
      <c r="L215" s="1054"/>
      <c r="M215" s="705"/>
      <c r="N215" s="255"/>
      <c r="O215" s="1040"/>
      <c r="P215" s="1044"/>
      <c r="Q215" s="256"/>
      <c r="R215" s="267"/>
      <c r="S215" s="256"/>
      <c r="T215" s="256"/>
      <c r="U215" s="256"/>
      <c r="V215" s="256"/>
      <c r="W215" s="254"/>
      <c r="X215" s="703"/>
      <c r="Y215" s="125"/>
      <c r="Z215" s="431"/>
      <c r="AA215" s="499"/>
      <c r="AB215" s="741"/>
      <c r="AC215" s="51"/>
      <c r="AD215" s="51"/>
      <c r="AE215" s="645" t="str">
        <f t="shared" si="60"/>
        <v/>
      </c>
      <c r="AF215" s="1037" t="str">
        <f t="shared" si="61"/>
        <v/>
      </c>
      <c r="AG215" s="1037" t="str">
        <f t="shared" si="62"/>
        <v/>
      </c>
      <c r="AH215" s="1037" t="str">
        <f>IF(AE215="","",VLOOKUP(AE215,リスト!BI:BJ,2,0))</f>
        <v/>
      </c>
      <c r="AI215" s="1037" t="str">
        <f t="shared" si="77"/>
        <v/>
      </c>
      <c r="AJ215" s="1037" t="str">
        <f>IF(AI215="","",VLOOKUP(AI215,リスト!BW:BX,2,0))</f>
        <v/>
      </c>
      <c r="AK215" s="1037" t="str">
        <f t="shared" si="74"/>
        <v/>
      </c>
      <c r="AL215" s="685" t="str">
        <f t="shared" si="63"/>
        <v/>
      </c>
      <c r="AM215" s="646" t="str">
        <f t="shared" si="64"/>
        <v/>
      </c>
      <c r="AN215" s="646" t="str">
        <f t="shared" si="65"/>
        <v/>
      </c>
      <c r="AO215" s="647" t="str">
        <f t="shared" si="66"/>
        <v/>
      </c>
      <c r="AP215" s="647" t="str">
        <f t="shared" si="75"/>
        <v/>
      </c>
      <c r="AQ215" s="647" t="str">
        <f t="shared" si="67"/>
        <v/>
      </c>
      <c r="AR215" s="647" t="str">
        <f t="shared" si="68"/>
        <v/>
      </c>
      <c r="AS215" s="647" t="str">
        <f t="shared" si="69"/>
        <v/>
      </c>
      <c r="AT215" s="647" t="str">
        <f t="shared" si="76"/>
        <v/>
      </c>
      <c r="AU215" s="647" t="str">
        <f t="shared" si="70"/>
        <v/>
      </c>
      <c r="AV215" s="647" t="str">
        <f t="shared" si="71"/>
        <v/>
      </c>
      <c r="AW215" s="647" t="str">
        <f t="shared" si="72"/>
        <v/>
      </c>
      <c r="AX215" s="647" t="str">
        <f t="shared" si="73"/>
        <v/>
      </c>
    </row>
    <row r="216" spans="3:50" s="5" customFormat="1" ht="28.15" hidden="1" customHeight="1" outlineLevel="1">
      <c r="C216" s="649">
        <v>200</v>
      </c>
      <c r="D216" s="1855"/>
      <c r="E216" s="1856"/>
      <c r="F216" s="1856"/>
      <c r="G216" s="1856"/>
      <c r="H216" s="1856"/>
      <c r="I216" s="1856"/>
      <c r="J216" s="1857"/>
      <c r="K216" s="702"/>
      <c r="L216" s="1054"/>
      <c r="M216" s="666"/>
      <c r="N216" s="266"/>
      <c r="O216" s="1040"/>
      <c r="P216" s="1041"/>
      <c r="Q216" s="267"/>
      <c r="R216" s="267"/>
      <c r="S216" s="267"/>
      <c r="T216" s="267"/>
      <c r="U216" s="267"/>
      <c r="V216" s="267"/>
      <c r="W216" s="254"/>
      <c r="X216" s="703"/>
      <c r="Y216" s="125"/>
      <c r="Z216" s="431"/>
      <c r="AA216" s="499"/>
      <c r="AB216" s="741"/>
      <c r="AC216" s="51"/>
      <c r="AD216" s="51"/>
      <c r="AE216" s="645" t="str">
        <f t="shared" si="1"/>
        <v/>
      </c>
      <c r="AF216" s="1037" t="str">
        <f t="shared" si="2"/>
        <v/>
      </c>
      <c r="AG216" s="1037" t="str">
        <f t="shared" si="3"/>
        <v/>
      </c>
      <c r="AH216" s="1037" t="str">
        <f>IF(AE216="","",VLOOKUP(AE216,リスト!BI:BJ,2,0))</f>
        <v/>
      </c>
      <c r="AI216" s="1037" t="str">
        <f t="shared" si="77"/>
        <v/>
      </c>
      <c r="AJ216" s="1037" t="str">
        <f>IF(AI216="","",VLOOKUP(AI216,リスト!BW:BX,2,0))</f>
        <v/>
      </c>
      <c r="AK216" s="1037" t="str">
        <f t="shared" si="74"/>
        <v/>
      </c>
      <c r="AL216" s="685" t="str">
        <f t="shared" si="6"/>
        <v/>
      </c>
      <c r="AM216" s="646" t="str">
        <f t="shared" si="7"/>
        <v/>
      </c>
      <c r="AN216" s="646" t="str">
        <f t="shared" ref="AN216:AN233" si="78">IF(OR(AE216="",AF216=1),"",
IF(X216="",AL216,
IF(X216="2：廃棄等",SUM(AM216,Y216),
IF(X216="1：売却",AM216-Y216,
IF(AND(Y216="",AL216=""),"",SUM(Y216,AL216))))))</f>
        <v/>
      </c>
      <c r="AO216" s="647" t="str">
        <f t="shared" ref="AO216:AO233" si="79">IF(AND(AN216="",AL216=""),"",
IF(OR(X216="2：廃棄等",X216="1：売却"),SUM(AN216)-SUM(AL216),""))</f>
        <v/>
      </c>
      <c r="AP216" s="647" t="str">
        <f t="shared" si="75"/>
        <v/>
      </c>
      <c r="AQ216" s="647" t="str">
        <f t="shared" si="9"/>
        <v/>
      </c>
      <c r="AR216" s="647" t="str">
        <f t="shared" si="10"/>
        <v/>
      </c>
      <c r="AS216" s="647" t="str">
        <f t="shared" si="11"/>
        <v/>
      </c>
      <c r="AT216" s="647" t="str">
        <f t="shared" si="76"/>
        <v/>
      </c>
      <c r="AU216" s="647" t="str">
        <f t="shared" si="13"/>
        <v/>
      </c>
      <c r="AV216" s="647" t="str">
        <f t="shared" si="14"/>
        <v/>
      </c>
      <c r="AW216" s="647" t="str">
        <f t="shared" si="15"/>
        <v/>
      </c>
      <c r="AX216" s="647" t="str">
        <f t="shared" si="16"/>
        <v/>
      </c>
    </row>
    <row r="217" spans="3:50" s="5" customFormat="1" ht="28.15" hidden="1" customHeight="1" outlineLevel="1">
      <c r="C217" s="649">
        <v>201</v>
      </c>
      <c r="D217" s="1865"/>
      <c r="E217" s="1866"/>
      <c r="F217" s="1866"/>
      <c r="G217" s="1866"/>
      <c r="H217" s="1866"/>
      <c r="I217" s="1866"/>
      <c r="J217" s="1866"/>
      <c r="K217" s="704"/>
      <c r="L217" s="1055"/>
      <c r="M217" s="705"/>
      <c r="N217" s="257"/>
      <c r="O217" s="1042"/>
      <c r="P217" s="1041"/>
      <c r="Q217" s="256"/>
      <c r="R217" s="267"/>
      <c r="S217" s="256"/>
      <c r="T217" s="256"/>
      <c r="U217" s="256"/>
      <c r="V217" s="256"/>
      <c r="W217" s="254"/>
      <c r="X217" s="703"/>
      <c r="Y217" s="125"/>
      <c r="Z217" s="431"/>
      <c r="AA217" s="499"/>
      <c r="AB217" s="741"/>
      <c r="AC217" s="51"/>
      <c r="AD217" s="51"/>
      <c r="AE217" s="645" t="str">
        <f t="shared" si="1"/>
        <v/>
      </c>
      <c r="AF217" s="1037" t="str">
        <f t="shared" si="2"/>
        <v/>
      </c>
      <c r="AG217" s="1037" t="str">
        <f t="shared" si="3"/>
        <v/>
      </c>
      <c r="AH217" s="1037" t="str">
        <f>IF(AE217="","",VLOOKUP(AE217,リスト!BI:BJ,2,0))</f>
        <v/>
      </c>
      <c r="AI217" s="1037" t="str">
        <f t="shared" si="77"/>
        <v/>
      </c>
      <c r="AJ217" s="1037" t="str">
        <f>IF(AI217="","",VLOOKUP(AI217,リスト!BW:BX,2,0))</f>
        <v/>
      </c>
      <c r="AK217" s="1037" t="str">
        <f t="shared" si="74"/>
        <v/>
      </c>
      <c r="AL217" s="685" t="str">
        <f t="shared" si="6"/>
        <v/>
      </c>
      <c r="AM217" s="646" t="str">
        <f t="shared" si="7"/>
        <v/>
      </c>
      <c r="AN217" s="646" t="str">
        <f t="shared" si="78"/>
        <v/>
      </c>
      <c r="AO217" s="647" t="str">
        <f t="shared" si="79"/>
        <v/>
      </c>
      <c r="AP217" s="647" t="str">
        <f t="shared" si="75"/>
        <v/>
      </c>
      <c r="AQ217" s="647" t="str">
        <f t="shared" si="9"/>
        <v/>
      </c>
      <c r="AR217" s="647" t="str">
        <f t="shared" si="10"/>
        <v/>
      </c>
      <c r="AS217" s="647" t="str">
        <f t="shared" si="11"/>
        <v/>
      </c>
      <c r="AT217" s="647" t="str">
        <f t="shared" si="76"/>
        <v/>
      </c>
      <c r="AU217" s="647" t="str">
        <f t="shared" si="13"/>
        <v/>
      </c>
      <c r="AV217" s="647" t="str">
        <f t="shared" si="14"/>
        <v/>
      </c>
      <c r="AW217" s="647" t="str">
        <f t="shared" si="15"/>
        <v/>
      </c>
      <c r="AX217" s="647" t="str">
        <f t="shared" si="16"/>
        <v/>
      </c>
    </row>
    <row r="218" spans="3:50" s="5" customFormat="1" ht="28.15" hidden="1" customHeight="1" outlineLevel="1">
      <c r="C218" s="649">
        <v>202</v>
      </c>
      <c r="D218" s="1855"/>
      <c r="E218" s="1856"/>
      <c r="F218" s="1856"/>
      <c r="G218" s="1856"/>
      <c r="H218" s="1856"/>
      <c r="I218" s="1856"/>
      <c r="J218" s="1856"/>
      <c r="K218" s="702"/>
      <c r="L218" s="1054"/>
      <c r="M218" s="705"/>
      <c r="N218" s="255"/>
      <c r="O218" s="1040"/>
      <c r="P218" s="1041"/>
      <c r="Q218" s="256"/>
      <c r="R218" s="267"/>
      <c r="S218" s="256"/>
      <c r="T218" s="256"/>
      <c r="U218" s="256"/>
      <c r="V218" s="256"/>
      <c r="W218" s="254"/>
      <c r="X218" s="703"/>
      <c r="Y218" s="125"/>
      <c r="Z218" s="431"/>
      <c r="AA218" s="499"/>
      <c r="AB218" s="741"/>
      <c r="AC218" s="51"/>
      <c r="AD218" s="51"/>
      <c r="AE218" s="645" t="str">
        <f t="shared" si="1"/>
        <v/>
      </c>
      <c r="AF218" s="1037" t="str">
        <f t="shared" si="2"/>
        <v/>
      </c>
      <c r="AG218" s="1037" t="str">
        <f t="shared" si="3"/>
        <v/>
      </c>
      <c r="AH218" s="1037" t="str">
        <f>IF(AE218="","",VLOOKUP(AE218,リスト!BI:BJ,2,0))</f>
        <v/>
      </c>
      <c r="AI218" s="1037" t="str">
        <f t="shared" si="77"/>
        <v/>
      </c>
      <c r="AJ218" s="1037" t="str">
        <f>IF(AI218="","",VLOOKUP(AI218,リスト!BW:BX,2,0))</f>
        <v/>
      </c>
      <c r="AK218" s="1037" t="str">
        <f t="shared" si="74"/>
        <v/>
      </c>
      <c r="AL218" s="685" t="str">
        <f t="shared" si="6"/>
        <v/>
      </c>
      <c r="AM218" s="646" t="str">
        <f t="shared" si="7"/>
        <v/>
      </c>
      <c r="AN218" s="646" t="str">
        <f t="shared" si="78"/>
        <v/>
      </c>
      <c r="AO218" s="647" t="str">
        <f t="shared" si="79"/>
        <v/>
      </c>
      <c r="AP218" s="647" t="str">
        <f t="shared" si="75"/>
        <v/>
      </c>
      <c r="AQ218" s="647" t="str">
        <f t="shared" si="9"/>
        <v/>
      </c>
      <c r="AR218" s="647" t="str">
        <f t="shared" si="10"/>
        <v/>
      </c>
      <c r="AS218" s="647" t="str">
        <f t="shared" si="11"/>
        <v/>
      </c>
      <c r="AT218" s="647" t="str">
        <f t="shared" si="76"/>
        <v/>
      </c>
      <c r="AU218" s="647" t="str">
        <f t="shared" si="13"/>
        <v/>
      </c>
      <c r="AV218" s="647" t="str">
        <f t="shared" si="14"/>
        <v/>
      </c>
      <c r="AW218" s="647" t="str">
        <f t="shared" si="15"/>
        <v/>
      </c>
      <c r="AX218" s="647" t="str">
        <f t="shared" si="16"/>
        <v/>
      </c>
    </row>
    <row r="219" spans="3:50" s="5" customFormat="1" ht="28.15" hidden="1" customHeight="1" outlineLevel="1">
      <c r="C219" s="649">
        <v>203</v>
      </c>
      <c r="D219" s="1865"/>
      <c r="E219" s="1866"/>
      <c r="F219" s="1866"/>
      <c r="G219" s="1866"/>
      <c r="H219" s="1866"/>
      <c r="I219" s="1866"/>
      <c r="J219" s="1866"/>
      <c r="K219" s="704"/>
      <c r="L219" s="1055"/>
      <c r="M219" s="705"/>
      <c r="N219" s="257"/>
      <c r="O219" s="1042"/>
      <c r="P219" s="1041"/>
      <c r="Q219" s="256"/>
      <c r="R219" s="267"/>
      <c r="S219" s="256"/>
      <c r="T219" s="256"/>
      <c r="U219" s="256"/>
      <c r="V219" s="256"/>
      <c r="W219" s="254"/>
      <c r="X219" s="703"/>
      <c r="Y219" s="125"/>
      <c r="Z219" s="431"/>
      <c r="AA219" s="499"/>
      <c r="AB219" s="741"/>
      <c r="AC219" s="51"/>
      <c r="AD219" s="51"/>
      <c r="AE219" s="645" t="str">
        <f t="shared" si="1"/>
        <v/>
      </c>
      <c r="AF219" s="1037" t="str">
        <f t="shared" si="2"/>
        <v/>
      </c>
      <c r="AG219" s="1037" t="str">
        <f t="shared" si="3"/>
        <v/>
      </c>
      <c r="AH219" s="1037" t="str">
        <f>IF(AE219="","",VLOOKUP(AE219,リスト!BI:BJ,2,0))</f>
        <v/>
      </c>
      <c r="AI219" s="1037" t="str">
        <f t="shared" si="77"/>
        <v/>
      </c>
      <c r="AJ219" s="1037" t="str">
        <f>IF(AI219="","",VLOOKUP(AI219,リスト!BW:BX,2,0))</f>
        <v/>
      </c>
      <c r="AK219" s="1037" t="str">
        <f t="shared" si="74"/>
        <v/>
      </c>
      <c r="AL219" s="685" t="str">
        <f t="shared" si="6"/>
        <v/>
      </c>
      <c r="AM219" s="646" t="str">
        <f t="shared" si="7"/>
        <v/>
      </c>
      <c r="AN219" s="646" t="str">
        <f t="shared" si="78"/>
        <v/>
      </c>
      <c r="AO219" s="647" t="str">
        <f t="shared" si="79"/>
        <v/>
      </c>
      <c r="AP219" s="647" t="str">
        <f t="shared" si="75"/>
        <v/>
      </c>
      <c r="AQ219" s="647" t="str">
        <f t="shared" si="9"/>
        <v/>
      </c>
      <c r="AR219" s="647" t="str">
        <f t="shared" si="10"/>
        <v/>
      </c>
      <c r="AS219" s="647" t="str">
        <f t="shared" si="11"/>
        <v/>
      </c>
      <c r="AT219" s="647" t="str">
        <f t="shared" si="76"/>
        <v/>
      </c>
      <c r="AU219" s="647" t="str">
        <f t="shared" si="13"/>
        <v/>
      </c>
      <c r="AV219" s="647" t="str">
        <f t="shared" si="14"/>
        <v/>
      </c>
      <c r="AW219" s="647" t="str">
        <f t="shared" si="15"/>
        <v/>
      </c>
      <c r="AX219" s="647" t="str">
        <f t="shared" si="16"/>
        <v/>
      </c>
    </row>
    <row r="220" spans="3:50" s="5" customFormat="1" ht="28.15" hidden="1" customHeight="1" outlineLevel="1">
      <c r="C220" s="649">
        <v>204</v>
      </c>
      <c r="D220" s="1855"/>
      <c r="E220" s="1856"/>
      <c r="F220" s="1856"/>
      <c r="G220" s="1856"/>
      <c r="H220" s="1856"/>
      <c r="I220" s="1856"/>
      <c r="J220" s="1856"/>
      <c r="K220" s="702"/>
      <c r="L220" s="1054"/>
      <c r="M220" s="705"/>
      <c r="N220" s="255"/>
      <c r="O220" s="1040"/>
      <c r="P220" s="1041"/>
      <c r="Q220" s="256"/>
      <c r="R220" s="267"/>
      <c r="S220" s="256"/>
      <c r="T220" s="256"/>
      <c r="U220" s="256"/>
      <c r="V220" s="256"/>
      <c r="W220" s="254"/>
      <c r="X220" s="703"/>
      <c r="Y220" s="125"/>
      <c r="Z220" s="431"/>
      <c r="AA220" s="499"/>
      <c r="AB220" s="741"/>
      <c r="AC220" s="51"/>
      <c r="AD220" s="51"/>
      <c r="AE220" s="645" t="str">
        <f t="shared" si="1"/>
        <v/>
      </c>
      <c r="AF220" s="1037" t="str">
        <f t="shared" si="2"/>
        <v/>
      </c>
      <c r="AG220" s="1037" t="str">
        <f t="shared" si="3"/>
        <v/>
      </c>
      <c r="AH220" s="1037" t="str">
        <f>IF(AE220="","",VLOOKUP(AE220,リスト!BI:BJ,2,0))</f>
        <v/>
      </c>
      <c r="AI220" s="1037" t="str">
        <f t="shared" si="77"/>
        <v/>
      </c>
      <c r="AJ220" s="1037" t="str">
        <f>IF(AI220="","",VLOOKUP(AI220,リスト!BW:BX,2,0))</f>
        <v/>
      </c>
      <c r="AK220" s="1037" t="str">
        <f t="shared" si="74"/>
        <v/>
      </c>
      <c r="AL220" s="685" t="str">
        <f t="shared" si="6"/>
        <v/>
      </c>
      <c r="AM220" s="646" t="str">
        <f t="shared" si="7"/>
        <v/>
      </c>
      <c r="AN220" s="646" t="str">
        <f t="shared" si="78"/>
        <v/>
      </c>
      <c r="AO220" s="647" t="str">
        <f t="shared" si="79"/>
        <v/>
      </c>
      <c r="AP220" s="647" t="str">
        <f t="shared" si="75"/>
        <v/>
      </c>
      <c r="AQ220" s="647" t="str">
        <f t="shared" si="9"/>
        <v/>
      </c>
      <c r="AR220" s="647" t="str">
        <f t="shared" si="10"/>
        <v/>
      </c>
      <c r="AS220" s="647" t="str">
        <f t="shared" si="11"/>
        <v/>
      </c>
      <c r="AT220" s="647" t="str">
        <f t="shared" si="76"/>
        <v/>
      </c>
      <c r="AU220" s="647" t="str">
        <f t="shared" si="13"/>
        <v/>
      </c>
      <c r="AV220" s="647" t="str">
        <f t="shared" si="14"/>
        <v/>
      </c>
      <c r="AW220" s="647" t="str">
        <f t="shared" si="15"/>
        <v/>
      </c>
      <c r="AX220" s="647" t="str">
        <f t="shared" si="16"/>
        <v/>
      </c>
    </row>
    <row r="221" spans="3:50" s="5" customFormat="1" ht="28.15" hidden="1" customHeight="1" outlineLevel="1">
      <c r="C221" s="649">
        <v>205</v>
      </c>
      <c r="D221" s="1865"/>
      <c r="E221" s="1866"/>
      <c r="F221" s="1866"/>
      <c r="G221" s="1866"/>
      <c r="H221" s="1866"/>
      <c r="I221" s="1866"/>
      <c r="J221" s="1866"/>
      <c r="K221" s="704"/>
      <c r="L221" s="1055"/>
      <c r="M221" s="705"/>
      <c r="N221" s="257"/>
      <c r="O221" s="1042"/>
      <c r="P221" s="1041"/>
      <c r="Q221" s="256"/>
      <c r="R221" s="267"/>
      <c r="S221" s="256"/>
      <c r="T221" s="256"/>
      <c r="U221" s="256"/>
      <c r="V221" s="256"/>
      <c r="W221" s="254"/>
      <c r="X221" s="703"/>
      <c r="Y221" s="125"/>
      <c r="Z221" s="431"/>
      <c r="AA221" s="499"/>
      <c r="AB221" s="741"/>
      <c r="AC221" s="51"/>
      <c r="AD221" s="51"/>
      <c r="AE221" s="645" t="str">
        <f t="shared" si="1"/>
        <v/>
      </c>
      <c r="AF221" s="1037" t="str">
        <f t="shared" si="2"/>
        <v/>
      </c>
      <c r="AG221" s="1037" t="str">
        <f t="shared" si="3"/>
        <v/>
      </c>
      <c r="AH221" s="1037" t="str">
        <f>IF(AE221="","",VLOOKUP(AE221,リスト!BI:BJ,2,0))</f>
        <v/>
      </c>
      <c r="AI221" s="1037" t="str">
        <f t="shared" si="77"/>
        <v/>
      </c>
      <c r="AJ221" s="1037" t="str">
        <f>IF(AI221="","",VLOOKUP(AI221,リスト!BW:BX,2,0))</f>
        <v/>
      </c>
      <c r="AK221" s="1037" t="str">
        <f t="shared" si="74"/>
        <v/>
      </c>
      <c r="AL221" s="685" t="str">
        <f t="shared" si="6"/>
        <v/>
      </c>
      <c r="AM221" s="646" t="str">
        <f t="shared" si="7"/>
        <v/>
      </c>
      <c r="AN221" s="646" t="str">
        <f t="shared" si="78"/>
        <v/>
      </c>
      <c r="AO221" s="647" t="str">
        <f t="shared" si="79"/>
        <v/>
      </c>
      <c r="AP221" s="647" t="str">
        <f t="shared" si="75"/>
        <v/>
      </c>
      <c r="AQ221" s="647" t="str">
        <f t="shared" si="9"/>
        <v/>
      </c>
      <c r="AR221" s="647" t="str">
        <f t="shared" si="10"/>
        <v/>
      </c>
      <c r="AS221" s="647" t="str">
        <f t="shared" si="11"/>
        <v/>
      </c>
      <c r="AT221" s="647" t="str">
        <f t="shared" si="76"/>
        <v/>
      </c>
      <c r="AU221" s="647" t="str">
        <f t="shared" si="13"/>
        <v/>
      </c>
      <c r="AV221" s="647" t="str">
        <f t="shared" si="14"/>
        <v/>
      </c>
      <c r="AW221" s="647" t="str">
        <f t="shared" si="15"/>
        <v/>
      </c>
      <c r="AX221" s="647" t="str">
        <f t="shared" si="16"/>
        <v/>
      </c>
    </row>
    <row r="222" spans="3:50" s="5" customFormat="1" ht="28.15" hidden="1" customHeight="1" outlineLevel="1">
      <c r="C222" s="649">
        <v>206</v>
      </c>
      <c r="D222" s="1855"/>
      <c r="E222" s="1856"/>
      <c r="F222" s="1856"/>
      <c r="G222" s="1856"/>
      <c r="H222" s="1856"/>
      <c r="I222" s="1856"/>
      <c r="J222" s="1856"/>
      <c r="K222" s="702"/>
      <c r="L222" s="1054"/>
      <c r="M222" s="705"/>
      <c r="N222" s="255"/>
      <c r="O222" s="1040"/>
      <c r="P222" s="1041"/>
      <c r="Q222" s="256"/>
      <c r="R222" s="267"/>
      <c r="S222" s="256"/>
      <c r="T222" s="256"/>
      <c r="U222" s="256"/>
      <c r="V222" s="256"/>
      <c r="W222" s="254"/>
      <c r="X222" s="703"/>
      <c r="Y222" s="125"/>
      <c r="Z222" s="431"/>
      <c r="AA222" s="499"/>
      <c r="AB222" s="741"/>
      <c r="AC222" s="51"/>
      <c r="AD222" s="51"/>
      <c r="AE222" s="645" t="str">
        <f t="shared" si="1"/>
        <v/>
      </c>
      <c r="AF222" s="1037" t="str">
        <f t="shared" si="2"/>
        <v/>
      </c>
      <c r="AG222" s="1037" t="str">
        <f t="shared" si="3"/>
        <v/>
      </c>
      <c r="AH222" s="1037" t="str">
        <f>IF(AE222="","",VLOOKUP(AE222,リスト!BI:BJ,2,0))</f>
        <v/>
      </c>
      <c r="AI222" s="1037" t="str">
        <f t="shared" si="77"/>
        <v/>
      </c>
      <c r="AJ222" s="1037" t="str">
        <f>IF(AI222="","",VLOOKUP(AI222,リスト!BW:BX,2,0))</f>
        <v/>
      </c>
      <c r="AK222" s="1037" t="str">
        <f t="shared" si="74"/>
        <v/>
      </c>
      <c r="AL222" s="685" t="str">
        <f t="shared" si="6"/>
        <v/>
      </c>
      <c r="AM222" s="646" t="str">
        <f t="shared" si="7"/>
        <v/>
      </c>
      <c r="AN222" s="646" t="str">
        <f t="shared" si="78"/>
        <v/>
      </c>
      <c r="AO222" s="647" t="str">
        <f t="shared" si="79"/>
        <v/>
      </c>
      <c r="AP222" s="647" t="str">
        <f t="shared" si="75"/>
        <v/>
      </c>
      <c r="AQ222" s="647" t="str">
        <f t="shared" si="9"/>
        <v/>
      </c>
      <c r="AR222" s="647" t="str">
        <f t="shared" si="10"/>
        <v/>
      </c>
      <c r="AS222" s="647" t="str">
        <f t="shared" si="11"/>
        <v/>
      </c>
      <c r="AT222" s="647" t="str">
        <f t="shared" si="76"/>
        <v/>
      </c>
      <c r="AU222" s="647" t="str">
        <f t="shared" si="13"/>
        <v/>
      </c>
      <c r="AV222" s="647" t="str">
        <f t="shared" si="14"/>
        <v/>
      </c>
      <c r="AW222" s="647" t="str">
        <f t="shared" si="15"/>
        <v/>
      </c>
      <c r="AX222" s="647" t="str">
        <f t="shared" si="16"/>
        <v/>
      </c>
    </row>
    <row r="223" spans="3:50" s="5" customFormat="1" ht="28.15" hidden="1" customHeight="1" outlineLevel="1">
      <c r="C223" s="649">
        <v>207</v>
      </c>
      <c r="D223" s="1865"/>
      <c r="E223" s="1866"/>
      <c r="F223" s="1866"/>
      <c r="G223" s="1866"/>
      <c r="H223" s="1866"/>
      <c r="I223" s="1866"/>
      <c r="J223" s="1866"/>
      <c r="K223" s="704"/>
      <c r="L223" s="1055"/>
      <c r="M223" s="705"/>
      <c r="N223" s="255"/>
      <c r="O223" s="1042"/>
      <c r="P223" s="1041"/>
      <c r="Q223" s="256"/>
      <c r="R223" s="267"/>
      <c r="S223" s="256"/>
      <c r="T223" s="256"/>
      <c r="U223" s="256"/>
      <c r="V223" s="256"/>
      <c r="W223" s="254"/>
      <c r="X223" s="703"/>
      <c r="Y223" s="125"/>
      <c r="Z223" s="431"/>
      <c r="AA223" s="499"/>
      <c r="AB223" s="741"/>
      <c r="AC223" s="51"/>
      <c r="AD223" s="51"/>
      <c r="AE223" s="645" t="str">
        <f t="shared" si="1"/>
        <v/>
      </c>
      <c r="AF223" s="1037" t="str">
        <f t="shared" si="2"/>
        <v/>
      </c>
      <c r="AG223" s="1037" t="str">
        <f t="shared" si="3"/>
        <v/>
      </c>
      <c r="AH223" s="1037" t="str">
        <f>IF(AE223="","",VLOOKUP(AE223,リスト!BI:BJ,2,0))</f>
        <v/>
      </c>
      <c r="AI223" s="1037" t="str">
        <f t="shared" si="77"/>
        <v/>
      </c>
      <c r="AJ223" s="1037" t="str">
        <f>IF(AI223="","",VLOOKUP(AI223,リスト!BW:BX,2,0))</f>
        <v/>
      </c>
      <c r="AK223" s="1037" t="str">
        <f t="shared" si="74"/>
        <v/>
      </c>
      <c r="AL223" s="685" t="str">
        <f t="shared" si="6"/>
        <v/>
      </c>
      <c r="AM223" s="646" t="str">
        <f t="shared" si="7"/>
        <v/>
      </c>
      <c r="AN223" s="646" t="str">
        <f t="shared" si="78"/>
        <v/>
      </c>
      <c r="AO223" s="647" t="str">
        <f t="shared" si="79"/>
        <v/>
      </c>
      <c r="AP223" s="647" t="str">
        <f t="shared" si="75"/>
        <v/>
      </c>
      <c r="AQ223" s="647" t="str">
        <f t="shared" si="9"/>
        <v/>
      </c>
      <c r="AR223" s="647" t="str">
        <f t="shared" si="10"/>
        <v/>
      </c>
      <c r="AS223" s="647" t="str">
        <f t="shared" si="11"/>
        <v/>
      </c>
      <c r="AT223" s="647" t="str">
        <f t="shared" si="76"/>
        <v/>
      </c>
      <c r="AU223" s="647" t="str">
        <f t="shared" si="13"/>
        <v/>
      </c>
      <c r="AV223" s="647" t="str">
        <f t="shared" si="14"/>
        <v/>
      </c>
      <c r="AW223" s="647" t="str">
        <f t="shared" si="15"/>
        <v/>
      </c>
      <c r="AX223" s="647" t="str">
        <f t="shared" si="16"/>
        <v/>
      </c>
    </row>
    <row r="224" spans="3:50" s="5" customFormat="1" ht="28.15" hidden="1" customHeight="1" outlineLevel="1">
      <c r="C224" s="649">
        <v>208</v>
      </c>
      <c r="D224" s="1855"/>
      <c r="E224" s="1856"/>
      <c r="F224" s="1856"/>
      <c r="G224" s="1856"/>
      <c r="H224" s="1856"/>
      <c r="I224" s="1856"/>
      <c r="J224" s="1856"/>
      <c r="K224" s="702"/>
      <c r="L224" s="1054"/>
      <c r="M224" s="705"/>
      <c r="N224" s="255"/>
      <c r="O224" s="1040"/>
      <c r="P224" s="1041"/>
      <c r="Q224" s="256"/>
      <c r="R224" s="267"/>
      <c r="S224" s="256"/>
      <c r="T224" s="256"/>
      <c r="U224" s="256"/>
      <c r="V224" s="256"/>
      <c r="W224" s="254"/>
      <c r="X224" s="703"/>
      <c r="Y224" s="125"/>
      <c r="Z224" s="431"/>
      <c r="AA224" s="499"/>
      <c r="AB224" s="741"/>
      <c r="AC224" s="51"/>
      <c r="AD224" s="51"/>
      <c r="AE224" s="645" t="str">
        <f t="shared" si="1"/>
        <v/>
      </c>
      <c r="AF224" s="1037" t="str">
        <f t="shared" si="2"/>
        <v/>
      </c>
      <c r="AG224" s="1037" t="str">
        <f t="shared" si="3"/>
        <v/>
      </c>
      <c r="AH224" s="1037" t="str">
        <f>IF(AE224="","",VLOOKUP(AE224,リスト!BI:BJ,2,0))</f>
        <v/>
      </c>
      <c r="AI224" s="1037" t="str">
        <f t="shared" si="77"/>
        <v/>
      </c>
      <c r="AJ224" s="1037" t="str">
        <f>IF(AI224="","",VLOOKUP(AI224,リスト!BW:BX,2,0))</f>
        <v/>
      </c>
      <c r="AK224" s="1037" t="str">
        <f t="shared" si="74"/>
        <v/>
      </c>
      <c r="AL224" s="685" t="str">
        <f t="shared" si="6"/>
        <v/>
      </c>
      <c r="AM224" s="646" t="str">
        <f t="shared" si="7"/>
        <v/>
      </c>
      <c r="AN224" s="646" t="str">
        <f t="shared" si="78"/>
        <v/>
      </c>
      <c r="AO224" s="647" t="str">
        <f t="shared" si="79"/>
        <v/>
      </c>
      <c r="AP224" s="647" t="str">
        <f t="shared" si="75"/>
        <v/>
      </c>
      <c r="AQ224" s="647" t="str">
        <f t="shared" si="9"/>
        <v/>
      </c>
      <c r="AR224" s="647" t="str">
        <f t="shared" si="10"/>
        <v/>
      </c>
      <c r="AS224" s="647" t="str">
        <f t="shared" si="11"/>
        <v/>
      </c>
      <c r="AT224" s="647" t="str">
        <f t="shared" si="76"/>
        <v/>
      </c>
      <c r="AU224" s="647" t="str">
        <f t="shared" si="13"/>
        <v/>
      </c>
      <c r="AV224" s="647" t="str">
        <f t="shared" si="14"/>
        <v/>
      </c>
      <c r="AW224" s="647" t="str">
        <f t="shared" si="15"/>
        <v/>
      </c>
      <c r="AX224" s="647" t="str">
        <f t="shared" si="16"/>
        <v/>
      </c>
    </row>
    <row r="225" spans="3:50" s="5" customFormat="1" ht="28.15" hidden="1" customHeight="1" outlineLevel="1">
      <c r="C225" s="649">
        <v>209</v>
      </c>
      <c r="D225" s="1865"/>
      <c r="E225" s="1866"/>
      <c r="F225" s="1866"/>
      <c r="G225" s="1866"/>
      <c r="H225" s="1866"/>
      <c r="I225" s="1866"/>
      <c r="J225" s="1866"/>
      <c r="K225" s="704"/>
      <c r="L225" s="1055"/>
      <c r="M225" s="705"/>
      <c r="N225" s="255"/>
      <c r="O225" s="1042"/>
      <c r="P225" s="1041"/>
      <c r="Q225" s="256"/>
      <c r="R225" s="267"/>
      <c r="S225" s="256"/>
      <c r="T225" s="256"/>
      <c r="U225" s="256"/>
      <c r="V225" s="256"/>
      <c r="W225" s="254"/>
      <c r="X225" s="703"/>
      <c r="Y225" s="125"/>
      <c r="Z225" s="431"/>
      <c r="AA225" s="499"/>
      <c r="AB225" s="741"/>
      <c r="AC225" s="51"/>
      <c r="AD225" s="51"/>
      <c r="AE225" s="645" t="str">
        <f t="shared" si="1"/>
        <v/>
      </c>
      <c r="AF225" s="1037" t="str">
        <f t="shared" si="2"/>
        <v/>
      </c>
      <c r="AG225" s="1037" t="str">
        <f t="shared" si="3"/>
        <v/>
      </c>
      <c r="AH225" s="1037" t="str">
        <f>IF(AE225="","",VLOOKUP(AE225,リスト!BI:BJ,2,0))</f>
        <v/>
      </c>
      <c r="AI225" s="1037" t="str">
        <f t="shared" si="77"/>
        <v/>
      </c>
      <c r="AJ225" s="1037" t="str">
        <f>IF(AI225="","",VLOOKUP(AI225,リスト!BW:BX,2,0))</f>
        <v/>
      </c>
      <c r="AK225" s="1037" t="str">
        <f t="shared" si="74"/>
        <v/>
      </c>
      <c r="AL225" s="685" t="str">
        <f t="shared" si="6"/>
        <v/>
      </c>
      <c r="AM225" s="646" t="str">
        <f t="shared" si="7"/>
        <v/>
      </c>
      <c r="AN225" s="646" t="str">
        <f t="shared" si="78"/>
        <v/>
      </c>
      <c r="AO225" s="647" t="str">
        <f t="shared" si="79"/>
        <v/>
      </c>
      <c r="AP225" s="647" t="str">
        <f t="shared" si="75"/>
        <v/>
      </c>
      <c r="AQ225" s="647" t="str">
        <f t="shared" si="9"/>
        <v/>
      </c>
      <c r="AR225" s="647" t="str">
        <f t="shared" si="10"/>
        <v/>
      </c>
      <c r="AS225" s="647" t="str">
        <f t="shared" si="11"/>
        <v/>
      </c>
      <c r="AT225" s="647" t="str">
        <f t="shared" si="76"/>
        <v/>
      </c>
      <c r="AU225" s="647" t="str">
        <f t="shared" si="13"/>
        <v/>
      </c>
      <c r="AV225" s="647" t="str">
        <f t="shared" si="14"/>
        <v/>
      </c>
      <c r="AW225" s="647" t="str">
        <f t="shared" si="15"/>
        <v/>
      </c>
      <c r="AX225" s="647" t="str">
        <f t="shared" si="16"/>
        <v/>
      </c>
    </row>
    <row r="226" spans="3:50" s="5" customFormat="1" ht="28.15" hidden="1" customHeight="1" outlineLevel="1">
      <c r="C226" s="649">
        <v>210</v>
      </c>
      <c r="D226" s="1855"/>
      <c r="E226" s="1856"/>
      <c r="F226" s="1856"/>
      <c r="G226" s="1856"/>
      <c r="H226" s="1856"/>
      <c r="I226" s="1856"/>
      <c r="J226" s="1856"/>
      <c r="K226" s="702"/>
      <c r="L226" s="1054"/>
      <c r="M226" s="705"/>
      <c r="N226" s="255"/>
      <c r="O226" s="1040"/>
      <c r="P226" s="1041"/>
      <c r="Q226" s="256"/>
      <c r="R226" s="267"/>
      <c r="S226" s="256"/>
      <c r="T226" s="256"/>
      <c r="U226" s="256"/>
      <c r="V226" s="256"/>
      <c r="W226" s="254"/>
      <c r="X226" s="703"/>
      <c r="Y226" s="125"/>
      <c r="Z226" s="431"/>
      <c r="AA226" s="499"/>
      <c r="AB226" s="741"/>
      <c r="AC226" s="51"/>
      <c r="AD226" s="51"/>
      <c r="AE226" s="645" t="str">
        <f t="shared" si="1"/>
        <v/>
      </c>
      <c r="AF226" s="1037" t="str">
        <f t="shared" si="2"/>
        <v/>
      </c>
      <c r="AG226" s="1037" t="str">
        <f t="shared" si="3"/>
        <v/>
      </c>
      <c r="AH226" s="1037" t="str">
        <f>IF(AE226="","",VLOOKUP(AE226,リスト!BI:BJ,2,0))</f>
        <v/>
      </c>
      <c r="AI226" s="1037" t="str">
        <f t="shared" si="77"/>
        <v/>
      </c>
      <c r="AJ226" s="1037" t="str">
        <f>IF(AI226="","",VLOOKUP(AI226,リスト!BW:BX,2,0))</f>
        <v/>
      </c>
      <c r="AK226" s="1037" t="str">
        <f t="shared" si="74"/>
        <v/>
      </c>
      <c r="AL226" s="685" t="str">
        <f t="shared" si="6"/>
        <v/>
      </c>
      <c r="AM226" s="646" t="str">
        <f t="shared" si="7"/>
        <v/>
      </c>
      <c r="AN226" s="646" t="str">
        <f t="shared" si="78"/>
        <v/>
      </c>
      <c r="AO226" s="647" t="str">
        <f t="shared" si="79"/>
        <v/>
      </c>
      <c r="AP226" s="647" t="str">
        <f t="shared" si="75"/>
        <v/>
      </c>
      <c r="AQ226" s="647" t="str">
        <f t="shared" si="9"/>
        <v/>
      </c>
      <c r="AR226" s="647" t="str">
        <f t="shared" si="10"/>
        <v/>
      </c>
      <c r="AS226" s="647" t="str">
        <f t="shared" si="11"/>
        <v/>
      </c>
      <c r="AT226" s="647" t="str">
        <f t="shared" si="76"/>
        <v/>
      </c>
      <c r="AU226" s="647" t="str">
        <f t="shared" si="13"/>
        <v/>
      </c>
      <c r="AV226" s="647" t="str">
        <f t="shared" si="14"/>
        <v/>
      </c>
      <c r="AW226" s="647" t="str">
        <f t="shared" si="15"/>
        <v/>
      </c>
      <c r="AX226" s="647" t="str">
        <f t="shared" si="16"/>
        <v/>
      </c>
    </row>
    <row r="227" spans="3:50" s="5" customFormat="1" ht="28.15" hidden="1" customHeight="1" outlineLevel="1">
      <c r="C227" s="649">
        <v>211</v>
      </c>
      <c r="D227" s="1865"/>
      <c r="E227" s="1866"/>
      <c r="F227" s="1866"/>
      <c r="G227" s="1866"/>
      <c r="H227" s="1866"/>
      <c r="I227" s="1866"/>
      <c r="J227" s="1866"/>
      <c r="K227" s="704"/>
      <c r="L227" s="1055"/>
      <c r="M227" s="705"/>
      <c r="N227" s="255"/>
      <c r="O227" s="1042"/>
      <c r="P227" s="1043"/>
      <c r="Q227" s="256"/>
      <c r="R227" s="267"/>
      <c r="S227" s="256"/>
      <c r="T227" s="256"/>
      <c r="U227" s="256"/>
      <c r="V227" s="256"/>
      <c r="W227" s="254"/>
      <c r="X227" s="703"/>
      <c r="Y227" s="125"/>
      <c r="Z227" s="431"/>
      <c r="AA227" s="499"/>
      <c r="AB227" s="741"/>
      <c r="AC227" s="51"/>
      <c r="AD227" s="51"/>
      <c r="AE227" s="645" t="str">
        <f t="shared" si="1"/>
        <v/>
      </c>
      <c r="AF227" s="1037" t="str">
        <f t="shared" si="2"/>
        <v/>
      </c>
      <c r="AG227" s="1037" t="str">
        <f t="shared" si="3"/>
        <v/>
      </c>
      <c r="AH227" s="1037" t="str">
        <f>IF(AE227="","",VLOOKUP(AE227,リスト!BI:BJ,2,0))</f>
        <v/>
      </c>
      <c r="AI227" s="1037" t="str">
        <f t="shared" si="77"/>
        <v/>
      </c>
      <c r="AJ227" s="1037" t="str">
        <f>IF(AI227="","",VLOOKUP(AI227,リスト!BW:BX,2,0))</f>
        <v/>
      </c>
      <c r="AK227" s="1037" t="str">
        <f t="shared" si="74"/>
        <v/>
      </c>
      <c r="AL227" s="685" t="str">
        <f t="shared" si="6"/>
        <v/>
      </c>
      <c r="AM227" s="646" t="str">
        <f t="shared" si="7"/>
        <v/>
      </c>
      <c r="AN227" s="646" t="str">
        <f t="shared" si="78"/>
        <v/>
      </c>
      <c r="AO227" s="647" t="str">
        <f t="shared" si="79"/>
        <v/>
      </c>
      <c r="AP227" s="647" t="str">
        <f t="shared" si="75"/>
        <v/>
      </c>
      <c r="AQ227" s="647" t="str">
        <f t="shared" si="9"/>
        <v/>
      </c>
      <c r="AR227" s="647" t="str">
        <f t="shared" si="10"/>
        <v/>
      </c>
      <c r="AS227" s="647" t="str">
        <f t="shared" si="11"/>
        <v/>
      </c>
      <c r="AT227" s="647" t="str">
        <f t="shared" si="76"/>
        <v/>
      </c>
      <c r="AU227" s="647" t="str">
        <f t="shared" si="13"/>
        <v/>
      </c>
      <c r="AV227" s="647" t="str">
        <f t="shared" si="14"/>
        <v/>
      </c>
      <c r="AW227" s="647" t="str">
        <f t="shared" si="15"/>
        <v/>
      </c>
      <c r="AX227" s="647" t="str">
        <f t="shared" si="16"/>
        <v/>
      </c>
    </row>
    <row r="228" spans="3:50" s="5" customFormat="1" ht="28.15" hidden="1" customHeight="1" outlineLevel="1">
      <c r="C228" s="649">
        <v>212</v>
      </c>
      <c r="D228" s="1855"/>
      <c r="E228" s="1856"/>
      <c r="F228" s="1856"/>
      <c r="G228" s="1856"/>
      <c r="H228" s="1856"/>
      <c r="I228" s="1856"/>
      <c r="J228" s="1856"/>
      <c r="K228" s="702"/>
      <c r="L228" s="1054"/>
      <c r="M228" s="705"/>
      <c r="N228" s="255"/>
      <c r="O228" s="1040"/>
      <c r="P228" s="1044"/>
      <c r="Q228" s="256"/>
      <c r="R228" s="267"/>
      <c r="S228" s="256"/>
      <c r="T228" s="256"/>
      <c r="U228" s="256"/>
      <c r="V228" s="256"/>
      <c r="W228" s="254"/>
      <c r="X228" s="703"/>
      <c r="Y228" s="125"/>
      <c r="Z228" s="431"/>
      <c r="AA228" s="499"/>
      <c r="AB228" s="741"/>
      <c r="AC228" s="51"/>
      <c r="AD228" s="51"/>
      <c r="AE228" s="645" t="str">
        <f t="shared" si="1"/>
        <v/>
      </c>
      <c r="AF228" s="1037" t="str">
        <f t="shared" si="2"/>
        <v/>
      </c>
      <c r="AG228" s="1037" t="str">
        <f t="shared" si="3"/>
        <v/>
      </c>
      <c r="AH228" s="1037" t="str">
        <f>IF(AE228="","",VLOOKUP(AE228,リスト!BI:BJ,2,0))</f>
        <v/>
      </c>
      <c r="AI228" s="1037" t="str">
        <f t="shared" si="77"/>
        <v/>
      </c>
      <c r="AJ228" s="1037" t="str">
        <f>IF(AI228="","",VLOOKUP(AI228,リスト!BW:BX,2,0))</f>
        <v/>
      </c>
      <c r="AK228" s="1037" t="str">
        <f t="shared" si="74"/>
        <v/>
      </c>
      <c r="AL228" s="685" t="str">
        <f t="shared" si="6"/>
        <v/>
      </c>
      <c r="AM228" s="646" t="str">
        <f t="shared" si="7"/>
        <v/>
      </c>
      <c r="AN228" s="646" t="str">
        <f t="shared" si="78"/>
        <v/>
      </c>
      <c r="AO228" s="647" t="str">
        <f t="shared" si="79"/>
        <v/>
      </c>
      <c r="AP228" s="647" t="str">
        <f t="shared" si="75"/>
        <v/>
      </c>
      <c r="AQ228" s="647" t="str">
        <f t="shared" si="9"/>
        <v/>
      </c>
      <c r="AR228" s="647" t="str">
        <f t="shared" si="10"/>
        <v/>
      </c>
      <c r="AS228" s="647" t="str">
        <f t="shared" si="11"/>
        <v/>
      </c>
      <c r="AT228" s="647" t="str">
        <f t="shared" si="76"/>
        <v/>
      </c>
      <c r="AU228" s="647" t="str">
        <f t="shared" si="13"/>
        <v/>
      </c>
      <c r="AV228" s="647" t="str">
        <f t="shared" si="14"/>
        <v/>
      </c>
      <c r="AW228" s="647" t="str">
        <f t="shared" si="15"/>
        <v/>
      </c>
      <c r="AX228" s="647" t="str">
        <f t="shared" si="16"/>
        <v/>
      </c>
    </row>
    <row r="229" spans="3:50" s="5" customFormat="1" ht="28.15" hidden="1" customHeight="1" outlineLevel="1">
      <c r="C229" s="649">
        <v>213</v>
      </c>
      <c r="D229" s="1855"/>
      <c r="E229" s="1856"/>
      <c r="F229" s="1856"/>
      <c r="G229" s="1856"/>
      <c r="H229" s="1856"/>
      <c r="I229" s="1856"/>
      <c r="J229" s="1856"/>
      <c r="K229" s="702"/>
      <c r="L229" s="1054"/>
      <c r="M229" s="705"/>
      <c r="N229" s="255"/>
      <c r="O229" s="1040"/>
      <c r="P229" s="1044"/>
      <c r="Q229" s="256"/>
      <c r="R229" s="267"/>
      <c r="S229" s="256"/>
      <c r="T229" s="256"/>
      <c r="U229" s="256"/>
      <c r="V229" s="256"/>
      <c r="W229" s="254"/>
      <c r="X229" s="703"/>
      <c r="Y229" s="125"/>
      <c r="Z229" s="431"/>
      <c r="AA229" s="499"/>
      <c r="AB229" s="741"/>
      <c r="AC229" s="51"/>
      <c r="AD229" s="51"/>
      <c r="AE229" s="645" t="str">
        <f t="shared" si="1"/>
        <v/>
      </c>
      <c r="AF229" s="1037" t="str">
        <f t="shared" si="2"/>
        <v/>
      </c>
      <c r="AG229" s="1037" t="str">
        <f t="shared" si="3"/>
        <v/>
      </c>
      <c r="AH229" s="1037" t="str">
        <f>IF(AE229="","",VLOOKUP(AE229,リスト!BI:BJ,2,0))</f>
        <v/>
      </c>
      <c r="AI229" s="1037" t="str">
        <f t="shared" si="77"/>
        <v/>
      </c>
      <c r="AJ229" s="1037" t="str">
        <f>IF(AI229="","",VLOOKUP(AI229,リスト!BW:BX,2,0))</f>
        <v/>
      </c>
      <c r="AK229" s="1037" t="str">
        <f t="shared" si="74"/>
        <v/>
      </c>
      <c r="AL229" s="685" t="str">
        <f t="shared" si="6"/>
        <v/>
      </c>
      <c r="AM229" s="646" t="str">
        <f t="shared" si="7"/>
        <v/>
      </c>
      <c r="AN229" s="646" t="str">
        <f t="shared" si="78"/>
        <v/>
      </c>
      <c r="AO229" s="647" t="str">
        <f t="shared" si="79"/>
        <v/>
      </c>
      <c r="AP229" s="647" t="str">
        <f t="shared" si="75"/>
        <v/>
      </c>
      <c r="AQ229" s="647" t="str">
        <f t="shared" si="9"/>
        <v/>
      </c>
      <c r="AR229" s="647" t="str">
        <f t="shared" si="10"/>
        <v/>
      </c>
      <c r="AS229" s="647" t="str">
        <f t="shared" si="11"/>
        <v/>
      </c>
      <c r="AT229" s="647" t="str">
        <f t="shared" si="76"/>
        <v/>
      </c>
      <c r="AU229" s="647" t="str">
        <f t="shared" si="13"/>
        <v/>
      </c>
      <c r="AV229" s="647" t="str">
        <f t="shared" si="14"/>
        <v/>
      </c>
      <c r="AW229" s="647" t="str">
        <f t="shared" si="15"/>
        <v/>
      </c>
      <c r="AX229" s="647" t="str">
        <f t="shared" si="16"/>
        <v/>
      </c>
    </row>
    <row r="230" spans="3:50" s="5" customFormat="1" ht="28.15" hidden="1" customHeight="1" outlineLevel="1">
      <c r="C230" s="649">
        <v>214</v>
      </c>
      <c r="D230" s="1855"/>
      <c r="E230" s="1856"/>
      <c r="F230" s="1856"/>
      <c r="G230" s="1856"/>
      <c r="H230" s="1856"/>
      <c r="I230" s="1856"/>
      <c r="J230" s="1856"/>
      <c r="K230" s="702"/>
      <c r="L230" s="1054"/>
      <c r="M230" s="705"/>
      <c r="N230" s="257"/>
      <c r="O230" s="1040"/>
      <c r="P230" s="1044"/>
      <c r="Q230" s="256"/>
      <c r="R230" s="267"/>
      <c r="S230" s="256"/>
      <c r="T230" s="256"/>
      <c r="U230" s="256"/>
      <c r="V230" s="256"/>
      <c r="W230" s="254"/>
      <c r="X230" s="703"/>
      <c r="Y230" s="125"/>
      <c r="Z230" s="431"/>
      <c r="AA230" s="499"/>
      <c r="AB230" s="741"/>
      <c r="AC230" s="51"/>
      <c r="AD230" s="51"/>
      <c r="AE230" s="645" t="str">
        <f t="shared" si="1"/>
        <v/>
      </c>
      <c r="AF230" s="1037" t="str">
        <f t="shared" si="2"/>
        <v/>
      </c>
      <c r="AG230" s="1037" t="str">
        <f t="shared" si="3"/>
        <v/>
      </c>
      <c r="AH230" s="1037" t="str">
        <f>IF(AE230="","",VLOOKUP(AE230,リスト!BI:BJ,2,0))</f>
        <v/>
      </c>
      <c r="AI230" s="1037" t="str">
        <f t="shared" si="77"/>
        <v/>
      </c>
      <c r="AJ230" s="1037" t="str">
        <f>IF(AI230="","",VLOOKUP(AI230,リスト!BW:BX,2,0))</f>
        <v/>
      </c>
      <c r="AK230" s="1037" t="str">
        <f t="shared" si="74"/>
        <v/>
      </c>
      <c r="AL230" s="685" t="str">
        <f t="shared" si="6"/>
        <v/>
      </c>
      <c r="AM230" s="646" t="str">
        <f t="shared" si="7"/>
        <v/>
      </c>
      <c r="AN230" s="646" t="str">
        <f t="shared" si="78"/>
        <v/>
      </c>
      <c r="AO230" s="647" t="str">
        <f t="shared" si="79"/>
        <v/>
      </c>
      <c r="AP230" s="647" t="str">
        <f t="shared" si="75"/>
        <v/>
      </c>
      <c r="AQ230" s="647" t="str">
        <f t="shared" si="9"/>
        <v/>
      </c>
      <c r="AR230" s="647" t="str">
        <f t="shared" si="10"/>
        <v/>
      </c>
      <c r="AS230" s="647" t="str">
        <f t="shared" si="11"/>
        <v/>
      </c>
      <c r="AT230" s="647" t="str">
        <f t="shared" si="76"/>
        <v/>
      </c>
      <c r="AU230" s="647" t="str">
        <f t="shared" si="13"/>
        <v/>
      </c>
      <c r="AV230" s="647" t="str">
        <f t="shared" si="14"/>
        <v/>
      </c>
      <c r="AW230" s="647" t="str">
        <f t="shared" si="15"/>
        <v/>
      </c>
      <c r="AX230" s="647" t="str">
        <f t="shared" si="16"/>
        <v/>
      </c>
    </row>
    <row r="231" spans="3:50" s="5" customFormat="1" ht="28.15" hidden="1" customHeight="1" outlineLevel="1">
      <c r="C231" s="649">
        <v>215</v>
      </c>
      <c r="D231" s="1855"/>
      <c r="E231" s="1856"/>
      <c r="F231" s="1856"/>
      <c r="G231" s="1856"/>
      <c r="H231" s="1856"/>
      <c r="I231" s="1856"/>
      <c r="J231" s="1856"/>
      <c r="K231" s="702"/>
      <c r="L231" s="1054"/>
      <c r="M231" s="705"/>
      <c r="N231" s="255"/>
      <c r="O231" s="1040"/>
      <c r="P231" s="1044"/>
      <c r="Q231" s="256"/>
      <c r="R231" s="267"/>
      <c r="S231" s="256"/>
      <c r="T231" s="256"/>
      <c r="U231" s="256"/>
      <c r="V231" s="256"/>
      <c r="W231" s="254"/>
      <c r="X231" s="703"/>
      <c r="Y231" s="125"/>
      <c r="Z231" s="431"/>
      <c r="AA231" s="499"/>
      <c r="AB231" s="741"/>
      <c r="AC231" s="51"/>
      <c r="AD231" s="51"/>
      <c r="AE231" s="645" t="str">
        <f t="shared" si="1"/>
        <v/>
      </c>
      <c r="AF231" s="1037" t="str">
        <f t="shared" si="2"/>
        <v/>
      </c>
      <c r="AG231" s="1037" t="str">
        <f t="shared" si="3"/>
        <v/>
      </c>
      <c r="AH231" s="1037" t="str">
        <f>IF(AE231="","",VLOOKUP(AE231,リスト!BI:BJ,2,0))</f>
        <v/>
      </c>
      <c r="AI231" s="1037" t="str">
        <f t="shared" si="77"/>
        <v/>
      </c>
      <c r="AJ231" s="1037" t="str">
        <f>IF(AI231="","",VLOOKUP(AI231,リスト!BW:BX,2,0))</f>
        <v/>
      </c>
      <c r="AK231" s="1037" t="str">
        <f t="shared" si="74"/>
        <v/>
      </c>
      <c r="AL231" s="685" t="str">
        <f t="shared" si="6"/>
        <v/>
      </c>
      <c r="AM231" s="646" t="str">
        <f t="shared" si="7"/>
        <v/>
      </c>
      <c r="AN231" s="646" t="str">
        <f t="shared" si="78"/>
        <v/>
      </c>
      <c r="AO231" s="647" t="str">
        <f t="shared" si="79"/>
        <v/>
      </c>
      <c r="AP231" s="647" t="str">
        <f t="shared" si="75"/>
        <v/>
      </c>
      <c r="AQ231" s="647" t="str">
        <f t="shared" si="9"/>
        <v/>
      </c>
      <c r="AR231" s="647" t="str">
        <f t="shared" si="10"/>
        <v/>
      </c>
      <c r="AS231" s="647" t="str">
        <f t="shared" si="11"/>
        <v/>
      </c>
      <c r="AT231" s="647" t="str">
        <f t="shared" si="76"/>
        <v/>
      </c>
      <c r="AU231" s="647" t="str">
        <f t="shared" si="13"/>
        <v/>
      </c>
      <c r="AV231" s="647" t="str">
        <f t="shared" si="14"/>
        <v/>
      </c>
      <c r="AW231" s="647" t="str">
        <f t="shared" si="15"/>
        <v/>
      </c>
      <c r="AX231" s="647" t="str">
        <f t="shared" si="16"/>
        <v/>
      </c>
    </row>
    <row r="232" spans="3:50" s="5" customFormat="1" ht="28.15" hidden="1" customHeight="1" outlineLevel="1">
      <c r="C232" s="649">
        <v>216</v>
      </c>
      <c r="D232" s="1855"/>
      <c r="E232" s="1856"/>
      <c r="F232" s="1856"/>
      <c r="G232" s="1856"/>
      <c r="H232" s="1856"/>
      <c r="I232" s="1856"/>
      <c r="J232" s="1856"/>
      <c r="K232" s="702"/>
      <c r="L232" s="1054"/>
      <c r="M232" s="705"/>
      <c r="N232" s="257"/>
      <c r="O232" s="1040"/>
      <c r="P232" s="1044"/>
      <c r="Q232" s="256"/>
      <c r="R232" s="267"/>
      <c r="S232" s="256"/>
      <c r="T232" s="256"/>
      <c r="U232" s="256"/>
      <c r="V232" s="256"/>
      <c r="W232" s="254"/>
      <c r="X232" s="703"/>
      <c r="Y232" s="125"/>
      <c r="Z232" s="431"/>
      <c r="AA232" s="499"/>
      <c r="AB232" s="741"/>
      <c r="AC232" s="51"/>
      <c r="AD232" s="51"/>
      <c r="AE232" s="645" t="str">
        <f t="shared" si="1"/>
        <v/>
      </c>
      <c r="AF232" s="1037" t="str">
        <f t="shared" si="2"/>
        <v/>
      </c>
      <c r="AG232" s="1037" t="str">
        <f t="shared" si="3"/>
        <v/>
      </c>
      <c r="AH232" s="1037" t="str">
        <f>IF(AE232="","",VLOOKUP(AE232,リスト!BI:BJ,2,0))</f>
        <v/>
      </c>
      <c r="AI232" s="1037" t="str">
        <f t="shared" si="77"/>
        <v/>
      </c>
      <c r="AJ232" s="1037" t="str">
        <f>IF(AI232="","",VLOOKUP(AI232,リスト!BW:BX,2,0))</f>
        <v/>
      </c>
      <c r="AK232" s="1037" t="str">
        <f t="shared" si="74"/>
        <v/>
      </c>
      <c r="AL232" s="685" t="str">
        <f t="shared" si="6"/>
        <v/>
      </c>
      <c r="AM232" s="646" t="str">
        <f t="shared" si="7"/>
        <v/>
      </c>
      <c r="AN232" s="646" t="str">
        <f t="shared" si="78"/>
        <v/>
      </c>
      <c r="AO232" s="647" t="str">
        <f t="shared" si="79"/>
        <v/>
      </c>
      <c r="AP232" s="647" t="str">
        <f t="shared" si="75"/>
        <v/>
      </c>
      <c r="AQ232" s="647" t="str">
        <f t="shared" si="9"/>
        <v/>
      </c>
      <c r="AR232" s="647" t="str">
        <f t="shared" si="10"/>
        <v/>
      </c>
      <c r="AS232" s="647" t="str">
        <f t="shared" si="11"/>
        <v/>
      </c>
      <c r="AT232" s="647" t="str">
        <f t="shared" si="76"/>
        <v/>
      </c>
      <c r="AU232" s="647" t="str">
        <f t="shared" si="13"/>
        <v/>
      </c>
      <c r="AV232" s="647" t="str">
        <f t="shared" si="14"/>
        <v/>
      </c>
      <c r="AW232" s="647" t="str">
        <f t="shared" si="15"/>
        <v/>
      </c>
      <c r="AX232" s="647" t="str">
        <f t="shared" si="16"/>
        <v/>
      </c>
    </row>
    <row r="233" spans="3:50" s="5" customFormat="1" ht="28.15" hidden="1" customHeight="1" outlineLevel="1">
      <c r="C233" s="649">
        <v>217</v>
      </c>
      <c r="D233" s="1855"/>
      <c r="E233" s="1856"/>
      <c r="F233" s="1856"/>
      <c r="G233" s="1856"/>
      <c r="H233" s="1856"/>
      <c r="I233" s="1856"/>
      <c r="J233" s="1856"/>
      <c r="K233" s="702"/>
      <c r="L233" s="1054"/>
      <c r="M233" s="705"/>
      <c r="N233" s="255"/>
      <c r="O233" s="1040"/>
      <c r="P233" s="1044"/>
      <c r="Q233" s="256"/>
      <c r="R233" s="267"/>
      <c r="S233" s="256"/>
      <c r="T233" s="256"/>
      <c r="U233" s="256"/>
      <c r="V233" s="256"/>
      <c r="W233" s="254"/>
      <c r="X233" s="703"/>
      <c r="Y233" s="125"/>
      <c r="Z233" s="431"/>
      <c r="AA233" s="499"/>
      <c r="AB233" s="741"/>
      <c r="AC233" s="51"/>
      <c r="AD233" s="51"/>
      <c r="AE233" s="645" t="str">
        <f t="shared" si="1"/>
        <v/>
      </c>
      <c r="AF233" s="1037" t="str">
        <f t="shared" si="2"/>
        <v/>
      </c>
      <c r="AG233" s="1037" t="str">
        <f t="shared" si="3"/>
        <v/>
      </c>
      <c r="AH233" s="1037" t="str">
        <f>IF(AE233="","",VLOOKUP(AE233,リスト!BI:BJ,2,0))</f>
        <v/>
      </c>
      <c r="AI233" s="1037" t="str">
        <f t="shared" si="77"/>
        <v/>
      </c>
      <c r="AJ233" s="1037" t="str">
        <f>IF(AI233="","",VLOOKUP(AI233,リスト!BW:BX,2,0))</f>
        <v/>
      </c>
      <c r="AK233" s="1037" t="str">
        <f t="shared" si="74"/>
        <v/>
      </c>
      <c r="AL233" s="685" t="str">
        <f t="shared" si="6"/>
        <v/>
      </c>
      <c r="AM233" s="646" t="str">
        <f t="shared" si="7"/>
        <v/>
      </c>
      <c r="AN233" s="646" t="str">
        <f t="shared" si="78"/>
        <v/>
      </c>
      <c r="AO233" s="647" t="str">
        <f t="shared" si="79"/>
        <v/>
      </c>
      <c r="AP233" s="647" t="str">
        <f t="shared" si="75"/>
        <v/>
      </c>
      <c r="AQ233" s="647" t="str">
        <f t="shared" si="9"/>
        <v/>
      </c>
      <c r="AR233" s="647" t="str">
        <f t="shared" si="10"/>
        <v/>
      </c>
      <c r="AS233" s="647" t="str">
        <f t="shared" si="11"/>
        <v/>
      </c>
      <c r="AT233" s="647" t="str">
        <f t="shared" si="76"/>
        <v/>
      </c>
      <c r="AU233" s="647" t="str">
        <f t="shared" si="13"/>
        <v/>
      </c>
      <c r="AV233" s="647" t="str">
        <f t="shared" si="14"/>
        <v/>
      </c>
      <c r="AW233" s="647" t="str">
        <f t="shared" si="15"/>
        <v/>
      </c>
      <c r="AX233" s="647" t="str">
        <f t="shared" si="16"/>
        <v/>
      </c>
    </row>
    <row r="234" spans="3:50" s="5" customFormat="1" ht="28.15" hidden="1" customHeight="1" outlineLevel="1">
      <c r="C234" s="649">
        <v>218</v>
      </c>
      <c r="D234" s="1855"/>
      <c r="E234" s="1856"/>
      <c r="F234" s="1856"/>
      <c r="G234" s="1856"/>
      <c r="H234" s="1856"/>
      <c r="I234" s="1856"/>
      <c r="J234" s="1857"/>
      <c r="K234" s="702"/>
      <c r="L234" s="1054"/>
      <c r="M234" s="666"/>
      <c r="N234" s="266"/>
      <c r="O234" s="1040"/>
      <c r="P234" s="1041"/>
      <c r="Q234" s="267"/>
      <c r="R234" s="267"/>
      <c r="S234" s="267"/>
      <c r="T234" s="267"/>
      <c r="U234" s="267"/>
      <c r="V234" s="267"/>
      <c r="W234" s="254"/>
      <c r="X234" s="703"/>
      <c r="Y234" s="125"/>
      <c r="Z234" s="431"/>
      <c r="AA234" s="499"/>
      <c r="AB234" s="741"/>
      <c r="AC234" s="51"/>
      <c r="AD234" s="51"/>
      <c r="AE234" s="645" t="str">
        <f t="shared" ref="AE234:AE251" si="80">IF(AND(K234="",L234=""),"","["&amp;RIGHT(LEFT(K234,2),1)&amp;RIGHT(LEFT(L234,2),1)&amp;"]")</f>
        <v/>
      </c>
      <c r="AF234" s="1037" t="str">
        <f t="shared" ref="AF234:AF251" si="81">IF(AE234="","",IF(Q234&lt;100000,1,0))</f>
        <v/>
      </c>
      <c r="AG234" s="1037" t="str">
        <f t="shared" ref="AG234:AG251" si="82">IF(AE234="","",IF(AND(AF234=0,Q234&lt;200000),1,))</f>
        <v/>
      </c>
      <c r="AH234" s="1037" t="str">
        <f>IF(AE234="","",VLOOKUP(AE234,リスト!BI:BJ,2,0))</f>
        <v/>
      </c>
      <c r="AI234" s="1037" t="str">
        <f t="shared" si="77"/>
        <v/>
      </c>
      <c r="AJ234" s="1037" t="str">
        <f>IF(AI234="","",VLOOKUP(AI234,リスト!BW:BX,2,0))</f>
        <v/>
      </c>
      <c r="AK234" s="1037" t="str">
        <f t="shared" si="74"/>
        <v/>
      </c>
      <c r="AL234" s="685" t="str">
        <f t="shared" ref="AL234:AL251" si="83">IF(OR(AE234="",AF234=1),"",
IF(AND(AI234&gt;0,AK234&lt;AI234,AM234&lt;=ROUND((Q234-1)*AJ234,0)),ROUND(AM234,0),
IF(AND(AI234&gt;0,AK234&lt;AI234),ROUND((Q234-1)*AJ234,0),
"")))</f>
        <v/>
      </c>
      <c r="AM234" s="646" t="str">
        <f t="shared" ref="AM234:AM251" si="84">IF(OR(AE234="",AF234=1),"",
IF(AND(AI234&gt;0,AK234&lt;AI234),Q234-ROUND((Q234-1)*AJ234*AK234,0),1
))</f>
        <v/>
      </c>
      <c r="AN234" s="646" t="str">
        <f t="shared" ref="AN234:AN251" si="85">IF(OR(AE234="",AF234=1),"",
IF(X234="",AL234,
IF(X234="2：廃棄等",SUM(AM234,Y234),
IF(X234="1：売却",AM234-Y234,
IF(AND(Y234="",AL234=""),"",SUM(Y234,AL234))))))</f>
        <v/>
      </c>
      <c r="AO234" s="647" t="str">
        <f t="shared" ref="AO234:AO251" si="86">IF(AND(AN234="",AL234=""),"",
IF(OR(X234="2：廃棄等",X234="1：売却"),SUM(AN234)-SUM(AL234),""))</f>
        <v/>
      </c>
      <c r="AP234" s="647" t="str">
        <f t="shared" si="75"/>
        <v/>
      </c>
      <c r="AQ234" s="647" t="str">
        <f t="shared" ref="AQ234:AQ251" si="87">IF(W234="","",IF(AN234="","",ROUND(AN234*W234%,0)))</f>
        <v/>
      </c>
      <c r="AR234" s="647" t="str">
        <f t="shared" ref="AR234:AR251" si="88">IF(W234="","",IF(AO234="","",ROUND(AO234*W234%,0)))</f>
        <v/>
      </c>
      <c r="AS234" s="647" t="str">
        <f t="shared" ref="AS234:AS251" si="89">IF(W234="","",IF(AM234="","",ROUND(AM234*W234%,0)))</f>
        <v/>
      </c>
      <c r="AT234" s="647" t="str">
        <f t="shared" si="76"/>
        <v/>
      </c>
      <c r="AU234" s="647" t="str">
        <f t="shared" ref="AU234:AU251" si="90">IF(W234="","",IF(S234="","",ROUND(S234*W234%,0)))</f>
        <v/>
      </c>
      <c r="AV234" s="647" t="str">
        <f t="shared" ref="AV234:AV251" si="91">IF(W234="","",IF(T234="","",ROUND(T234*W234%,0)))</f>
        <v/>
      </c>
      <c r="AW234" s="647" t="str">
        <f t="shared" ref="AW234:AW251" si="92">IF(W234="","",IF(U234="","",ROUND(U234*W234%,0)))</f>
        <v/>
      </c>
      <c r="AX234" s="647" t="str">
        <f t="shared" ref="AX234:AX251" si="93">IF(W234="","",IF(V234="","",ROUND(V234*W234%,0)))</f>
        <v/>
      </c>
    </row>
    <row r="235" spans="3:50" s="5" customFormat="1" ht="28.15" hidden="1" customHeight="1" outlineLevel="1">
      <c r="C235" s="649">
        <v>219</v>
      </c>
      <c r="D235" s="1865"/>
      <c r="E235" s="1866"/>
      <c r="F235" s="1866"/>
      <c r="G235" s="1866"/>
      <c r="H235" s="1866"/>
      <c r="I235" s="1866"/>
      <c r="J235" s="1866"/>
      <c r="K235" s="704"/>
      <c r="L235" s="1055"/>
      <c r="M235" s="705"/>
      <c r="N235" s="257"/>
      <c r="O235" s="1042"/>
      <c r="P235" s="1041"/>
      <c r="Q235" s="256"/>
      <c r="R235" s="267"/>
      <c r="S235" s="256"/>
      <c r="T235" s="256"/>
      <c r="U235" s="256"/>
      <c r="V235" s="256"/>
      <c r="W235" s="254"/>
      <c r="X235" s="703"/>
      <c r="Y235" s="125"/>
      <c r="Z235" s="431"/>
      <c r="AA235" s="499"/>
      <c r="AB235" s="741"/>
      <c r="AC235" s="51"/>
      <c r="AD235" s="51"/>
      <c r="AE235" s="645" t="str">
        <f t="shared" si="80"/>
        <v/>
      </c>
      <c r="AF235" s="1037" t="str">
        <f t="shared" si="81"/>
        <v/>
      </c>
      <c r="AG235" s="1037" t="str">
        <f t="shared" si="82"/>
        <v/>
      </c>
      <c r="AH235" s="1037" t="str">
        <f>IF(AE235="","",VLOOKUP(AE235,リスト!BI:BJ,2,0))</f>
        <v/>
      </c>
      <c r="AI235" s="1037" t="str">
        <f t="shared" si="77"/>
        <v/>
      </c>
      <c r="AJ235" s="1037" t="str">
        <f>IF(AI235="","",VLOOKUP(AI235,リスト!BW:BX,2,0))</f>
        <v/>
      </c>
      <c r="AK235" s="1037" t="str">
        <f t="shared" si="74"/>
        <v/>
      </c>
      <c r="AL235" s="685" t="str">
        <f t="shared" si="83"/>
        <v/>
      </c>
      <c r="AM235" s="646" t="str">
        <f t="shared" si="84"/>
        <v/>
      </c>
      <c r="AN235" s="646" t="str">
        <f t="shared" si="85"/>
        <v/>
      </c>
      <c r="AO235" s="647" t="str">
        <f t="shared" si="86"/>
        <v/>
      </c>
      <c r="AP235" s="647" t="str">
        <f t="shared" si="75"/>
        <v/>
      </c>
      <c r="AQ235" s="647" t="str">
        <f t="shared" si="87"/>
        <v/>
      </c>
      <c r="AR235" s="647" t="str">
        <f t="shared" si="88"/>
        <v/>
      </c>
      <c r="AS235" s="647" t="str">
        <f t="shared" si="89"/>
        <v/>
      </c>
      <c r="AT235" s="647" t="str">
        <f t="shared" si="76"/>
        <v/>
      </c>
      <c r="AU235" s="647" t="str">
        <f t="shared" si="90"/>
        <v/>
      </c>
      <c r="AV235" s="647" t="str">
        <f t="shared" si="91"/>
        <v/>
      </c>
      <c r="AW235" s="647" t="str">
        <f t="shared" si="92"/>
        <v/>
      </c>
      <c r="AX235" s="647" t="str">
        <f t="shared" si="93"/>
        <v/>
      </c>
    </row>
    <row r="236" spans="3:50" s="5" customFormat="1" ht="28.15" hidden="1" customHeight="1" outlineLevel="1">
      <c r="C236" s="649">
        <v>220</v>
      </c>
      <c r="D236" s="1855"/>
      <c r="E236" s="1856"/>
      <c r="F236" s="1856"/>
      <c r="G236" s="1856"/>
      <c r="H236" s="1856"/>
      <c r="I236" s="1856"/>
      <c r="J236" s="1856"/>
      <c r="K236" s="702"/>
      <c r="L236" s="1054"/>
      <c r="M236" s="705"/>
      <c r="N236" s="255"/>
      <c r="O236" s="1040"/>
      <c r="P236" s="1041"/>
      <c r="Q236" s="256"/>
      <c r="R236" s="267"/>
      <c r="S236" s="256"/>
      <c r="T236" s="256"/>
      <c r="U236" s="256"/>
      <c r="V236" s="256"/>
      <c r="W236" s="254"/>
      <c r="X236" s="703"/>
      <c r="Y236" s="125"/>
      <c r="Z236" s="431"/>
      <c r="AA236" s="499"/>
      <c r="AB236" s="741"/>
      <c r="AC236" s="51"/>
      <c r="AD236" s="51"/>
      <c r="AE236" s="645" t="str">
        <f t="shared" si="80"/>
        <v/>
      </c>
      <c r="AF236" s="1037" t="str">
        <f t="shared" si="81"/>
        <v/>
      </c>
      <c r="AG236" s="1037" t="str">
        <f t="shared" si="82"/>
        <v/>
      </c>
      <c r="AH236" s="1037" t="str">
        <f>IF(AE236="","",VLOOKUP(AE236,リスト!BI:BJ,2,0))</f>
        <v/>
      </c>
      <c r="AI236" s="1037" t="str">
        <f t="shared" si="77"/>
        <v/>
      </c>
      <c r="AJ236" s="1037" t="str">
        <f>IF(AI236="","",VLOOKUP(AI236,リスト!BW:BX,2,0))</f>
        <v/>
      </c>
      <c r="AK236" s="1037" t="str">
        <f t="shared" si="74"/>
        <v/>
      </c>
      <c r="AL236" s="685" t="str">
        <f t="shared" si="83"/>
        <v/>
      </c>
      <c r="AM236" s="646" t="str">
        <f t="shared" si="84"/>
        <v/>
      </c>
      <c r="AN236" s="646" t="str">
        <f t="shared" si="85"/>
        <v/>
      </c>
      <c r="AO236" s="647" t="str">
        <f t="shared" si="86"/>
        <v/>
      </c>
      <c r="AP236" s="647" t="str">
        <f t="shared" si="75"/>
        <v/>
      </c>
      <c r="AQ236" s="647" t="str">
        <f t="shared" si="87"/>
        <v/>
      </c>
      <c r="AR236" s="647" t="str">
        <f t="shared" si="88"/>
        <v/>
      </c>
      <c r="AS236" s="647" t="str">
        <f t="shared" si="89"/>
        <v/>
      </c>
      <c r="AT236" s="647" t="str">
        <f t="shared" si="76"/>
        <v/>
      </c>
      <c r="AU236" s="647" t="str">
        <f t="shared" si="90"/>
        <v/>
      </c>
      <c r="AV236" s="647" t="str">
        <f t="shared" si="91"/>
        <v/>
      </c>
      <c r="AW236" s="647" t="str">
        <f t="shared" si="92"/>
        <v/>
      </c>
      <c r="AX236" s="647" t="str">
        <f t="shared" si="93"/>
        <v/>
      </c>
    </row>
    <row r="237" spans="3:50" s="5" customFormat="1" ht="28.15" hidden="1" customHeight="1" outlineLevel="1">
      <c r="C237" s="649">
        <v>221</v>
      </c>
      <c r="D237" s="1865"/>
      <c r="E237" s="1866"/>
      <c r="F237" s="1866"/>
      <c r="G237" s="1866"/>
      <c r="H237" s="1866"/>
      <c r="I237" s="1866"/>
      <c r="J237" s="1866"/>
      <c r="K237" s="704"/>
      <c r="L237" s="1055"/>
      <c r="M237" s="705"/>
      <c r="N237" s="257"/>
      <c r="O237" s="1042"/>
      <c r="P237" s="1041"/>
      <c r="Q237" s="256"/>
      <c r="R237" s="267"/>
      <c r="S237" s="256"/>
      <c r="T237" s="256"/>
      <c r="U237" s="256"/>
      <c r="V237" s="256"/>
      <c r="W237" s="254"/>
      <c r="X237" s="703"/>
      <c r="Y237" s="125"/>
      <c r="Z237" s="431"/>
      <c r="AA237" s="499"/>
      <c r="AB237" s="741"/>
      <c r="AC237" s="51"/>
      <c r="AD237" s="51"/>
      <c r="AE237" s="645" t="str">
        <f t="shared" si="80"/>
        <v/>
      </c>
      <c r="AF237" s="1037" t="str">
        <f t="shared" si="81"/>
        <v/>
      </c>
      <c r="AG237" s="1037" t="str">
        <f t="shared" si="82"/>
        <v/>
      </c>
      <c r="AH237" s="1037" t="str">
        <f>IF(AE237="","",VLOOKUP(AE237,リスト!BI:BJ,2,0))</f>
        <v/>
      </c>
      <c r="AI237" s="1037" t="str">
        <f t="shared" si="77"/>
        <v/>
      </c>
      <c r="AJ237" s="1037" t="str">
        <f>IF(AI237="","",VLOOKUP(AI237,リスト!BW:BX,2,0))</f>
        <v/>
      </c>
      <c r="AK237" s="1037" t="str">
        <f t="shared" si="74"/>
        <v/>
      </c>
      <c r="AL237" s="685" t="str">
        <f t="shared" si="83"/>
        <v/>
      </c>
      <c r="AM237" s="646" t="str">
        <f t="shared" si="84"/>
        <v/>
      </c>
      <c r="AN237" s="646" t="str">
        <f t="shared" si="85"/>
        <v/>
      </c>
      <c r="AO237" s="647" t="str">
        <f t="shared" si="86"/>
        <v/>
      </c>
      <c r="AP237" s="647" t="str">
        <f t="shared" si="75"/>
        <v/>
      </c>
      <c r="AQ237" s="647" t="str">
        <f t="shared" si="87"/>
        <v/>
      </c>
      <c r="AR237" s="647" t="str">
        <f t="shared" si="88"/>
        <v/>
      </c>
      <c r="AS237" s="647" t="str">
        <f t="shared" si="89"/>
        <v/>
      </c>
      <c r="AT237" s="647" t="str">
        <f t="shared" si="76"/>
        <v/>
      </c>
      <c r="AU237" s="647" t="str">
        <f t="shared" si="90"/>
        <v/>
      </c>
      <c r="AV237" s="647" t="str">
        <f t="shared" si="91"/>
        <v/>
      </c>
      <c r="AW237" s="647" t="str">
        <f t="shared" si="92"/>
        <v/>
      </c>
      <c r="AX237" s="647" t="str">
        <f t="shared" si="93"/>
        <v/>
      </c>
    </row>
    <row r="238" spans="3:50" s="5" customFormat="1" ht="28.15" hidden="1" customHeight="1" outlineLevel="1">
      <c r="C238" s="649">
        <v>222</v>
      </c>
      <c r="D238" s="1855"/>
      <c r="E238" s="1856"/>
      <c r="F238" s="1856"/>
      <c r="G238" s="1856"/>
      <c r="H238" s="1856"/>
      <c r="I238" s="1856"/>
      <c r="J238" s="1856"/>
      <c r="K238" s="702"/>
      <c r="L238" s="1054"/>
      <c r="M238" s="705"/>
      <c r="N238" s="255"/>
      <c r="O238" s="1040"/>
      <c r="P238" s="1041"/>
      <c r="Q238" s="256"/>
      <c r="R238" s="267"/>
      <c r="S238" s="256"/>
      <c r="T238" s="256"/>
      <c r="U238" s="256"/>
      <c r="V238" s="256"/>
      <c r="W238" s="254"/>
      <c r="X238" s="703"/>
      <c r="Y238" s="125"/>
      <c r="Z238" s="431"/>
      <c r="AA238" s="499"/>
      <c r="AB238" s="741"/>
      <c r="AC238" s="51"/>
      <c r="AD238" s="51"/>
      <c r="AE238" s="645" t="str">
        <f t="shared" si="80"/>
        <v/>
      </c>
      <c r="AF238" s="1037" t="str">
        <f t="shared" si="81"/>
        <v/>
      </c>
      <c r="AG238" s="1037" t="str">
        <f t="shared" si="82"/>
        <v/>
      </c>
      <c r="AH238" s="1037" t="str">
        <f>IF(AE238="","",VLOOKUP(AE238,リスト!BI:BJ,2,0))</f>
        <v/>
      </c>
      <c r="AI238" s="1037" t="str">
        <f t="shared" si="77"/>
        <v/>
      </c>
      <c r="AJ238" s="1037" t="str">
        <f>IF(AI238="","",VLOOKUP(AI238,リスト!BW:BX,2,0))</f>
        <v/>
      </c>
      <c r="AK238" s="1037" t="str">
        <f t="shared" si="74"/>
        <v/>
      </c>
      <c r="AL238" s="685" t="str">
        <f t="shared" si="83"/>
        <v/>
      </c>
      <c r="AM238" s="646" t="str">
        <f t="shared" si="84"/>
        <v/>
      </c>
      <c r="AN238" s="646" t="str">
        <f t="shared" si="85"/>
        <v/>
      </c>
      <c r="AO238" s="647" t="str">
        <f t="shared" si="86"/>
        <v/>
      </c>
      <c r="AP238" s="647" t="str">
        <f t="shared" si="75"/>
        <v/>
      </c>
      <c r="AQ238" s="647" t="str">
        <f t="shared" si="87"/>
        <v/>
      </c>
      <c r="AR238" s="647" t="str">
        <f t="shared" si="88"/>
        <v/>
      </c>
      <c r="AS238" s="647" t="str">
        <f t="shared" si="89"/>
        <v/>
      </c>
      <c r="AT238" s="647" t="str">
        <f t="shared" si="76"/>
        <v/>
      </c>
      <c r="AU238" s="647" t="str">
        <f t="shared" si="90"/>
        <v/>
      </c>
      <c r="AV238" s="647" t="str">
        <f t="shared" si="91"/>
        <v/>
      </c>
      <c r="AW238" s="647" t="str">
        <f t="shared" si="92"/>
        <v/>
      </c>
      <c r="AX238" s="647" t="str">
        <f t="shared" si="93"/>
        <v/>
      </c>
    </row>
    <row r="239" spans="3:50" s="5" customFormat="1" ht="28.15" hidden="1" customHeight="1" outlineLevel="1">
      <c r="C239" s="649">
        <v>223</v>
      </c>
      <c r="D239" s="1865"/>
      <c r="E239" s="1866"/>
      <c r="F239" s="1866"/>
      <c r="G239" s="1866"/>
      <c r="H239" s="1866"/>
      <c r="I239" s="1866"/>
      <c r="J239" s="1866"/>
      <c r="K239" s="704"/>
      <c r="L239" s="1055"/>
      <c r="M239" s="705"/>
      <c r="N239" s="257"/>
      <c r="O239" s="1042"/>
      <c r="P239" s="1041"/>
      <c r="Q239" s="256"/>
      <c r="R239" s="267"/>
      <c r="S239" s="256"/>
      <c r="T239" s="256"/>
      <c r="U239" s="256"/>
      <c r="V239" s="256"/>
      <c r="W239" s="254"/>
      <c r="X239" s="703"/>
      <c r="Y239" s="125"/>
      <c r="Z239" s="431"/>
      <c r="AA239" s="499"/>
      <c r="AB239" s="741"/>
      <c r="AC239" s="51"/>
      <c r="AD239" s="51"/>
      <c r="AE239" s="645" t="str">
        <f t="shared" si="80"/>
        <v/>
      </c>
      <c r="AF239" s="1037" t="str">
        <f t="shared" si="81"/>
        <v/>
      </c>
      <c r="AG239" s="1037" t="str">
        <f t="shared" si="82"/>
        <v/>
      </c>
      <c r="AH239" s="1037" t="str">
        <f>IF(AE239="","",VLOOKUP(AE239,リスト!BI:BJ,2,0))</f>
        <v/>
      </c>
      <c r="AI239" s="1037" t="str">
        <f t="shared" si="77"/>
        <v/>
      </c>
      <c r="AJ239" s="1037" t="str">
        <f>IF(AI239="","",VLOOKUP(AI239,リスト!BW:BX,2,0))</f>
        <v/>
      </c>
      <c r="AK239" s="1037" t="str">
        <f t="shared" si="74"/>
        <v/>
      </c>
      <c r="AL239" s="685" t="str">
        <f t="shared" si="83"/>
        <v/>
      </c>
      <c r="AM239" s="646" t="str">
        <f t="shared" si="84"/>
        <v/>
      </c>
      <c r="AN239" s="646" t="str">
        <f t="shared" si="85"/>
        <v/>
      </c>
      <c r="AO239" s="647" t="str">
        <f t="shared" si="86"/>
        <v/>
      </c>
      <c r="AP239" s="647" t="str">
        <f t="shared" si="75"/>
        <v/>
      </c>
      <c r="AQ239" s="647" t="str">
        <f t="shared" si="87"/>
        <v/>
      </c>
      <c r="AR239" s="647" t="str">
        <f t="shared" si="88"/>
        <v/>
      </c>
      <c r="AS239" s="647" t="str">
        <f t="shared" si="89"/>
        <v/>
      </c>
      <c r="AT239" s="647" t="str">
        <f t="shared" si="76"/>
        <v/>
      </c>
      <c r="AU239" s="647" t="str">
        <f t="shared" si="90"/>
        <v/>
      </c>
      <c r="AV239" s="647" t="str">
        <f t="shared" si="91"/>
        <v/>
      </c>
      <c r="AW239" s="647" t="str">
        <f t="shared" si="92"/>
        <v/>
      </c>
      <c r="AX239" s="647" t="str">
        <f t="shared" si="93"/>
        <v/>
      </c>
    </row>
    <row r="240" spans="3:50" s="5" customFormat="1" ht="28.15" hidden="1" customHeight="1" outlineLevel="1">
      <c r="C240" s="649">
        <v>224</v>
      </c>
      <c r="D240" s="1855"/>
      <c r="E240" s="1856"/>
      <c r="F240" s="1856"/>
      <c r="G240" s="1856"/>
      <c r="H240" s="1856"/>
      <c r="I240" s="1856"/>
      <c r="J240" s="1856"/>
      <c r="K240" s="702"/>
      <c r="L240" s="1054"/>
      <c r="M240" s="705"/>
      <c r="N240" s="255"/>
      <c r="O240" s="1040"/>
      <c r="P240" s="1041"/>
      <c r="Q240" s="256"/>
      <c r="R240" s="267"/>
      <c r="S240" s="256"/>
      <c r="T240" s="256"/>
      <c r="U240" s="256"/>
      <c r="V240" s="256"/>
      <c r="W240" s="254"/>
      <c r="X240" s="703"/>
      <c r="Y240" s="125"/>
      <c r="Z240" s="431"/>
      <c r="AA240" s="499"/>
      <c r="AB240" s="741"/>
      <c r="AC240" s="51"/>
      <c r="AD240" s="51"/>
      <c r="AE240" s="645" t="str">
        <f t="shared" si="80"/>
        <v/>
      </c>
      <c r="AF240" s="1037" t="str">
        <f t="shared" si="81"/>
        <v/>
      </c>
      <c r="AG240" s="1037" t="str">
        <f t="shared" si="82"/>
        <v/>
      </c>
      <c r="AH240" s="1037" t="str">
        <f>IF(AE240="","",VLOOKUP(AE240,リスト!BI:BJ,2,0))</f>
        <v/>
      </c>
      <c r="AI240" s="1037" t="str">
        <f t="shared" si="77"/>
        <v/>
      </c>
      <c r="AJ240" s="1037" t="str">
        <f>IF(AI240="","",VLOOKUP(AI240,リスト!BW:BX,2,0))</f>
        <v/>
      </c>
      <c r="AK240" s="1037" t="str">
        <f t="shared" si="74"/>
        <v/>
      </c>
      <c r="AL240" s="685" t="str">
        <f t="shared" si="83"/>
        <v/>
      </c>
      <c r="AM240" s="646" t="str">
        <f t="shared" si="84"/>
        <v/>
      </c>
      <c r="AN240" s="646" t="str">
        <f t="shared" si="85"/>
        <v/>
      </c>
      <c r="AO240" s="647" t="str">
        <f t="shared" si="86"/>
        <v/>
      </c>
      <c r="AP240" s="647" t="str">
        <f t="shared" si="75"/>
        <v/>
      </c>
      <c r="AQ240" s="647" t="str">
        <f t="shared" si="87"/>
        <v/>
      </c>
      <c r="AR240" s="647" t="str">
        <f t="shared" si="88"/>
        <v/>
      </c>
      <c r="AS240" s="647" t="str">
        <f t="shared" si="89"/>
        <v/>
      </c>
      <c r="AT240" s="647" t="str">
        <f t="shared" si="76"/>
        <v/>
      </c>
      <c r="AU240" s="647" t="str">
        <f t="shared" si="90"/>
        <v/>
      </c>
      <c r="AV240" s="647" t="str">
        <f t="shared" si="91"/>
        <v/>
      </c>
      <c r="AW240" s="647" t="str">
        <f t="shared" si="92"/>
        <v/>
      </c>
      <c r="AX240" s="647" t="str">
        <f t="shared" si="93"/>
        <v/>
      </c>
    </row>
    <row r="241" spans="3:50" s="5" customFormat="1" ht="28.15" hidden="1" customHeight="1" outlineLevel="1">
      <c r="C241" s="649">
        <v>225</v>
      </c>
      <c r="D241" s="1865"/>
      <c r="E241" s="1866"/>
      <c r="F241" s="1866"/>
      <c r="G241" s="1866"/>
      <c r="H241" s="1866"/>
      <c r="I241" s="1866"/>
      <c r="J241" s="1866"/>
      <c r="K241" s="704"/>
      <c r="L241" s="1055"/>
      <c r="M241" s="705"/>
      <c r="N241" s="255"/>
      <c r="O241" s="1042"/>
      <c r="P241" s="1041"/>
      <c r="Q241" s="256"/>
      <c r="R241" s="267"/>
      <c r="S241" s="256"/>
      <c r="T241" s="256"/>
      <c r="U241" s="256"/>
      <c r="V241" s="256"/>
      <c r="W241" s="254"/>
      <c r="X241" s="703"/>
      <c r="Y241" s="125"/>
      <c r="Z241" s="431"/>
      <c r="AA241" s="499"/>
      <c r="AB241" s="741"/>
      <c r="AC241" s="51"/>
      <c r="AD241" s="51"/>
      <c r="AE241" s="645" t="str">
        <f t="shared" si="80"/>
        <v/>
      </c>
      <c r="AF241" s="1037" t="str">
        <f t="shared" si="81"/>
        <v/>
      </c>
      <c r="AG241" s="1037" t="str">
        <f t="shared" si="82"/>
        <v/>
      </c>
      <c r="AH241" s="1037" t="str">
        <f>IF(AE241="","",VLOOKUP(AE241,リスト!BI:BJ,2,0))</f>
        <v/>
      </c>
      <c r="AI241" s="1037" t="str">
        <f t="shared" si="77"/>
        <v/>
      </c>
      <c r="AJ241" s="1037" t="str">
        <f>IF(AI241="","",VLOOKUP(AI241,リスト!BW:BX,2,0))</f>
        <v/>
      </c>
      <c r="AK241" s="1037" t="str">
        <f t="shared" si="74"/>
        <v/>
      </c>
      <c r="AL241" s="685" t="str">
        <f t="shared" si="83"/>
        <v/>
      </c>
      <c r="AM241" s="646" t="str">
        <f t="shared" si="84"/>
        <v/>
      </c>
      <c r="AN241" s="646" t="str">
        <f t="shared" si="85"/>
        <v/>
      </c>
      <c r="AO241" s="647" t="str">
        <f t="shared" si="86"/>
        <v/>
      </c>
      <c r="AP241" s="647" t="str">
        <f t="shared" si="75"/>
        <v/>
      </c>
      <c r="AQ241" s="647" t="str">
        <f t="shared" si="87"/>
        <v/>
      </c>
      <c r="AR241" s="647" t="str">
        <f t="shared" si="88"/>
        <v/>
      </c>
      <c r="AS241" s="647" t="str">
        <f t="shared" si="89"/>
        <v/>
      </c>
      <c r="AT241" s="647" t="str">
        <f t="shared" si="76"/>
        <v/>
      </c>
      <c r="AU241" s="647" t="str">
        <f t="shared" si="90"/>
        <v/>
      </c>
      <c r="AV241" s="647" t="str">
        <f t="shared" si="91"/>
        <v/>
      </c>
      <c r="AW241" s="647" t="str">
        <f t="shared" si="92"/>
        <v/>
      </c>
      <c r="AX241" s="647" t="str">
        <f t="shared" si="93"/>
        <v/>
      </c>
    </row>
    <row r="242" spans="3:50" s="5" customFormat="1" ht="28.15" hidden="1" customHeight="1" outlineLevel="1">
      <c r="C242" s="649">
        <v>226</v>
      </c>
      <c r="D242" s="1855"/>
      <c r="E242" s="1856"/>
      <c r="F242" s="1856"/>
      <c r="G242" s="1856"/>
      <c r="H242" s="1856"/>
      <c r="I242" s="1856"/>
      <c r="J242" s="1856"/>
      <c r="K242" s="702"/>
      <c r="L242" s="1054"/>
      <c r="M242" s="705"/>
      <c r="N242" s="255"/>
      <c r="O242" s="1040"/>
      <c r="P242" s="1041"/>
      <c r="Q242" s="256"/>
      <c r="R242" s="267"/>
      <c r="S242" s="256"/>
      <c r="T242" s="256"/>
      <c r="U242" s="256"/>
      <c r="V242" s="256"/>
      <c r="W242" s="254"/>
      <c r="X242" s="703"/>
      <c r="Y242" s="125"/>
      <c r="Z242" s="431"/>
      <c r="AA242" s="499"/>
      <c r="AB242" s="741"/>
      <c r="AC242" s="51"/>
      <c r="AD242" s="51"/>
      <c r="AE242" s="645" t="str">
        <f t="shared" si="80"/>
        <v/>
      </c>
      <c r="AF242" s="1037" t="str">
        <f t="shared" si="81"/>
        <v/>
      </c>
      <c r="AG242" s="1037" t="str">
        <f t="shared" si="82"/>
        <v/>
      </c>
      <c r="AH242" s="1037" t="str">
        <f>IF(AE242="","",VLOOKUP(AE242,リスト!BI:BJ,2,0))</f>
        <v/>
      </c>
      <c r="AI242" s="1037" t="str">
        <f t="shared" si="77"/>
        <v/>
      </c>
      <c r="AJ242" s="1037" t="str">
        <f>IF(AI242="","",VLOOKUP(AI242,リスト!BW:BX,2,0))</f>
        <v/>
      </c>
      <c r="AK242" s="1037" t="str">
        <f t="shared" si="74"/>
        <v/>
      </c>
      <c r="AL242" s="685" t="str">
        <f t="shared" si="83"/>
        <v/>
      </c>
      <c r="AM242" s="646" t="str">
        <f t="shared" si="84"/>
        <v/>
      </c>
      <c r="AN242" s="646" t="str">
        <f t="shared" si="85"/>
        <v/>
      </c>
      <c r="AO242" s="647" t="str">
        <f t="shared" si="86"/>
        <v/>
      </c>
      <c r="AP242" s="647" t="str">
        <f t="shared" si="75"/>
        <v/>
      </c>
      <c r="AQ242" s="647" t="str">
        <f t="shared" si="87"/>
        <v/>
      </c>
      <c r="AR242" s="647" t="str">
        <f t="shared" si="88"/>
        <v/>
      </c>
      <c r="AS242" s="647" t="str">
        <f t="shared" si="89"/>
        <v/>
      </c>
      <c r="AT242" s="647" t="str">
        <f t="shared" si="76"/>
        <v/>
      </c>
      <c r="AU242" s="647" t="str">
        <f t="shared" si="90"/>
        <v/>
      </c>
      <c r="AV242" s="647" t="str">
        <f t="shared" si="91"/>
        <v/>
      </c>
      <c r="AW242" s="647" t="str">
        <f t="shared" si="92"/>
        <v/>
      </c>
      <c r="AX242" s="647" t="str">
        <f t="shared" si="93"/>
        <v/>
      </c>
    </row>
    <row r="243" spans="3:50" s="5" customFormat="1" ht="28.15" hidden="1" customHeight="1" outlineLevel="1">
      <c r="C243" s="649">
        <v>227</v>
      </c>
      <c r="D243" s="1865"/>
      <c r="E243" s="1866"/>
      <c r="F243" s="1866"/>
      <c r="G243" s="1866"/>
      <c r="H243" s="1866"/>
      <c r="I243" s="1866"/>
      <c r="J243" s="1866"/>
      <c r="K243" s="704"/>
      <c r="L243" s="1055"/>
      <c r="M243" s="705"/>
      <c r="N243" s="255"/>
      <c r="O243" s="1042"/>
      <c r="P243" s="1041"/>
      <c r="Q243" s="256"/>
      <c r="R243" s="267"/>
      <c r="S243" s="256"/>
      <c r="T243" s="256"/>
      <c r="U243" s="256"/>
      <c r="V243" s="256"/>
      <c r="W243" s="254"/>
      <c r="X243" s="703"/>
      <c r="Y243" s="125"/>
      <c r="Z243" s="431"/>
      <c r="AA243" s="499"/>
      <c r="AB243" s="741"/>
      <c r="AC243" s="51"/>
      <c r="AD243" s="51"/>
      <c r="AE243" s="645" t="str">
        <f t="shared" si="80"/>
        <v/>
      </c>
      <c r="AF243" s="1037" t="str">
        <f t="shared" si="81"/>
        <v/>
      </c>
      <c r="AG243" s="1037" t="str">
        <f t="shared" si="82"/>
        <v/>
      </c>
      <c r="AH243" s="1037" t="str">
        <f>IF(AE243="","",VLOOKUP(AE243,リスト!BI:BJ,2,0))</f>
        <v/>
      </c>
      <c r="AI243" s="1037" t="str">
        <f t="shared" si="77"/>
        <v/>
      </c>
      <c r="AJ243" s="1037" t="str">
        <f>IF(AI243="","",VLOOKUP(AI243,リスト!BW:BX,2,0))</f>
        <v/>
      </c>
      <c r="AK243" s="1037" t="str">
        <f t="shared" si="74"/>
        <v/>
      </c>
      <c r="AL243" s="685" t="str">
        <f t="shared" si="83"/>
        <v/>
      </c>
      <c r="AM243" s="646" t="str">
        <f t="shared" si="84"/>
        <v/>
      </c>
      <c r="AN243" s="646" t="str">
        <f t="shared" si="85"/>
        <v/>
      </c>
      <c r="AO243" s="647" t="str">
        <f t="shared" si="86"/>
        <v/>
      </c>
      <c r="AP243" s="647" t="str">
        <f t="shared" si="75"/>
        <v/>
      </c>
      <c r="AQ243" s="647" t="str">
        <f t="shared" si="87"/>
        <v/>
      </c>
      <c r="AR243" s="647" t="str">
        <f t="shared" si="88"/>
        <v/>
      </c>
      <c r="AS243" s="647" t="str">
        <f t="shared" si="89"/>
        <v/>
      </c>
      <c r="AT243" s="647" t="str">
        <f t="shared" si="76"/>
        <v/>
      </c>
      <c r="AU243" s="647" t="str">
        <f t="shared" si="90"/>
        <v/>
      </c>
      <c r="AV243" s="647" t="str">
        <f t="shared" si="91"/>
        <v/>
      </c>
      <c r="AW243" s="647" t="str">
        <f t="shared" si="92"/>
        <v/>
      </c>
      <c r="AX243" s="647" t="str">
        <f t="shared" si="93"/>
        <v/>
      </c>
    </row>
    <row r="244" spans="3:50" s="5" customFormat="1" ht="28.15" hidden="1" customHeight="1" outlineLevel="1">
      <c r="C244" s="649">
        <v>228</v>
      </c>
      <c r="D244" s="1855"/>
      <c r="E244" s="1856"/>
      <c r="F244" s="1856"/>
      <c r="G244" s="1856"/>
      <c r="H244" s="1856"/>
      <c r="I244" s="1856"/>
      <c r="J244" s="1856"/>
      <c r="K244" s="702"/>
      <c r="L244" s="1054"/>
      <c r="M244" s="705"/>
      <c r="N244" s="255"/>
      <c r="O244" s="1040"/>
      <c r="P244" s="1041"/>
      <c r="Q244" s="256"/>
      <c r="R244" s="267"/>
      <c r="S244" s="256"/>
      <c r="T244" s="256"/>
      <c r="U244" s="256"/>
      <c r="V244" s="256"/>
      <c r="W244" s="254"/>
      <c r="X244" s="703"/>
      <c r="Y244" s="125"/>
      <c r="Z244" s="431"/>
      <c r="AA244" s="499"/>
      <c r="AB244" s="741"/>
      <c r="AC244" s="51"/>
      <c r="AD244" s="51"/>
      <c r="AE244" s="645" t="str">
        <f t="shared" si="80"/>
        <v/>
      </c>
      <c r="AF244" s="1037" t="str">
        <f t="shared" si="81"/>
        <v/>
      </c>
      <c r="AG244" s="1037" t="str">
        <f t="shared" si="82"/>
        <v/>
      </c>
      <c r="AH244" s="1037" t="str">
        <f>IF(AE244="","",VLOOKUP(AE244,リスト!BI:BJ,2,0))</f>
        <v/>
      </c>
      <c r="AI244" s="1037" t="str">
        <f t="shared" si="77"/>
        <v/>
      </c>
      <c r="AJ244" s="1037" t="str">
        <f>IF(AI244="","",VLOOKUP(AI244,リスト!BW:BX,2,0))</f>
        <v/>
      </c>
      <c r="AK244" s="1037" t="str">
        <f t="shared" si="74"/>
        <v/>
      </c>
      <c r="AL244" s="685" t="str">
        <f t="shared" si="83"/>
        <v/>
      </c>
      <c r="AM244" s="646" t="str">
        <f t="shared" si="84"/>
        <v/>
      </c>
      <c r="AN244" s="646" t="str">
        <f t="shared" si="85"/>
        <v/>
      </c>
      <c r="AO244" s="647" t="str">
        <f t="shared" si="86"/>
        <v/>
      </c>
      <c r="AP244" s="647" t="str">
        <f t="shared" si="75"/>
        <v/>
      </c>
      <c r="AQ244" s="647" t="str">
        <f t="shared" si="87"/>
        <v/>
      </c>
      <c r="AR244" s="647" t="str">
        <f t="shared" si="88"/>
        <v/>
      </c>
      <c r="AS244" s="647" t="str">
        <f t="shared" si="89"/>
        <v/>
      </c>
      <c r="AT244" s="647" t="str">
        <f t="shared" si="76"/>
        <v/>
      </c>
      <c r="AU244" s="647" t="str">
        <f t="shared" si="90"/>
        <v/>
      </c>
      <c r="AV244" s="647" t="str">
        <f t="shared" si="91"/>
        <v/>
      </c>
      <c r="AW244" s="647" t="str">
        <f t="shared" si="92"/>
        <v/>
      </c>
      <c r="AX244" s="647" t="str">
        <f t="shared" si="93"/>
        <v/>
      </c>
    </row>
    <row r="245" spans="3:50" s="5" customFormat="1" ht="28.15" hidden="1" customHeight="1" outlineLevel="1">
      <c r="C245" s="649">
        <v>229</v>
      </c>
      <c r="D245" s="1865"/>
      <c r="E245" s="1866"/>
      <c r="F245" s="1866"/>
      <c r="G245" s="1866"/>
      <c r="H245" s="1866"/>
      <c r="I245" s="1866"/>
      <c r="J245" s="1866"/>
      <c r="K245" s="704"/>
      <c r="L245" s="1055"/>
      <c r="M245" s="705"/>
      <c r="N245" s="255"/>
      <c r="O245" s="1042"/>
      <c r="P245" s="1043"/>
      <c r="Q245" s="256"/>
      <c r="R245" s="267"/>
      <c r="S245" s="256"/>
      <c r="T245" s="256"/>
      <c r="U245" s="256"/>
      <c r="V245" s="256"/>
      <c r="W245" s="254"/>
      <c r="X245" s="703"/>
      <c r="Y245" s="125"/>
      <c r="Z245" s="431"/>
      <c r="AA245" s="499"/>
      <c r="AB245" s="741"/>
      <c r="AC245" s="51"/>
      <c r="AD245" s="51"/>
      <c r="AE245" s="645" t="str">
        <f t="shared" si="80"/>
        <v/>
      </c>
      <c r="AF245" s="1037" t="str">
        <f t="shared" si="81"/>
        <v/>
      </c>
      <c r="AG245" s="1037" t="str">
        <f t="shared" si="82"/>
        <v/>
      </c>
      <c r="AH245" s="1037" t="str">
        <f>IF(AE245="","",VLOOKUP(AE245,リスト!BI:BJ,2,0))</f>
        <v/>
      </c>
      <c r="AI245" s="1037" t="str">
        <f t="shared" si="77"/>
        <v/>
      </c>
      <c r="AJ245" s="1037" t="str">
        <f>IF(AI245="","",VLOOKUP(AI245,リスト!BW:BX,2,0))</f>
        <v/>
      </c>
      <c r="AK245" s="1037" t="str">
        <f t="shared" si="74"/>
        <v/>
      </c>
      <c r="AL245" s="685" t="str">
        <f t="shared" si="83"/>
        <v/>
      </c>
      <c r="AM245" s="646" t="str">
        <f t="shared" si="84"/>
        <v/>
      </c>
      <c r="AN245" s="646" t="str">
        <f t="shared" si="85"/>
        <v/>
      </c>
      <c r="AO245" s="647" t="str">
        <f t="shared" si="86"/>
        <v/>
      </c>
      <c r="AP245" s="647" t="str">
        <f t="shared" si="75"/>
        <v/>
      </c>
      <c r="AQ245" s="647" t="str">
        <f t="shared" si="87"/>
        <v/>
      </c>
      <c r="AR245" s="647" t="str">
        <f t="shared" si="88"/>
        <v/>
      </c>
      <c r="AS245" s="647" t="str">
        <f t="shared" si="89"/>
        <v/>
      </c>
      <c r="AT245" s="647" t="str">
        <f t="shared" si="76"/>
        <v/>
      </c>
      <c r="AU245" s="647" t="str">
        <f t="shared" si="90"/>
        <v/>
      </c>
      <c r="AV245" s="647" t="str">
        <f t="shared" si="91"/>
        <v/>
      </c>
      <c r="AW245" s="647" t="str">
        <f t="shared" si="92"/>
        <v/>
      </c>
      <c r="AX245" s="647" t="str">
        <f t="shared" si="93"/>
        <v/>
      </c>
    </row>
    <row r="246" spans="3:50" s="5" customFormat="1" ht="28.15" hidden="1" customHeight="1" outlineLevel="1">
      <c r="C246" s="649">
        <v>230</v>
      </c>
      <c r="D246" s="1855"/>
      <c r="E246" s="1856"/>
      <c r="F246" s="1856"/>
      <c r="G246" s="1856"/>
      <c r="H246" s="1856"/>
      <c r="I246" s="1856"/>
      <c r="J246" s="1856"/>
      <c r="K246" s="702"/>
      <c r="L246" s="1054"/>
      <c r="M246" s="705"/>
      <c r="N246" s="255"/>
      <c r="O246" s="1040"/>
      <c r="P246" s="1044"/>
      <c r="Q246" s="256"/>
      <c r="R246" s="267"/>
      <c r="S246" s="256"/>
      <c r="T246" s="256"/>
      <c r="U246" s="256"/>
      <c r="V246" s="256"/>
      <c r="W246" s="254"/>
      <c r="X246" s="703"/>
      <c r="Y246" s="125"/>
      <c r="Z246" s="431"/>
      <c r="AA246" s="499"/>
      <c r="AB246" s="741"/>
      <c r="AC246" s="51"/>
      <c r="AD246" s="51"/>
      <c r="AE246" s="645" t="str">
        <f t="shared" si="80"/>
        <v/>
      </c>
      <c r="AF246" s="1037" t="str">
        <f t="shared" si="81"/>
        <v/>
      </c>
      <c r="AG246" s="1037" t="str">
        <f t="shared" si="82"/>
        <v/>
      </c>
      <c r="AH246" s="1037" t="str">
        <f>IF(AE246="","",VLOOKUP(AE246,リスト!BI:BJ,2,0))</f>
        <v/>
      </c>
      <c r="AI246" s="1037" t="str">
        <f t="shared" si="77"/>
        <v/>
      </c>
      <c r="AJ246" s="1037" t="str">
        <f>IF(AI246="","",VLOOKUP(AI246,リスト!BW:BX,2,0))</f>
        <v/>
      </c>
      <c r="AK246" s="1037" t="str">
        <f t="shared" si="74"/>
        <v/>
      </c>
      <c r="AL246" s="685" t="str">
        <f t="shared" si="83"/>
        <v/>
      </c>
      <c r="AM246" s="646" t="str">
        <f t="shared" si="84"/>
        <v/>
      </c>
      <c r="AN246" s="646" t="str">
        <f t="shared" si="85"/>
        <v/>
      </c>
      <c r="AO246" s="647" t="str">
        <f t="shared" si="86"/>
        <v/>
      </c>
      <c r="AP246" s="647" t="str">
        <f t="shared" si="75"/>
        <v/>
      </c>
      <c r="AQ246" s="647" t="str">
        <f t="shared" si="87"/>
        <v/>
      </c>
      <c r="AR246" s="647" t="str">
        <f t="shared" si="88"/>
        <v/>
      </c>
      <c r="AS246" s="647" t="str">
        <f t="shared" si="89"/>
        <v/>
      </c>
      <c r="AT246" s="647" t="str">
        <f t="shared" si="76"/>
        <v/>
      </c>
      <c r="AU246" s="647" t="str">
        <f t="shared" si="90"/>
        <v/>
      </c>
      <c r="AV246" s="647" t="str">
        <f t="shared" si="91"/>
        <v/>
      </c>
      <c r="AW246" s="647" t="str">
        <f t="shared" si="92"/>
        <v/>
      </c>
      <c r="AX246" s="647" t="str">
        <f t="shared" si="93"/>
        <v/>
      </c>
    </row>
    <row r="247" spans="3:50" s="5" customFormat="1" ht="28.15" hidden="1" customHeight="1" outlineLevel="1">
      <c r="C247" s="649">
        <v>231</v>
      </c>
      <c r="D247" s="1855"/>
      <c r="E247" s="1856"/>
      <c r="F247" s="1856"/>
      <c r="G247" s="1856"/>
      <c r="H247" s="1856"/>
      <c r="I247" s="1856"/>
      <c r="J247" s="1856"/>
      <c r="K247" s="702"/>
      <c r="L247" s="1054"/>
      <c r="M247" s="705"/>
      <c r="N247" s="255"/>
      <c r="O247" s="1040"/>
      <c r="P247" s="1044"/>
      <c r="Q247" s="256"/>
      <c r="R247" s="267"/>
      <c r="S247" s="256"/>
      <c r="T247" s="256"/>
      <c r="U247" s="256"/>
      <c r="V247" s="256"/>
      <c r="W247" s="254"/>
      <c r="X247" s="703"/>
      <c r="Y247" s="125"/>
      <c r="Z247" s="431"/>
      <c r="AA247" s="499"/>
      <c r="AB247" s="741"/>
      <c r="AC247" s="51"/>
      <c r="AD247" s="51"/>
      <c r="AE247" s="645" t="str">
        <f t="shared" si="80"/>
        <v/>
      </c>
      <c r="AF247" s="1037" t="str">
        <f t="shared" si="81"/>
        <v/>
      </c>
      <c r="AG247" s="1037" t="str">
        <f t="shared" si="82"/>
        <v/>
      </c>
      <c r="AH247" s="1037" t="str">
        <f>IF(AE247="","",VLOOKUP(AE247,リスト!BI:BJ,2,0))</f>
        <v/>
      </c>
      <c r="AI247" s="1037" t="str">
        <f t="shared" si="77"/>
        <v/>
      </c>
      <c r="AJ247" s="1037" t="str">
        <f>IF(AI247="","",VLOOKUP(AI247,リスト!BW:BX,2,0))</f>
        <v/>
      </c>
      <c r="AK247" s="1037" t="str">
        <f t="shared" si="74"/>
        <v/>
      </c>
      <c r="AL247" s="685" t="str">
        <f t="shared" si="83"/>
        <v/>
      </c>
      <c r="AM247" s="646" t="str">
        <f t="shared" si="84"/>
        <v/>
      </c>
      <c r="AN247" s="646" t="str">
        <f t="shared" si="85"/>
        <v/>
      </c>
      <c r="AO247" s="647" t="str">
        <f t="shared" si="86"/>
        <v/>
      </c>
      <c r="AP247" s="647" t="str">
        <f t="shared" si="75"/>
        <v/>
      </c>
      <c r="AQ247" s="647" t="str">
        <f t="shared" si="87"/>
        <v/>
      </c>
      <c r="AR247" s="647" t="str">
        <f t="shared" si="88"/>
        <v/>
      </c>
      <c r="AS247" s="647" t="str">
        <f t="shared" si="89"/>
        <v/>
      </c>
      <c r="AT247" s="647" t="str">
        <f t="shared" si="76"/>
        <v/>
      </c>
      <c r="AU247" s="647" t="str">
        <f t="shared" si="90"/>
        <v/>
      </c>
      <c r="AV247" s="647" t="str">
        <f t="shared" si="91"/>
        <v/>
      </c>
      <c r="AW247" s="647" t="str">
        <f t="shared" si="92"/>
        <v/>
      </c>
      <c r="AX247" s="647" t="str">
        <f t="shared" si="93"/>
        <v/>
      </c>
    </row>
    <row r="248" spans="3:50" s="5" customFormat="1" ht="28.15" hidden="1" customHeight="1" outlineLevel="1">
      <c r="C248" s="649">
        <v>232</v>
      </c>
      <c r="D248" s="1855"/>
      <c r="E248" s="1856"/>
      <c r="F248" s="1856"/>
      <c r="G248" s="1856"/>
      <c r="H248" s="1856"/>
      <c r="I248" s="1856"/>
      <c r="J248" s="1856"/>
      <c r="K248" s="702"/>
      <c r="L248" s="1054"/>
      <c r="M248" s="705"/>
      <c r="N248" s="257"/>
      <c r="O248" s="1040"/>
      <c r="P248" s="1044"/>
      <c r="Q248" s="256"/>
      <c r="R248" s="267"/>
      <c r="S248" s="256"/>
      <c r="T248" s="256"/>
      <c r="U248" s="256"/>
      <c r="V248" s="256"/>
      <c r="W248" s="254"/>
      <c r="X248" s="703"/>
      <c r="Y248" s="125"/>
      <c r="Z248" s="431"/>
      <c r="AA248" s="499"/>
      <c r="AB248" s="741"/>
      <c r="AC248" s="51"/>
      <c r="AD248" s="51"/>
      <c r="AE248" s="645" t="str">
        <f t="shared" si="80"/>
        <v/>
      </c>
      <c r="AF248" s="1037" t="str">
        <f t="shared" si="81"/>
        <v/>
      </c>
      <c r="AG248" s="1037" t="str">
        <f t="shared" si="82"/>
        <v/>
      </c>
      <c r="AH248" s="1037" t="str">
        <f>IF(AE248="","",VLOOKUP(AE248,リスト!BI:BJ,2,0))</f>
        <v/>
      </c>
      <c r="AI248" s="1037" t="str">
        <f t="shared" si="77"/>
        <v/>
      </c>
      <c r="AJ248" s="1037" t="str">
        <f>IF(AI248="","",VLOOKUP(AI248,リスト!BW:BX,2,0))</f>
        <v/>
      </c>
      <c r="AK248" s="1037" t="str">
        <f t="shared" si="74"/>
        <v/>
      </c>
      <c r="AL248" s="685" t="str">
        <f t="shared" si="83"/>
        <v/>
      </c>
      <c r="AM248" s="646" t="str">
        <f t="shared" si="84"/>
        <v/>
      </c>
      <c r="AN248" s="646" t="str">
        <f t="shared" si="85"/>
        <v/>
      </c>
      <c r="AO248" s="647" t="str">
        <f t="shared" si="86"/>
        <v/>
      </c>
      <c r="AP248" s="647" t="str">
        <f t="shared" si="75"/>
        <v/>
      </c>
      <c r="AQ248" s="647" t="str">
        <f t="shared" si="87"/>
        <v/>
      </c>
      <c r="AR248" s="647" t="str">
        <f t="shared" si="88"/>
        <v/>
      </c>
      <c r="AS248" s="647" t="str">
        <f t="shared" si="89"/>
        <v/>
      </c>
      <c r="AT248" s="647" t="str">
        <f t="shared" si="76"/>
        <v/>
      </c>
      <c r="AU248" s="647" t="str">
        <f t="shared" si="90"/>
        <v/>
      </c>
      <c r="AV248" s="647" t="str">
        <f t="shared" si="91"/>
        <v/>
      </c>
      <c r="AW248" s="647" t="str">
        <f t="shared" si="92"/>
        <v/>
      </c>
      <c r="AX248" s="647" t="str">
        <f t="shared" si="93"/>
        <v/>
      </c>
    </row>
    <row r="249" spans="3:50" s="5" customFormat="1" ht="28.15" hidden="1" customHeight="1" outlineLevel="1">
      <c r="C249" s="649">
        <v>233</v>
      </c>
      <c r="D249" s="1855"/>
      <c r="E249" s="1856"/>
      <c r="F249" s="1856"/>
      <c r="G249" s="1856"/>
      <c r="H249" s="1856"/>
      <c r="I249" s="1856"/>
      <c r="J249" s="1856"/>
      <c r="K249" s="702"/>
      <c r="L249" s="1054"/>
      <c r="M249" s="705"/>
      <c r="N249" s="255"/>
      <c r="O249" s="1040"/>
      <c r="P249" s="1044"/>
      <c r="Q249" s="256"/>
      <c r="R249" s="267"/>
      <c r="S249" s="256"/>
      <c r="T249" s="256"/>
      <c r="U249" s="256"/>
      <c r="V249" s="256"/>
      <c r="W249" s="254"/>
      <c r="X249" s="703"/>
      <c r="Y249" s="125"/>
      <c r="Z249" s="431"/>
      <c r="AA249" s="499"/>
      <c r="AB249" s="741"/>
      <c r="AC249" s="51"/>
      <c r="AD249" s="51"/>
      <c r="AE249" s="645" t="str">
        <f t="shared" si="80"/>
        <v/>
      </c>
      <c r="AF249" s="1037" t="str">
        <f t="shared" si="81"/>
        <v/>
      </c>
      <c r="AG249" s="1037" t="str">
        <f t="shared" si="82"/>
        <v/>
      </c>
      <c r="AH249" s="1037" t="str">
        <f>IF(AE249="","",VLOOKUP(AE249,リスト!BI:BJ,2,0))</f>
        <v/>
      </c>
      <c r="AI249" s="1037" t="str">
        <f t="shared" si="77"/>
        <v/>
      </c>
      <c r="AJ249" s="1037" t="str">
        <f>IF(AI249="","",VLOOKUP(AI249,リスト!BW:BX,2,0))</f>
        <v/>
      </c>
      <c r="AK249" s="1037" t="str">
        <f t="shared" si="74"/>
        <v/>
      </c>
      <c r="AL249" s="685" t="str">
        <f t="shared" si="83"/>
        <v/>
      </c>
      <c r="AM249" s="646" t="str">
        <f t="shared" si="84"/>
        <v/>
      </c>
      <c r="AN249" s="646" t="str">
        <f t="shared" si="85"/>
        <v/>
      </c>
      <c r="AO249" s="647" t="str">
        <f t="shared" si="86"/>
        <v/>
      </c>
      <c r="AP249" s="647" t="str">
        <f t="shared" si="75"/>
        <v/>
      </c>
      <c r="AQ249" s="647" t="str">
        <f t="shared" si="87"/>
        <v/>
      </c>
      <c r="AR249" s="647" t="str">
        <f t="shared" si="88"/>
        <v/>
      </c>
      <c r="AS249" s="647" t="str">
        <f t="shared" si="89"/>
        <v/>
      </c>
      <c r="AT249" s="647" t="str">
        <f t="shared" si="76"/>
        <v/>
      </c>
      <c r="AU249" s="647" t="str">
        <f t="shared" si="90"/>
        <v/>
      </c>
      <c r="AV249" s="647" t="str">
        <f t="shared" si="91"/>
        <v/>
      </c>
      <c r="AW249" s="647" t="str">
        <f t="shared" si="92"/>
        <v/>
      </c>
      <c r="AX249" s="647" t="str">
        <f t="shared" si="93"/>
        <v/>
      </c>
    </row>
    <row r="250" spans="3:50" s="5" customFormat="1" ht="28.15" hidden="1" customHeight="1" outlineLevel="1">
      <c r="C250" s="649">
        <v>234</v>
      </c>
      <c r="D250" s="1855"/>
      <c r="E250" s="1856"/>
      <c r="F250" s="1856"/>
      <c r="G250" s="1856"/>
      <c r="H250" s="1856"/>
      <c r="I250" s="1856"/>
      <c r="J250" s="1856"/>
      <c r="K250" s="702"/>
      <c r="L250" s="1054"/>
      <c r="M250" s="705"/>
      <c r="N250" s="257"/>
      <c r="O250" s="1040"/>
      <c r="P250" s="1044"/>
      <c r="Q250" s="256"/>
      <c r="R250" s="267"/>
      <c r="S250" s="256"/>
      <c r="T250" s="256"/>
      <c r="U250" s="256"/>
      <c r="V250" s="256"/>
      <c r="W250" s="254"/>
      <c r="X250" s="703"/>
      <c r="Y250" s="125"/>
      <c r="Z250" s="431"/>
      <c r="AA250" s="499"/>
      <c r="AB250" s="741"/>
      <c r="AC250" s="51"/>
      <c r="AD250" s="51"/>
      <c r="AE250" s="645" t="str">
        <f t="shared" si="80"/>
        <v/>
      </c>
      <c r="AF250" s="1037" t="str">
        <f t="shared" si="81"/>
        <v/>
      </c>
      <c r="AG250" s="1037" t="str">
        <f t="shared" si="82"/>
        <v/>
      </c>
      <c r="AH250" s="1037" t="str">
        <f>IF(AE250="","",VLOOKUP(AE250,リスト!BI:BJ,2,0))</f>
        <v/>
      </c>
      <c r="AI250" s="1037" t="str">
        <f t="shared" si="77"/>
        <v/>
      </c>
      <c r="AJ250" s="1037" t="str">
        <f>IF(AI250="","",VLOOKUP(AI250,リスト!BW:BX,2,0))</f>
        <v/>
      </c>
      <c r="AK250" s="1037" t="str">
        <f t="shared" si="74"/>
        <v/>
      </c>
      <c r="AL250" s="685" t="str">
        <f t="shared" si="83"/>
        <v/>
      </c>
      <c r="AM250" s="646" t="str">
        <f t="shared" si="84"/>
        <v/>
      </c>
      <c r="AN250" s="646" t="str">
        <f t="shared" si="85"/>
        <v/>
      </c>
      <c r="AO250" s="647" t="str">
        <f t="shared" si="86"/>
        <v/>
      </c>
      <c r="AP250" s="647" t="str">
        <f t="shared" si="75"/>
        <v/>
      </c>
      <c r="AQ250" s="647" t="str">
        <f t="shared" si="87"/>
        <v/>
      </c>
      <c r="AR250" s="647" t="str">
        <f t="shared" si="88"/>
        <v/>
      </c>
      <c r="AS250" s="647" t="str">
        <f t="shared" si="89"/>
        <v/>
      </c>
      <c r="AT250" s="647" t="str">
        <f t="shared" si="76"/>
        <v/>
      </c>
      <c r="AU250" s="647" t="str">
        <f t="shared" si="90"/>
        <v/>
      </c>
      <c r="AV250" s="647" t="str">
        <f t="shared" si="91"/>
        <v/>
      </c>
      <c r="AW250" s="647" t="str">
        <f t="shared" si="92"/>
        <v/>
      </c>
      <c r="AX250" s="647" t="str">
        <f t="shared" si="93"/>
        <v/>
      </c>
    </row>
    <row r="251" spans="3:50" s="5" customFormat="1" ht="28.15" hidden="1" customHeight="1" outlineLevel="1">
      <c r="C251" s="649">
        <v>235</v>
      </c>
      <c r="D251" s="1855"/>
      <c r="E251" s="1856"/>
      <c r="F251" s="1856"/>
      <c r="G251" s="1856"/>
      <c r="H251" s="1856"/>
      <c r="I251" s="1856"/>
      <c r="J251" s="1856"/>
      <c r="K251" s="702"/>
      <c r="L251" s="1054"/>
      <c r="M251" s="705"/>
      <c r="N251" s="255"/>
      <c r="O251" s="1040"/>
      <c r="P251" s="1044"/>
      <c r="Q251" s="256"/>
      <c r="R251" s="267"/>
      <c r="S251" s="256"/>
      <c r="T251" s="256"/>
      <c r="U251" s="256"/>
      <c r="V251" s="256"/>
      <c r="W251" s="254"/>
      <c r="X251" s="703"/>
      <c r="Y251" s="125"/>
      <c r="Z251" s="431"/>
      <c r="AA251" s="499"/>
      <c r="AB251" s="741"/>
      <c r="AC251" s="51"/>
      <c r="AD251" s="51"/>
      <c r="AE251" s="645" t="str">
        <f t="shared" si="80"/>
        <v/>
      </c>
      <c r="AF251" s="1037" t="str">
        <f t="shared" si="81"/>
        <v/>
      </c>
      <c r="AG251" s="1037" t="str">
        <f t="shared" si="82"/>
        <v/>
      </c>
      <c r="AH251" s="1037" t="str">
        <f>IF(AE251="","",VLOOKUP(AE251,リスト!BI:BJ,2,0))</f>
        <v/>
      </c>
      <c r="AI251" s="1037" t="str">
        <f t="shared" si="77"/>
        <v/>
      </c>
      <c r="AJ251" s="1037" t="str">
        <f>IF(AI251="","",VLOOKUP(AI251,リスト!BW:BX,2,0))</f>
        <v/>
      </c>
      <c r="AK251" s="1037" t="str">
        <f t="shared" si="74"/>
        <v/>
      </c>
      <c r="AL251" s="685" t="str">
        <f t="shared" si="83"/>
        <v/>
      </c>
      <c r="AM251" s="646" t="str">
        <f t="shared" si="84"/>
        <v/>
      </c>
      <c r="AN251" s="646" t="str">
        <f t="shared" si="85"/>
        <v/>
      </c>
      <c r="AO251" s="647" t="str">
        <f t="shared" si="86"/>
        <v/>
      </c>
      <c r="AP251" s="647" t="str">
        <f t="shared" si="75"/>
        <v/>
      </c>
      <c r="AQ251" s="647" t="str">
        <f t="shared" si="87"/>
        <v/>
      </c>
      <c r="AR251" s="647" t="str">
        <f t="shared" si="88"/>
        <v/>
      </c>
      <c r="AS251" s="647" t="str">
        <f t="shared" si="89"/>
        <v/>
      </c>
      <c r="AT251" s="647" t="str">
        <f t="shared" si="76"/>
        <v/>
      </c>
      <c r="AU251" s="647" t="str">
        <f t="shared" si="90"/>
        <v/>
      </c>
      <c r="AV251" s="647" t="str">
        <f t="shared" si="91"/>
        <v/>
      </c>
      <c r="AW251" s="647" t="str">
        <f t="shared" si="92"/>
        <v/>
      </c>
      <c r="AX251" s="647" t="str">
        <f t="shared" si="93"/>
        <v/>
      </c>
    </row>
    <row r="252" spans="3:50" s="5" customFormat="1" ht="28.15" hidden="1" customHeight="1" outlineLevel="1">
      <c r="C252" s="649">
        <v>236</v>
      </c>
      <c r="D252" s="1855"/>
      <c r="E252" s="1856"/>
      <c r="F252" s="1856"/>
      <c r="G252" s="1856"/>
      <c r="H252" s="1856"/>
      <c r="I252" s="1856"/>
      <c r="J252" s="1857"/>
      <c r="K252" s="702"/>
      <c r="L252" s="1054"/>
      <c r="M252" s="666"/>
      <c r="N252" s="266"/>
      <c r="O252" s="1040"/>
      <c r="P252" s="1041"/>
      <c r="Q252" s="267"/>
      <c r="R252" s="267"/>
      <c r="S252" s="267"/>
      <c r="T252" s="267"/>
      <c r="U252" s="267"/>
      <c r="V252" s="267"/>
      <c r="W252" s="254"/>
      <c r="X252" s="703"/>
      <c r="Y252" s="125"/>
      <c r="Z252" s="431"/>
      <c r="AA252" s="499"/>
      <c r="AB252" s="741"/>
      <c r="AC252" s="51"/>
      <c r="AD252" s="51"/>
      <c r="AE252" s="645" t="str">
        <f t="shared" si="1"/>
        <v/>
      </c>
      <c r="AF252" s="1037" t="str">
        <f t="shared" si="2"/>
        <v/>
      </c>
      <c r="AG252" s="1037" t="str">
        <f t="shared" si="3"/>
        <v/>
      </c>
      <c r="AH252" s="1037" t="str">
        <f>IF(AE252="","",VLOOKUP(AE252,リスト!BI:BJ,2,0))</f>
        <v/>
      </c>
      <c r="AI252" s="1037" t="str">
        <f t="shared" si="77"/>
        <v/>
      </c>
      <c r="AJ252" s="1037" t="str">
        <f>IF(AI252="","",VLOOKUP(AI252,リスト!BW:BX,2,0))</f>
        <v/>
      </c>
      <c r="AK252" s="1037" t="str">
        <f t="shared" si="74"/>
        <v/>
      </c>
      <c r="AL252" s="685" t="str">
        <f t="shared" si="6"/>
        <v/>
      </c>
      <c r="AM252" s="646" t="str">
        <f t="shared" si="7"/>
        <v/>
      </c>
      <c r="AN252" s="646" t="str">
        <f t="shared" ref="AN252:AN269" si="94">IF(OR(AE252="",AF252=1),"",
IF(X252="",AL252,
IF(X252="2：廃棄等",SUM(AM252,Y252),
IF(X252="1：売却",AM252-Y252,
IF(AND(Y252="",AL252=""),"",SUM(Y252,AL252))))))</f>
        <v/>
      </c>
      <c r="AO252" s="647" t="str">
        <f t="shared" ref="AO252:AO269" si="95">IF(AND(AN252="",AL252=""),"",
IF(OR(X252="2：廃棄等",X252="1：売却"),SUM(AN252)-SUM(AL252),""))</f>
        <v/>
      </c>
      <c r="AP252" s="647" t="str">
        <f t="shared" si="75"/>
        <v/>
      </c>
      <c r="AQ252" s="647" t="str">
        <f t="shared" si="9"/>
        <v/>
      </c>
      <c r="AR252" s="647" t="str">
        <f t="shared" si="10"/>
        <v/>
      </c>
      <c r="AS252" s="647" t="str">
        <f t="shared" si="11"/>
        <v/>
      </c>
      <c r="AT252" s="647" t="str">
        <f t="shared" si="76"/>
        <v/>
      </c>
      <c r="AU252" s="647" t="str">
        <f t="shared" si="13"/>
        <v/>
      </c>
      <c r="AV252" s="647" t="str">
        <f t="shared" si="14"/>
        <v/>
      </c>
      <c r="AW252" s="647" t="str">
        <f t="shared" si="15"/>
        <v/>
      </c>
      <c r="AX252" s="647" t="str">
        <f t="shared" si="16"/>
        <v/>
      </c>
    </row>
    <row r="253" spans="3:50" s="5" customFormat="1" ht="28.15" hidden="1" customHeight="1" outlineLevel="1">
      <c r="C253" s="649">
        <v>237</v>
      </c>
      <c r="D253" s="1865"/>
      <c r="E253" s="1866"/>
      <c r="F253" s="1866"/>
      <c r="G253" s="1866"/>
      <c r="H253" s="1866"/>
      <c r="I253" s="1866"/>
      <c r="J253" s="1866"/>
      <c r="K253" s="704"/>
      <c r="L253" s="1055"/>
      <c r="M253" s="705"/>
      <c r="N253" s="257"/>
      <c r="O253" s="1042"/>
      <c r="P253" s="1041"/>
      <c r="Q253" s="256"/>
      <c r="R253" s="267"/>
      <c r="S253" s="256"/>
      <c r="T253" s="256"/>
      <c r="U253" s="256"/>
      <c r="V253" s="256"/>
      <c r="W253" s="254"/>
      <c r="X253" s="703"/>
      <c r="Y253" s="125"/>
      <c r="Z253" s="431"/>
      <c r="AA253" s="499"/>
      <c r="AB253" s="741"/>
      <c r="AC253" s="51"/>
      <c r="AD253" s="51"/>
      <c r="AE253" s="645" t="str">
        <f t="shared" si="1"/>
        <v/>
      </c>
      <c r="AF253" s="1037" t="str">
        <f t="shared" si="2"/>
        <v/>
      </c>
      <c r="AG253" s="1037" t="str">
        <f t="shared" si="3"/>
        <v/>
      </c>
      <c r="AH253" s="1037" t="str">
        <f>IF(AE253="","",VLOOKUP(AE253,リスト!BI:BJ,2,0))</f>
        <v/>
      </c>
      <c r="AI253" s="1037" t="str">
        <f t="shared" si="77"/>
        <v/>
      </c>
      <c r="AJ253" s="1037" t="str">
        <f>IF(AI253="","",VLOOKUP(AI253,リスト!BW:BX,2,0))</f>
        <v/>
      </c>
      <c r="AK253" s="1037" t="str">
        <f t="shared" si="74"/>
        <v/>
      </c>
      <c r="AL253" s="685" t="str">
        <f t="shared" si="6"/>
        <v/>
      </c>
      <c r="AM253" s="646" t="str">
        <f t="shared" si="7"/>
        <v/>
      </c>
      <c r="AN253" s="646" t="str">
        <f t="shared" si="94"/>
        <v/>
      </c>
      <c r="AO253" s="647" t="str">
        <f t="shared" si="95"/>
        <v/>
      </c>
      <c r="AP253" s="647" t="str">
        <f t="shared" si="75"/>
        <v/>
      </c>
      <c r="AQ253" s="647" t="str">
        <f t="shared" si="9"/>
        <v/>
      </c>
      <c r="AR253" s="647" t="str">
        <f t="shared" si="10"/>
        <v/>
      </c>
      <c r="AS253" s="647" t="str">
        <f t="shared" si="11"/>
        <v/>
      </c>
      <c r="AT253" s="647" t="str">
        <f t="shared" si="76"/>
        <v/>
      </c>
      <c r="AU253" s="647" t="str">
        <f t="shared" si="13"/>
        <v/>
      </c>
      <c r="AV253" s="647" t="str">
        <f t="shared" si="14"/>
        <v/>
      </c>
      <c r="AW253" s="647" t="str">
        <f t="shared" si="15"/>
        <v/>
      </c>
      <c r="AX253" s="647" t="str">
        <f t="shared" si="16"/>
        <v/>
      </c>
    </row>
    <row r="254" spans="3:50" s="5" customFormat="1" ht="28.15" hidden="1" customHeight="1" outlineLevel="1">
      <c r="C254" s="649">
        <v>238</v>
      </c>
      <c r="D254" s="1855"/>
      <c r="E254" s="1856"/>
      <c r="F254" s="1856"/>
      <c r="G254" s="1856"/>
      <c r="H254" s="1856"/>
      <c r="I254" s="1856"/>
      <c r="J254" s="1856"/>
      <c r="K254" s="702"/>
      <c r="L254" s="1054"/>
      <c r="M254" s="705"/>
      <c r="N254" s="255"/>
      <c r="O254" s="1040"/>
      <c r="P254" s="1041"/>
      <c r="Q254" s="256"/>
      <c r="R254" s="267"/>
      <c r="S254" s="256"/>
      <c r="T254" s="256"/>
      <c r="U254" s="256"/>
      <c r="V254" s="256"/>
      <c r="W254" s="254"/>
      <c r="X254" s="703"/>
      <c r="Y254" s="125"/>
      <c r="Z254" s="431"/>
      <c r="AA254" s="499"/>
      <c r="AB254" s="741"/>
      <c r="AC254" s="51"/>
      <c r="AD254" s="51"/>
      <c r="AE254" s="645" t="str">
        <f t="shared" si="1"/>
        <v/>
      </c>
      <c r="AF254" s="1037" t="str">
        <f t="shared" si="2"/>
        <v/>
      </c>
      <c r="AG254" s="1037" t="str">
        <f t="shared" si="3"/>
        <v/>
      </c>
      <c r="AH254" s="1037" t="str">
        <f>IF(AE254="","",VLOOKUP(AE254,リスト!BI:BJ,2,0))</f>
        <v/>
      </c>
      <c r="AI254" s="1037" t="str">
        <f t="shared" si="77"/>
        <v/>
      </c>
      <c r="AJ254" s="1037" t="str">
        <f>IF(AI254="","",VLOOKUP(AI254,リスト!BW:BX,2,0))</f>
        <v/>
      </c>
      <c r="AK254" s="1037" t="str">
        <f t="shared" si="74"/>
        <v/>
      </c>
      <c r="AL254" s="685" t="str">
        <f t="shared" si="6"/>
        <v/>
      </c>
      <c r="AM254" s="646" t="str">
        <f t="shared" si="7"/>
        <v/>
      </c>
      <c r="AN254" s="646" t="str">
        <f t="shared" si="94"/>
        <v/>
      </c>
      <c r="AO254" s="647" t="str">
        <f t="shared" si="95"/>
        <v/>
      </c>
      <c r="AP254" s="647" t="str">
        <f t="shared" si="75"/>
        <v/>
      </c>
      <c r="AQ254" s="647" t="str">
        <f t="shared" si="9"/>
        <v/>
      </c>
      <c r="AR254" s="647" t="str">
        <f t="shared" si="10"/>
        <v/>
      </c>
      <c r="AS254" s="647" t="str">
        <f t="shared" si="11"/>
        <v/>
      </c>
      <c r="AT254" s="647" t="str">
        <f t="shared" si="76"/>
        <v/>
      </c>
      <c r="AU254" s="647" t="str">
        <f t="shared" si="13"/>
        <v/>
      </c>
      <c r="AV254" s="647" t="str">
        <f t="shared" si="14"/>
        <v/>
      </c>
      <c r="AW254" s="647" t="str">
        <f t="shared" si="15"/>
        <v/>
      </c>
      <c r="AX254" s="647" t="str">
        <f t="shared" si="16"/>
        <v/>
      </c>
    </row>
    <row r="255" spans="3:50" s="5" customFormat="1" ht="28.15" hidden="1" customHeight="1" outlineLevel="1">
      <c r="C255" s="649">
        <v>239</v>
      </c>
      <c r="D255" s="1865"/>
      <c r="E255" s="1866"/>
      <c r="F255" s="1866"/>
      <c r="G255" s="1866"/>
      <c r="H255" s="1866"/>
      <c r="I255" s="1866"/>
      <c r="J255" s="1866"/>
      <c r="K255" s="704"/>
      <c r="L255" s="1055"/>
      <c r="M255" s="705"/>
      <c r="N255" s="257"/>
      <c r="O255" s="1042"/>
      <c r="P255" s="1041"/>
      <c r="Q255" s="256"/>
      <c r="R255" s="267"/>
      <c r="S255" s="256"/>
      <c r="T255" s="256"/>
      <c r="U255" s="256"/>
      <c r="V255" s="256"/>
      <c r="W255" s="254"/>
      <c r="X255" s="703"/>
      <c r="Y255" s="125"/>
      <c r="Z255" s="431"/>
      <c r="AA255" s="499"/>
      <c r="AB255" s="741"/>
      <c r="AC255" s="51"/>
      <c r="AD255" s="51"/>
      <c r="AE255" s="645" t="str">
        <f t="shared" si="1"/>
        <v/>
      </c>
      <c r="AF255" s="1037" t="str">
        <f t="shared" si="2"/>
        <v/>
      </c>
      <c r="AG255" s="1037" t="str">
        <f t="shared" si="3"/>
        <v/>
      </c>
      <c r="AH255" s="1037" t="str">
        <f>IF(AE255="","",VLOOKUP(AE255,リスト!BI:BJ,2,0))</f>
        <v/>
      </c>
      <c r="AI255" s="1037" t="str">
        <f t="shared" si="77"/>
        <v/>
      </c>
      <c r="AJ255" s="1037" t="str">
        <f>IF(AI255="","",VLOOKUP(AI255,リスト!BW:BX,2,0))</f>
        <v/>
      </c>
      <c r="AK255" s="1037" t="str">
        <f t="shared" si="74"/>
        <v/>
      </c>
      <c r="AL255" s="685" t="str">
        <f t="shared" si="6"/>
        <v/>
      </c>
      <c r="AM255" s="646" t="str">
        <f t="shared" si="7"/>
        <v/>
      </c>
      <c r="AN255" s="646" t="str">
        <f t="shared" si="94"/>
        <v/>
      </c>
      <c r="AO255" s="647" t="str">
        <f t="shared" si="95"/>
        <v/>
      </c>
      <c r="AP255" s="647" t="str">
        <f t="shared" si="75"/>
        <v/>
      </c>
      <c r="AQ255" s="647" t="str">
        <f t="shared" si="9"/>
        <v/>
      </c>
      <c r="AR255" s="647" t="str">
        <f t="shared" si="10"/>
        <v/>
      </c>
      <c r="AS255" s="647" t="str">
        <f t="shared" si="11"/>
        <v/>
      </c>
      <c r="AT255" s="647" t="str">
        <f t="shared" si="76"/>
        <v/>
      </c>
      <c r="AU255" s="647" t="str">
        <f t="shared" si="13"/>
        <v/>
      </c>
      <c r="AV255" s="647" t="str">
        <f t="shared" si="14"/>
        <v/>
      </c>
      <c r="AW255" s="647" t="str">
        <f t="shared" si="15"/>
        <v/>
      </c>
      <c r="AX255" s="647" t="str">
        <f t="shared" si="16"/>
        <v/>
      </c>
    </row>
    <row r="256" spans="3:50" s="5" customFormat="1" ht="28.15" hidden="1" customHeight="1" outlineLevel="1">
      <c r="C256" s="649">
        <v>240</v>
      </c>
      <c r="D256" s="1855"/>
      <c r="E256" s="1856"/>
      <c r="F256" s="1856"/>
      <c r="G256" s="1856"/>
      <c r="H256" s="1856"/>
      <c r="I256" s="1856"/>
      <c r="J256" s="1856"/>
      <c r="K256" s="702"/>
      <c r="L256" s="1054"/>
      <c r="M256" s="705"/>
      <c r="N256" s="255"/>
      <c r="O256" s="1040"/>
      <c r="P256" s="1041"/>
      <c r="Q256" s="256"/>
      <c r="R256" s="267"/>
      <c r="S256" s="256"/>
      <c r="T256" s="256"/>
      <c r="U256" s="256"/>
      <c r="V256" s="256"/>
      <c r="W256" s="254"/>
      <c r="X256" s="703"/>
      <c r="Y256" s="125"/>
      <c r="Z256" s="431"/>
      <c r="AA256" s="499"/>
      <c r="AB256" s="741"/>
      <c r="AC256" s="51"/>
      <c r="AD256" s="51"/>
      <c r="AE256" s="645" t="str">
        <f t="shared" si="1"/>
        <v/>
      </c>
      <c r="AF256" s="1037" t="str">
        <f t="shared" si="2"/>
        <v/>
      </c>
      <c r="AG256" s="1037" t="str">
        <f t="shared" si="3"/>
        <v/>
      </c>
      <c r="AH256" s="1037" t="str">
        <f>IF(AE256="","",VLOOKUP(AE256,リスト!BI:BJ,2,0))</f>
        <v/>
      </c>
      <c r="AI256" s="1037" t="str">
        <f t="shared" si="77"/>
        <v/>
      </c>
      <c r="AJ256" s="1037" t="str">
        <f>IF(AI256="","",VLOOKUP(AI256,リスト!BW:BX,2,0))</f>
        <v/>
      </c>
      <c r="AK256" s="1037" t="str">
        <f t="shared" si="74"/>
        <v/>
      </c>
      <c r="AL256" s="685" t="str">
        <f t="shared" si="6"/>
        <v/>
      </c>
      <c r="AM256" s="646" t="str">
        <f t="shared" si="7"/>
        <v/>
      </c>
      <c r="AN256" s="646" t="str">
        <f t="shared" si="94"/>
        <v/>
      </c>
      <c r="AO256" s="647" t="str">
        <f t="shared" si="95"/>
        <v/>
      </c>
      <c r="AP256" s="647" t="str">
        <f t="shared" si="75"/>
        <v/>
      </c>
      <c r="AQ256" s="647" t="str">
        <f t="shared" si="9"/>
        <v/>
      </c>
      <c r="AR256" s="647" t="str">
        <f t="shared" si="10"/>
        <v/>
      </c>
      <c r="AS256" s="647" t="str">
        <f t="shared" si="11"/>
        <v/>
      </c>
      <c r="AT256" s="647" t="str">
        <f t="shared" si="76"/>
        <v/>
      </c>
      <c r="AU256" s="647" t="str">
        <f t="shared" si="13"/>
        <v/>
      </c>
      <c r="AV256" s="647" t="str">
        <f t="shared" si="14"/>
        <v/>
      </c>
      <c r="AW256" s="647" t="str">
        <f t="shared" si="15"/>
        <v/>
      </c>
      <c r="AX256" s="647" t="str">
        <f t="shared" si="16"/>
        <v/>
      </c>
    </row>
    <row r="257" spans="3:50" s="5" customFormat="1" ht="28.15" hidden="1" customHeight="1" outlineLevel="1">
      <c r="C257" s="649">
        <v>241</v>
      </c>
      <c r="D257" s="1865"/>
      <c r="E257" s="1866"/>
      <c r="F257" s="1866"/>
      <c r="G257" s="1866"/>
      <c r="H257" s="1866"/>
      <c r="I257" s="1866"/>
      <c r="J257" s="1866"/>
      <c r="K257" s="704"/>
      <c r="L257" s="1055"/>
      <c r="M257" s="705"/>
      <c r="N257" s="257"/>
      <c r="O257" s="1042"/>
      <c r="P257" s="1041"/>
      <c r="Q257" s="256"/>
      <c r="R257" s="267"/>
      <c r="S257" s="256"/>
      <c r="T257" s="256"/>
      <c r="U257" s="256"/>
      <c r="V257" s="256"/>
      <c r="W257" s="254"/>
      <c r="X257" s="703"/>
      <c r="Y257" s="125"/>
      <c r="Z257" s="431"/>
      <c r="AA257" s="499"/>
      <c r="AB257" s="741"/>
      <c r="AC257" s="51"/>
      <c r="AD257" s="51"/>
      <c r="AE257" s="645" t="str">
        <f t="shared" si="1"/>
        <v/>
      </c>
      <c r="AF257" s="1037" t="str">
        <f t="shared" si="2"/>
        <v/>
      </c>
      <c r="AG257" s="1037" t="str">
        <f t="shared" si="3"/>
        <v/>
      </c>
      <c r="AH257" s="1037" t="str">
        <f>IF(AE257="","",VLOOKUP(AE257,リスト!BI:BJ,2,0))</f>
        <v/>
      </c>
      <c r="AI257" s="1037" t="str">
        <f t="shared" si="77"/>
        <v/>
      </c>
      <c r="AJ257" s="1037" t="str">
        <f>IF(AI257="","",VLOOKUP(AI257,リスト!BW:BX,2,0))</f>
        <v/>
      </c>
      <c r="AK257" s="1037" t="str">
        <f t="shared" si="74"/>
        <v/>
      </c>
      <c r="AL257" s="685" t="str">
        <f t="shared" si="6"/>
        <v/>
      </c>
      <c r="AM257" s="646" t="str">
        <f t="shared" si="7"/>
        <v/>
      </c>
      <c r="AN257" s="646" t="str">
        <f t="shared" si="94"/>
        <v/>
      </c>
      <c r="AO257" s="647" t="str">
        <f t="shared" si="95"/>
        <v/>
      </c>
      <c r="AP257" s="647" t="str">
        <f t="shared" si="75"/>
        <v/>
      </c>
      <c r="AQ257" s="647" t="str">
        <f t="shared" si="9"/>
        <v/>
      </c>
      <c r="AR257" s="647" t="str">
        <f t="shared" si="10"/>
        <v/>
      </c>
      <c r="AS257" s="647" t="str">
        <f t="shared" si="11"/>
        <v/>
      </c>
      <c r="AT257" s="647" t="str">
        <f t="shared" si="76"/>
        <v/>
      </c>
      <c r="AU257" s="647" t="str">
        <f t="shared" si="13"/>
        <v/>
      </c>
      <c r="AV257" s="647" t="str">
        <f t="shared" si="14"/>
        <v/>
      </c>
      <c r="AW257" s="647" t="str">
        <f t="shared" si="15"/>
        <v/>
      </c>
      <c r="AX257" s="647" t="str">
        <f t="shared" si="16"/>
        <v/>
      </c>
    </row>
    <row r="258" spans="3:50" s="5" customFormat="1" ht="28.15" hidden="1" customHeight="1" outlineLevel="1">
      <c r="C258" s="649">
        <v>242</v>
      </c>
      <c r="D258" s="1855"/>
      <c r="E258" s="1856"/>
      <c r="F258" s="1856"/>
      <c r="G258" s="1856"/>
      <c r="H258" s="1856"/>
      <c r="I258" s="1856"/>
      <c r="J258" s="1856"/>
      <c r="K258" s="702"/>
      <c r="L258" s="1054"/>
      <c r="M258" s="705"/>
      <c r="N258" s="255"/>
      <c r="O258" s="1040"/>
      <c r="P258" s="1041"/>
      <c r="Q258" s="256"/>
      <c r="R258" s="267"/>
      <c r="S258" s="256"/>
      <c r="T258" s="256"/>
      <c r="U258" s="256"/>
      <c r="V258" s="256"/>
      <c r="W258" s="254"/>
      <c r="X258" s="703"/>
      <c r="Y258" s="125"/>
      <c r="Z258" s="431"/>
      <c r="AA258" s="499"/>
      <c r="AB258" s="741"/>
      <c r="AC258" s="51"/>
      <c r="AD258" s="51"/>
      <c r="AE258" s="645" t="str">
        <f t="shared" si="1"/>
        <v/>
      </c>
      <c r="AF258" s="1037" t="str">
        <f t="shared" si="2"/>
        <v/>
      </c>
      <c r="AG258" s="1037" t="str">
        <f t="shared" si="3"/>
        <v/>
      </c>
      <c r="AH258" s="1037" t="str">
        <f>IF(AE258="","",VLOOKUP(AE258,リスト!BI:BJ,2,0))</f>
        <v/>
      </c>
      <c r="AI258" s="1037" t="str">
        <f t="shared" si="77"/>
        <v/>
      </c>
      <c r="AJ258" s="1037" t="str">
        <f>IF(AI258="","",VLOOKUP(AI258,リスト!BW:BX,2,0))</f>
        <v/>
      </c>
      <c r="AK258" s="1037" t="str">
        <f t="shared" si="74"/>
        <v/>
      </c>
      <c r="AL258" s="685" t="str">
        <f t="shared" si="6"/>
        <v/>
      </c>
      <c r="AM258" s="646" t="str">
        <f t="shared" si="7"/>
        <v/>
      </c>
      <c r="AN258" s="646" t="str">
        <f t="shared" si="94"/>
        <v/>
      </c>
      <c r="AO258" s="647" t="str">
        <f t="shared" si="95"/>
        <v/>
      </c>
      <c r="AP258" s="647" t="str">
        <f t="shared" si="75"/>
        <v/>
      </c>
      <c r="AQ258" s="647" t="str">
        <f t="shared" si="9"/>
        <v/>
      </c>
      <c r="AR258" s="647" t="str">
        <f t="shared" si="10"/>
        <v/>
      </c>
      <c r="AS258" s="647" t="str">
        <f t="shared" si="11"/>
        <v/>
      </c>
      <c r="AT258" s="647" t="str">
        <f t="shared" si="76"/>
        <v/>
      </c>
      <c r="AU258" s="647" t="str">
        <f t="shared" si="13"/>
        <v/>
      </c>
      <c r="AV258" s="647" t="str">
        <f t="shared" si="14"/>
        <v/>
      </c>
      <c r="AW258" s="647" t="str">
        <f t="shared" si="15"/>
        <v/>
      </c>
      <c r="AX258" s="647" t="str">
        <f t="shared" si="16"/>
        <v/>
      </c>
    </row>
    <row r="259" spans="3:50" s="5" customFormat="1" ht="28.15" hidden="1" customHeight="1" outlineLevel="1">
      <c r="C259" s="649">
        <v>243</v>
      </c>
      <c r="D259" s="1865"/>
      <c r="E259" s="1866"/>
      <c r="F259" s="1866"/>
      <c r="G259" s="1866"/>
      <c r="H259" s="1866"/>
      <c r="I259" s="1866"/>
      <c r="J259" s="1866"/>
      <c r="K259" s="704"/>
      <c r="L259" s="1055"/>
      <c r="M259" s="705"/>
      <c r="N259" s="255"/>
      <c r="O259" s="1042"/>
      <c r="P259" s="1041"/>
      <c r="Q259" s="256"/>
      <c r="R259" s="267"/>
      <c r="S259" s="256"/>
      <c r="T259" s="256"/>
      <c r="U259" s="256"/>
      <c r="V259" s="256"/>
      <c r="W259" s="254"/>
      <c r="X259" s="703"/>
      <c r="Y259" s="125"/>
      <c r="Z259" s="431"/>
      <c r="AA259" s="499"/>
      <c r="AB259" s="741"/>
      <c r="AC259" s="51"/>
      <c r="AD259" s="51"/>
      <c r="AE259" s="645" t="str">
        <f t="shared" si="1"/>
        <v/>
      </c>
      <c r="AF259" s="1037" t="str">
        <f t="shared" si="2"/>
        <v/>
      </c>
      <c r="AG259" s="1037" t="str">
        <f t="shared" si="3"/>
        <v/>
      </c>
      <c r="AH259" s="1037" t="str">
        <f>IF(AE259="","",VLOOKUP(AE259,リスト!BI:BJ,2,0))</f>
        <v/>
      </c>
      <c r="AI259" s="1037" t="str">
        <f t="shared" si="77"/>
        <v/>
      </c>
      <c r="AJ259" s="1037" t="str">
        <f>IF(AI259="","",VLOOKUP(AI259,リスト!BW:BX,2,0))</f>
        <v/>
      </c>
      <c r="AK259" s="1037" t="str">
        <f t="shared" si="74"/>
        <v/>
      </c>
      <c r="AL259" s="685" t="str">
        <f t="shared" si="6"/>
        <v/>
      </c>
      <c r="AM259" s="646" t="str">
        <f t="shared" si="7"/>
        <v/>
      </c>
      <c r="AN259" s="646" t="str">
        <f t="shared" si="94"/>
        <v/>
      </c>
      <c r="AO259" s="647" t="str">
        <f t="shared" si="95"/>
        <v/>
      </c>
      <c r="AP259" s="647" t="str">
        <f t="shared" si="75"/>
        <v/>
      </c>
      <c r="AQ259" s="647" t="str">
        <f t="shared" si="9"/>
        <v/>
      </c>
      <c r="AR259" s="647" t="str">
        <f t="shared" si="10"/>
        <v/>
      </c>
      <c r="AS259" s="647" t="str">
        <f t="shared" si="11"/>
        <v/>
      </c>
      <c r="AT259" s="647" t="str">
        <f t="shared" si="76"/>
        <v/>
      </c>
      <c r="AU259" s="647" t="str">
        <f t="shared" si="13"/>
        <v/>
      </c>
      <c r="AV259" s="647" t="str">
        <f t="shared" si="14"/>
        <v/>
      </c>
      <c r="AW259" s="647" t="str">
        <f t="shared" si="15"/>
        <v/>
      </c>
      <c r="AX259" s="647" t="str">
        <f t="shared" si="16"/>
        <v/>
      </c>
    </row>
    <row r="260" spans="3:50" s="5" customFormat="1" ht="28.15" hidden="1" customHeight="1" outlineLevel="1">
      <c r="C260" s="649">
        <v>244</v>
      </c>
      <c r="D260" s="1855"/>
      <c r="E260" s="1856"/>
      <c r="F260" s="1856"/>
      <c r="G260" s="1856"/>
      <c r="H260" s="1856"/>
      <c r="I260" s="1856"/>
      <c r="J260" s="1856"/>
      <c r="K260" s="702"/>
      <c r="L260" s="1054"/>
      <c r="M260" s="705"/>
      <c r="N260" s="255"/>
      <c r="O260" s="1040"/>
      <c r="P260" s="1041"/>
      <c r="Q260" s="256"/>
      <c r="R260" s="267"/>
      <c r="S260" s="256"/>
      <c r="T260" s="256"/>
      <c r="U260" s="256"/>
      <c r="V260" s="256"/>
      <c r="W260" s="254"/>
      <c r="X260" s="703"/>
      <c r="Y260" s="125"/>
      <c r="Z260" s="431"/>
      <c r="AA260" s="499"/>
      <c r="AB260" s="741"/>
      <c r="AC260" s="51"/>
      <c r="AD260" s="51"/>
      <c r="AE260" s="645" t="str">
        <f t="shared" si="1"/>
        <v/>
      </c>
      <c r="AF260" s="1037" t="str">
        <f t="shared" si="2"/>
        <v/>
      </c>
      <c r="AG260" s="1037" t="str">
        <f t="shared" si="3"/>
        <v/>
      </c>
      <c r="AH260" s="1037" t="str">
        <f>IF(AE260="","",VLOOKUP(AE260,リスト!BI:BJ,2,0))</f>
        <v/>
      </c>
      <c r="AI260" s="1037" t="str">
        <f t="shared" si="77"/>
        <v/>
      </c>
      <c r="AJ260" s="1037" t="str">
        <f>IF(AI260="","",VLOOKUP(AI260,リスト!BW:BX,2,0))</f>
        <v/>
      </c>
      <c r="AK260" s="1037" t="str">
        <f t="shared" si="74"/>
        <v/>
      </c>
      <c r="AL260" s="685" t="str">
        <f t="shared" si="6"/>
        <v/>
      </c>
      <c r="AM260" s="646" t="str">
        <f t="shared" si="7"/>
        <v/>
      </c>
      <c r="AN260" s="646" t="str">
        <f t="shared" si="94"/>
        <v/>
      </c>
      <c r="AO260" s="647" t="str">
        <f t="shared" si="95"/>
        <v/>
      </c>
      <c r="AP260" s="647" t="str">
        <f t="shared" si="75"/>
        <v/>
      </c>
      <c r="AQ260" s="647" t="str">
        <f t="shared" si="9"/>
        <v/>
      </c>
      <c r="AR260" s="647" t="str">
        <f t="shared" si="10"/>
        <v/>
      </c>
      <c r="AS260" s="647" t="str">
        <f t="shared" si="11"/>
        <v/>
      </c>
      <c r="AT260" s="647" t="str">
        <f t="shared" si="76"/>
        <v/>
      </c>
      <c r="AU260" s="647" t="str">
        <f t="shared" si="13"/>
        <v/>
      </c>
      <c r="AV260" s="647" t="str">
        <f t="shared" si="14"/>
        <v/>
      </c>
      <c r="AW260" s="647" t="str">
        <f t="shared" si="15"/>
        <v/>
      </c>
      <c r="AX260" s="647" t="str">
        <f t="shared" si="16"/>
        <v/>
      </c>
    </row>
    <row r="261" spans="3:50" s="5" customFormat="1" ht="28.15" hidden="1" customHeight="1" outlineLevel="1">
      <c r="C261" s="649">
        <v>245</v>
      </c>
      <c r="D261" s="1865"/>
      <c r="E261" s="1866"/>
      <c r="F261" s="1866"/>
      <c r="G261" s="1866"/>
      <c r="H261" s="1866"/>
      <c r="I261" s="1866"/>
      <c r="J261" s="1866"/>
      <c r="K261" s="704"/>
      <c r="L261" s="1055"/>
      <c r="M261" s="705"/>
      <c r="N261" s="255"/>
      <c r="O261" s="1042"/>
      <c r="P261" s="1041"/>
      <c r="Q261" s="256"/>
      <c r="R261" s="267"/>
      <c r="S261" s="256"/>
      <c r="T261" s="256"/>
      <c r="U261" s="256"/>
      <c r="V261" s="256"/>
      <c r="W261" s="254"/>
      <c r="X261" s="703"/>
      <c r="Y261" s="125"/>
      <c r="Z261" s="431"/>
      <c r="AA261" s="499"/>
      <c r="AB261" s="741"/>
      <c r="AC261" s="51"/>
      <c r="AD261" s="51"/>
      <c r="AE261" s="645" t="str">
        <f t="shared" si="1"/>
        <v/>
      </c>
      <c r="AF261" s="1037" t="str">
        <f t="shared" si="2"/>
        <v/>
      </c>
      <c r="AG261" s="1037" t="str">
        <f t="shared" si="3"/>
        <v/>
      </c>
      <c r="AH261" s="1037" t="str">
        <f>IF(AE261="","",VLOOKUP(AE261,リスト!BI:BJ,2,0))</f>
        <v/>
      </c>
      <c r="AI261" s="1037" t="str">
        <f t="shared" si="77"/>
        <v/>
      </c>
      <c r="AJ261" s="1037" t="str">
        <f>IF(AI261="","",VLOOKUP(AI261,リスト!BW:BX,2,0))</f>
        <v/>
      </c>
      <c r="AK261" s="1037" t="str">
        <f t="shared" si="74"/>
        <v/>
      </c>
      <c r="AL261" s="685" t="str">
        <f t="shared" si="6"/>
        <v/>
      </c>
      <c r="AM261" s="646" t="str">
        <f t="shared" si="7"/>
        <v/>
      </c>
      <c r="AN261" s="646" t="str">
        <f t="shared" si="94"/>
        <v/>
      </c>
      <c r="AO261" s="647" t="str">
        <f t="shared" si="95"/>
        <v/>
      </c>
      <c r="AP261" s="647" t="str">
        <f t="shared" si="75"/>
        <v/>
      </c>
      <c r="AQ261" s="647" t="str">
        <f t="shared" si="9"/>
        <v/>
      </c>
      <c r="AR261" s="647" t="str">
        <f t="shared" si="10"/>
        <v/>
      </c>
      <c r="AS261" s="647" t="str">
        <f t="shared" si="11"/>
        <v/>
      </c>
      <c r="AT261" s="647" t="str">
        <f t="shared" si="76"/>
        <v/>
      </c>
      <c r="AU261" s="647" t="str">
        <f t="shared" si="13"/>
        <v/>
      </c>
      <c r="AV261" s="647" t="str">
        <f t="shared" si="14"/>
        <v/>
      </c>
      <c r="AW261" s="647" t="str">
        <f t="shared" si="15"/>
        <v/>
      </c>
      <c r="AX261" s="647" t="str">
        <f t="shared" si="16"/>
        <v/>
      </c>
    </row>
    <row r="262" spans="3:50" s="5" customFormat="1" ht="28.15" hidden="1" customHeight="1" outlineLevel="1">
      <c r="C262" s="649">
        <v>246</v>
      </c>
      <c r="D262" s="1855"/>
      <c r="E262" s="1856"/>
      <c r="F262" s="1856"/>
      <c r="G262" s="1856"/>
      <c r="H262" s="1856"/>
      <c r="I262" s="1856"/>
      <c r="J262" s="1856"/>
      <c r="K262" s="702"/>
      <c r="L262" s="1054"/>
      <c r="M262" s="705"/>
      <c r="N262" s="255"/>
      <c r="O262" s="1040"/>
      <c r="P262" s="1041"/>
      <c r="Q262" s="256"/>
      <c r="R262" s="267"/>
      <c r="S262" s="256"/>
      <c r="T262" s="256"/>
      <c r="U262" s="256"/>
      <c r="V262" s="256"/>
      <c r="W262" s="254"/>
      <c r="X262" s="703"/>
      <c r="Y262" s="125"/>
      <c r="Z262" s="431"/>
      <c r="AA262" s="499"/>
      <c r="AB262" s="741"/>
      <c r="AC262" s="51"/>
      <c r="AD262" s="51"/>
      <c r="AE262" s="645" t="str">
        <f t="shared" si="1"/>
        <v/>
      </c>
      <c r="AF262" s="1037" t="str">
        <f t="shared" si="2"/>
        <v/>
      </c>
      <c r="AG262" s="1037" t="str">
        <f t="shared" si="3"/>
        <v/>
      </c>
      <c r="AH262" s="1037" t="str">
        <f>IF(AE262="","",VLOOKUP(AE262,リスト!BI:BJ,2,0))</f>
        <v/>
      </c>
      <c r="AI262" s="1037" t="str">
        <f t="shared" si="77"/>
        <v/>
      </c>
      <c r="AJ262" s="1037" t="str">
        <f>IF(AI262="","",VLOOKUP(AI262,リスト!BW:BX,2,0))</f>
        <v/>
      </c>
      <c r="AK262" s="1037" t="str">
        <f t="shared" si="74"/>
        <v/>
      </c>
      <c r="AL262" s="685" t="str">
        <f t="shared" si="6"/>
        <v/>
      </c>
      <c r="AM262" s="646" t="str">
        <f t="shared" si="7"/>
        <v/>
      </c>
      <c r="AN262" s="646" t="str">
        <f t="shared" si="94"/>
        <v/>
      </c>
      <c r="AO262" s="647" t="str">
        <f t="shared" si="95"/>
        <v/>
      </c>
      <c r="AP262" s="647" t="str">
        <f t="shared" si="75"/>
        <v/>
      </c>
      <c r="AQ262" s="647" t="str">
        <f t="shared" si="9"/>
        <v/>
      </c>
      <c r="AR262" s="647" t="str">
        <f t="shared" si="10"/>
        <v/>
      </c>
      <c r="AS262" s="647" t="str">
        <f t="shared" si="11"/>
        <v/>
      </c>
      <c r="AT262" s="647" t="str">
        <f t="shared" si="76"/>
        <v/>
      </c>
      <c r="AU262" s="647" t="str">
        <f t="shared" si="13"/>
        <v/>
      </c>
      <c r="AV262" s="647" t="str">
        <f t="shared" si="14"/>
        <v/>
      </c>
      <c r="AW262" s="647" t="str">
        <f t="shared" si="15"/>
        <v/>
      </c>
      <c r="AX262" s="647" t="str">
        <f t="shared" si="16"/>
        <v/>
      </c>
    </row>
    <row r="263" spans="3:50" s="5" customFormat="1" ht="28.15" hidden="1" customHeight="1" outlineLevel="1">
      <c r="C263" s="649">
        <v>247</v>
      </c>
      <c r="D263" s="1865"/>
      <c r="E263" s="1866"/>
      <c r="F263" s="1866"/>
      <c r="G263" s="1866"/>
      <c r="H263" s="1866"/>
      <c r="I263" s="1866"/>
      <c r="J263" s="1866"/>
      <c r="K263" s="704"/>
      <c r="L263" s="1055"/>
      <c r="M263" s="705"/>
      <c r="N263" s="255"/>
      <c r="O263" s="1042"/>
      <c r="P263" s="1043"/>
      <c r="Q263" s="256"/>
      <c r="R263" s="267"/>
      <c r="S263" s="256"/>
      <c r="T263" s="256"/>
      <c r="U263" s="256"/>
      <c r="V263" s="256"/>
      <c r="W263" s="254"/>
      <c r="X263" s="703"/>
      <c r="Y263" s="125"/>
      <c r="Z263" s="431"/>
      <c r="AA263" s="499"/>
      <c r="AB263" s="741"/>
      <c r="AC263" s="51"/>
      <c r="AD263" s="51"/>
      <c r="AE263" s="645" t="str">
        <f t="shared" si="1"/>
        <v/>
      </c>
      <c r="AF263" s="1037" t="str">
        <f t="shared" si="2"/>
        <v/>
      </c>
      <c r="AG263" s="1037" t="str">
        <f t="shared" si="3"/>
        <v/>
      </c>
      <c r="AH263" s="1037" t="str">
        <f>IF(AE263="","",VLOOKUP(AE263,リスト!BI:BJ,2,0))</f>
        <v/>
      </c>
      <c r="AI263" s="1037" t="str">
        <f t="shared" si="77"/>
        <v/>
      </c>
      <c r="AJ263" s="1037" t="str">
        <f>IF(AI263="","",VLOOKUP(AI263,リスト!BW:BX,2,0))</f>
        <v/>
      </c>
      <c r="AK263" s="1037" t="str">
        <f t="shared" si="74"/>
        <v/>
      </c>
      <c r="AL263" s="685" t="str">
        <f t="shared" si="6"/>
        <v/>
      </c>
      <c r="AM263" s="646" t="str">
        <f t="shared" si="7"/>
        <v/>
      </c>
      <c r="AN263" s="646" t="str">
        <f t="shared" si="94"/>
        <v/>
      </c>
      <c r="AO263" s="647" t="str">
        <f t="shared" si="95"/>
        <v/>
      </c>
      <c r="AP263" s="647" t="str">
        <f t="shared" si="75"/>
        <v/>
      </c>
      <c r="AQ263" s="647" t="str">
        <f t="shared" si="9"/>
        <v/>
      </c>
      <c r="AR263" s="647" t="str">
        <f t="shared" si="10"/>
        <v/>
      </c>
      <c r="AS263" s="647" t="str">
        <f t="shared" si="11"/>
        <v/>
      </c>
      <c r="AT263" s="647" t="str">
        <f t="shared" si="76"/>
        <v/>
      </c>
      <c r="AU263" s="647" t="str">
        <f t="shared" si="13"/>
        <v/>
      </c>
      <c r="AV263" s="647" t="str">
        <f t="shared" si="14"/>
        <v/>
      </c>
      <c r="AW263" s="647" t="str">
        <f t="shared" si="15"/>
        <v/>
      </c>
      <c r="AX263" s="647" t="str">
        <f t="shared" si="16"/>
        <v/>
      </c>
    </row>
    <row r="264" spans="3:50" s="5" customFormat="1" ht="28.15" hidden="1" customHeight="1" outlineLevel="1">
      <c r="C264" s="649">
        <v>248</v>
      </c>
      <c r="D264" s="1855"/>
      <c r="E264" s="1856"/>
      <c r="F264" s="1856"/>
      <c r="G264" s="1856"/>
      <c r="H264" s="1856"/>
      <c r="I264" s="1856"/>
      <c r="J264" s="1856"/>
      <c r="K264" s="702"/>
      <c r="L264" s="1054"/>
      <c r="M264" s="705"/>
      <c r="N264" s="255"/>
      <c r="O264" s="1040"/>
      <c r="P264" s="1044"/>
      <c r="Q264" s="256"/>
      <c r="R264" s="267"/>
      <c r="S264" s="256"/>
      <c r="T264" s="256"/>
      <c r="U264" s="256"/>
      <c r="V264" s="256"/>
      <c r="W264" s="254"/>
      <c r="X264" s="703"/>
      <c r="Y264" s="125"/>
      <c r="Z264" s="431"/>
      <c r="AA264" s="499"/>
      <c r="AB264" s="741"/>
      <c r="AC264" s="51"/>
      <c r="AD264" s="51"/>
      <c r="AE264" s="645" t="str">
        <f t="shared" si="1"/>
        <v/>
      </c>
      <c r="AF264" s="1037" t="str">
        <f t="shared" si="2"/>
        <v/>
      </c>
      <c r="AG264" s="1037" t="str">
        <f t="shared" si="3"/>
        <v/>
      </c>
      <c r="AH264" s="1037" t="str">
        <f>IF(AE264="","",VLOOKUP(AE264,リスト!BI:BJ,2,0))</f>
        <v/>
      </c>
      <c r="AI264" s="1037" t="str">
        <f t="shared" si="77"/>
        <v/>
      </c>
      <c r="AJ264" s="1037" t="str">
        <f>IF(AI264="","",VLOOKUP(AI264,リスト!BW:BX,2,0))</f>
        <v/>
      </c>
      <c r="AK264" s="1037" t="str">
        <f t="shared" si="74"/>
        <v/>
      </c>
      <c r="AL264" s="685" t="str">
        <f t="shared" si="6"/>
        <v/>
      </c>
      <c r="AM264" s="646" t="str">
        <f t="shared" si="7"/>
        <v/>
      </c>
      <c r="AN264" s="646" t="str">
        <f t="shared" si="94"/>
        <v/>
      </c>
      <c r="AO264" s="647" t="str">
        <f t="shared" si="95"/>
        <v/>
      </c>
      <c r="AP264" s="647" t="str">
        <f t="shared" si="75"/>
        <v/>
      </c>
      <c r="AQ264" s="647" t="str">
        <f t="shared" si="9"/>
        <v/>
      </c>
      <c r="AR264" s="647" t="str">
        <f t="shared" si="10"/>
        <v/>
      </c>
      <c r="AS264" s="647" t="str">
        <f t="shared" si="11"/>
        <v/>
      </c>
      <c r="AT264" s="647" t="str">
        <f t="shared" si="76"/>
        <v/>
      </c>
      <c r="AU264" s="647" t="str">
        <f t="shared" si="13"/>
        <v/>
      </c>
      <c r="AV264" s="647" t="str">
        <f t="shared" si="14"/>
        <v/>
      </c>
      <c r="AW264" s="647" t="str">
        <f t="shared" si="15"/>
        <v/>
      </c>
      <c r="AX264" s="647" t="str">
        <f t="shared" si="16"/>
        <v/>
      </c>
    </row>
    <row r="265" spans="3:50" s="5" customFormat="1" ht="28.15" hidden="1" customHeight="1" outlineLevel="1">
      <c r="C265" s="649">
        <v>249</v>
      </c>
      <c r="D265" s="1855"/>
      <c r="E265" s="1856"/>
      <c r="F265" s="1856"/>
      <c r="G265" s="1856"/>
      <c r="H265" s="1856"/>
      <c r="I265" s="1856"/>
      <c r="J265" s="1856"/>
      <c r="K265" s="702"/>
      <c r="L265" s="1054"/>
      <c r="M265" s="705"/>
      <c r="N265" s="255"/>
      <c r="O265" s="1040"/>
      <c r="P265" s="1044"/>
      <c r="Q265" s="256"/>
      <c r="R265" s="267"/>
      <c r="S265" s="256"/>
      <c r="T265" s="256"/>
      <c r="U265" s="256"/>
      <c r="V265" s="256"/>
      <c r="W265" s="254"/>
      <c r="X265" s="703"/>
      <c r="Y265" s="125"/>
      <c r="Z265" s="431"/>
      <c r="AA265" s="499"/>
      <c r="AB265" s="741"/>
      <c r="AC265" s="51"/>
      <c r="AD265" s="51"/>
      <c r="AE265" s="645" t="str">
        <f t="shared" si="1"/>
        <v/>
      </c>
      <c r="AF265" s="1037" t="str">
        <f t="shared" si="2"/>
        <v/>
      </c>
      <c r="AG265" s="1037" t="str">
        <f t="shared" si="3"/>
        <v/>
      </c>
      <c r="AH265" s="1037" t="str">
        <f>IF(AE265="","",VLOOKUP(AE265,リスト!BI:BJ,2,0))</f>
        <v/>
      </c>
      <c r="AI265" s="1037" t="str">
        <f t="shared" si="77"/>
        <v/>
      </c>
      <c r="AJ265" s="1037" t="str">
        <f>IF(AI265="","",VLOOKUP(AI265,リスト!BW:BX,2,0))</f>
        <v/>
      </c>
      <c r="AK265" s="1037" t="str">
        <f t="shared" si="74"/>
        <v/>
      </c>
      <c r="AL265" s="685" t="str">
        <f t="shared" si="6"/>
        <v/>
      </c>
      <c r="AM265" s="646" t="str">
        <f t="shared" si="7"/>
        <v/>
      </c>
      <c r="AN265" s="646" t="str">
        <f t="shared" si="94"/>
        <v/>
      </c>
      <c r="AO265" s="647" t="str">
        <f t="shared" si="95"/>
        <v/>
      </c>
      <c r="AP265" s="647" t="str">
        <f t="shared" si="75"/>
        <v/>
      </c>
      <c r="AQ265" s="647" t="str">
        <f t="shared" si="9"/>
        <v/>
      </c>
      <c r="AR265" s="647" t="str">
        <f t="shared" si="10"/>
        <v/>
      </c>
      <c r="AS265" s="647" t="str">
        <f t="shared" si="11"/>
        <v/>
      </c>
      <c r="AT265" s="647" t="str">
        <f t="shared" si="76"/>
        <v/>
      </c>
      <c r="AU265" s="647" t="str">
        <f t="shared" si="13"/>
        <v/>
      </c>
      <c r="AV265" s="647" t="str">
        <f t="shared" si="14"/>
        <v/>
      </c>
      <c r="AW265" s="647" t="str">
        <f t="shared" si="15"/>
        <v/>
      </c>
      <c r="AX265" s="647" t="str">
        <f t="shared" si="16"/>
        <v/>
      </c>
    </row>
    <row r="266" spans="3:50" s="5" customFormat="1" ht="28.15" hidden="1" customHeight="1" outlineLevel="1">
      <c r="C266" s="649">
        <v>250</v>
      </c>
      <c r="D266" s="1855"/>
      <c r="E266" s="1856"/>
      <c r="F266" s="1856"/>
      <c r="G266" s="1856"/>
      <c r="H266" s="1856"/>
      <c r="I266" s="1856"/>
      <c r="J266" s="1856"/>
      <c r="K266" s="702"/>
      <c r="L266" s="1054"/>
      <c r="M266" s="705"/>
      <c r="N266" s="257"/>
      <c r="O266" s="1040"/>
      <c r="P266" s="1044"/>
      <c r="Q266" s="256"/>
      <c r="R266" s="267"/>
      <c r="S266" s="256"/>
      <c r="T266" s="256"/>
      <c r="U266" s="256"/>
      <c r="V266" s="256"/>
      <c r="W266" s="254"/>
      <c r="X266" s="703"/>
      <c r="Y266" s="125"/>
      <c r="Z266" s="431"/>
      <c r="AA266" s="499"/>
      <c r="AB266" s="741"/>
      <c r="AC266" s="51"/>
      <c r="AD266" s="51"/>
      <c r="AE266" s="645" t="str">
        <f t="shared" si="1"/>
        <v/>
      </c>
      <c r="AF266" s="1037" t="str">
        <f t="shared" si="2"/>
        <v/>
      </c>
      <c r="AG266" s="1037" t="str">
        <f t="shared" si="3"/>
        <v/>
      </c>
      <c r="AH266" s="1037" t="str">
        <f>IF(AE266="","",VLOOKUP(AE266,リスト!BI:BJ,2,0))</f>
        <v/>
      </c>
      <c r="AI266" s="1037" t="str">
        <f t="shared" si="77"/>
        <v/>
      </c>
      <c r="AJ266" s="1037" t="str">
        <f>IF(AI266="","",VLOOKUP(AI266,リスト!BW:BX,2,0))</f>
        <v/>
      </c>
      <c r="AK266" s="1037" t="str">
        <f t="shared" si="74"/>
        <v/>
      </c>
      <c r="AL266" s="685" t="str">
        <f t="shared" si="6"/>
        <v/>
      </c>
      <c r="AM266" s="646" t="str">
        <f t="shared" si="7"/>
        <v/>
      </c>
      <c r="AN266" s="646" t="str">
        <f t="shared" si="94"/>
        <v/>
      </c>
      <c r="AO266" s="647" t="str">
        <f t="shared" si="95"/>
        <v/>
      </c>
      <c r="AP266" s="647" t="str">
        <f t="shared" si="75"/>
        <v/>
      </c>
      <c r="AQ266" s="647" t="str">
        <f t="shared" si="9"/>
        <v/>
      </c>
      <c r="AR266" s="647" t="str">
        <f t="shared" si="10"/>
        <v/>
      </c>
      <c r="AS266" s="647" t="str">
        <f t="shared" si="11"/>
        <v/>
      </c>
      <c r="AT266" s="647" t="str">
        <f t="shared" si="76"/>
        <v/>
      </c>
      <c r="AU266" s="647" t="str">
        <f t="shared" si="13"/>
        <v/>
      </c>
      <c r="AV266" s="647" t="str">
        <f t="shared" si="14"/>
        <v/>
      </c>
      <c r="AW266" s="647" t="str">
        <f t="shared" si="15"/>
        <v/>
      </c>
      <c r="AX266" s="647" t="str">
        <f t="shared" si="16"/>
        <v/>
      </c>
    </row>
    <row r="267" spans="3:50" s="5" customFormat="1" ht="28.15" hidden="1" customHeight="1" outlineLevel="1">
      <c r="C267" s="649">
        <v>251</v>
      </c>
      <c r="D267" s="1855"/>
      <c r="E267" s="1856"/>
      <c r="F267" s="1856"/>
      <c r="G267" s="1856"/>
      <c r="H267" s="1856"/>
      <c r="I267" s="1856"/>
      <c r="J267" s="1856"/>
      <c r="K267" s="702"/>
      <c r="L267" s="1054"/>
      <c r="M267" s="705"/>
      <c r="N267" s="255"/>
      <c r="O267" s="1040"/>
      <c r="P267" s="1044"/>
      <c r="Q267" s="256"/>
      <c r="R267" s="267"/>
      <c r="S267" s="256"/>
      <c r="T267" s="256"/>
      <c r="U267" s="256"/>
      <c r="V267" s="256"/>
      <c r="W267" s="254"/>
      <c r="X267" s="703"/>
      <c r="Y267" s="125"/>
      <c r="Z267" s="431"/>
      <c r="AA267" s="499"/>
      <c r="AB267" s="741"/>
      <c r="AC267" s="51"/>
      <c r="AD267" s="51"/>
      <c r="AE267" s="645" t="str">
        <f t="shared" si="1"/>
        <v/>
      </c>
      <c r="AF267" s="1037" t="str">
        <f t="shared" si="2"/>
        <v/>
      </c>
      <c r="AG267" s="1037" t="str">
        <f t="shared" si="3"/>
        <v/>
      </c>
      <c r="AH267" s="1037" t="str">
        <f>IF(AE267="","",VLOOKUP(AE267,リスト!BI:BJ,2,0))</f>
        <v/>
      </c>
      <c r="AI267" s="1037" t="str">
        <f t="shared" si="77"/>
        <v/>
      </c>
      <c r="AJ267" s="1037" t="str">
        <f>IF(AI267="","",VLOOKUP(AI267,リスト!BW:BX,2,0))</f>
        <v/>
      </c>
      <c r="AK267" s="1037" t="str">
        <f t="shared" si="74"/>
        <v/>
      </c>
      <c r="AL267" s="685" t="str">
        <f t="shared" si="6"/>
        <v/>
      </c>
      <c r="AM267" s="646" t="str">
        <f t="shared" si="7"/>
        <v/>
      </c>
      <c r="AN267" s="646" t="str">
        <f t="shared" si="94"/>
        <v/>
      </c>
      <c r="AO267" s="647" t="str">
        <f t="shared" si="95"/>
        <v/>
      </c>
      <c r="AP267" s="647" t="str">
        <f t="shared" si="75"/>
        <v/>
      </c>
      <c r="AQ267" s="647" t="str">
        <f t="shared" si="9"/>
        <v/>
      </c>
      <c r="AR267" s="647" t="str">
        <f t="shared" si="10"/>
        <v/>
      </c>
      <c r="AS267" s="647" t="str">
        <f t="shared" si="11"/>
        <v/>
      </c>
      <c r="AT267" s="647" t="str">
        <f t="shared" si="76"/>
        <v/>
      </c>
      <c r="AU267" s="647" t="str">
        <f t="shared" si="13"/>
        <v/>
      </c>
      <c r="AV267" s="647" t="str">
        <f t="shared" si="14"/>
        <v/>
      </c>
      <c r="AW267" s="647" t="str">
        <f t="shared" si="15"/>
        <v/>
      </c>
      <c r="AX267" s="647" t="str">
        <f t="shared" si="16"/>
        <v/>
      </c>
    </row>
    <row r="268" spans="3:50" s="5" customFormat="1" ht="28.15" hidden="1" customHeight="1" outlineLevel="1">
      <c r="C268" s="649">
        <v>252</v>
      </c>
      <c r="D268" s="1855"/>
      <c r="E268" s="1856"/>
      <c r="F268" s="1856"/>
      <c r="G268" s="1856"/>
      <c r="H268" s="1856"/>
      <c r="I268" s="1856"/>
      <c r="J268" s="1856"/>
      <c r="K268" s="702"/>
      <c r="L268" s="1054"/>
      <c r="M268" s="705"/>
      <c r="N268" s="257"/>
      <c r="O268" s="1040"/>
      <c r="P268" s="1044"/>
      <c r="Q268" s="256"/>
      <c r="R268" s="267"/>
      <c r="S268" s="256"/>
      <c r="T268" s="256"/>
      <c r="U268" s="256"/>
      <c r="V268" s="256"/>
      <c r="W268" s="254"/>
      <c r="X268" s="703"/>
      <c r="Y268" s="125"/>
      <c r="Z268" s="431"/>
      <c r="AA268" s="499"/>
      <c r="AB268" s="741"/>
      <c r="AC268" s="51"/>
      <c r="AD268" s="51"/>
      <c r="AE268" s="645" t="str">
        <f t="shared" si="1"/>
        <v/>
      </c>
      <c r="AF268" s="1037" t="str">
        <f t="shared" si="2"/>
        <v/>
      </c>
      <c r="AG268" s="1037" t="str">
        <f t="shared" si="3"/>
        <v/>
      </c>
      <c r="AH268" s="1037" t="str">
        <f>IF(AE268="","",VLOOKUP(AE268,リスト!BI:BJ,2,0))</f>
        <v/>
      </c>
      <c r="AI268" s="1037" t="str">
        <f t="shared" si="77"/>
        <v/>
      </c>
      <c r="AJ268" s="1037" t="str">
        <f>IF(AI268="","",VLOOKUP(AI268,リスト!BW:BX,2,0))</f>
        <v/>
      </c>
      <c r="AK268" s="1037" t="str">
        <f t="shared" si="74"/>
        <v/>
      </c>
      <c r="AL268" s="685" t="str">
        <f t="shared" si="6"/>
        <v/>
      </c>
      <c r="AM268" s="646" t="str">
        <f t="shared" si="7"/>
        <v/>
      </c>
      <c r="AN268" s="646" t="str">
        <f t="shared" si="94"/>
        <v/>
      </c>
      <c r="AO268" s="647" t="str">
        <f t="shared" si="95"/>
        <v/>
      </c>
      <c r="AP268" s="647" t="str">
        <f t="shared" si="75"/>
        <v/>
      </c>
      <c r="AQ268" s="647" t="str">
        <f t="shared" si="9"/>
        <v/>
      </c>
      <c r="AR268" s="647" t="str">
        <f t="shared" si="10"/>
        <v/>
      </c>
      <c r="AS268" s="647" t="str">
        <f t="shared" si="11"/>
        <v/>
      </c>
      <c r="AT268" s="647" t="str">
        <f t="shared" si="76"/>
        <v/>
      </c>
      <c r="AU268" s="647" t="str">
        <f t="shared" si="13"/>
        <v/>
      </c>
      <c r="AV268" s="647" t="str">
        <f t="shared" si="14"/>
        <v/>
      </c>
      <c r="AW268" s="647" t="str">
        <f t="shared" si="15"/>
        <v/>
      </c>
      <c r="AX268" s="647" t="str">
        <f t="shared" si="16"/>
        <v/>
      </c>
    </row>
    <row r="269" spans="3:50" s="5" customFormat="1" ht="28.15" hidden="1" customHeight="1" outlineLevel="1">
      <c r="C269" s="649">
        <v>253</v>
      </c>
      <c r="D269" s="1855"/>
      <c r="E269" s="1856"/>
      <c r="F269" s="1856"/>
      <c r="G269" s="1856"/>
      <c r="H269" s="1856"/>
      <c r="I269" s="1856"/>
      <c r="J269" s="1856"/>
      <c r="K269" s="702"/>
      <c r="L269" s="1054"/>
      <c r="M269" s="705"/>
      <c r="N269" s="255"/>
      <c r="O269" s="1040"/>
      <c r="P269" s="1044"/>
      <c r="Q269" s="256"/>
      <c r="R269" s="267"/>
      <c r="S269" s="256"/>
      <c r="T269" s="256"/>
      <c r="U269" s="256"/>
      <c r="V269" s="256"/>
      <c r="W269" s="254"/>
      <c r="X269" s="703"/>
      <c r="Y269" s="125"/>
      <c r="Z269" s="431"/>
      <c r="AA269" s="499"/>
      <c r="AB269" s="741"/>
      <c r="AC269" s="51"/>
      <c r="AD269" s="51"/>
      <c r="AE269" s="645" t="str">
        <f t="shared" si="1"/>
        <v/>
      </c>
      <c r="AF269" s="1037" t="str">
        <f t="shared" si="2"/>
        <v/>
      </c>
      <c r="AG269" s="1037" t="str">
        <f t="shared" si="3"/>
        <v/>
      </c>
      <c r="AH269" s="1037" t="str">
        <f>IF(AE269="","",VLOOKUP(AE269,リスト!BI:BJ,2,0))</f>
        <v/>
      </c>
      <c r="AI269" s="1037" t="str">
        <f t="shared" si="77"/>
        <v/>
      </c>
      <c r="AJ269" s="1037" t="str">
        <f>IF(AI269="","",VLOOKUP(AI269,リスト!BW:BX,2,0))</f>
        <v/>
      </c>
      <c r="AK269" s="1037" t="str">
        <f t="shared" si="74"/>
        <v/>
      </c>
      <c r="AL269" s="685" t="str">
        <f t="shared" si="6"/>
        <v/>
      </c>
      <c r="AM269" s="646" t="str">
        <f t="shared" si="7"/>
        <v/>
      </c>
      <c r="AN269" s="646" t="str">
        <f t="shared" si="94"/>
        <v/>
      </c>
      <c r="AO269" s="647" t="str">
        <f t="shared" si="95"/>
        <v/>
      </c>
      <c r="AP269" s="647" t="str">
        <f t="shared" si="75"/>
        <v/>
      </c>
      <c r="AQ269" s="647" t="str">
        <f t="shared" si="9"/>
        <v/>
      </c>
      <c r="AR269" s="647" t="str">
        <f t="shared" si="10"/>
        <v/>
      </c>
      <c r="AS269" s="647" t="str">
        <f t="shared" si="11"/>
        <v/>
      </c>
      <c r="AT269" s="647" t="str">
        <f t="shared" si="76"/>
        <v/>
      </c>
      <c r="AU269" s="647" t="str">
        <f t="shared" si="13"/>
        <v/>
      </c>
      <c r="AV269" s="647" t="str">
        <f t="shared" si="14"/>
        <v/>
      </c>
      <c r="AW269" s="647" t="str">
        <f t="shared" si="15"/>
        <v/>
      </c>
      <c r="AX269" s="647" t="str">
        <f t="shared" si="16"/>
        <v/>
      </c>
    </row>
    <row r="270" spans="3:50" s="5" customFormat="1" ht="28.15" hidden="1" customHeight="1" outlineLevel="1">
      <c r="C270" s="649">
        <v>254</v>
      </c>
      <c r="D270" s="1855"/>
      <c r="E270" s="1856"/>
      <c r="F270" s="1856"/>
      <c r="G270" s="1856"/>
      <c r="H270" s="1856"/>
      <c r="I270" s="1856"/>
      <c r="J270" s="1857"/>
      <c r="K270" s="702"/>
      <c r="L270" s="1054"/>
      <c r="M270" s="666"/>
      <c r="N270" s="266"/>
      <c r="O270" s="1040"/>
      <c r="P270" s="1041"/>
      <c r="Q270" s="267"/>
      <c r="R270" s="267"/>
      <c r="S270" s="267"/>
      <c r="T270" s="267"/>
      <c r="U270" s="267"/>
      <c r="V270" s="267"/>
      <c r="W270" s="254"/>
      <c r="X270" s="703"/>
      <c r="Y270" s="125"/>
      <c r="Z270" s="431"/>
      <c r="AA270" s="499"/>
      <c r="AB270" s="741"/>
      <c r="AC270" s="51"/>
      <c r="AD270" s="51"/>
      <c r="AE270" s="645" t="str">
        <f t="shared" ref="AE270:AE287" si="96">IF(AND(K270="",L270=""),"","["&amp;RIGHT(LEFT(K270,2),1)&amp;RIGHT(LEFT(L270,2),1)&amp;"]")</f>
        <v/>
      </c>
      <c r="AF270" s="1037" t="str">
        <f t="shared" ref="AF270:AF287" si="97">IF(AE270="","",IF(Q270&lt;100000,1,0))</f>
        <v/>
      </c>
      <c r="AG270" s="1037" t="str">
        <f t="shared" ref="AG270:AG287" si="98">IF(AE270="","",IF(AND(AF270=0,Q270&lt;200000),1,))</f>
        <v/>
      </c>
      <c r="AH270" s="1037" t="str">
        <f>IF(AE270="","",VLOOKUP(AE270,リスト!BI:BJ,2,0))</f>
        <v/>
      </c>
      <c r="AI270" s="1037" t="str">
        <f t="shared" si="77"/>
        <v/>
      </c>
      <c r="AJ270" s="1037" t="str">
        <f>IF(AI270="","",VLOOKUP(AI270,リスト!BW:BX,2,0))</f>
        <v/>
      </c>
      <c r="AK270" s="1037" t="str">
        <f t="shared" si="74"/>
        <v/>
      </c>
      <c r="AL270" s="685" t="str">
        <f t="shared" ref="AL270:AL287" si="99">IF(OR(AE270="",AF270=1),"",
IF(AND(AI270&gt;0,AK270&lt;AI270,AM270&lt;=ROUND((Q270-1)*AJ270,0)),ROUND(AM270,0),
IF(AND(AI270&gt;0,AK270&lt;AI270),ROUND((Q270-1)*AJ270,0),
"")))</f>
        <v/>
      </c>
      <c r="AM270" s="646" t="str">
        <f t="shared" ref="AM270:AM287" si="100">IF(OR(AE270="",AF270=1),"",
IF(AND(AI270&gt;0,AK270&lt;AI270),Q270-ROUND((Q270-1)*AJ270*AK270,0),1
))</f>
        <v/>
      </c>
      <c r="AN270" s="646" t="str">
        <f t="shared" ref="AN270:AN287" si="101">IF(OR(AE270="",AF270=1),"",
IF(X270="",AL270,
IF(X270="2：廃棄等",SUM(AM270,Y270),
IF(X270="1：売却",AM270-Y270,
IF(AND(Y270="",AL270=""),"",SUM(Y270,AL270))))))</f>
        <v/>
      </c>
      <c r="AO270" s="647" t="str">
        <f t="shared" ref="AO270:AO287" si="102">IF(AND(AN270="",AL270=""),"",
IF(OR(X270="2：廃棄等",X270="1：売却"),SUM(AN270)-SUM(AL270),""))</f>
        <v/>
      </c>
      <c r="AP270" s="647" t="str">
        <f t="shared" si="75"/>
        <v/>
      </c>
      <c r="AQ270" s="647" t="str">
        <f t="shared" ref="AQ270:AQ287" si="103">IF(W270="","",IF(AN270="","",ROUND(AN270*W270%,0)))</f>
        <v/>
      </c>
      <c r="AR270" s="647" t="str">
        <f t="shared" ref="AR270:AR287" si="104">IF(W270="","",IF(AO270="","",ROUND(AO270*W270%,0)))</f>
        <v/>
      </c>
      <c r="AS270" s="647" t="str">
        <f t="shared" ref="AS270:AS287" si="105">IF(W270="","",IF(AM270="","",ROUND(AM270*W270%,0)))</f>
        <v/>
      </c>
      <c r="AT270" s="647" t="str">
        <f t="shared" si="76"/>
        <v/>
      </c>
      <c r="AU270" s="647" t="str">
        <f t="shared" ref="AU270:AU287" si="106">IF(W270="","",IF(S270="","",ROUND(S270*W270%,0)))</f>
        <v/>
      </c>
      <c r="AV270" s="647" t="str">
        <f t="shared" ref="AV270:AV287" si="107">IF(W270="","",IF(T270="","",ROUND(T270*W270%,0)))</f>
        <v/>
      </c>
      <c r="AW270" s="647" t="str">
        <f t="shared" ref="AW270:AW287" si="108">IF(W270="","",IF(U270="","",ROUND(U270*W270%,0)))</f>
        <v/>
      </c>
      <c r="AX270" s="647" t="str">
        <f t="shared" ref="AX270:AX287" si="109">IF(W270="","",IF(V270="","",ROUND(V270*W270%,0)))</f>
        <v/>
      </c>
    </row>
    <row r="271" spans="3:50" s="5" customFormat="1" ht="28.15" hidden="1" customHeight="1" outlineLevel="1">
      <c r="C271" s="649">
        <v>255</v>
      </c>
      <c r="D271" s="1865"/>
      <c r="E271" s="1866"/>
      <c r="F271" s="1866"/>
      <c r="G271" s="1866"/>
      <c r="H271" s="1866"/>
      <c r="I271" s="1866"/>
      <c r="J271" s="1866"/>
      <c r="K271" s="704"/>
      <c r="L271" s="1055"/>
      <c r="M271" s="705"/>
      <c r="N271" s="257"/>
      <c r="O271" s="1042"/>
      <c r="P271" s="1041"/>
      <c r="Q271" s="256"/>
      <c r="R271" s="267"/>
      <c r="S271" s="256"/>
      <c r="T271" s="256"/>
      <c r="U271" s="256"/>
      <c r="V271" s="256"/>
      <c r="W271" s="254"/>
      <c r="X271" s="703"/>
      <c r="Y271" s="125"/>
      <c r="Z271" s="431"/>
      <c r="AA271" s="499"/>
      <c r="AB271" s="741"/>
      <c r="AC271" s="51"/>
      <c r="AD271" s="51"/>
      <c r="AE271" s="645" t="str">
        <f t="shared" si="96"/>
        <v/>
      </c>
      <c r="AF271" s="1037" t="str">
        <f t="shared" si="97"/>
        <v/>
      </c>
      <c r="AG271" s="1037" t="str">
        <f t="shared" si="98"/>
        <v/>
      </c>
      <c r="AH271" s="1037" t="str">
        <f>IF(AE271="","",VLOOKUP(AE271,リスト!BI:BJ,2,0))</f>
        <v/>
      </c>
      <c r="AI271" s="1037" t="str">
        <f t="shared" si="77"/>
        <v/>
      </c>
      <c r="AJ271" s="1037" t="str">
        <f>IF(AI271="","",VLOOKUP(AI271,リスト!BW:BX,2,0))</f>
        <v/>
      </c>
      <c r="AK271" s="1037" t="str">
        <f t="shared" si="74"/>
        <v/>
      </c>
      <c r="AL271" s="685" t="str">
        <f t="shared" si="99"/>
        <v/>
      </c>
      <c r="AM271" s="646" t="str">
        <f t="shared" si="100"/>
        <v/>
      </c>
      <c r="AN271" s="646" t="str">
        <f t="shared" si="101"/>
        <v/>
      </c>
      <c r="AO271" s="647" t="str">
        <f t="shared" si="102"/>
        <v/>
      </c>
      <c r="AP271" s="647" t="str">
        <f t="shared" si="75"/>
        <v/>
      </c>
      <c r="AQ271" s="647" t="str">
        <f t="shared" si="103"/>
        <v/>
      </c>
      <c r="AR271" s="647" t="str">
        <f t="shared" si="104"/>
        <v/>
      </c>
      <c r="AS271" s="647" t="str">
        <f t="shared" si="105"/>
        <v/>
      </c>
      <c r="AT271" s="647" t="str">
        <f t="shared" si="76"/>
        <v/>
      </c>
      <c r="AU271" s="647" t="str">
        <f t="shared" si="106"/>
        <v/>
      </c>
      <c r="AV271" s="647" t="str">
        <f t="shared" si="107"/>
        <v/>
      </c>
      <c r="AW271" s="647" t="str">
        <f t="shared" si="108"/>
        <v/>
      </c>
      <c r="AX271" s="647" t="str">
        <f t="shared" si="109"/>
        <v/>
      </c>
    </row>
    <row r="272" spans="3:50" s="5" customFormat="1" ht="28.15" hidden="1" customHeight="1" outlineLevel="1">
      <c r="C272" s="649">
        <v>256</v>
      </c>
      <c r="D272" s="1855"/>
      <c r="E272" s="1856"/>
      <c r="F272" s="1856"/>
      <c r="G272" s="1856"/>
      <c r="H272" s="1856"/>
      <c r="I272" s="1856"/>
      <c r="J272" s="1856"/>
      <c r="K272" s="702"/>
      <c r="L272" s="1054"/>
      <c r="M272" s="705"/>
      <c r="N272" s="255"/>
      <c r="O272" s="1040"/>
      <c r="P272" s="1041"/>
      <c r="Q272" s="256"/>
      <c r="R272" s="267"/>
      <c r="S272" s="256"/>
      <c r="T272" s="256"/>
      <c r="U272" s="256"/>
      <c r="V272" s="256"/>
      <c r="W272" s="254"/>
      <c r="X272" s="703"/>
      <c r="Y272" s="125"/>
      <c r="Z272" s="431"/>
      <c r="AA272" s="499"/>
      <c r="AB272" s="741"/>
      <c r="AC272" s="51"/>
      <c r="AD272" s="51"/>
      <c r="AE272" s="645" t="str">
        <f t="shared" si="96"/>
        <v/>
      </c>
      <c r="AF272" s="1037" t="str">
        <f t="shared" si="97"/>
        <v/>
      </c>
      <c r="AG272" s="1037" t="str">
        <f t="shared" si="98"/>
        <v/>
      </c>
      <c r="AH272" s="1037" t="str">
        <f>IF(AE272="","",VLOOKUP(AE272,リスト!BI:BJ,2,0))</f>
        <v/>
      </c>
      <c r="AI272" s="1037" t="str">
        <f t="shared" si="77"/>
        <v/>
      </c>
      <c r="AJ272" s="1037" t="str">
        <f>IF(AI272="","",VLOOKUP(AI272,リスト!BW:BX,2,0))</f>
        <v/>
      </c>
      <c r="AK272" s="1037" t="str">
        <f t="shared" si="74"/>
        <v/>
      </c>
      <c r="AL272" s="685" t="str">
        <f t="shared" si="99"/>
        <v/>
      </c>
      <c r="AM272" s="646" t="str">
        <f t="shared" si="100"/>
        <v/>
      </c>
      <c r="AN272" s="646" t="str">
        <f t="shared" si="101"/>
        <v/>
      </c>
      <c r="AO272" s="647" t="str">
        <f t="shared" si="102"/>
        <v/>
      </c>
      <c r="AP272" s="647" t="str">
        <f t="shared" si="75"/>
        <v/>
      </c>
      <c r="AQ272" s="647" t="str">
        <f t="shared" si="103"/>
        <v/>
      </c>
      <c r="AR272" s="647" t="str">
        <f t="shared" si="104"/>
        <v/>
      </c>
      <c r="AS272" s="647" t="str">
        <f t="shared" si="105"/>
        <v/>
      </c>
      <c r="AT272" s="647" t="str">
        <f t="shared" si="76"/>
        <v/>
      </c>
      <c r="AU272" s="647" t="str">
        <f t="shared" si="106"/>
        <v/>
      </c>
      <c r="AV272" s="647" t="str">
        <f t="shared" si="107"/>
        <v/>
      </c>
      <c r="AW272" s="647" t="str">
        <f t="shared" si="108"/>
        <v/>
      </c>
      <c r="AX272" s="647" t="str">
        <f t="shared" si="109"/>
        <v/>
      </c>
    </row>
    <row r="273" spans="3:50" s="5" customFormat="1" ht="28.15" hidden="1" customHeight="1" outlineLevel="1">
      <c r="C273" s="649">
        <v>257</v>
      </c>
      <c r="D273" s="1865"/>
      <c r="E273" s="1866"/>
      <c r="F273" s="1866"/>
      <c r="G273" s="1866"/>
      <c r="H273" s="1866"/>
      <c r="I273" s="1866"/>
      <c r="J273" s="1866"/>
      <c r="K273" s="704"/>
      <c r="L273" s="1055"/>
      <c r="M273" s="705"/>
      <c r="N273" s="257"/>
      <c r="O273" s="1042"/>
      <c r="P273" s="1041"/>
      <c r="Q273" s="256"/>
      <c r="R273" s="267"/>
      <c r="S273" s="256"/>
      <c r="T273" s="256"/>
      <c r="U273" s="256"/>
      <c r="V273" s="256"/>
      <c r="W273" s="254"/>
      <c r="X273" s="703"/>
      <c r="Y273" s="125"/>
      <c r="Z273" s="431"/>
      <c r="AA273" s="499"/>
      <c r="AB273" s="741"/>
      <c r="AC273" s="51"/>
      <c r="AD273" s="51"/>
      <c r="AE273" s="645" t="str">
        <f t="shared" si="96"/>
        <v/>
      </c>
      <c r="AF273" s="1037" t="str">
        <f t="shared" si="97"/>
        <v/>
      </c>
      <c r="AG273" s="1037" t="str">
        <f t="shared" si="98"/>
        <v/>
      </c>
      <c r="AH273" s="1037" t="str">
        <f>IF(AE273="","",VLOOKUP(AE273,リスト!BI:BJ,2,0))</f>
        <v/>
      </c>
      <c r="AI273" s="1037" t="str">
        <f t="shared" si="77"/>
        <v/>
      </c>
      <c r="AJ273" s="1037" t="str">
        <f>IF(AI273="","",VLOOKUP(AI273,リスト!BW:BX,2,0))</f>
        <v/>
      </c>
      <c r="AK273" s="1037" t="str">
        <f t="shared" ref="AK273:AK316" si="110">IF(AE273="","",調査年-O273)</f>
        <v/>
      </c>
      <c r="AL273" s="685" t="str">
        <f t="shared" si="99"/>
        <v/>
      </c>
      <c r="AM273" s="646" t="str">
        <f t="shared" si="100"/>
        <v/>
      </c>
      <c r="AN273" s="646" t="str">
        <f t="shared" si="101"/>
        <v/>
      </c>
      <c r="AO273" s="647" t="str">
        <f t="shared" si="102"/>
        <v/>
      </c>
      <c r="AP273" s="647" t="str">
        <f t="shared" ref="AP273:AP316" si="111">IF(W273="","",IF(OR(O273=調査年,AM273=""),"",ROUND(AM273*W273%,0)))</f>
        <v/>
      </c>
      <c r="AQ273" s="647" t="str">
        <f t="shared" si="103"/>
        <v/>
      </c>
      <c r="AR273" s="647" t="str">
        <f t="shared" si="104"/>
        <v/>
      </c>
      <c r="AS273" s="647" t="str">
        <f t="shared" si="105"/>
        <v/>
      </c>
      <c r="AT273" s="647" t="str">
        <f t="shared" ref="AT273:AT316" si="112">IF(OR(W273="",AND(OR(O273&lt;&gt;調査年,AF273=0),R273="")),"",
SUM(
IF(AND(O273=調査年,AF273=1),ROUND(Q273*W273%,0),),
ROUND(R273*W273%,0)))</f>
        <v/>
      </c>
      <c r="AU273" s="647" t="str">
        <f t="shared" si="106"/>
        <v/>
      </c>
      <c r="AV273" s="647" t="str">
        <f t="shared" si="107"/>
        <v/>
      </c>
      <c r="AW273" s="647" t="str">
        <f t="shared" si="108"/>
        <v/>
      </c>
      <c r="AX273" s="647" t="str">
        <f t="shared" si="109"/>
        <v/>
      </c>
    </row>
    <row r="274" spans="3:50" s="5" customFormat="1" ht="28.15" hidden="1" customHeight="1" outlineLevel="1">
      <c r="C274" s="649">
        <v>258</v>
      </c>
      <c r="D274" s="1855"/>
      <c r="E274" s="1856"/>
      <c r="F274" s="1856"/>
      <c r="G274" s="1856"/>
      <c r="H274" s="1856"/>
      <c r="I274" s="1856"/>
      <c r="J274" s="1856"/>
      <c r="K274" s="702"/>
      <c r="L274" s="1054"/>
      <c r="M274" s="705"/>
      <c r="N274" s="255"/>
      <c r="O274" s="1040"/>
      <c r="P274" s="1041"/>
      <c r="Q274" s="256"/>
      <c r="R274" s="267"/>
      <c r="S274" s="256"/>
      <c r="T274" s="256"/>
      <c r="U274" s="256"/>
      <c r="V274" s="256"/>
      <c r="W274" s="254"/>
      <c r="X274" s="703"/>
      <c r="Y274" s="125"/>
      <c r="Z274" s="431"/>
      <c r="AA274" s="499"/>
      <c r="AB274" s="741"/>
      <c r="AC274" s="51"/>
      <c r="AD274" s="51"/>
      <c r="AE274" s="645" t="str">
        <f t="shared" si="96"/>
        <v/>
      </c>
      <c r="AF274" s="1037" t="str">
        <f t="shared" si="97"/>
        <v/>
      </c>
      <c r="AG274" s="1037" t="str">
        <f t="shared" si="98"/>
        <v/>
      </c>
      <c r="AH274" s="1037" t="str">
        <f>IF(AE274="","",VLOOKUP(AE274,リスト!BI:BJ,2,0))</f>
        <v/>
      </c>
      <c r="AI274" s="1037" t="str">
        <f t="shared" ref="AI274:AI316" si="113">IF(AG274=1,3,IF(M274="2：中古",MIN(AH274,N274),AH274))</f>
        <v/>
      </c>
      <c r="AJ274" s="1037" t="str">
        <f>IF(AI274="","",VLOOKUP(AI274,リスト!BW:BX,2,0))</f>
        <v/>
      </c>
      <c r="AK274" s="1037" t="str">
        <f t="shared" si="110"/>
        <v/>
      </c>
      <c r="AL274" s="685" t="str">
        <f t="shared" si="99"/>
        <v/>
      </c>
      <c r="AM274" s="646" t="str">
        <f t="shared" si="100"/>
        <v/>
      </c>
      <c r="AN274" s="646" t="str">
        <f t="shared" si="101"/>
        <v/>
      </c>
      <c r="AO274" s="647" t="str">
        <f t="shared" si="102"/>
        <v/>
      </c>
      <c r="AP274" s="647" t="str">
        <f t="shared" si="111"/>
        <v/>
      </c>
      <c r="AQ274" s="647" t="str">
        <f t="shared" si="103"/>
        <v/>
      </c>
      <c r="AR274" s="647" t="str">
        <f t="shared" si="104"/>
        <v/>
      </c>
      <c r="AS274" s="647" t="str">
        <f t="shared" si="105"/>
        <v/>
      </c>
      <c r="AT274" s="647" t="str">
        <f t="shared" si="112"/>
        <v/>
      </c>
      <c r="AU274" s="647" t="str">
        <f t="shared" si="106"/>
        <v/>
      </c>
      <c r="AV274" s="647" t="str">
        <f t="shared" si="107"/>
        <v/>
      </c>
      <c r="AW274" s="647" t="str">
        <f t="shared" si="108"/>
        <v/>
      </c>
      <c r="AX274" s="647" t="str">
        <f t="shared" si="109"/>
        <v/>
      </c>
    </row>
    <row r="275" spans="3:50" s="5" customFormat="1" ht="28.15" hidden="1" customHeight="1" outlineLevel="1">
      <c r="C275" s="649">
        <v>259</v>
      </c>
      <c r="D275" s="1865"/>
      <c r="E275" s="1866"/>
      <c r="F275" s="1866"/>
      <c r="G275" s="1866"/>
      <c r="H275" s="1866"/>
      <c r="I275" s="1866"/>
      <c r="J275" s="1866"/>
      <c r="K275" s="704"/>
      <c r="L275" s="1055"/>
      <c r="M275" s="705"/>
      <c r="N275" s="257"/>
      <c r="O275" s="1042"/>
      <c r="P275" s="1041"/>
      <c r="Q275" s="256"/>
      <c r="R275" s="267"/>
      <c r="S275" s="256"/>
      <c r="T275" s="256"/>
      <c r="U275" s="256"/>
      <c r="V275" s="256"/>
      <c r="W275" s="254"/>
      <c r="X275" s="703"/>
      <c r="Y275" s="125"/>
      <c r="Z275" s="431"/>
      <c r="AA275" s="499"/>
      <c r="AB275" s="741"/>
      <c r="AC275" s="51"/>
      <c r="AD275" s="51"/>
      <c r="AE275" s="645" t="str">
        <f t="shared" si="96"/>
        <v/>
      </c>
      <c r="AF275" s="1037" t="str">
        <f t="shared" si="97"/>
        <v/>
      </c>
      <c r="AG275" s="1037" t="str">
        <f t="shared" si="98"/>
        <v/>
      </c>
      <c r="AH275" s="1037" t="str">
        <f>IF(AE275="","",VLOOKUP(AE275,リスト!BI:BJ,2,0))</f>
        <v/>
      </c>
      <c r="AI275" s="1037" t="str">
        <f t="shared" si="113"/>
        <v/>
      </c>
      <c r="AJ275" s="1037" t="str">
        <f>IF(AI275="","",VLOOKUP(AI275,リスト!BW:BX,2,0))</f>
        <v/>
      </c>
      <c r="AK275" s="1037" t="str">
        <f t="shared" si="110"/>
        <v/>
      </c>
      <c r="AL275" s="685" t="str">
        <f t="shared" si="99"/>
        <v/>
      </c>
      <c r="AM275" s="646" t="str">
        <f t="shared" si="100"/>
        <v/>
      </c>
      <c r="AN275" s="646" t="str">
        <f t="shared" si="101"/>
        <v/>
      </c>
      <c r="AO275" s="647" t="str">
        <f t="shared" si="102"/>
        <v/>
      </c>
      <c r="AP275" s="647" t="str">
        <f t="shared" si="111"/>
        <v/>
      </c>
      <c r="AQ275" s="647" t="str">
        <f t="shared" si="103"/>
        <v/>
      </c>
      <c r="AR275" s="647" t="str">
        <f t="shared" si="104"/>
        <v/>
      </c>
      <c r="AS275" s="647" t="str">
        <f t="shared" si="105"/>
        <v/>
      </c>
      <c r="AT275" s="647" t="str">
        <f t="shared" si="112"/>
        <v/>
      </c>
      <c r="AU275" s="647" t="str">
        <f t="shared" si="106"/>
        <v/>
      </c>
      <c r="AV275" s="647" t="str">
        <f t="shared" si="107"/>
        <v/>
      </c>
      <c r="AW275" s="647" t="str">
        <f t="shared" si="108"/>
        <v/>
      </c>
      <c r="AX275" s="647" t="str">
        <f t="shared" si="109"/>
        <v/>
      </c>
    </row>
    <row r="276" spans="3:50" s="5" customFormat="1" ht="28.15" hidden="1" customHeight="1" outlineLevel="1">
      <c r="C276" s="649">
        <v>260</v>
      </c>
      <c r="D276" s="1855"/>
      <c r="E276" s="1856"/>
      <c r="F276" s="1856"/>
      <c r="G276" s="1856"/>
      <c r="H276" s="1856"/>
      <c r="I276" s="1856"/>
      <c r="J276" s="1856"/>
      <c r="K276" s="702"/>
      <c r="L276" s="1054"/>
      <c r="M276" s="705"/>
      <c r="N276" s="255"/>
      <c r="O276" s="1040"/>
      <c r="P276" s="1041"/>
      <c r="Q276" s="256"/>
      <c r="R276" s="267"/>
      <c r="S276" s="256"/>
      <c r="T276" s="256"/>
      <c r="U276" s="256"/>
      <c r="V276" s="256"/>
      <c r="W276" s="254"/>
      <c r="X276" s="703"/>
      <c r="Y276" s="125"/>
      <c r="Z276" s="431"/>
      <c r="AA276" s="499"/>
      <c r="AB276" s="741"/>
      <c r="AC276" s="51"/>
      <c r="AD276" s="51"/>
      <c r="AE276" s="645" t="str">
        <f t="shared" si="96"/>
        <v/>
      </c>
      <c r="AF276" s="1037" t="str">
        <f t="shared" si="97"/>
        <v/>
      </c>
      <c r="AG276" s="1037" t="str">
        <f t="shared" si="98"/>
        <v/>
      </c>
      <c r="AH276" s="1037" t="str">
        <f>IF(AE276="","",VLOOKUP(AE276,リスト!BI:BJ,2,0))</f>
        <v/>
      </c>
      <c r="AI276" s="1037" t="str">
        <f t="shared" si="113"/>
        <v/>
      </c>
      <c r="AJ276" s="1037" t="str">
        <f>IF(AI276="","",VLOOKUP(AI276,リスト!BW:BX,2,0))</f>
        <v/>
      </c>
      <c r="AK276" s="1037" t="str">
        <f t="shared" si="110"/>
        <v/>
      </c>
      <c r="AL276" s="685" t="str">
        <f t="shared" si="99"/>
        <v/>
      </c>
      <c r="AM276" s="646" t="str">
        <f t="shared" si="100"/>
        <v/>
      </c>
      <c r="AN276" s="646" t="str">
        <f t="shared" si="101"/>
        <v/>
      </c>
      <c r="AO276" s="647" t="str">
        <f t="shared" si="102"/>
        <v/>
      </c>
      <c r="AP276" s="647" t="str">
        <f t="shared" si="111"/>
        <v/>
      </c>
      <c r="AQ276" s="647" t="str">
        <f t="shared" si="103"/>
        <v/>
      </c>
      <c r="AR276" s="647" t="str">
        <f t="shared" si="104"/>
        <v/>
      </c>
      <c r="AS276" s="647" t="str">
        <f t="shared" si="105"/>
        <v/>
      </c>
      <c r="AT276" s="647" t="str">
        <f t="shared" si="112"/>
        <v/>
      </c>
      <c r="AU276" s="647" t="str">
        <f t="shared" si="106"/>
        <v/>
      </c>
      <c r="AV276" s="647" t="str">
        <f t="shared" si="107"/>
        <v/>
      </c>
      <c r="AW276" s="647" t="str">
        <f t="shared" si="108"/>
        <v/>
      </c>
      <c r="AX276" s="647" t="str">
        <f t="shared" si="109"/>
        <v/>
      </c>
    </row>
    <row r="277" spans="3:50" s="5" customFormat="1" ht="28.15" hidden="1" customHeight="1" outlineLevel="1">
      <c r="C277" s="649">
        <v>261</v>
      </c>
      <c r="D277" s="1865"/>
      <c r="E277" s="1866"/>
      <c r="F277" s="1866"/>
      <c r="G277" s="1866"/>
      <c r="H277" s="1866"/>
      <c r="I277" s="1866"/>
      <c r="J277" s="1866"/>
      <c r="K277" s="704"/>
      <c r="L277" s="1055"/>
      <c r="M277" s="705"/>
      <c r="N277" s="255"/>
      <c r="O277" s="1042"/>
      <c r="P277" s="1041"/>
      <c r="Q277" s="256"/>
      <c r="R277" s="267"/>
      <c r="S277" s="256"/>
      <c r="T277" s="256"/>
      <c r="U277" s="256"/>
      <c r="V277" s="256"/>
      <c r="W277" s="254"/>
      <c r="X277" s="703"/>
      <c r="Y277" s="125"/>
      <c r="Z277" s="431"/>
      <c r="AA277" s="499"/>
      <c r="AB277" s="741"/>
      <c r="AC277" s="51"/>
      <c r="AD277" s="51"/>
      <c r="AE277" s="645" t="str">
        <f t="shared" si="96"/>
        <v/>
      </c>
      <c r="AF277" s="1037" t="str">
        <f t="shared" si="97"/>
        <v/>
      </c>
      <c r="AG277" s="1037" t="str">
        <f t="shared" si="98"/>
        <v/>
      </c>
      <c r="AH277" s="1037" t="str">
        <f>IF(AE277="","",VLOOKUP(AE277,リスト!BI:BJ,2,0))</f>
        <v/>
      </c>
      <c r="AI277" s="1037" t="str">
        <f t="shared" si="113"/>
        <v/>
      </c>
      <c r="AJ277" s="1037" t="str">
        <f>IF(AI277="","",VLOOKUP(AI277,リスト!BW:BX,2,0))</f>
        <v/>
      </c>
      <c r="AK277" s="1037" t="str">
        <f t="shared" si="110"/>
        <v/>
      </c>
      <c r="AL277" s="685" t="str">
        <f t="shared" si="99"/>
        <v/>
      </c>
      <c r="AM277" s="646" t="str">
        <f t="shared" si="100"/>
        <v/>
      </c>
      <c r="AN277" s="646" t="str">
        <f t="shared" si="101"/>
        <v/>
      </c>
      <c r="AO277" s="647" t="str">
        <f t="shared" si="102"/>
        <v/>
      </c>
      <c r="AP277" s="647" t="str">
        <f t="shared" si="111"/>
        <v/>
      </c>
      <c r="AQ277" s="647" t="str">
        <f t="shared" si="103"/>
        <v/>
      </c>
      <c r="AR277" s="647" t="str">
        <f t="shared" si="104"/>
        <v/>
      </c>
      <c r="AS277" s="647" t="str">
        <f t="shared" si="105"/>
        <v/>
      </c>
      <c r="AT277" s="647" t="str">
        <f t="shared" si="112"/>
        <v/>
      </c>
      <c r="AU277" s="647" t="str">
        <f t="shared" si="106"/>
        <v/>
      </c>
      <c r="AV277" s="647" t="str">
        <f t="shared" si="107"/>
        <v/>
      </c>
      <c r="AW277" s="647" t="str">
        <f t="shared" si="108"/>
        <v/>
      </c>
      <c r="AX277" s="647" t="str">
        <f t="shared" si="109"/>
        <v/>
      </c>
    </row>
    <row r="278" spans="3:50" s="5" customFormat="1" ht="28.15" hidden="1" customHeight="1" outlineLevel="1">
      <c r="C278" s="649">
        <v>262</v>
      </c>
      <c r="D278" s="1855"/>
      <c r="E278" s="1856"/>
      <c r="F278" s="1856"/>
      <c r="G278" s="1856"/>
      <c r="H278" s="1856"/>
      <c r="I278" s="1856"/>
      <c r="J278" s="1856"/>
      <c r="K278" s="702"/>
      <c r="L278" s="1054"/>
      <c r="M278" s="705"/>
      <c r="N278" s="255"/>
      <c r="O278" s="1040"/>
      <c r="P278" s="1041"/>
      <c r="Q278" s="256"/>
      <c r="R278" s="267"/>
      <c r="S278" s="256"/>
      <c r="T278" s="256"/>
      <c r="U278" s="256"/>
      <c r="V278" s="256"/>
      <c r="W278" s="254"/>
      <c r="X278" s="703"/>
      <c r="Y278" s="125"/>
      <c r="Z278" s="431"/>
      <c r="AA278" s="499"/>
      <c r="AB278" s="741"/>
      <c r="AC278" s="51"/>
      <c r="AD278" s="51"/>
      <c r="AE278" s="645" t="str">
        <f t="shared" si="96"/>
        <v/>
      </c>
      <c r="AF278" s="1037" t="str">
        <f t="shared" si="97"/>
        <v/>
      </c>
      <c r="AG278" s="1037" t="str">
        <f t="shared" si="98"/>
        <v/>
      </c>
      <c r="AH278" s="1037" t="str">
        <f>IF(AE278="","",VLOOKUP(AE278,リスト!BI:BJ,2,0))</f>
        <v/>
      </c>
      <c r="AI278" s="1037" t="str">
        <f t="shared" si="113"/>
        <v/>
      </c>
      <c r="AJ278" s="1037" t="str">
        <f>IF(AI278="","",VLOOKUP(AI278,リスト!BW:BX,2,0))</f>
        <v/>
      </c>
      <c r="AK278" s="1037" t="str">
        <f t="shared" si="110"/>
        <v/>
      </c>
      <c r="AL278" s="685" t="str">
        <f t="shared" si="99"/>
        <v/>
      </c>
      <c r="AM278" s="646" t="str">
        <f t="shared" si="100"/>
        <v/>
      </c>
      <c r="AN278" s="646" t="str">
        <f t="shared" si="101"/>
        <v/>
      </c>
      <c r="AO278" s="647" t="str">
        <f t="shared" si="102"/>
        <v/>
      </c>
      <c r="AP278" s="647" t="str">
        <f t="shared" si="111"/>
        <v/>
      </c>
      <c r="AQ278" s="647" t="str">
        <f t="shared" si="103"/>
        <v/>
      </c>
      <c r="AR278" s="647" t="str">
        <f t="shared" si="104"/>
        <v/>
      </c>
      <c r="AS278" s="647" t="str">
        <f t="shared" si="105"/>
        <v/>
      </c>
      <c r="AT278" s="647" t="str">
        <f t="shared" si="112"/>
        <v/>
      </c>
      <c r="AU278" s="647" t="str">
        <f t="shared" si="106"/>
        <v/>
      </c>
      <c r="AV278" s="647" t="str">
        <f t="shared" si="107"/>
        <v/>
      </c>
      <c r="AW278" s="647" t="str">
        <f t="shared" si="108"/>
        <v/>
      </c>
      <c r="AX278" s="647" t="str">
        <f t="shared" si="109"/>
        <v/>
      </c>
    </row>
    <row r="279" spans="3:50" s="5" customFormat="1" ht="28.15" hidden="1" customHeight="1" outlineLevel="1">
      <c r="C279" s="649">
        <v>263</v>
      </c>
      <c r="D279" s="1865"/>
      <c r="E279" s="1866"/>
      <c r="F279" s="1866"/>
      <c r="G279" s="1866"/>
      <c r="H279" s="1866"/>
      <c r="I279" s="1866"/>
      <c r="J279" s="1866"/>
      <c r="K279" s="704"/>
      <c r="L279" s="1055"/>
      <c r="M279" s="705"/>
      <c r="N279" s="255"/>
      <c r="O279" s="1042"/>
      <c r="P279" s="1041"/>
      <c r="Q279" s="256"/>
      <c r="R279" s="267"/>
      <c r="S279" s="256"/>
      <c r="T279" s="256"/>
      <c r="U279" s="256"/>
      <c r="V279" s="256"/>
      <c r="W279" s="254"/>
      <c r="X279" s="703"/>
      <c r="Y279" s="125"/>
      <c r="Z279" s="431"/>
      <c r="AA279" s="499"/>
      <c r="AB279" s="741"/>
      <c r="AC279" s="51"/>
      <c r="AD279" s="51"/>
      <c r="AE279" s="645" t="str">
        <f t="shared" si="96"/>
        <v/>
      </c>
      <c r="AF279" s="1037" t="str">
        <f t="shared" si="97"/>
        <v/>
      </c>
      <c r="AG279" s="1037" t="str">
        <f t="shared" si="98"/>
        <v/>
      </c>
      <c r="AH279" s="1037" t="str">
        <f>IF(AE279="","",VLOOKUP(AE279,リスト!BI:BJ,2,0))</f>
        <v/>
      </c>
      <c r="AI279" s="1037" t="str">
        <f t="shared" si="113"/>
        <v/>
      </c>
      <c r="AJ279" s="1037" t="str">
        <f>IF(AI279="","",VLOOKUP(AI279,リスト!BW:BX,2,0))</f>
        <v/>
      </c>
      <c r="AK279" s="1037" t="str">
        <f t="shared" si="110"/>
        <v/>
      </c>
      <c r="AL279" s="685" t="str">
        <f t="shared" si="99"/>
        <v/>
      </c>
      <c r="AM279" s="646" t="str">
        <f t="shared" si="100"/>
        <v/>
      </c>
      <c r="AN279" s="646" t="str">
        <f t="shared" si="101"/>
        <v/>
      </c>
      <c r="AO279" s="647" t="str">
        <f t="shared" si="102"/>
        <v/>
      </c>
      <c r="AP279" s="647" t="str">
        <f t="shared" si="111"/>
        <v/>
      </c>
      <c r="AQ279" s="647" t="str">
        <f t="shared" si="103"/>
        <v/>
      </c>
      <c r="AR279" s="647" t="str">
        <f t="shared" si="104"/>
        <v/>
      </c>
      <c r="AS279" s="647" t="str">
        <f t="shared" si="105"/>
        <v/>
      </c>
      <c r="AT279" s="647" t="str">
        <f t="shared" si="112"/>
        <v/>
      </c>
      <c r="AU279" s="647" t="str">
        <f t="shared" si="106"/>
        <v/>
      </c>
      <c r="AV279" s="647" t="str">
        <f t="shared" si="107"/>
        <v/>
      </c>
      <c r="AW279" s="647" t="str">
        <f t="shared" si="108"/>
        <v/>
      </c>
      <c r="AX279" s="647" t="str">
        <f t="shared" si="109"/>
        <v/>
      </c>
    </row>
    <row r="280" spans="3:50" s="5" customFormat="1" ht="28.15" hidden="1" customHeight="1" outlineLevel="1">
      <c r="C280" s="649">
        <v>264</v>
      </c>
      <c r="D280" s="1855"/>
      <c r="E280" s="1856"/>
      <c r="F280" s="1856"/>
      <c r="G280" s="1856"/>
      <c r="H280" s="1856"/>
      <c r="I280" s="1856"/>
      <c r="J280" s="1856"/>
      <c r="K280" s="702"/>
      <c r="L280" s="1054"/>
      <c r="M280" s="705"/>
      <c r="N280" s="255"/>
      <c r="O280" s="1040"/>
      <c r="P280" s="1041"/>
      <c r="Q280" s="256"/>
      <c r="R280" s="267"/>
      <c r="S280" s="256"/>
      <c r="T280" s="256"/>
      <c r="U280" s="256"/>
      <c r="V280" s="256"/>
      <c r="W280" s="254"/>
      <c r="X280" s="703"/>
      <c r="Y280" s="125"/>
      <c r="Z280" s="431"/>
      <c r="AA280" s="499"/>
      <c r="AB280" s="741"/>
      <c r="AC280" s="51"/>
      <c r="AD280" s="51"/>
      <c r="AE280" s="645" t="str">
        <f t="shared" si="96"/>
        <v/>
      </c>
      <c r="AF280" s="1037" t="str">
        <f t="shared" si="97"/>
        <v/>
      </c>
      <c r="AG280" s="1037" t="str">
        <f t="shared" si="98"/>
        <v/>
      </c>
      <c r="AH280" s="1037" t="str">
        <f>IF(AE280="","",VLOOKUP(AE280,リスト!BI:BJ,2,0))</f>
        <v/>
      </c>
      <c r="AI280" s="1037" t="str">
        <f t="shared" si="113"/>
        <v/>
      </c>
      <c r="AJ280" s="1037" t="str">
        <f>IF(AI280="","",VLOOKUP(AI280,リスト!BW:BX,2,0))</f>
        <v/>
      </c>
      <c r="AK280" s="1037" t="str">
        <f t="shared" si="110"/>
        <v/>
      </c>
      <c r="AL280" s="685" t="str">
        <f t="shared" si="99"/>
        <v/>
      </c>
      <c r="AM280" s="646" t="str">
        <f t="shared" si="100"/>
        <v/>
      </c>
      <c r="AN280" s="646" t="str">
        <f t="shared" si="101"/>
        <v/>
      </c>
      <c r="AO280" s="647" t="str">
        <f t="shared" si="102"/>
        <v/>
      </c>
      <c r="AP280" s="647" t="str">
        <f t="shared" si="111"/>
        <v/>
      </c>
      <c r="AQ280" s="647" t="str">
        <f t="shared" si="103"/>
        <v/>
      </c>
      <c r="AR280" s="647" t="str">
        <f t="shared" si="104"/>
        <v/>
      </c>
      <c r="AS280" s="647" t="str">
        <f t="shared" si="105"/>
        <v/>
      </c>
      <c r="AT280" s="647" t="str">
        <f t="shared" si="112"/>
        <v/>
      </c>
      <c r="AU280" s="647" t="str">
        <f t="shared" si="106"/>
        <v/>
      </c>
      <c r="AV280" s="647" t="str">
        <f t="shared" si="107"/>
        <v/>
      </c>
      <c r="AW280" s="647" t="str">
        <f t="shared" si="108"/>
        <v/>
      </c>
      <c r="AX280" s="647" t="str">
        <f t="shared" si="109"/>
        <v/>
      </c>
    </row>
    <row r="281" spans="3:50" s="5" customFormat="1" ht="28.15" hidden="1" customHeight="1" outlineLevel="1">
      <c r="C281" s="649">
        <v>265</v>
      </c>
      <c r="D281" s="1865"/>
      <c r="E281" s="1866"/>
      <c r="F281" s="1866"/>
      <c r="G281" s="1866"/>
      <c r="H281" s="1866"/>
      <c r="I281" s="1866"/>
      <c r="J281" s="1866"/>
      <c r="K281" s="704"/>
      <c r="L281" s="1055"/>
      <c r="M281" s="705"/>
      <c r="N281" s="255"/>
      <c r="O281" s="1042"/>
      <c r="P281" s="1043"/>
      <c r="Q281" s="256"/>
      <c r="R281" s="267"/>
      <c r="S281" s="256"/>
      <c r="T281" s="256"/>
      <c r="U281" s="256"/>
      <c r="V281" s="256"/>
      <c r="W281" s="254"/>
      <c r="X281" s="703"/>
      <c r="Y281" s="125"/>
      <c r="Z281" s="431"/>
      <c r="AA281" s="499"/>
      <c r="AB281" s="741"/>
      <c r="AC281" s="51"/>
      <c r="AD281" s="51"/>
      <c r="AE281" s="645" t="str">
        <f t="shared" si="96"/>
        <v/>
      </c>
      <c r="AF281" s="1037" t="str">
        <f t="shared" si="97"/>
        <v/>
      </c>
      <c r="AG281" s="1037" t="str">
        <f t="shared" si="98"/>
        <v/>
      </c>
      <c r="AH281" s="1037" t="str">
        <f>IF(AE281="","",VLOOKUP(AE281,リスト!BI:BJ,2,0))</f>
        <v/>
      </c>
      <c r="AI281" s="1037" t="str">
        <f t="shared" si="113"/>
        <v/>
      </c>
      <c r="AJ281" s="1037" t="str">
        <f>IF(AI281="","",VLOOKUP(AI281,リスト!BW:BX,2,0))</f>
        <v/>
      </c>
      <c r="AK281" s="1037" t="str">
        <f t="shared" si="110"/>
        <v/>
      </c>
      <c r="AL281" s="685" t="str">
        <f t="shared" si="99"/>
        <v/>
      </c>
      <c r="AM281" s="646" t="str">
        <f t="shared" si="100"/>
        <v/>
      </c>
      <c r="AN281" s="646" t="str">
        <f t="shared" si="101"/>
        <v/>
      </c>
      <c r="AO281" s="647" t="str">
        <f t="shared" si="102"/>
        <v/>
      </c>
      <c r="AP281" s="647" t="str">
        <f t="shared" si="111"/>
        <v/>
      </c>
      <c r="AQ281" s="647" t="str">
        <f t="shared" si="103"/>
        <v/>
      </c>
      <c r="AR281" s="647" t="str">
        <f t="shared" si="104"/>
        <v/>
      </c>
      <c r="AS281" s="647" t="str">
        <f t="shared" si="105"/>
        <v/>
      </c>
      <c r="AT281" s="647" t="str">
        <f t="shared" si="112"/>
        <v/>
      </c>
      <c r="AU281" s="647" t="str">
        <f t="shared" si="106"/>
        <v/>
      </c>
      <c r="AV281" s="647" t="str">
        <f t="shared" si="107"/>
        <v/>
      </c>
      <c r="AW281" s="647" t="str">
        <f t="shared" si="108"/>
        <v/>
      </c>
      <c r="AX281" s="647" t="str">
        <f t="shared" si="109"/>
        <v/>
      </c>
    </row>
    <row r="282" spans="3:50" s="5" customFormat="1" ht="28.15" hidden="1" customHeight="1" outlineLevel="1">
      <c r="C282" s="649">
        <v>266</v>
      </c>
      <c r="D282" s="1855"/>
      <c r="E282" s="1856"/>
      <c r="F282" s="1856"/>
      <c r="G282" s="1856"/>
      <c r="H282" s="1856"/>
      <c r="I282" s="1856"/>
      <c r="J282" s="1856"/>
      <c r="K282" s="702"/>
      <c r="L282" s="1054"/>
      <c r="M282" s="705"/>
      <c r="N282" s="255"/>
      <c r="O282" s="1040"/>
      <c r="P282" s="1044"/>
      <c r="Q282" s="256"/>
      <c r="R282" s="267"/>
      <c r="S282" s="256"/>
      <c r="T282" s="256"/>
      <c r="U282" s="256"/>
      <c r="V282" s="256"/>
      <c r="W282" s="254"/>
      <c r="X282" s="703"/>
      <c r="Y282" s="125"/>
      <c r="Z282" s="431"/>
      <c r="AA282" s="499"/>
      <c r="AB282" s="741"/>
      <c r="AC282" s="51"/>
      <c r="AD282" s="51"/>
      <c r="AE282" s="645" t="str">
        <f t="shared" si="96"/>
        <v/>
      </c>
      <c r="AF282" s="1037" t="str">
        <f t="shared" si="97"/>
        <v/>
      </c>
      <c r="AG282" s="1037" t="str">
        <f t="shared" si="98"/>
        <v/>
      </c>
      <c r="AH282" s="1037" t="str">
        <f>IF(AE282="","",VLOOKUP(AE282,リスト!BI:BJ,2,0))</f>
        <v/>
      </c>
      <c r="AI282" s="1037" t="str">
        <f t="shared" si="113"/>
        <v/>
      </c>
      <c r="AJ282" s="1037" t="str">
        <f>IF(AI282="","",VLOOKUP(AI282,リスト!BW:BX,2,0))</f>
        <v/>
      </c>
      <c r="AK282" s="1037" t="str">
        <f t="shared" si="110"/>
        <v/>
      </c>
      <c r="AL282" s="685" t="str">
        <f t="shared" si="99"/>
        <v/>
      </c>
      <c r="AM282" s="646" t="str">
        <f t="shared" si="100"/>
        <v/>
      </c>
      <c r="AN282" s="646" t="str">
        <f t="shared" si="101"/>
        <v/>
      </c>
      <c r="AO282" s="647" t="str">
        <f t="shared" si="102"/>
        <v/>
      </c>
      <c r="AP282" s="647" t="str">
        <f t="shared" si="111"/>
        <v/>
      </c>
      <c r="AQ282" s="647" t="str">
        <f t="shared" si="103"/>
        <v/>
      </c>
      <c r="AR282" s="647" t="str">
        <f t="shared" si="104"/>
        <v/>
      </c>
      <c r="AS282" s="647" t="str">
        <f t="shared" si="105"/>
        <v/>
      </c>
      <c r="AT282" s="647" t="str">
        <f t="shared" si="112"/>
        <v/>
      </c>
      <c r="AU282" s="647" t="str">
        <f t="shared" si="106"/>
        <v/>
      </c>
      <c r="AV282" s="647" t="str">
        <f t="shared" si="107"/>
        <v/>
      </c>
      <c r="AW282" s="647" t="str">
        <f t="shared" si="108"/>
        <v/>
      </c>
      <c r="AX282" s="647" t="str">
        <f t="shared" si="109"/>
        <v/>
      </c>
    </row>
    <row r="283" spans="3:50" s="5" customFormat="1" ht="28.15" hidden="1" customHeight="1" outlineLevel="1">
      <c r="C283" s="649">
        <v>267</v>
      </c>
      <c r="D283" s="1855"/>
      <c r="E283" s="1856"/>
      <c r="F283" s="1856"/>
      <c r="G283" s="1856"/>
      <c r="H283" s="1856"/>
      <c r="I283" s="1856"/>
      <c r="J283" s="1856"/>
      <c r="K283" s="702"/>
      <c r="L283" s="1054"/>
      <c r="M283" s="705"/>
      <c r="N283" s="255"/>
      <c r="O283" s="1040"/>
      <c r="P283" s="1044"/>
      <c r="Q283" s="256"/>
      <c r="R283" s="267"/>
      <c r="S283" s="256"/>
      <c r="T283" s="256"/>
      <c r="U283" s="256"/>
      <c r="V283" s="256"/>
      <c r="W283" s="254"/>
      <c r="X283" s="703"/>
      <c r="Y283" s="125"/>
      <c r="Z283" s="431"/>
      <c r="AA283" s="499"/>
      <c r="AB283" s="741"/>
      <c r="AC283" s="51"/>
      <c r="AD283" s="51"/>
      <c r="AE283" s="645" t="str">
        <f t="shared" si="96"/>
        <v/>
      </c>
      <c r="AF283" s="1037" t="str">
        <f t="shared" si="97"/>
        <v/>
      </c>
      <c r="AG283" s="1037" t="str">
        <f t="shared" si="98"/>
        <v/>
      </c>
      <c r="AH283" s="1037" t="str">
        <f>IF(AE283="","",VLOOKUP(AE283,リスト!BI:BJ,2,0))</f>
        <v/>
      </c>
      <c r="AI283" s="1037" t="str">
        <f t="shared" si="113"/>
        <v/>
      </c>
      <c r="AJ283" s="1037" t="str">
        <f>IF(AI283="","",VLOOKUP(AI283,リスト!BW:BX,2,0))</f>
        <v/>
      </c>
      <c r="AK283" s="1037" t="str">
        <f t="shared" si="110"/>
        <v/>
      </c>
      <c r="AL283" s="685" t="str">
        <f t="shared" si="99"/>
        <v/>
      </c>
      <c r="AM283" s="646" t="str">
        <f t="shared" si="100"/>
        <v/>
      </c>
      <c r="AN283" s="646" t="str">
        <f t="shared" si="101"/>
        <v/>
      </c>
      <c r="AO283" s="647" t="str">
        <f t="shared" si="102"/>
        <v/>
      </c>
      <c r="AP283" s="647" t="str">
        <f t="shared" si="111"/>
        <v/>
      </c>
      <c r="AQ283" s="647" t="str">
        <f t="shared" si="103"/>
        <v/>
      </c>
      <c r="AR283" s="647" t="str">
        <f t="shared" si="104"/>
        <v/>
      </c>
      <c r="AS283" s="647" t="str">
        <f t="shared" si="105"/>
        <v/>
      </c>
      <c r="AT283" s="647" t="str">
        <f t="shared" si="112"/>
        <v/>
      </c>
      <c r="AU283" s="647" t="str">
        <f t="shared" si="106"/>
        <v/>
      </c>
      <c r="AV283" s="647" t="str">
        <f t="shared" si="107"/>
        <v/>
      </c>
      <c r="AW283" s="647" t="str">
        <f t="shared" si="108"/>
        <v/>
      </c>
      <c r="AX283" s="647" t="str">
        <f t="shared" si="109"/>
        <v/>
      </c>
    </row>
    <row r="284" spans="3:50" s="5" customFormat="1" ht="28.15" hidden="1" customHeight="1" outlineLevel="1">
      <c r="C284" s="649">
        <v>268</v>
      </c>
      <c r="D284" s="1855"/>
      <c r="E284" s="1856"/>
      <c r="F284" s="1856"/>
      <c r="G284" s="1856"/>
      <c r="H284" s="1856"/>
      <c r="I284" s="1856"/>
      <c r="J284" s="1856"/>
      <c r="K284" s="702"/>
      <c r="L284" s="1054"/>
      <c r="M284" s="705"/>
      <c r="N284" s="257"/>
      <c r="O284" s="1040"/>
      <c r="P284" s="1044"/>
      <c r="Q284" s="256"/>
      <c r="R284" s="267"/>
      <c r="S284" s="256"/>
      <c r="T284" s="256"/>
      <c r="U284" s="256"/>
      <c r="V284" s="256"/>
      <c r="W284" s="254"/>
      <c r="X284" s="703"/>
      <c r="Y284" s="125"/>
      <c r="Z284" s="431"/>
      <c r="AA284" s="499"/>
      <c r="AB284" s="741"/>
      <c r="AC284" s="51"/>
      <c r="AD284" s="51"/>
      <c r="AE284" s="645" t="str">
        <f t="shared" si="96"/>
        <v/>
      </c>
      <c r="AF284" s="1037" t="str">
        <f t="shared" si="97"/>
        <v/>
      </c>
      <c r="AG284" s="1037" t="str">
        <f t="shared" si="98"/>
        <v/>
      </c>
      <c r="AH284" s="1037" t="str">
        <f>IF(AE284="","",VLOOKUP(AE284,リスト!BI:BJ,2,0))</f>
        <v/>
      </c>
      <c r="AI284" s="1037" t="str">
        <f t="shared" si="113"/>
        <v/>
      </c>
      <c r="AJ284" s="1037" t="str">
        <f>IF(AI284="","",VLOOKUP(AI284,リスト!BW:BX,2,0))</f>
        <v/>
      </c>
      <c r="AK284" s="1037" t="str">
        <f t="shared" si="110"/>
        <v/>
      </c>
      <c r="AL284" s="685" t="str">
        <f t="shared" si="99"/>
        <v/>
      </c>
      <c r="AM284" s="646" t="str">
        <f t="shared" si="100"/>
        <v/>
      </c>
      <c r="AN284" s="646" t="str">
        <f t="shared" si="101"/>
        <v/>
      </c>
      <c r="AO284" s="647" t="str">
        <f t="shared" si="102"/>
        <v/>
      </c>
      <c r="AP284" s="647" t="str">
        <f t="shared" si="111"/>
        <v/>
      </c>
      <c r="AQ284" s="647" t="str">
        <f t="shared" si="103"/>
        <v/>
      </c>
      <c r="AR284" s="647" t="str">
        <f t="shared" si="104"/>
        <v/>
      </c>
      <c r="AS284" s="647" t="str">
        <f t="shared" si="105"/>
        <v/>
      </c>
      <c r="AT284" s="647" t="str">
        <f t="shared" si="112"/>
        <v/>
      </c>
      <c r="AU284" s="647" t="str">
        <f t="shared" si="106"/>
        <v/>
      </c>
      <c r="AV284" s="647" t="str">
        <f t="shared" si="107"/>
        <v/>
      </c>
      <c r="AW284" s="647" t="str">
        <f t="shared" si="108"/>
        <v/>
      </c>
      <c r="AX284" s="647" t="str">
        <f t="shared" si="109"/>
        <v/>
      </c>
    </row>
    <row r="285" spans="3:50" s="5" customFormat="1" ht="28.15" hidden="1" customHeight="1" outlineLevel="1">
      <c r="C285" s="649">
        <v>269</v>
      </c>
      <c r="D285" s="1855"/>
      <c r="E285" s="1856"/>
      <c r="F285" s="1856"/>
      <c r="G285" s="1856"/>
      <c r="H285" s="1856"/>
      <c r="I285" s="1856"/>
      <c r="J285" s="1856"/>
      <c r="K285" s="702"/>
      <c r="L285" s="1054"/>
      <c r="M285" s="705"/>
      <c r="N285" s="255"/>
      <c r="O285" s="1040"/>
      <c r="P285" s="1044"/>
      <c r="Q285" s="256"/>
      <c r="R285" s="267"/>
      <c r="S285" s="256"/>
      <c r="T285" s="256"/>
      <c r="U285" s="256"/>
      <c r="V285" s="256"/>
      <c r="W285" s="254"/>
      <c r="X285" s="703"/>
      <c r="Y285" s="125"/>
      <c r="Z285" s="431"/>
      <c r="AA285" s="499"/>
      <c r="AB285" s="741"/>
      <c r="AC285" s="51"/>
      <c r="AD285" s="51"/>
      <c r="AE285" s="645" t="str">
        <f t="shared" si="96"/>
        <v/>
      </c>
      <c r="AF285" s="1037" t="str">
        <f t="shared" si="97"/>
        <v/>
      </c>
      <c r="AG285" s="1037" t="str">
        <f t="shared" si="98"/>
        <v/>
      </c>
      <c r="AH285" s="1037" t="str">
        <f>IF(AE285="","",VLOOKUP(AE285,リスト!BI:BJ,2,0))</f>
        <v/>
      </c>
      <c r="AI285" s="1037" t="str">
        <f t="shared" si="113"/>
        <v/>
      </c>
      <c r="AJ285" s="1037" t="str">
        <f>IF(AI285="","",VLOOKUP(AI285,リスト!BW:BX,2,0))</f>
        <v/>
      </c>
      <c r="AK285" s="1037" t="str">
        <f t="shared" si="110"/>
        <v/>
      </c>
      <c r="AL285" s="685" t="str">
        <f t="shared" si="99"/>
        <v/>
      </c>
      <c r="AM285" s="646" t="str">
        <f t="shared" si="100"/>
        <v/>
      </c>
      <c r="AN285" s="646" t="str">
        <f t="shared" si="101"/>
        <v/>
      </c>
      <c r="AO285" s="647" t="str">
        <f t="shared" si="102"/>
        <v/>
      </c>
      <c r="AP285" s="647" t="str">
        <f t="shared" si="111"/>
        <v/>
      </c>
      <c r="AQ285" s="647" t="str">
        <f t="shared" si="103"/>
        <v/>
      </c>
      <c r="AR285" s="647" t="str">
        <f t="shared" si="104"/>
        <v/>
      </c>
      <c r="AS285" s="647" t="str">
        <f t="shared" si="105"/>
        <v/>
      </c>
      <c r="AT285" s="647" t="str">
        <f t="shared" si="112"/>
        <v/>
      </c>
      <c r="AU285" s="647" t="str">
        <f t="shared" si="106"/>
        <v/>
      </c>
      <c r="AV285" s="647" t="str">
        <f t="shared" si="107"/>
        <v/>
      </c>
      <c r="AW285" s="647" t="str">
        <f t="shared" si="108"/>
        <v/>
      </c>
      <c r="AX285" s="647" t="str">
        <f t="shared" si="109"/>
        <v/>
      </c>
    </row>
    <row r="286" spans="3:50" s="5" customFormat="1" ht="28.15" hidden="1" customHeight="1" outlineLevel="1">
      <c r="C286" s="649">
        <v>270</v>
      </c>
      <c r="D286" s="1855"/>
      <c r="E286" s="1856"/>
      <c r="F286" s="1856"/>
      <c r="G286" s="1856"/>
      <c r="H286" s="1856"/>
      <c r="I286" s="1856"/>
      <c r="J286" s="1856"/>
      <c r="K286" s="702"/>
      <c r="L286" s="1054"/>
      <c r="M286" s="705"/>
      <c r="N286" s="257"/>
      <c r="O286" s="1040"/>
      <c r="P286" s="1044"/>
      <c r="Q286" s="256"/>
      <c r="R286" s="267"/>
      <c r="S286" s="256"/>
      <c r="T286" s="256"/>
      <c r="U286" s="256"/>
      <c r="V286" s="256"/>
      <c r="W286" s="254"/>
      <c r="X286" s="703"/>
      <c r="Y286" s="125"/>
      <c r="Z286" s="431"/>
      <c r="AA286" s="499"/>
      <c r="AB286" s="741"/>
      <c r="AC286" s="51"/>
      <c r="AD286" s="51"/>
      <c r="AE286" s="645" t="str">
        <f t="shared" si="96"/>
        <v/>
      </c>
      <c r="AF286" s="1037" t="str">
        <f t="shared" si="97"/>
        <v/>
      </c>
      <c r="AG286" s="1037" t="str">
        <f t="shared" si="98"/>
        <v/>
      </c>
      <c r="AH286" s="1037" t="str">
        <f>IF(AE286="","",VLOOKUP(AE286,リスト!BI:BJ,2,0))</f>
        <v/>
      </c>
      <c r="AI286" s="1037" t="str">
        <f t="shared" si="113"/>
        <v/>
      </c>
      <c r="AJ286" s="1037" t="str">
        <f>IF(AI286="","",VLOOKUP(AI286,リスト!BW:BX,2,0))</f>
        <v/>
      </c>
      <c r="AK286" s="1037" t="str">
        <f t="shared" si="110"/>
        <v/>
      </c>
      <c r="AL286" s="685" t="str">
        <f t="shared" si="99"/>
        <v/>
      </c>
      <c r="AM286" s="646" t="str">
        <f t="shared" si="100"/>
        <v/>
      </c>
      <c r="AN286" s="646" t="str">
        <f t="shared" si="101"/>
        <v/>
      </c>
      <c r="AO286" s="647" t="str">
        <f t="shared" si="102"/>
        <v/>
      </c>
      <c r="AP286" s="647" t="str">
        <f t="shared" si="111"/>
        <v/>
      </c>
      <c r="AQ286" s="647" t="str">
        <f t="shared" si="103"/>
        <v/>
      </c>
      <c r="AR286" s="647" t="str">
        <f t="shared" si="104"/>
        <v/>
      </c>
      <c r="AS286" s="647" t="str">
        <f t="shared" si="105"/>
        <v/>
      </c>
      <c r="AT286" s="647" t="str">
        <f t="shared" si="112"/>
        <v/>
      </c>
      <c r="AU286" s="647" t="str">
        <f t="shared" si="106"/>
        <v/>
      </c>
      <c r="AV286" s="647" t="str">
        <f t="shared" si="107"/>
        <v/>
      </c>
      <c r="AW286" s="647" t="str">
        <f t="shared" si="108"/>
        <v/>
      </c>
      <c r="AX286" s="647" t="str">
        <f t="shared" si="109"/>
        <v/>
      </c>
    </row>
    <row r="287" spans="3:50" s="5" customFormat="1" ht="28.15" hidden="1" customHeight="1" outlineLevel="1">
      <c r="C287" s="649">
        <v>271</v>
      </c>
      <c r="D287" s="1855"/>
      <c r="E287" s="1856"/>
      <c r="F287" s="1856"/>
      <c r="G287" s="1856"/>
      <c r="H287" s="1856"/>
      <c r="I287" s="1856"/>
      <c r="J287" s="1856"/>
      <c r="K287" s="702"/>
      <c r="L287" s="1054"/>
      <c r="M287" s="705"/>
      <c r="N287" s="255"/>
      <c r="O287" s="1040"/>
      <c r="P287" s="1044"/>
      <c r="Q287" s="256"/>
      <c r="R287" s="267"/>
      <c r="S287" s="256"/>
      <c r="T287" s="256"/>
      <c r="U287" s="256"/>
      <c r="V287" s="256"/>
      <c r="W287" s="254"/>
      <c r="X287" s="703"/>
      <c r="Y287" s="125"/>
      <c r="Z287" s="431"/>
      <c r="AA287" s="499"/>
      <c r="AB287" s="741"/>
      <c r="AC287" s="51"/>
      <c r="AD287" s="51"/>
      <c r="AE287" s="645" t="str">
        <f t="shared" si="96"/>
        <v/>
      </c>
      <c r="AF287" s="1037" t="str">
        <f t="shared" si="97"/>
        <v/>
      </c>
      <c r="AG287" s="1037" t="str">
        <f t="shared" si="98"/>
        <v/>
      </c>
      <c r="AH287" s="1037" t="str">
        <f>IF(AE287="","",VLOOKUP(AE287,リスト!BI:BJ,2,0))</f>
        <v/>
      </c>
      <c r="AI287" s="1037" t="str">
        <f t="shared" si="113"/>
        <v/>
      </c>
      <c r="AJ287" s="1037" t="str">
        <f>IF(AI287="","",VLOOKUP(AI287,リスト!BW:BX,2,0))</f>
        <v/>
      </c>
      <c r="AK287" s="1037" t="str">
        <f t="shared" si="110"/>
        <v/>
      </c>
      <c r="AL287" s="685" t="str">
        <f t="shared" si="99"/>
        <v/>
      </c>
      <c r="AM287" s="646" t="str">
        <f t="shared" si="100"/>
        <v/>
      </c>
      <c r="AN287" s="646" t="str">
        <f t="shared" si="101"/>
        <v/>
      </c>
      <c r="AO287" s="647" t="str">
        <f t="shared" si="102"/>
        <v/>
      </c>
      <c r="AP287" s="647" t="str">
        <f t="shared" si="111"/>
        <v/>
      </c>
      <c r="AQ287" s="647" t="str">
        <f t="shared" si="103"/>
        <v/>
      </c>
      <c r="AR287" s="647" t="str">
        <f t="shared" si="104"/>
        <v/>
      </c>
      <c r="AS287" s="647" t="str">
        <f t="shared" si="105"/>
        <v/>
      </c>
      <c r="AT287" s="647" t="str">
        <f t="shared" si="112"/>
        <v/>
      </c>
      <c r="AU287" s="647" t="str">
        <f t="shared" si="106"/>
        <v/>
      </c>
      <c r="AV287" s="647" t="str">
        <f t="shared" si="107"/>
        <v/>
      </c>
      <c r="AW287" s="647" t="str">
        <f t="shared" si="108"/>
        <v/>
      </c>
      <c r="AX287" s="647" t="str">
        <f t="shared" si="109"/>
        <v/>
      </c>
    </row>
    <row r="288" spans="3:50" s="5" customFormat="1" ht="28.15" hidden="1" customHeight="1" outlineLevel="1">
      <c r="C288" s="649">
        <v>272</v>
      </c>
      <c r="D288" s="1855"/>
      <c r="E288" s="1856"/>
      <c r="F288" s="1856"/>
      <c r="G288" s="1856"/>
      <c r="H288" s="1856"/>
      <c r="I288" s="1856"/>
      <c r="J288" s="1857"/>
      <c r="K288" s="702"/>
      <c r="L288" s="1054"/>
      <c r="M288" s="666"/>
      <c r="N288" s="266"/>
      <c r="O288" s="1040"/>
      <c r="P288" s="1041"/>
      <c r="Q288" s="267"/>
      <c r="R288" s="267"/>
      <c r="S288" s="267"/>
      <c r="T288" s="267"/>
      <c r="U288" s="267"/>
      <c r="V288" s="267"/>
      <c r="W288" s="254"/>
      <c r="X288" s="703"/>
      <c r="Y288" s="125"/>
      <c r="Z288" s="431"/>
      <c r="AA288" s="499"/>
      <c r="AB288" s="741"/>
      <c r="AC288" s="51"/>
      <c r="AD288" s="51"/>
      <c r="AE288" s="645" t="str">
        <f t="shared" si="1"/>
        <v/>
      </c>
      <c r="AF288" s="1037" t="str">
        <f t="shared" si="2"/>
        <v/>
      </c>
      <c r="AG288" s="1037" t="str">
        <f t="shared" si="3"/>
        <v/>
      </c>
      <c r="AH288" s="1037" t="str">
        <f>IF(AE288="","",VLOOKUP(AE288,リスト!BI:BJ,2,0))</f>
        <v/>
      </c>
      <c r="AI288" s="1037" t="str">
        <f t="shared" si="113"/>
        <v/>
      </c>
      <c r="AJ288" s="1037" t="str">
        <f>IF(AI288="","",VLOOKUP(AI288,リスト!BW:BX,2,0))</f>
        <v/>
      </c>
      <c r="AK288" s="1037" t="str">
        <f t="shared" si="110"/>
        <v/>
      </c>
      <c r="AL288" s="685" t="str">
        <f t="shared" si="6"/>
        <v/>
      </c>
      <c r="AM288" s="646" t="str">
        <f t="shared" si="7"/>
        <v/>
      </c>
      <c r="AN288" s="646" t="str">
        <f t="shared" ref="AN288:AN316" si="114">IF(OR(AE288="",AF288=1),"",
IF(X288="",AL288,
IF(X288="2：廃棄等",SUM(AM288,Y288),
IF(X288="1：売却",AM288-Y288,
IF(AND(Y288="",AL288=""),"",SUM(Y288,AL288))))))</f>
        <v/>
      </c>
      <c r="AO288" s="647" t="str">
        <f t="shared" ref="AO288:AO316" si="115">IF(AND(AN288="",AL288=""),"",
IF(OR(X288="2：廃棄等",X288="1：売却"),SUM(AN288)-SUM(AL288),""))</f>
        <v/>
      </c>
      <c r="AP288" s="647" t="str">
        <f t="shared" si="111"/>
        <v/>
      </c>
      <c r="AQ288" s="647" t="str">
        <f t="shared" si="9"/>
        <v/>
      </c>
      <c r="AR288" s="647" t="str">
        <f t="shared" si="10"/>
        <v/>
      </c>
      <c r="AS288" s="647" t="str">
        <f t="shared" si="11"/>
        <v/>
      </c>
      <c r="AT288" s="647" t="str">
        <f t="shared" si="112"/>
        <v/>
      </c>
      <c r="AU288" s="647" t="str">
        <f t="shared" si="13"/>
        <v/>
      </c>
      <c r="AV288" s="647" t="str">
        <f t="shared" si="14"/>
        <v/>
      </c>
      <c r="AW288" s="647" t="str">
        <f t="shared" si="15"/>
        <v/>
      </c>
      <c r="AX288" s="647" t="str">
        <f t="shared" si="16"/>
        <v/>
      </c>
    </row>
    <row r="289" spans="3:50" s="5" customFormat="1" ht="28.15" hidden="1" customHeight="1" outlineLevel="1">
      <c r="C289" s="649">
        <v>273</v>
      </c>
      <c r="D289" s="1865"/>
      <c r="E289" s="1866"/>
      <c r="F289" s="1866"/>
      <c r="G289" s="1866"/>
      <c r="H289" s="1866"/>
      <c r="I289" s="1866"/>
      <c r="J289" s="1866"/>
      <c r="K289" s="704"/>
      <c r="L289" s="1055"/>
      <c r="M289" s="705"/>
      <c r="N289" s="257"/>
      <c r="O289" s="1042"/>
      <c r="P289" s="1041"/>
      <c r="Q289" s="256"/>
      <c r="R289" s="267"/>
      <c r="S289" s="256"/>
      <c r="T289" s="256"/>
      <c r="U289" s="256"/>
      <c r="V289" s="256"/>
      <c r="W289" s="254"/>
      <c r="X289" s="703"/>
      <c r="Y289" s="125"/>
      <c r="Z289" s="431"/>
      <c r="AA289" s="499"/>
      <c r="AB289" s="741"/>
      <c r="AC289" s="51"/>
      <c r="AD289" s="51"/>
      <c r="AE289" s="645" t="str">
        <f t="shared" si="1"/>
        <v/>
      </c>
      <c r="AF289" s="1037" t="str">
        <f t="shared" si="2"/>
        <v/>
      </c>
      <c r="AG289" s="1037" t="str">
        <f t="shared" si="3"/>
        <v/>
      </c>
      <c r="AH289" s="1037" t="str">
        <f>IF(AE289="","",VLOOKUP(AE289,リスト!BI:BJ,2,0))</f>
        <v/>
      </c>
      <c r="AI289" s="1037" t="str">
        <f t="shared" si="113"/>
        <v/>
      </c>
      <c r="AJ289" s="1037" t="str">
        <f>IF(AI289="","",VLOOKUP(AI289,リスト!BW:BX,2,0))</f>
        <v/>
      </c>
      <c r="AK289" s="1037" t="str">
        <f t="shared" si="110"/>
        <v/>
      </c>
      <c r="AL289" s="685" t="str">
        <f t="shared" si="6"/>
        <v/>
      </c>
      <c r="AM289" s="646" t="str">
        <f t="shared" si="7"/>
        <v/>
      </c>
      <c r="AN289" s="646" t="str">
        <f t="shared" si="114"/>
        <v/>
      </c>
      <c r="AO289" s="647" t="str">
        <f t="shared" si="115"/>
        <v/>
      </c>
      <c r="AP289" s="647" t="str">
        <f t="shared" si="111"/>
        <v/>
      </c>
      <c r="AQ289" s="647" t="str">
        <f t="shared" si="9"/>
        <v/>
      </c>
      <c r="AR289" s="647" t="str">
        <f t="shared" si="10"/>
        <v/>
      </c>
      <c r="AS289" s="647" t="str">
        <f t="shared" si="11"/>
        <v/>
      </c>
      <c r="AT289" s="647" t="str">
        <f t="shared" si="112"/>
        <v/>
      </c>
      <c r="AU289" s="647" t="str">
        <f t="shared" si="13"/>
        <v/>
      </c>
      <c r="AV289" s="647" t="str">
        <f t="shared" si="14"/>
        <v/>
      </c>
      <c r="AW289" s="647" t="str">
        <f t="shared" si="15"/>
        <v/>
      </c>
      <c r="AX289" s="647" t="str">
        <f t="shared" si="16"/>
        <v/>
      </c>
    </row>
    <row r="290" spans="3:50" s="5" customFormat="1" ht="28.15" hidden="1" customHeight="1" outlineLevel="1">
      <c r="C290" s="649">
        <v>274</v>
      </c>
      <c r="D290" s="1855"/>
      <c r="E290" s="1856"/>
      <c r="F290" s="1856"/>
      <c r="G290" s="1856"/>
      <c r="H290" s="1856"/>
      <c r="I290" s="1856"/>
      <c r="J290" s="1856"/>
      <c r="K290" s="702"/>
      <c r="L290" s="1054"/>
      <c r="M290" s="705"/>
      <c r="N290" s="255"/>
      <c r="O290" s="1040"/>
      <c r="P290" s="1041"/>
      <c r="Q290" s="256"/>
      <c r="R290" s="267"/>
      <c r="S290" s="256"/>
      <c r="T290" s="256"/>
      <c r="U290" s="256"/>
      <c r="V290" s="256"/>
      <c r="W290" s="254"/>
      <c r="X290" s="703"/>
      <c r="Y290" s="125"/>
      <c r="Z290" s="431"/>
      <c r="AA290" s="499"/>
      <c r="AB290" s="741"/>
      <c r="AC290" s="51"/>
      <c r="AD290" s="51"/>
      <c r="AE290" s="645" t="str">
        <f t="shared" si="1"/>
        <v/>
      </c>
      <c r="AF290" s="1037" t="str">
        <f t="shared" si="2"/>
        <v/>
      </c>
      <c r="AG290" s="1037" t="str">
        <f t="shared" si="3"/>
        <v/>
      </c>
      <c r="AH290" s="1037" t="str">
        <f>IF(AE290="","",VLOOKUP(AE290,リスト!BI:BJ,2,0))</f>
        <v/>
      </c>
      <c r="AI290" s="1037" t="str">
        <f t="shared" si="113"/>
        <v/>
      </c>
      <c r="AJ290" s="1037" t="str">
        <f>IF(AI290="","",VLOOKUP(AI290,リスト!BW:BX,2,0))</f>
        <v/>
      </c>
      <c r="AK290" s="1037" t="str">
        <f t="shared" si="110"/>
        <v/>
      </c>
      <c r="AL290" s="685" t="str">
        <f t="shared" si="6"/>
        <v/>
      </c>
      <c r="AM290" s="646" t="str">
        <f t="shared" si="7"/>
        <v/>
      </c>
      <c r="AN290" s="646" t="str">
        <f t="shared" si="114"/>
        <v/>
      </c>
      <c r="AO290" s="647" t="str">
        <f t="shared" si="115"/>
        <v/>
      </c>
      <c r="AP290" s="647" t="str">
        <f t="shared" si="111"/>
        <v/>
      </c>
      <c r="AQ290" s="647" t="str">
        <f t="shared" si="9"/>
        <v/>
      </c>
      <c r="AR290" s="647" t="str">
        <f t="shared" si="10"/>
        <v/>
      </c>
      <c r="AS290" s="647" t="str">
        <f t="shared" si="11"/>
        <v/>
      </c>
      <c r="AT290" s="647" t="str">
        <f t="shared" si="112"/>
        <v/>
      </c>
      <c r="AU290" s="647" t="str">
        <f t="shared" si="13"/>
        <v/>
      </c>
      <c r="AV290" s="647" t="str">
        <f t="shared" si="14"/>
        <v/>
      </c>
      <c r="AW290" s="647" t="str">
        <f t="shared" si="15"/>
        <v/>
      </c>
      <c r="AX290" s="647" t="str">
        <f t="shared" si="16"/>
        <v/>
      </c>
    </row>
    <row r="291" spans="3:50" s="5" customFormat="1" ht="28.15" hidden="1" customHeight="1" outlineLevel="1">
      <c r="C291" s="649">
        <v>275</v>
      </c>
      <c r="D291" s="1865"/>
      <c r="E291" s="1866"/>
      <c r="F291" s="1866"/>
      <c r="G291" s="1866"/>
      <c r="H291" s="1866"/>
      <c r="I291" s="1866"/>
      <c r="J291" s="1866"/>
      <c r="K291" s="704"/>
      <c r="L291" s="1055"/>
      <c r="M291" s="705"/>
      <c r="N291" s="257"/>
      <c r="O291" s="1042"/>
      <c r="P291" s="1041"/>
      <c r="Q291" s="256"/>
      <c r="R291" s="267"/>
      <c r="S291" s="256"/>
      <c r="T291" s="256"/>
      <c r="U291" s="256"/>
      <c r="V291" s="256"/>
      <c r="W291" s="254"/>
      <c r="X291" s="703"/>
      <c r="Y291" s="125"/>
      <c r="Z291" s="431"/>
      <c r="AA291" s="499"/>
      <c r="AB291" s="741"/>
      <c r="AC291" s="51"/>
      <c r="AD291" s="51"/>
      <c r="AE291" s="645" t="str">
        <f t="shared" si="1"/>
        <v/>
      </c>
      <c r="AF291" s="1037" t="str">
        <f t="shared" si="2"/>
        <v/>
      </c>
      <c r="AG291" s="1037" t="str">
        <f t="shared" si="3"/>
        <v/>
      </c>
      <c r="AH291" s="1037" t="str">
        <f>IF(AE291="","",VLOOKUP(AE291,リスト!BI:BJ,2,0))</f>
        <v/>
      </c>
      <c r="AI291" s="1037" t="str">
        <f t="shared" si="113"/>
        <v/>
      </c>
      <c r="AJ291" s="1037" t="str">
        <f>IF(AI291="","",VLOOKUP(AI291,リスト!BW:BX,2,0))</f>
        <v/>
      </c>
      <c r="AK291" s="1037" t="str">
        <f t="shared" si="110"/>
        <v/>
      </c>
      <c r="AL291" s="685" t="str">
        <f t="shared" si="6"/>
        <v/>
      </c>
      <c r="AM291" s="646" t="str">
        <f t="shared" si="7"/>
        <v/>
      </c>
      <c r="AN291" s="646" t="str">
        <f t="shared" si="114"/>
        <v/>
      </c>
      <c r="AO291" s="647" t="str">
        <f t="shared" si="115"/>
        <v/>
      </c>
      <c r="AP291" s="647" t="str">
        <f t="shared" si="111"/>
        <v/>
      </c>
      <c r="AQ291" s="647" t="str">
        <f t="shared" si="9"/>
        <v/>
      </c>
      <c r="AR291" s="647" t="str">
        <f t="shared" si="10"/>
        <v/>
      </c>
      <c r="AS291" s="647" t="str">
        <f t="shared" si="11"/>
        <v/>
      </c>
      <c r="AT291" s="647" t="str">
        <f t="shared" si="112"/>
        <v/>
      </c>
      <c r="AU291" s="647" t="str">
        <f t="shared" si="13"/>
        <v/>
      </c>
      <c r="AV291" s="647" t="str">
        <f t="shared" si="14"/>
        <v/>
      </c>
      <c r="AW291" s="647" t="str">
        <f t="shared" si="15"/>
        <v/>
      </c>
      <c r="AX291" s="647" t="str">
        <f t="shared" si="16"/>
        <v/>
      </c>
    </row>
    <row r="292" spans="3:50" s="5" customFormat="1" ht="28.15" hidden="1" customHeight="1" outlineLevel="1">
      <c r="C292" s="649">
        <v>276</v>
      </c>
      <c r="D292" s="1855"/>
      <c r="E292" s="1856"/>
      <c r="F292" s="1856"/>
      <c r="G292" s="1856"/>
      <c r="H292" s="1856"/>
      <c r="I292" s="1856"/>
      <c r="J292" s="1856"/>
      <c r="K292" s="702"/>
      <c r="L292" s="1054"/>
      <c r="M292" s="705"/>
      <c r="N292" s="255"/>
      <c r="O292" s="1040"/>
      <c r="P292" s="1041"/>
      <c r="Q292" s="256"/>
      <c r="R292" s="267"/>
      <c r="S292" s="256"/>
      <c r="T292" s="256"/>
      <c r="U292" s="256"/>
      <c r="V292" s="256"/>
      <c r="W292" s="254"/>
      <c r="X292" s="703"/>
      <c r="Y292" s="125"/>
      <c r="Z292" s="431"/>
      <c r="AA292" s="499"/>
      <c r="AB292" s="741"/>
      <c r="AC292" s="51"/>
      <c r="AD292" s="51"/>
      <c r="AE292" s="645" t="str">
        <f t="shared" si="1"/>
        <v/>
      </c>
      <c r="AF292" s="1037" t="str">
        <f t="shared" si="2"/>
        <v/>
      </c>
      <c r="AG292" s="1037" t="str">
        <f t="shared" si="3"/>
        <v/>
      </c>
      <c r="AH292" s="1037" t="str">
        <f>IF(AE292="","",VLOOKUP(AE292,リスト!BI:BJ,2,0))</f>
        <v/>
      </c>
      <c r="AI292" s="1037" t="str">
        <f t="shared" si="113"/>
        <v/>
      </c>
      <c r="AJ292" s="1037" t="str">
        <f>IF(AI292="","",VLOOKUP(AI292,リスト!BW:BX,2,0))</f>
        <v/>
      </c>
      <c r="AK292" s="1037" t="str">
        <f t="shared" si="110"/>
        <v/>
      </c>
      <c r="AL292" s="685" t="str">
        <f t="shared" si="6"/>
        <v/>
      </c>
      <c r="AM292" s="646" t="str">
        <f t="shared" si="7"/>
        <v/>
      </c>
      <c r="AN292" s="646" t="str">
        <f t="shared" si="114"/>
        <v/>
      </c>
      <c r="AO292" s="647" t="str">
        <f t="shared" si="115"/>
        <v/>
      </c>
      <c r="AP292" s="647" t="str">
        <f t="shared" si="111"/>
        <v/>
      </c>
      <c r="AQ292" s="647" t="str">
        <f t="shared" si="9"/>
        <v/>
      </c>
      <c r="AR292" s="647" t="str">
        <f t="shared" si="10"/>
        <v/>
      </c>
      <c r="AS292" s="647" t="str">
        <f t="shared" si="11"/>
        <v/>
      </c>
      <c r="AT292" s="647" t="str">
        <f t="shared" si="112"/>
        <v/>
      </c>
      <c r="AU292" s="647" t="str">
        <f t="shared" si="13"/>
        <v/>
      </c>
      <c r="AV292" s="647" t="str">
        <f t="shared" si="14"/>
        <v/>
      </c>
      <c r="AW292" s="647" t="str">
        <f t="shared" si="15"/>
        <v/>
      </c>
      <c r="AX292" s="647" t="str">
        <f t="shared" si="16"/>
        <v/>
      </c>
    </row>
    <row r="293" spans="3:50" s="5" customFormat="1" ht="28.15" hidden="1" customHeight="1" outlineLevel="1">
      <c r="C293" s="649">
        <v>277</v>
      </c>
      <c r="D293" s="1865"/>
      <c r="E293" s="1866"/>
      <c r="F293" s="1866"/>
      <c r="G293" s="1866"/>
      <c r="H293" s="1866"/>
      <c r="I293" s="1866"/>
      <c r="J293" s="1866"/>
      <c r="K293" s="704"/>
      <c r="L293" s="1055"/>
      <c r="M293" s="705"/>
      <c r="N293" s="257"/>
      <c r="O293" s="1042"/>
      <c r="P293" s="1041"/>
      <c r="Q293" s="256"/>
      <c r="R293" s="267"/>
      <c r="S293" s="256"/>
      <c r="T293" s="256"/>
      <c r="U293" s="256"/>
      <c r="V293" s="256"/>
      <c r="W293" s="254"/>
      <c r="X293" s="703"/>
      <c r="Y293" s="125"/>
      <c r="Z293" s="431"/>
      <c r="AA293" s="499"/>
      <c r="AB293" s="741"/>
      <c r="AC293" s="51"/>
      <c r="AD293" s="51"/>
      <c r="AE293" s="645" t="str">
        <f t="shared" si="1"/>
        <v/>
      </c>
      <c r="AF293" s="1037" t="str">
        <f t="shared" si="2"/>
        <v/>
      </c>
      <c r="AG293" s="1037" t="str">
        <f t="shared" si="3"/>
        <v/>
      </c>
      <c r="AH293" s="1037" t="str">
        <f>IF(AE293="","",VLOOKUP(AE293,リスト!BI:BJ,2,0))</f>
        <v/>
      </c>
      <c r="AI293" s="1037" t="str">
        <f t="shared" si="113"/>
        <v/>
      </c>
      <c r="AJ293" s="1037" t="str">
        <f>IF(AI293="","",VLOOKUP(AI293,リスト!BW:BX,2,0))</f>
        <v/>
      </c>
      <c r="AK293" s="1037" t="str">
        <f t="shared" si="110"/>
        <v/>
      </c>
      <c r="AL293" s="685" t="str">
        <f t="shared" si="6"/>
        <v/>
      </c>
      <c r="AM293" s="646" t="str">
        <f t="shared" si="7"/>
        <v/>
      </c>
      <c r="AN293" s="646" t="str">
        <f t="shared" si="114"/>
        <v/>
      </c>
      <c r="AO293" s="647" t="str">
        <f t="shared" si="115"/>
        <v/>
      </c>
      <c r="AP293" s="647" t="str">
        <f t="shared" si="111"/>
        <v/>
      </c>
      <c r="AQ293" s="647" t="str">
        <f t="shared" si="9"/>
        <v/>
      </c>
      <c r="AR293" s="647" t="str">
        <f t="shared" si="10"/>
        <v/>
      </c>
      <c r="AS293" s="647" t="str">
        <f t="shared" si="11"/>
        <v/>
      </c>
      <c r="AT293" s="647" t="str">
        <f t="shared" si="112"/>
        <v/>
      </c>
      <c r="AU293" s="647" t="str">
        <f t="shared" si="13"/>
        <v/>
      </c>
      <c r="AV293" s="647" t="str">
        <f t="shared" si="14"/>
        <v/>
      </c>
      <c r="AW293" s="647" t="str">
        <f t="shared" si="15"/>
        <v/>
      </c>
      <c r="AX293" s="647" t="str">
        <f t="shared" si="16"/>
        <v/>
      </c>
    </row>
    <row r="294" spans="3:50" s="5" customFormat="1" ht="28.15" hidden="1" customHeight="1" outlineLevel="1">
      <c r="C294" s="649">
        <v>278</v>
      </c>
      <c r="D294" s="1855"/>
      <c r="E294" s="1856"/>
      <c r="F294" s="1856"/>
      <c r="G294" s="1856"/>
      <c r="H294" s="1856"/>
      <c r="I294" s="1856"/>
      <c r="J294" s="1856"/>
      <c r="K294" s="702"/>
      <c r="L294" s="1054"/>
      <c r="M294" s="705"/>
      <c r="N294" s="255"/>
      <c r="O294" s="1040"/>
      <c r="P294" s="1041"/>
      <c r="Q294" s="256"/>
      <c r="R294" s="267"/>
      <c r="S294" s="256"/>
      <c r="T294" s="256"/>
      <c r="U294" s="256"/>
      <c r="V294" s="256"/>
      <c r="W294" s="254"/>
      <c r="X294" s="703"/>
      <c r="Y294" s="125"/>
      <c r="Z294" s="431"/>
      <c r="AA294" s="499"/>
      <c r="AB294" s="741"/>
      <c r="AC294" s="51"/>
      <c r="AD294" s="51"/>
      <c r="AE294" s="645" t="str">
        <f t="shared" si="1"/>
        <v/>
      </c>
      <c r="AF294" s="1037" t="str">
        <f t="shared" si="2"/>
        <v/>
      </c>
      <c r="AG294" s="1037" t="str">
        <f t="shared" si="3"/>
        <v/>
      </c>
      <c r="AH294" s="1037" t="str">
        <f>IF(AE294="","",VLOOKUP(AE294,リスト!BI:BJ,2,0))</f>
        <v/>
      </c>
      <c r="AI294" s="1037" t="str">
        <f t="shared" si="113"/>
        <v/>
      </c>
      <c r="AJ294" s="1037" t="str">
        <f>IF(AI294="","",VLOOKUP(AI294,リスト!BW:BX,2,0))</f>
        <v/>
      </c>
      <c r="AK294" s="1037" t="str">
        <f t="shared" si="110"/>
        <v/>
      </c>
      <c r="AL294" s="685" t="str">
        <f t="shared" si="6"/>
        <v/>
      </c>
      <c r="AM294" s="646" t="str">
        <f t="shared" si="7"/>
        <v/>
      </c>
      <c r="AN294" s="646" t="str">
        <f t="shared" si="114"/>
        <v/>
      </c>
      <c r="AO294" s="647" t="str">
        <f t="shared" si="115"/>
        <v/>
      </c>
      <c r="AP294" s="647" t="str">
        <f t="shared" si="111"/>
        <v/>
      </c>
      <c r="AQ294" s="647" t="str">
        <f t="shared" si="9"/>
        <v/>
      </c>
      <c r="AR294" s="647" t="str">
        <f t="shared" si="10"/>
        <v/>
      </c>
      <c r="AS294" s="647" t="str">
        <f t="shared" si="11"/>
        <v/>
      </c>
      <c r="AT294" s="647" t="str">
        <f t="shared" si="112"/>
        <v/>
      </c>
      <c r="AU294" s="647" t="str">
        <f t="shared" si="13"/>
        <v/>
      </c>
      <c r="AV294" s="647" t="str">
        <f t="shared" si="14"/>
        <v/>
      </c>
      <c r="AW294" s="647" t="str">
        <f t="shared" si="15"/>
        <v/>
      </c>
      <c r="AX294" s="647" t="str">
        <f t="shared" si="16"/>
        <v/>
      </c>
    </row>
    <row r="295" spans="3:50" s="5" customFormat="1" ht="28.15" hidden="1" customHeight="1" outlineLevel="1">
      <c r="C295" s="649">
        <v>279</v>
      </c>
      <c r="D295" s="1855"/>
      <c r="E295" s="1856"/>
      <c r="F295" s="1856"/>
      <c r="G295" s="1856"/>
      <c r="H295" s="1856"/>
      <c r="I295" s="1856"/>
      <c r="J295" s="1856"/>
      <c r="K295" s="702"/>
      <c r="L295" s="1054"/>
      <c r="M295" s="705"/>
      <c r="N295" s="255"/>
      <c r="O295" s="1040"/>
      <c r="P295" s="1041"/>
      <c r="Q295" s="256"/>
      <c r="R295" s="267"/>
      <c r="S295" s="256"/>
      <c r="T295" s="256"/>
      <c r="U295" s="256"/>
      <c r="V295" s="256"/>
      <c r="W295" s="254"/>
      <c r="X295" s="703"/>
      <c r="Y295" s="125"/>
      <c r="Z295" s="431"/>
      <c r="AA295" s="499"/>
      <c r="AB295" s="741"/>
      <c r="AC295" s="51"/>
      <c r="AD295" s="51"/>
      <c r="AE295" s="645" t="str">
        <f t="shared" ref="AE295:AE304" si="116">IF(AND(K295="",L295=""),"","["&amp;RIGHT(LEFT(K295,2),1)&amp;RIGHT(LEFT(L295,2),1)&amp;"]")</f>
        <v/>
      </c>
      <c r="AF295" s="1037" t="str">
        <f t="shared" ref="AF295:AF304" si="117">IF(AE295="","",IF(Q295&lt;100000,1,0))</f>
        <v/>
      </c>
      <c r="AG295" s="1037" t="str">
        <f t="shared" ref="AG295:AG304" si="118">IF(AE295="","",IF(AND(AF295=0,Q295&lt;200000),1,))</f>
        <v/>
      </c>
      <c r="AH295" s="1037" t="str">
        <f>IF(AE295="","",VLOOKUP(AE295,リスト!BI:BJ,2,0))</f>
        <v/>
      </c>
      <c r="AI295" s="1037" t="str">
        <f t="shared" si="113"/>
        <v/>
      </c>
      <c r="AJ295" s="1037" t="str">
        <f>IF(AI295="","",VLOOKUP(AI295,リスト!BW:BX,2,0))</f>
        <v/>
      </c>
      <c r="AK295" s="1037" t="str">
        <f t="shared" si="110"/>
        <v/>
      </c>
      <c r="AL295" s="685" t="str">
        <f t="shared" ref="AL295:AL304" si="119">IF(OR(AE295="",AF295=1),"",
IF(AND(AI295&gt;0,AK295&lt;AI295,AM295&lt;=ROUND((Q295-1)*AJ295,0)),ROUND(AM295,0),
IF(AND(AI295&gt;0,AK295&lt;AI295),ROUND((Q295-1)*AJ295,0),
"")))</f>
        <v/>
      </c>
      <c r="AM295" s="646" t="str">
        <f t="shared" ref="AM295:AM304" si="120">IF(OR(AE295="",AF295=1),"",
IF(AND(AI295&gt;0,AK295&lt;AI295),Q295-ROUND((Q295-1)*AJ295*AK295,0),1
))</f>
        <v/>
      </c>
      <c r="AN295" s="646" t="str">
        <f t="shared" ref="AN295:AN304" si="121">IF(OR(AE295="",AF295=1),"",
IF(X295="",AL295,
IF(X295="2：廃棄等",SUM(AM295,Y295),
IF(X295="1：売却",AM295-Y295,
IF(AND(Y295="",AL295=""),"",SUM(Y295,AL295))))))</f>
        <v/>
      </c>
      <c r="AO295" s="647" t="str">
        <f t="shared" ref="AO295:AO304" si="122">IF(AND(AN295="",AL295=""),"",
IF(OR(X295="2：廃棄等",X295="1：売却"),SUM(AN295)-SUM(AL295),""))</f>
        <v/>
      </c>
      <c r="AP295" s="647" t="str">
        <f t="shared" si="111"/>
        <v/>
      </c>
      <c r="AQ295" s="647" t="str">
        <f t="shared" ref="AQ295:AQ304" si="123">IF(W295="","",IF(AN295="","",ROUND(AN295*W295%,0)))</f>
        <v/>
      </c>
      <c r="AR295" s="647" t="str">
        <f t="shared" ref="AR295:AR304" si="124">IF(W295="","",IF(AO295="","",ROUND(AO295*W295%,0)))</f>
        <v/>
      </c>
      <c r="AS295" s="647" t="str">
        <f t="shared" ref="AS295:AS304" si="125">IF(W295="","",IF(AM295="","",ROUND(AM295*W295%,0)))</f>
        <v/>
      </c>
      <c r="AT295" s="647" t="str">
        <f t="shared" si="112"/>
        <v/>
      </c>
      <c r="AU295" s="647" t="str">
        <f t="shared" ref="AU295:AU304" si="126">IF(W295="","",IF(S295="","",ROUND(S295*W295%,0)))</f>
        <v/>
      </c>
      <c r="AV295" s="647" t="str">
        <f t="shared" ref="AV295:AV304" si="127">IF(W295="","",IF(T295="","",ROUND(T295*W295%,0)))</f>
        <v/>
      </c>
      <c r="AW295" s="647" t="str">
        <f t="shared" ref="AW295:AW304" si="128">IF(W295="","",IF(U295="","",ROUND(U295*W295%,0)))</f>
        <v/>
      </c>
      <c r="AX295" s="647" t="str">
        <f t="shared" ref="AX295:AX304" si="129">IF(W295="","",IF(V295="","",ROUND(V295*W295%,0)))</f>
        <v/>
      </c>
    </row>
    <row r="296" spans="3:50" s="5" customFormat="1" ht="28.15" hidden="1" customHeight="1" outlineLevel="1">
      <c r="C296" s="649">
        <v>280</v>
      </c>
      <c r="D296" s="1865"/>
      <c r="E296" s="1866"/>
      <c r="F296" s="1866"/>
      <c r="G296" s="1866"/>
      <c r="H296" s="1866"/>
      <c r="I296" s="1866"/>
      <c r="J296" s="1866"/>
      <c r="K296" s="704"/>
      <c r="L296" s="1055"/>
      <c r="M296" s="705"/>
      <c r="N296" s="255"/>
      <c r="O296" s="1042"/>
      <c r="P296" s="1041"/>
      <c r="Q296" s="256"/>
      <c r="R296" s="267"/>
      <c r="S296" s="256"/>
      <c r="T296" s="256"/>
      <c r="U296" s="256"/>
      <c r="V296" s="256"/>
      <c r="W296" s="254"/>
      <c r="X296" s="703"/>
      <c r="Y296" s="125"/>
      <c r="Z296" s="431"/>
      <c r="AA296" s="499"/>
      <c r="AB296" s="741"/>
      <c r="AC296" s="51"/>
      <c r="AD296" s="51"/>
      <c r="AE296" s="645" t="str">
        <f t="shared" si="116"/>
        <v/>
      </c>
      <c r="AF296" s="1037" t="str">
        <f t="shared" si="117"/>
        <v/>
      </c>
      <c r="AG296" s="1037" t="str">
        <f t="shared" si="118"/>
        <v/>
      </c>
      <c r="AH296" s="1037" t="str">
        <f>IF(AE296="","",VLOOKUP(AE296,リスト!BI:BJ,2,0))</f>
        <v/>
      </c>
      <c r="AI296" s="1037" t="str">
        <f t="shared" si="113"/>
        <v/>
      </c>
      <c r="AJ296" s="1037" t="str">
        <f>IF(AI296="","",VLOOKUP(AI296,リスト!BW:BX,2,0))</f>
        <v/>
      </c>
      <c r="AK296" s="1037" t="str">
        <f t="shared" si="110"/>
        <v/>
      </c>
      <c r="AL296" s="685" t="str">
        <f t="shared" si="119"/>
        <v/>
      </c>
      <c r="AM296" s="646" t="str">
        <f t="shared" si="120"/>
        <v/>
      </c>
      <c r="AN296" s="646" t="str">
        <f t="shared" si="121"/>
        <v/>
      </c>
      <c r="AO296" s="647" t="str">
        <f t="shared" si="122"/>
        <v/>
      </c>
      <c r="AP296" s="647" t="str">
        <f t="shared" si="111"/>
        <v/>
      </c>
      <c r="AQ296" s="647" t="str">
        <f t="shared" si="123"/>
        <v/>
      </c>
      <c r="AR296" s="647" t="str">
        <f t="shared" si="124"/>
        <v/>
      </c>
      <c r="AS296" s="647" t="str">
        <f t="shared" si="125"/>
        <v/>
      </c>
      <c r="AT296" s="647" t="str">
        <f t="shared" si="112"/>
        <v/>
      </c>
      <c r="AU296" s="647" t="str">
        <f t="shared" si="126"/>
        <v/>
      </c>
      <c r="AV296" s="647" t="str">
        <f t="shared" si="127"/>
        <v/>
      </c>
      <c r="AW296" s="647" t="str">
        <f t="shared" si="128"/>
        <v/>
      </c>
      <c r="AX296" s="647" t="str">
        <f t="shared" si="129"/>
        <v/>
      </c>
    </row>
    <row r="297" spans="3:50" s="5" customFormat="1" ht="28.15" hidden="1" customHeight="1" outlineLevel="1">
      <c r="C297" s="649">
        <v>281</v>
      </c>
      <c r="D297" s="1855"/>
      <c r="E297" s="1856"/>
      <c r="F297" s="1856"/>
      <c r="G297" s="1856"/>
      <c r="H297" s="1856"/>
      <c r="I297" s="1856"/>
      <c r="J297" s="1856"/>
      <c r="K297" s="702"/>
      <c r="L297" s="1054"/>
      <c r="M297" s="705"/>
      <c r="N297" s="255"/>
      <c r="O297" s="1040"/>
      <c r="P297" s="1041"/>
      <c r="Q297" s="256"/>
      <c r="R297" s="267"/>
      <c r="S297" s="256"/>
      <c r="T297" s="256"/>
      <c r="U297" s="256"/>
      <c r="V297" s="256"/>
      <c r="W297" s="254"/>
      <c r="X297" s="703"/>
      <c r="Y297" s="125"/>
      <c r="Z297" s="431"/>
      <c r="AA297" s="499"/>
      <c r="AB297" s="741"/>
      <c r="AC297" s="51"/>
      <c r="AD297" s="51"/>
      <c r="AE297" s="645" t="str">
        <f t="shared" si="116"/>
        <v/>
      </c>
      <c r="AF297" s="1037" t="str">
        <f t="shared" si="117"/>
        <v/>
      </c>
      <c r="AG297" s="1037" t="str">
        <f t="shared" si="118"/>
        <v/>
      </c>
      <c r="AH297" s="1037" t="str">
        <f>IF(AE297="","",VLOOKUP(AE297,リスト!BI:BJ,2,0))</f>
        <v/>
      </c>
      <c r="AI297" s="1037" t="str">
        <f t="shared" si="113"/>
        <v/>
      </c>
      <c r="AJ297" s="1037" t="str">
        <f>IF(AI297="","",VLOOKUP(AI297,リスト!BW:BX,2,0))</f>
        <v/>
      </c>
      <c r="AK297" s="1037" t="str">
        <f t="shared" si="110"/>
        <v/>
      </c>
      <c r="AL297" s="685" t="str">
        <f t="shared" si="119"/>
        <v/>
      </c>
      <c r="AM297" s="646" t="str">
        <f t="shared" si="120"/>
        <v/>
      </c>
      <c r="AN297" s="646" t="str">
        <f t="shared" si="121"/>
        <v/>
      </c>
      <c r="AO297" s="647" t="str">
        <f t="shared" si="122"/>
        <v/>
      </c>
      <c r="AP297" s="647" t="str">
        <f t="shared" si="111"/>
        <v/>
      </c>
      <c r="AQ297" s="647" t="str">
        <f t="shared" si="123"/>
        <v/>
      </c>
      <c r="AR297" s="647" t="str">
        <f t="shared" si="124"/>
        <v/>
      </c>
      <c r="AS297" s="647" t="str">
        <f t="shared" si="125"/>
        <v/>
      </c>
      <c r="AT297" s="647" t="str">
        <f t="shared" si="112"/>
        <v/>
      </c>
      <c r="AU297" s="647" t="str">
        <f t="shared" si="126"/>
        <v/>
      </c>
      <c r="AV297" s="647" t="str">
        <f t="shared" si="127"/>
        <v/>
      </c>
      <c r="AW297" s="647" t="str">
        <f t="shared" si="128"/>
        <v/>
      </c>
      <c r="AX297" s="647" t="str">
        <f t="shared" si="129"/>
        <v/>
      </c>
    </row>
    <row r="298" spans="3:50" s="5" customFormat="1" ht="28.15" hidden="1" customHeight="1" outlineLevel="1">
      <c r="C298" s="649">
        <v>282</v>
      </c>
      <c r="D298" s="1865"/>
      <c r="E298" s="1866"/>
      <c r="F298" s="1866"/>
      <c r="G298" s="1866"/>
      <c r="H298" s="1866"/>
      <c r="I298" s="1866"/>
      <c r="J298" s="1866"/>
      <c r="K298" s="704"/>
      <c r="L298" s="1055"/>
      <c r="M298" s="705"/>
      <c r="N298" s="255"/>
      <c r="O298" s="1042"/>
      <c r="P298" s="1043"/>
      <c r="Q298" s="256"/>
      <c r="R298" s="267"/>
      <c r="S298" s="256"/>
      <c r="T298" s="256"/>
      <c r="U298" s="256"/>
      <c r="V298" s="256"/>
      <c r="W298" s="254"/>
      <c r="X298" s="703"/>
      <c r="Y298" s="125"/>
      <c r="Z298" s="431"/>
      <c r="AA298" s="499"/>
      <c r="AB298" s="741"/>
      <c r="AC298" s="51"/>
      <c r="AD298" s="51"/>
      <c r="AE298" s="645" t="str">
        <f t="shared" si="116"/>
        <v/>
      </c>
      <c r="AF298" s="1037" t="str">
        <f t="shared" si="117"/>
        <v/>
      </c>
      <c r="AG298" s="1037" t="str">
        <f t="shared" si="118"/>
        <v/>
      </c>
      <c r="AH298" s="1037" t="str">
        <f>IF(AE298="","",VLOOKUP(AE298,リスト!BI:BJ,2,0))</f>
        <v/>
      </c>
      <c r="AI298" s="1037" t="str">
        <f t="shared" si="113"/>
        <v/>
      </c>
      <c r="AJ298" s="1037" t="str">
        <f>IF(AI298="","",VLOOKUP(AI298,リスト!BW:BX,2,0))</f>
        <v/>
      </c>
      <c r="AK298" s="1037" t="str">
        <f t="shared" si="110"/>
        <v/>
      </c>
      <c r="AL298" s="685" t="str">
        <f t="shared" si="119"/>
        <v/>
      </c>
      <c r="AM298" s="646" t="str">
        <f t="shared" si="120"/>
        <v/>
      </c>
      <c r="AN298" s="646" t="str">
        <f t="shared" si="121"/>
        <v/>
      </c>
      <c r="AO298" s="647" t="str">
        <f t="shared" si="122"/>
        <v/>
      </c>
      <c r="AP298" s="647" t="str">
        <f t="shared" si="111"/>
        <v/>
      </c>
      <c r="AQ298" s="647" t="str">
        <f t="shared" si="123"/>
        <v/>
      </c>
      <c r="AR298" s="647" t="str">
        <f t="shared" si="124"/>
        <v/>
      </c>
      <c r="AS298" s="647" t="str">
        <f t="shared" si="125"/>
        <v/>
      </c>
      <c r="AT298" s="647" t="str">
        <f t="shared" si="112"/>
        <v/>
      </c>
      <c r="AU298" s="647" t="str">
        <f t="shared" si="126"/>
        <v/>
      </c>
      <c r="AV298" s="647" t="str">
        <f t="shared" si="127"/>
        <v/>
      </c>
      <c r="AW298" s="647" t="str">
        <f t="shared" si="128"/>
        <v/>
      </c>
      <c r="AX298" s="647" t="str">
        <f t="shared" si="129"/>
        <v/>
      </c>
    </row>
    <row r="299" spans="3:50" s="5" customFormat="1" ht="28.15" hidden="1" customHeight="1" outlineLevel="1">
      <c r="C299" s="649">
        <v>283</v>
      </c>
      <c r="D299" s="1855"/>
      <c r="E299" s="1856"/>
      <c r="F299" s="1856"/>
      <c r="G299" s="1856"/>
      <c r="H299" s="1856"/>
      <c r="I299" s="1856"/>
      <c r="J299" s="1856"/>
      <c r="K299" s="702"/>
      <c r="L299" s="1054"/>
      <c r="M299" s="705"/>
      <c r="N299" s="255"/>
      <c r="O299" s="1040"/>
      <c r="P299" s="1044"/>
      <c r="Q299" s="256"/>
      <c r="R299" s="267"/>
      <c r="S299" s="256"/>
      <c r="T299" s="256"/>
      <c r="U299" s="256"/>
      <c r="V299" s="256"/>
      <c r="W299" s="254"/>
      <c r="X299" s="703"/>
      <c r="Y299" s="125"/>
      <c r="Z299" s="431"/>
      <c r="AA299" s="499"/>
      <c r="AB299" s="741"/>
      <c r="AC299" s="51"/>
      <c r="AD299" s="51"/>
      <c r="AE299" s="645" t="str">
        <f t="shared" si="116"/>
        <v/>
      </c>
      <c r="AF299" s="1037" t="str">
        <f t="shared" si="117"/>
        <v/>
      </c>
      <c r="AG299" s="1037" t="str">
        <f t="shared" si="118"/>
        <v/>
      </c>
      <c r="AH299" s="1037" t="str">
        <f>IF(AE299="","",VLOOKUP(AE299,リスト!BI:BJ,2,0))</f>
        <v/>
      </c>
      <c r="AI299" s="1037" t="str">
        <f t="shared" si="113"/>
        <v/>
      </c>
      <c r="AJ299" s="1037" t="str">
        <f>IF(AI299="","",VLOOKUP(AI299,リスト!BW:BX,2,0))</f>
        <v/>
      </c>
      <c r="AK299" s="1037" t="str">
        <f t="shared" si="110"/>
        <v/>
      </c>
      <c r="AL299" s="685" t="str">
        <f t="shared" si="119"/>
        <v/>
      </c>
      <c r="AM299" s="646" t="str">
        <f t="shared" si="120"/>
        <v/>
      </c>
      <c r="AN299" s="646" t="str">
        <f t="shared" si="121"/>
        <v/>
      </c>
      <c r="AO299" s="647" t="str">
        <f t="shared" si="122"/>
        <v/>
      </c>
      <c r="AP299" s="647" t="str">
        <f t="shared" si="111"/>
        <v/>
      </c>
      <c r="AQ299" s="647" t="str">
        <f t="shared" si="123"/>
        <v/>
      </c>
      <c r="AR299" s="647" t="str">
        <f t="shared" si="124"/>
        <v/>
      </c>
      <c r="AS299" s="647" t="str">
        <f t="shared" si="125"/>
        <v/>
      </c>
      <c r="AT299" s="647" t="str">
        <f t="shared" si="112"/>
        <v/>
      </c>
      <c r="AU299" s="647" t="str">
        <f t="shared" si="126"/>
        <v/>
      </c>
      <c r="AV299" s="647" t="str">
        <f t="shared" si="127"/>
        <v/>
      </c>
      <c r="AW299" s="647" t="str">
        <f t="shared" si="128"/>
        <v/>
      </c>
      <c r="AX299" s="647" t="str">
        <f t="shared" si="129"/>
        <v/>
      </c>
    </row>
    <row r="300" spans="3:50" s="5" customFormat="1" ht="28.15" hidden="1" customHeight="1" outlineLevel="1">
      <c r="C300" s="649">
        <v>284</v>
      </c>
      <c r="D300" s="1855"/>
      <c r="E300" s="1856"/>
      <c r="F300" s="1856"/>
      <c r="G300" s="1856"/>
      <c r="H300" s="1856"/>
      <c r="I300" s="1856"/>
      <c r="J300" s="1856"/>
      <c r="K300" s="702"/>
      <c r="L300" s="1054"/>
      <c r="M300" s="705"/>
      <c r="N300" s="255"/>
      <c r="O300" s="1040"/>
      <c r="P300" s="1044"/>
      <c r="Q300" s="256"/>
      <c r="R300" s="267"/>
      <c r="S300" s="256"/>
      <c r="T300" s="256"/>
      <c r="U300" s="256"/>
      <c r="V300" s="256"/>
      <c r="W300" s="254"/>
      <c r="X300" s="703"/>
      <c r="Y300" s="125"/>
      <c r="Z300" s="431"/>
      <c r="AA300" s="499"/>
      <c r="AB300" s="741"/>
      <c r="AC300" s="51"/>
      <c r="AD300" s="51"/>
      <c r="AE300" s="645" t="str">
        <f t="shared" si="116"/>
        <v/>
      </c>
      <c r="AF300" s="1037" t="str">
        <f t="shared" si="117"/>
        <v/>
      </c>
      <c r="AG300" s="1037" t="str">
        <f t="shared" si="118"/>
        <v/>
      </c>
      <c r="AH300" s="1037" t="str">
        <f>IF(AE300="","",VLOOKUP(AE300,リスト!BI:BJ,2,0))</f>
        <v/>
      </c>
      <c r="AI300" s="1037" t="str">
        <f t="shared" si="113"/>
        <v/>
      </c>
      <c r="AJ300" s="1037" t="str">
        <f>IF(AI300="","",VLOOKUP(AI300,リスト!BW:BX,2,0))</f>
        <v/>
      </c>
      <c r="AK300" s="1037" t="str">
        <f t="shared" si="110"/>
        <v/>
      </c>
      <c r="AL300" s="685" t="str">
        <f t="shared" si="119"/>
        <v/>
      </c>
      <c r="AM300" s="646" t="str">
        <f t="shared" si="120"/>
        <v/>
      </c>
      <c r="AN300" s="646" t="str">
        <f t="shared" si="121"/>
        <v/>
      </c>
      <c r="AO300" s="647" t="str">
        <f t="shared" si="122"/>
        <v/>
      </c>
      <c r="AP300" s="647" t="str">
        <f t="shared" si="111"/>
        <v/>
      </c>
      <c r="AQ300" s="647" t="str">
        <f t="shared" si="123"/>
        <v/>
      </c>
      <c r="AR300" s="647" t="str">
        <f t="shared" si="124"/>
        <v/>
      </c>
      <c r="AS300" s="647" t="str">
        <f t="shared" si="125"/>
        <v/>
      </c>
      <c r="AT300" s="647" t="str">
        <f t="shared" si="112"/>
        <v/>
      </c>
      <c r="AU300" s="647" t="str">
        <f t="shared" si="126"/>
        <v/>
      </c>
      <c r="AV300" s="647" t="str">
        <f t="shared" si="127"/>
        <v/>
      </c>
      <c r="AW300" s="647" t="str">
        <f t="shared" si="128"/>
        <v/>
      </c>
      <c r="AX300" s="647" t="str">
        <f t="shared" si="129"/>
        <v/>
      </c>
    </row>
    <row r="301" spans="3:50" s="5" customFormat="1" ht="28.15" hidden="1" customHeight="1" outlineLevel="1">
      <c r="C301" s="649">
        <v>285</v>
      </c>
      <c r="D301" s="1855"/>
      <c r="E301" s="1856"/>
      <c r="F301" s="1856"/>
      <c r="G301" s="1856"/>
      <c r="H301" s="1856"/>
      <c r="I301" s="1856"/>
      <c r="J301" s="1856"/>
      <c r="K301" s="702"/>
      <c r="L301" s="1054"/>
      <c r="M301" s="705"/>
      <c r="N301" s="257"/>
      <c r="O301" s="1040"/>
      <c r="P301" s="1044"/>
      <c r="Q301" s="256"/>
      <c r="R301" s="267"/>
      <c r="S301" s="256"/>
      <c r="T301" s="256"/>
      <c r="U301" s="256"/>
      <c r="V301" s="256"/>
      <c r="W301" s="254"/>
      <c r="X301" s="703"/>
      <c r="Y301" s="125"/>
      <c r="Z301" s="431"/>
      <c r="AA301" s="499"/>
      <c r="AB301" s="741"/>
      <c r="AC301" s="51"/>
      <c r="AD301" s="51"/>
      <c r="AE301" s="645" t="str">
        <f t="shared" si="116"/>
        <v/>
      </c>
      <c r="AF301" s="1037" t="str">
        <f t="shared" si="117"/>
        <v/>
      </c>
      <c r="AG301" s="1037" t="str">
        <f t="shared" si="118"/>
        <v/>
      </c>
      <c r="AH301" s="1037" t="str">
        <f>IF(AE301="","",VLOOKUP(AE301,リスト!BI:BJ,2,0))</f>
        <v/>
      </c>
      <c r="AI301" s="1037" t="str">
        <f t="shared" si="113"/>
        <v/>
      </c>
      <c r="AJ301" s="1037" t="str">
        <f>IF(AI301="","",VLOOKUP(AI301,リスト!BW:BX,2,0))</f>
        <v/>
      </c>
      <c r="AK301" s="1037" t="str">
        <f t="shared" si="110"/>
        <v/>
      </c>
      <c r="AL301" s="685" t="str">
        <f t="shared" si="119"/>
        <v/>
      </c>
      <c r="AM301" s="646" t="str">
        <f t="shared" si="120"/>
        <v/>
      </c>
      <c r="AN301" s="646" t="str">
        <f t="shared" si="121"/>
        <v/>
      </c>
      <c r="AO301" s="647" t="str">
        <f t="shared" si="122"/>
        <v/>
      </c>
      <c r="AP301" s="647" t="str">
        <f t="shared" si="111"/>
        <v/>
      </c>
      <c r="AQ301" s="647" t="str">
        <f t="shared" si="123"/>
        <v/>
      </c>
      <c r="AR301" s="647" t="str">
        <f t="shared" si="124"/>
        <v/>
      </c>
      <c r="AS301" s="647" t="str">
        <f t="shared" si="125"/>
        <v/>
      </c>
      <c r="AT301" s="647" t="str">
        <f t="shared" si="112"/>
        <v/>
      </c>
      <c r="AU301" s="647" t="str">
        <f t="shared" si="126"/>
        <v/>
      </c>
      <c r="AV301" s="647" t="str">
        <f t="shared" si="127"/>
        <v/>
      </c>
      <c r="AW301" s="647" t="str">
        <f t="shared" si="128"/>
        <v/>
      </c>
      <c r="AX301" s="647" t="str">
        <f t="shared" si="129"/>
        <v/>
      </c>
    </row>
    <row r="302" spans="3:50" s="5" customFormat="1" ht="28.15" hidden="1" customHeight="1" outlineLevel="1">
      <c r="C302" s="649">
        <v>286</v>
      </c>
      <c r="D302" s="1855"/>
      <c r="E302" s="1856"/>
      <c r="F302" s="1856"/>
      <c r="G302" s="1856"/>
      <c r="H302" s="1856"/>
      <c r="I302" s="1856"/>
      <c r="J302" s="1856"/>
      <c r="K302" s="702"/>
      <c r="L302" s="1054"/>
      <c r="M302" s="705"/>
      <c r="N302" s="255"/>
      <c r="O302" s="1040"/>
      <c r="P302" s="1044"/>
      <c r="Q302" s="256"/>
      <c r="R302" s="267"/>
      <c r="S302" s="256"/>
      <c r="T302" s="256"/>
      <c r="U302" s="256"/>
      <c r="V302" s="256"/>
      <c r="W302" s="254"/>
      <c r="X302" s="703"/>
      <c r="Y302" s="125"/>
      <c r="Z302" s="431"/>
      <c r="AA302" s="499"/>
      <c r="AB302" s="741"/>
      <c r="AC302" s="51"/>
      <c r="AD302" s="51"/>
      <c r="AE302" s="645" t="str">
        <f t="shared" si="116"/>
        <v/>
      </c>
      <c r="AF302" s="1037" t="str">
        <f t="shared" si="117"/>
        <v/>
      </c>
      <c r="AG302" s="1037" t="str">
        <f t="shared" si="118"/>
        <v/>
      </c>
      <c r="AH302" s="1037" t="str">
        <f>IF(AE302="","",VLOOKUP(AE302,リスト!BI:BJ,2,0))</f>
        <v/>
      </c>
      <c r="AI302" s="1037" t="str">
        <f t="shared" si="113"/>
        <v/>
      </c>
      <c r="AJ302" s="1037" t="str">
        <f>IF(AI302="","",VLOOKUP(AI302,リスト!BW:BX,2,0))</f>
        <v/>
      </c>
      <c r="AK302" s="1037" t="str">
        <f t="shared" si="110"/>
        <v/>
      </c>
      <c r="AL302" s="685" t="str">
        <f t="shared" si="119"/>
        <v/>
      </c>
      <c r="AM302" s="646" t="str">
        <f t="shared" si="120"/>
        <v/>
      </c>
      <c r="AN302" s="646" t="str">
        <f t="shared" si="121"/>
        <v/>
      </c>
      <c r="AO302" s="647" t="str">
        <f t="shared" si="122"/>
        <v/>
      </c>
      <c r="AP302" s="647" t="str">
        <f t="shared" si="111"/>
        <v/>
      </c>
      <c r="AQ302" s="647" t="str">
        <f t="shared" si="123"/>
        <v/>
      </c>
      <c r="AR302" s="647" t="str">
        <f t="shared" si="124"/>
        <v/>
      </c>
      <c r="AS302" s="647" t="str">
        <f t="shared" si="125"/>
        <v/>
      </c>
      <c r="AT302" s="647" t="str">
        <f t="shared" si="112"/>
        <v/>
      </c>
      <c r="AU302" s="647" t="str">
        <f t="shared" si="126"/>
        <v/>
      </c>
      <c r="AV302" s="647" t="str">
        <f t="shared" si="127"/>
        <v/>
      </c>
      <c r="AW302" s="647" t="str">
        <f t="shared" si="128"/>
        <v/>
      </c>
      <c r="AX302" s="647" t="str">
        <f t="shared" si="129"/>
        <v/>
      </c>
    </row>
    <row r="303" spans="3:50" s="5" customFormat="1" ht="28.15" hidden="1" customHeight="1" outlineLevel="1">
      <c r="C303" s="649">
        <v>287</v>
      </c>
      <c r="D303" s="1855"/>
      <c r="E303" s="1856"/>
      <c r="F303" s="1856"/>
      <c r="G303" s="1856"/>
      <c r="H303" s="1856"/>
      <c r="I303" s="1856"/>
      <c r="J303" s="1856"/>
      <c r="K303" s="702"/>
      <c r="L303" s="1054"/>
      <c r="M303" s="705"/>
      <c r="N303" s="257"/>
      <c r="O303" s="1040"/>
      <c r="P303" s="1044"/>
      <c r="Q303" s="256"/>
      <c r="R303" s="267"/>
      <c r="S303" s="256"/>
      <c r="T303" s="256"/>
      <c r="U303" s="256"/>
      <c r="V303" s="256"/>
      <c r="W303" s="254"/>
      <c r="X303" s="703"/>
      <c r="Y303" s="125"/>
      <c r="Z303" s="431"/>
      <c r="AA303" s="499"/>
      <c r="AB303" s="741"/>
      <c r="AC303" s="51"/>
      <c r="AD303" s="51"/>
      <c r="AE303" s="645" t="str">
        <f t="shared" si="116"/>
        <v/>
      </c>
      <c r="AF303" s="1037" t="str">
        <f t="shared" si="117"/>
        <v/>
      </c>
      <c r="AG303" s="1037" t="str">
        <f t="shared" si="118"/>
        <v/>
      </c>
      <c r="AH303" s="1037" t="str">
        <f>IF(AE303="","",VLOOKUP(AE303,リスト!BI:BJ,2,0))</f>
        <v/>
      </c>
      <c r="AI303" s="1037" t="str">
        <f t="shared" si="113"/>
        <v/>
      </c>
      <c r="AJ303" s="1037" t="str">
        <f>IF(AI303="","",VLOOKUP(AI303,リスト!BW:BX,2,0))</f>
        <v/>
      </c>
      <c r="AK303" s="1037" t="str">
        <f t="shared" si="110"/>
        <v/>
      </c>
      <c r="AL303" s="685" t="str">
        <f t="shared" si="119"/>
        <v/>
      </c>
      <c r="AM303" s="646" t="str">
        <f t="shared" si="120"/>
        <v/>
      </c>
      <c r="AN303" s="646" t="str">
        <f t="shared" si="121"/>
        <v/>
      </c>
      <c r="AO303" s="647" t="str">
        <f t="shared" si="122"/>
        <v/>
      </c>
      <c r="AP303" s="647" t="str">
        <f t="shared" si="111"/>
        <v/>
      </c>
      <c r="AQ303" s="647" t="str">
        <f t="shared" si="123"/>
        <v/>
      </c>
      <c r="AR303" s="647" t="str">
        <f t="shared" si="124"/>
        <v/>
      </c>
      <c r="AS303" s="647" t="str">
        <f t="shared" si="125"/>
        <v/>
      </c>
      <c r="AT303" s="647" t="str">
        <f t="shared" si="112"/>
        <v/>
      </c>
      <c r="AU303" s="647" t="str">
        <f t="shared" si="126"/>
        <v/>
      </c>
      <c r="AV303" s="647" t="str">
        <f t="shared" si="127"/>
        <v/>
      </c>
      <c r="AW303" s="647" t="str">
        <f t="shared" si="128"/>
        <v/>
      </c>
      <c r="AX303" s="647" t="str">
        <f t="shared" si="129"/>
        <v/>
      </c>
    </row>
    <row r="304" spans="3:50" s="5" customFormat="1" ht="28.15" hidden="1" customHeight="1" outlineLevel="1">
      <c r="C304" s="649">
        <v>288</v>
      </c>
      <c r="D304" s="1855"/>
      <c r="E304" s="1856"/>
      <c r="F304" s="1856"/>
      <c r="G304" s="1856"/>
      <c r="H304" s="1856"/>
      <c r="I304" s="1856"/>
      <c r="J304" s="1856"/>
      <c r="K304" s="702"/>
      <c r="L304" s="1054"/>
      <c r="M304" s="705"/>
      <c r="N304" s="255"/>
      <c r="O304" s="1040"/>
      <c r="P304" s="1044"/>
      <c r="Q304" s="256"/>
      <c r="R304" s="267"/>
      <c r="S304" s="256"/>
      <c r="T304" s="256"/>
      <c r="U304" s="256"/>
      <c r="V304" s="256"/>
      <c r="W304" s="254"/>
      <c r="X304" s="703"/>
      <c r="Y304" s="125"/>
      <c r="Z304" s="431"/>
      <c r="AA304" s="499"/>
      <c r="AB304" s="741"/>
      <c r="AC304" s="51"/>
      <c r="AD304" s="51"/>
      <c r="AE304" s="645" t="str">
        <f t="shared" si="116"/>
        <v/>
      </c>
      <c r="AF304" s="1037" t="str">
        <f t="shared" si="117"/>
        <v/>
      </c>
      <c r="AG304" s="1037" t="str">
        <f t="shared" si="118"/>
        <v/>
      </c>
      <c r="AH304" s="1037" t="str">
        <f>IF(AE304="","",VLOOKUP(AE304,リスト!BI:BJ,2,0))</f>
        <v/>
      </c>
      <c r="AI304" s="1037" t="str">
        <f t="shared" si="113"/>
        <v/>
      </c>
      <c r="AJ304" s="1037" t="str">
        <f>IF(AI304="","",VLOOKUP(AI304,リスト!BW:BX,2,0))</f>
        <v/>
      </c>
      <c r="AK304" s="1037" t="str">
        <f t="shared" si="110"/>
        <v/>
      </c>
      <c r="AL304" s="685" t="str">
        <f t="shared" si="119"/>
        <v/>
      </c>
      <c r="AM304" s="646" t="str">
        <f t="shared" si="120"/>
        <v/>
      </c>
      <c r="AN304" s="646" t="str">
        <f t="shared" si="121"/>
        <v/>
      </c>
      <c r="AO304" s="647" t="str">
        <f t="shared" si="122"/>
        <v/>
      </c>
      <c r="AP304" s="647" t="str">
        <f t="shared" si="111"/>
        <v/>
      </c>
      <c r="AQ304" s="647" t="str">
        <f t="shared" si="123"/>
        <v/>
      </c>
      <c r="AR304" s="647" t="str">
        <f t="shared" si="124"/>
        <v/>
      </c>
      <c r="AS304" s="647" t="str">
        <f t="shared" si="125"/>
        <v/>
      </c>
      <c r="AT304" s="647" t="str">
        <f t="shared" si="112"/>
        <v/>
      </c>
      <c r="AU304" s="647" t="str">
        <f t="shared" si="126"/>
        <v/>
      </c>
      <c r="AV304" s="647" t="str">
        <f t="shared" si="127"/>
        <v/>
      </c>
      <c r="AW304" s="647" t="str">
        <f t="shared" si="128"/>
        <v/>
      </c>
      <c r="AX304" s="647" t="str">
        <f t="shared" si="129"/>
        <v/>
      </c>
    </row>
    <row r="305" spans="1:50" s="5" customFormat="1" ht="28.15" hidden="1" customHeight="1" outlineLevel="1">
      <c r="C305" s="649">
        <v>289</v>
      </c>
      <c r="D305" s="1865"/>
      <c r="E305" s="1866"/>
      <c r="F305" s="1866"/>
      <c r="G305" s="1866"/>
      <c r="H305" s="1866"/>
      <c r="I305" s="1866"/>
      <c r="J305" s="1866"/>
      <c r="K305" s="704"/>
      <c r="L305" s="1055"/>
      <c r="M305" s="705"/>
      <c r="N305" s="255"/>
      <c r="O305" s="1042"/>
      <c r="P305" s="1041"/>
      <c r="Q305" s="256"/>
      <c r="R305" s="267"/>
      <c r="S305" s="256"/>
      <c r="T305" s="256"/>
      <c r="U305" s="256"/>
      <c r="V305" s="256"/>
      <c r="W305" s="254"/>
      <c r="X305" s="703"/>
      <c r="Y305" s="125"/>
      <c r="Z305" s="431"/>
      <c r="AA305" s="499"/>
      <c r="AB305" s="741"/>
      <c r="AC305" s="51"/>
      <c r="AD305" s="51"/>
      <c r="AE305" s="645" t="str">
        <f t="shared" si="1"/>
        <v/>
      </c>
      <c r="AF305" s="1037" t="str">
        <f t="shared" si="2"/>
        <v/>
      </c>
      <c r="AG305" s="1037" t="str">
        <f t="shared" si="3"/>
        <v/>
      </c>
      <c r="AH305" s="1037" t="str">
        <f>IF(AE305="","",VLOOKUP(AE305,リスト!BI:BJ,2,0))</f>
        <v/>
      </c>
      <c r="AI305" s="1037" t="str">
        <f t="shared" si="113"/>
        <v/>
      </c>
      <c r="AJ305" s="1037" t="str">
        <f>IF(AI305="","",VLOOKUP(AI305,リスト!BW:BX,2,0))</f>
        <v/>
      </c>
      <c r="AK305" s="1037" t="str">
        <f t="shared" si="110"/>
        <v/>
      </c>
      <c r="AL305" s="685" t="str">
        <f t="shared" si="6"/>
        <v/>
      </c>
      <c r="AM305" s="646" t="str">
        <f t="shared" si="7"/>
        <v/>
      </c>
      <c r="AN305" s="646" t="str">
        <f t="shared" si="114"/>
        <v/>
      </c>
      <c r="AO305" s="647" t="str">
        <f t="shared" si="115"/>
        <v/>
      </c>
      <c r="AP305" s="647" t="str">
        <f t="shared" si="111"/>
        <v/>
      </c>
      <c r="AQ305" s="647" t="str">
        <f t="shared" si="9"/>
        <v/>
      </c>
      <c r="AR305" s="647" t="str">
        <f t="shared" si="10"/>
        <v/>
      </c>
      <c r="AS305" s="647" t="str">
        <f t="shared" si="11"/>
        <v/>
      </c>
      <c r="AT305" s="647" t="str">
        <f t="shared" si="112"/>
        <v/>
      </c>
      <c r="AU305" s="647" t="str">
        <f t="shared" si="13"/>
        <v/>
      </c>
      <c r="AV305" s="647" t="str">
        <f t="shared" si="14"/>
        <v/>
      </c>
      <c r="AW305" s="647" t="str">
        <f t="shared" si="15"/>
        <v/>
      </c>
      <c r="AX305" s="647" t="str">
        <f t="shared" si="16"/>
        <v/>
      </c>
    </row>
    <row r="306" spans="1:50" s="5" customFormat="1" ht="28.15" hidden="1" customHeight="1" outlineLevel="1">
      <c r="C306" s="649">
        <v>290</v>
      </c>
      <c r="D306" s="1855"/>
      <c r="E306" s="1856"/>
      <c r="F306" s="1856"/>
      <c r="G306" s="1856"/>
      <c r="H306" s="1856"/>
      <c r="I306" s="1856"/>
      <c r="J306" s="1856"/>
      <c r="K306" s="702"/>
      <c r="L306" s="1054"/>
      <c r="M306" s="705"/>
      <c r="N306" s="255"/>
      <c r="O306" s="1040"/>
      <c r="P306" s="1041"/>
      <c r="Q306" s="256"/>
      <c r="R306" s="267"/>
      <c r="S306" s="256"/>
      <c r="T306" s="256"/>
      <c r="U306" s="256"/>
      <c r="V306" s="256"/>
      <c r="W306" s="254"/>
      <c r="X306" s="703"/>
      <c r="Y306" s="125"/>
      <c r="Z306" s="431"/>
      <c r="AA306" s="499"/>
      <c r="AB306" s="741"/>
      <c r="AC306" s="51"/>
      <c r="AD306" s="51"/>
      <c r="AE306" s="645" t="str">
        <f t="shared" si="1"/>
        <v/>
      </c>
      <c r="AF306" s="1037" t="str">
        <f t="shared" si="2"/>
        <v/>
      </c>
      <c r="AG306" s="1037" t="str">
        <f t="shared" si="3"/>
        <v/>
      </c>
      <c r="AH306" s="1037" t="str">
        <f>IF(AE306="","",VLOOKUP(AE306,リスト!BI:BJ,2,0))</f>
        <v/>
      </c>
      <c r="AI306" s="1037" t="str">
        <f t="shared" si="113"/>
        <v/>
      </c>
      <c r="AJ306" s="1037" t="str">
        <f>IF(AI306="","",VLOOKUP(AI306,リスト!BW:BX,2,0))</f>
        <v/>
      </c>
      <c r="AK306" s="1037" t="str">
        <f t="shared" si="110"/>
        <v/>
      </c>
      <c r="AL306" s="685" t="str">
        <f t="shared" si="6"/>
        <v/>
      </c>
      <c r="AM306" s="646" t="str">
        <f t="shared" si="7"/>
        <v/>
      </c>
      <c r="AN306" s="646" t="str">
        <f t="shared" si="114"/>
        <v/>
      </c>
      <c r="AO306" s="647" t="str">
        <f t="shared" si="115"/>
        <v/>
      </c>
      <c r="AP306" s="647" t="str">
        <f t="shared" si="111"/>
        <v/>
      </c>
      <c r="AQ306" s="647" t="str">
        <f t="shared" si="9"/>
        <v/>
      </c>
      <c r="AR306" s="647" t="str">
        <f t="shared" si="10"/>
        <v/>
      </c>
      <c r="AS306" s="647" t="str">
        <f t="shared" si="11"/>
        <v/>
      </c>
      <c r="AT306" s="647" t="str">
        <f t="shared" si="112"/>
        <v/>
      </c>
      <c r="AU306" s="647" t="str">
        <f t="shared" si="13"/>
        <v/>
      </c>
      <c r="AV306" s="647" t="str">
        <f t="shared" si="14"/>
        <v/>
      </c>
      <c r="AW306" s="647" t="str">
        <f t="shared" si="15"/>
        <v/>
      </c>
      <c r="AX306" s="647" t="str">
        <f t="shared" si="16"/>
        <v/>
      </c>
    </row>
    <row r="307" spans="1:50" s="5" customFormat="1" ht="28.15" hidden="1" customHeight="1" outlineLevel="1">
      <c r="C307" s="649">
        <v>291</v>
      </c>
      <c r="D307" s="1865"/>
      <c r="E307" s="1866"/>
      <c r="F307" s="1866"/>
      <c r="G307" s="1866"/>
      <c r="H307" s="1866"/>
      <c r="I307" s="1866"/>
      <c r="J307" s="1866"/>
      <c r="K307" s="704"/>
      <c r="L307" s="1055"/>
      <c r="M307" s="705"/>
      <c r="N307" s="255"/>
      <c r="O307" s="1042"/>
      <c r="P307" s="1041"/>
      <c r="Q307" s="256"/>
      <c r="R307" s="267"/>
      <c r="S307" s="256"/>
      <c r="T307" s="256"/>
      <c r="U307" s="256"/>
      <c r="V307" s="256"/>
      <c r="W307" s="254"/>
      <c r="X307" s="703"/>
      <c r="Y307" s="125"/>
      <c r="Z307" s="431"/>
      <c r="AA307" s="499"/>
      <c r="AB307" s="741"/>
      <c r="AC307" s="51"/>
      <c r="AD307" s="51"/>
      <c r="AE307" s="645" t="str">
        <f t="shared" si="1"/>
        <v/>
      </c>
      <c r="AF307" s="1037" t="str">
        <f t="shared" si="2"/>
        <v/>
      </c>
      <c r="AG307" s="1037" t="str">
        <f t="shared" si="3"/>
        <v/>
      </c>
      <c r="AH307" s="1037" t="str">
        <f>IF(AE307="","",VLOOKUP(AE307,リスト!BI:BJ,2,0))</f>
        <v/>
      </c>
      <c r="AI307" s="1037" t="str">
        <f t="shared" si="113"/>
        <v/>
      </c>
      <c r="AJ307" s="1037" t="str">
        <f>IF(AI307="","",VLOOKUP(AI307,リスト!BW:BX,2,0))</f>
        <v/>
      </c>
      <c r="AK307" s="1037" t="str">
        <f t="shared" si="110"/>
        <v/>
      </c>
      <c r="AL307" s="685" t="str">
        <f t="shared" si="6"/>
        <v/>
      </c>
      <c r="AM307" s="646" t="str">
        <f t="shared" si="7"/>
        <v/>
      </c>
      <c r="AN307" s="646" t="str">
        <f t="shared" si="114"/>
        <v/>
      </c>
      <c r="AO307" s="647" t="str">
        <f t="shared" si="115"/>
        <v/>
      </c>
      <c r="AP307" s="647" t="str">
        <f t="shared" si="111"/>
        <v/>
      </c>
      <c r="AQ307" s="647" t="str">
        <f t="shared" si="9"/>
        <v/>
      </c>
      <c r="AR307" s="647" t="str">
        <f t="shared" si="10"/>
        <v/>
      </c>
      <c r="AS307" s="647" t="str">
        <f t="shared" si="11"/>
        <v/>
      </c>
      <c r="AT307" s="647" t="str">
        <f t="shared" si="112"/>
        <v/>
      </c>
      <c r="AU307" s="647" t="str">
        <f t="shared" si="13"/>
        <v/>
      </c>
      <c r="AV307" s="647" t="str">
        <f t="shared" si="14"/>
        <v/>
      </c>
      <c r="AW307" s="647" t="str">
        <f t="shared" si="15"/>
        <v/>
      </c>
      <c r="AX307" s="647" t="str">
        <f t="shared" si="16"/>
        <v/>
      </c>
    </row>
    <row r="308" spans="1:50" s="5" customFormat="1" ht="28.15" hidden="1" customHeight="1" outlineLevel="1">
      <c r="C308" s="649">
        <v>292</v>
      </c>
      <c r="D308" s="1855"/>
      <c r="E308" s="1856"/>
      <c r="F308" s="1856"/>
      <c r="G308" s="1856"/>
      <c r="H308" s="1856"/>
      <c r="I308" s="1856"/>
      <c r="J308" s="1856"/>
      <c r="K308" s="702"/>
      <c r="L308" s="1054"/>
      <c r="M308" s="705"/>
      <c r="N308" s="255"/>
      <c r="O308" s="1040"/>
      <c r="P308" s="1041"/>
      <c r="Q308" s="256"/>
      <c r="R308" s="267"/>
      <c r="S308" s="256"/>
      <c r="T308" s="256"/>
      <c r="U308" s="256"/>
      <c r="V308" s="256"/>
      <c r="W308" s="254"/>
      <c r="X308" s="703"/>
      <c r="Y308" s="125"/>
      <c r="Z308" s="431"/>
      <c r="AA308" s="499"/>
      <c r="AB308" s="741"/>
      <c r="AC308" s="51"/>
      <c r="AD308" s="51"/>
      <c r="AE308" s="645" t="str">
        <f t="shared" si="1"/>
        <v/>
      </c>
      <c r="AF308" s="1037" t="str">
        <f t="shared" si="2"/>
        <v/>
      </c>
      <c r="AG308" s="1037" t="str">
        <f t="shared" si="3"/>
        <v/>
      </c>
      <c r="AH308" s="1037" t="str">
        <f>IF(AE308="","",VLOOKUP(AE308,リスト!BI:BJ,2,0))</f>
        <v/>
      </c>
      <c r="AI308" s="1037" t="str">
        <f t="shared" si="113"/>
        <v/>
      </c>
      <c r="AJ308" s="1037" t="str">
        <f>IF(AI308="","",VLOOKUP(AI308,リスト!BW:BX,2,0))</f>
        <v/>
      </c>
      <c r="AK308" s="1037" t="str">
        <f t="shared" si="110"/>
        <v/>
      </c>
      <c r="AL308" s="685" t="str">
        <f t="shared" si="6"/>
        <v/>
      </c>
      <c r="AM308" s="646" t="str">
        <f t="shared" si="7"/>
        <v/>
      </c>
      <c r="AN308" s="646" t="str">
        <f t="shared" si="114"/>
        <v/>
      </c>
      <c r="AO308" s="647" t="str">
        <f t="shared" si="115"/>
        <v/>
      </c>
      <c r="AP308" s="647" t="str">
        <f t="shared" si="111"/>
        <v/>
      </c>
      <c r="AQ308" s="647" t="str">
        <f t="shared" si="9"/>
        <v/>
      </c>
      <c r="AR308" s="647" t="str">
        <f t="shared" si="10"/>
        <v/>
      </c>
      <c r="AS308" s="647" t="str">
        <f t="shared" si="11"/>
        <v/>
      </c>
      <c r="AT308" s="647" t="str">
        <f t="shared" si="112"/>
        <v/>
      </c>
      <c r="AU308" s="647" t="str">
        <f t="shared" si="13"/>
        <v/>
      </c>
      <c r="AV308" s="647" t="str">
        <f t="shared" si="14"/>
        <v/>
      </c>
      <c r="AW308" s="647" t="str">
        <f t="shared" si="15"/>
        <v/>
      </c>
      <c r="AX308" s="647" t="str">
        <f t="shared" si="16"/>
        <v/>
      </c>
    </row>
    <row r="309" spans="1:50" s="5" customFormat="1" ht="28.15" hidden="1" customHeight="1" outlineLevel="1">
      <c r="C309" s="649">
        <v>293</v>
      </c>
      <c r="D309" s="1865"/>
      <c r="E309" s="1866"/>
      <c r="F309" s="1866"/>
      <c r="G309" s="1866"/>
      <c r="H309" s="1866"/>
      <c r="I309" s="1866"/>
      <c r="J309" s="1866"/>
      <c r="K309" s="704"/>
      <c r="L309" s="1055"/>
      <c r="M309" s="705"/>
      <c r="N309" s="255"/>
      <c r="O309" s="1042"/>
      <c r="P309" s="1043"/>
      <c r="Q309" s="256"/>
      <c r="R309" s="267"/>
      <c r="S309" s="256"/>
      <c r="T309" s="256"/>
      <c r="U309" s="256"/>
      <c r="V309" s="256"/>
      <c r="W309" s="254"/>
      <c r="X309" s="703"/>
      <c r="Y309" s="125"/>
      <c r="Z309" s="431"/>
      <c r="AA309" s="499"/>
      <c r="AB309" s="741"/>
      <c r="AC309" s="51"/>
      <c r="AD309" s="51"/>
      <c r="AE309" s="645" t="str">
        <f t="shared" si="1"/>
        <v/>
      </c>
      <c r="AF309" s="1037" t="str">
        <f t="shared" si="2"/>
        <v/>
      </c>
      <c r="AG309" s="1037" t="str">
        <f t="shared" si="3"/>
        <v/>
      </c>
      <c r="AH309" s="1037" t="str">
        <f>IF(AE309="","",VLOOKUP(AE309,リスト!BI:BJ,2,0))</f>
        <v/>
      </c>
      <c r="AI309" s="1037" t="str">
        <f t="shared" si="113"/>
        <v/>
      </c>
      <c r="AJ309" s="1037" t="str">
        <f>IF(AI309="","",VLOOKUP(AI309,リスト!BW:BX,2,0))</f>
        <v/>
      </c>
      <c r="AK309" s="1037" t="str">
        <f t="shared" si="110"/>
        <v/>
      </c>
      <c r="AL309" s="685" t="str">
        <f t="shared" si="6"/>
        <v/>
      </c>
      <c r="AM309" s="646" t="str">
        <f t="shared" si="7"/>
        <v/>
      </c>
      <c r="AN309" s="646" t="str">
        <f t="shared" si="114"/>
        <v/>
      </c>
      <c r="AO309" s="647" t="str">
        <f t="shared" si="115"/>
        <v/>
      </c>
      <c r="AP309" s="647" t="str">
        <f t="shared" si="111"/>
        <v/>
      </c>
      <c r="AQ309" s="647" t="str">
        <f t="shared" si="9"/>
        <v/>
      </c>
      <c r="AR309" s="647" t="str">
        <f t="shared" si="10"/>
        <v/>
      </c>
      <c r="AS309" s="647" t="str">
        <f t="shared" si="11"/>
        <v/>
      </c>
      <c r="AT309" s="647" t="str">
        <f t="shared" si="112"/>
        <v/>
      </c>
      <c r="AU309" s="647" t="str">
        <f t="shared" si="13"/>
        <v/>
      </c>
      <c r="AV309" s="647" t="str">
        <f t="shared" si="14"/>
        <v/>
      </c>
      <c r="AW309" s="647" t="str">
        <f t="shared" si="15"/>
        <v/>
      </c>
      <c r="AX309" s="647" t="str">
        <f t="shared" si="16"/>
        <v/>
      </c>
    </row>
    <row r="310" spans="1:50" s="5" customFormat="1" ht="28.15" hidden="1" customHeight="1" outlineLevel="1">
      <c r="C310" s="649">
        <v>294</v>
      </c>
      <c r="D310" s="1855"/>
      <c r="E310" s="1856"/>
      <c r="F310" s="1856"/>
      <c r="G310" s="1856"/>
      <c r="H310" s="1856"/>
      <c r="I310" s="1856"/>
      <c r="J310" s="1856"/>
      <c r="K310" s="702"/>
      <c r="L310" s="1054"/>
      <c r="M310" s="705"/>
      <c r="N310" s="255"/>
      <c r="O310" s="1040"/>
      <c r="P310" s="1044"/>
      <c r="Q310" s="256"/>
      <c r="R310" s="267"/>
      <c r="S310" s="256"/>
      <c r="T310" s="256"/>
      <c r="U310" s="256"/>
      <c r="V310" s="256"/>
      <c r="W310" s="254"/>
      <c r="X310" s="703"/>
      <c r="Y310" s="125"/>
      <c r="Z310" s="431"/>
      <c r="AA310" s="499"/>
      <c r="AB310" s="741"/>
      <c r="AC310" s="51"/>
      <c r="AD310" s="51"/>
      <c r="AE310" s="645" t="str">
        <f t="shared" si="1"/>
        <v/>
      </c>
      <c r="AF310" s="1037" t="str">
        <f t="shared" si="2"/>
        <v/>
      </c>
      <c r="AG310" s="1037" t="str">
        <f t="shared" si="3"/>
        <v/>
      </c>
      <c r="AH310" s="1037" t="str">
        <f>IF(AE310="","",VLOOKUP(AE310,リスト!BI:BJ,2,0))</f>
        <v/>
      </c>
      <c r="AI310" s="1037" t="str">
        <f t="shared" si="113"/>
        <v/>
      </c>
      <c r="AJ310" s="1037" t="str">
        <f>IF(AI310="","",VLOOKUP(AI310,リスト!BW:BX,2,0))</f>
        <v/>
      </c>
      <c r="AK310" s="1037" t="str">
        <f t="shared" si="110"/>
        <v/>
      </c>
      <c r="AL310" s="685" t="str">
        <f t="shared" si="6"/>
        <v/>
      </c>
      <c r="AM310" s="646" t="str">
        <f t="shared" si="7"/>
        <v/>
      </c>
      <c r="AN310" s="646" t="str">
        <f t="shared" si="114"/>
        <v/>
      </c>
      <c r="AO310" s="647" t="str">
        <f t="shared" si="115"/>
        <v/>
      </c>
      <c r="AP310" s="647" t="str">
        <f t="shared" si="111"/>
        <v/>
      </c>
      <c r="AQ310" s="647" t="str">
        <f t="shared" si="9"/>
        <v/>
      </c>
      <c r="AR310" s="647" t="str">
        <f t="shared" si="10"/>
        <v/>
      </c>
      <c r="AS310" s="647" t="str">
        <f t="shared" si="11"/>
        <v/>
      </c>
      <c r="AT310" s="647" t="str">
        <f t="shared" si="112"/>
        <v/>
      </c>
      <c r="AU310" s="647" t="str">
        <f t="shared" si="13"/>
        <v/>
      </c>
      <c r="AV310" s="647" t="str">
        <f t="shared" si="14"/>
        <v/>
      </c>
      <c r="AW310" s="647" t="str">
        <f t="shared" si="15"/>
        <v/>
      </c>
      <c r="AX310" s="647" t="str">
        <f t="shared" si="16"/>
        <v/>
      </c>
    </row>
    <row r="311" spans="1:50" s="5" customFormat="1" ht="28.15" hidden="1" customHeight="1" outlineLevel="1">
      <c r="C311" s="649">
        <v>295</v>
      </c>
      <c r="D311" s="1855"/>
      <c r="E311" s="1856"/>
      <c r="F311" s="1856"/>
      <c r="G311" s="1856"/>
      <c r="H311" s="1856"/>
      <c r="I311" s="1856"/>
      <c r="J311" s="1856"/>
      <c r="K311" s="702"/>
      <c r="L311" s="1054"/>
      <c r="M311" s="705"/>
      <c r="N311" s="255"/>
      <c r="O311" s="1040"/>
      <c r="P311" s="1044"/>
      <c r="Q311" s="256"/>
      <c r="R311" s="267"/>
      <c r="S311" s="256"/>
      <c r="T311" s="256"/>
      <c r="U311" s="256"/>
      <c r="V311" s="256"/>
      <c r="W311" s="254"/>
      <c r="X311" s="703"/>
      <c r="Y311" s="125"/>
      <c r="Z311" s="431"/>
      <c r="AA311" s="499"/>
      <c r="AB311" s="741"/>
      <c r="AC311" s="51"/>
      <c r="AD311" s="51"/>
      <c r="AE311" s="645" t="str">
        <f t="shared" si="1"/>
        <v/>
      </c>
      <c r="AF311" s="1037" t="str">
        <f t="shared" si="2"/>
        <v/>
      </c>
      <c r="AG311" s="1037" t="str">
        <f t="shared" si="3"/>
        <v/>
      </c>
      <c r="AH311" s="1037" t="str">
        <f>IF(AE311="","",VLOOKUP(AE311,リスト!BI:BJ,2,0))</f>
        <v/>
      </c>
      <c r="AI311" s="1037" t="str">
        <f t="shared" si="113"/>
        <v/>
      </c>
      <c r="AJ311" s="1037" t="str">
        <f>IF(AI311="","",VLOOKUP(AI311,リスト!BW:BX,2,0))</f>
        <v/>
      </c>
      <c r="AK311" s="1037" t="str">
        <f t="shared" si="110"/>
        <v/>
      </c>
      <c r="AL311" s="685" t="str">
        <f t="shared" si="6"/>
        <v/>
      </c>
      <c r="AM311" s="646" t="str">
        <f t="shared" si="7"/>
        <v/>
      </c>
      <c r="AN311" s="646" t="str">
        <f t="shared" si="114"/>
        <v/>
      </c>
      <c r="AO311" s="647" t="str">
        <f t="shared" si="115"/>
        <v/>
      </c>
      <c r="AP311" s="647" t="str">
        <f t="shared" si="111"/>
        <v/>
      </c>
      <c r="AQ311" s="647" t="str">
        <f t="shared" si="9"/>
        <v/>
      </c>
      <c r="AR311" s="647" t="str">
        <f t="shared" si="10"/>
        <v/>
      </c>
      <c r="AS311" s="647" t="str">
        <f t="shared" si="11"/>
        <v/>
      </c>
      <c r="AT311" s="647" t="str">
        <f t="shared" si="112"/>
        <v/>
      </c>
      <c r="AU311" s="647" t="str">
        <f t="shared" si="13"/>
        <v/>
      </c>
      <c r="AV311" s="647" t="str">
        <f t="shared" si="14"/>
        <v/>
      </c>
      <c r="AW311" s="647" t="str">
        <f t="shared" si="15"/>
        <v/>
      </c>
      <c r="AX311" s="647" t="str">
        <f t="shared" si="16"/>
        <v/>
      </c>
    </row>
    <row r="312" spans="1:50" s="5" customFormat="1" ht="28.15" hidden="1" customHeight="1" outlineLevel="1">
      <c r="C312" s="649">
        <v>296</v>
      </c>
      <c r="D312" s="1855"/>
      <c r="E312" s="1856"/>
      <c r="F312" s="1856"/>
      <c r="G312" s="1856"/>
      <c r="H312" s="1856"/>
      <c r="I312" s="1856"/>
      <c r="J312" s="1856"/>
      <c r="K312" s="702"/>
      <c r="L312" s="1054"/>
      <c r="M312" s="705"/>
      <c r="N312" s="257"/>
      <c r="O312" s="1040"/>
      <c r="P312" s="1044"/>
      <c r="Q312" s="256"/>
      <c r="R312" s="267"/>
      <c r="S312" s="256"/>
      <c r="T312" s="256"/>
      <c r="U312" s="256"/>
      <c r="V312" s="256"/>
      <c r="W312" s="254"/>
      <c r="X312" s="703"/>
      <c r="Y312" s="125"/>
      <c r="Z312" s="431"/>
      <c r="AA312" s="499"/>
      <c r="AB312" s="741"/>
      <c r="AC312" s="51"/>
      <c r="AD312" s="51"/>
      <c r="AE312" s="645" t="str">
        <f t="shared" si="1"/>
        <v/>
      </c>
      <c r="AF312" s="1037" t="str">
        <f t="shared" si="2"/>
        <v/>
      </c>
      <c r="AG312" s="1037" t="str">
        <f t="shared" si="3"/>
        <v/>
      </c>
      <c r="AH312" s="1037" t="str">
        <f>IF(AE312="","",VLOOKUP(AE312,リスト!BI:BJ,2,0))</f>
        <v/>
      </c>
      <c r="AI312" s="1037" t="str">
        <f t="shared" si="113"/>
        <v/>
      </c>
      <c r="AJ312" s="1037" t="str">
        <f>IF(AI312="","",VLOOKUP(AI312,リスト!BW:BX,2,0))</f>
        <v/>
      </c>
      <c r="AK312" s="1037" t="str">
        <f t="shared" si="110"/>
        <v/>
      </c>
      <c r="AL312" s="685" t="str">
        <f t="shared" si="6"/>
        <v/>
      </c>
      <c r="AM312" s="646" t="str">
        <f t="shared" si="7"/>
        <v/>
      </c>
      <c r="AN312" s="646" t="str">
        <f t="shared" si="114"/>
        <v/>
      </c>
      <c r="AO312" s="647" t="str">
        <f t="shared" si="115"/>
        <v/>
      </c>
      <c r="AP312" s="647" t="str">
        <f t="shared" si="111"/>
        <v/>
      </c>
      <c r="AQ312" s="647" t="str">
        <f t="shared" si="9"/>
        <v/>
      </c>
      <c r="AR312" s="647" t="str">
        <f t="shared" si="10"/>
        <v/>
      </c>
      <c r="AS312" s="647" t="str">
        <f t="shared" si="11"/>
        <v/>
      </c>
      <c r="AT312" s="647" t="str">
        <f t="shared" si="112"/>
        <v/>
      </c>
      <c r="AU312" s="647" t="str">
        <f t="shared" si="13"/>
        <v/>
      </c>
      <c r="AV312" s="647" t="str">
        <f t="shared" si="14"/>
        <v/>
      </c>
      <c r="AW312" s="647" t="str">
        <f t="shared" si="15"/>
        <v/>
      </c>
      <c r="AX312" s="647" t="str">
        <f t="shared" si="16"/>
        <v/>
      </c>
    </row>
    <row r="313" spans="1:50" s="5" customFormat="1" ht="28.15" hidden="1" customHeight="1" outlineLevel="1">
      <c r="C313" s="649">
        <v>297</v>
      </c>
      <c r="D313" s="1855"/>
      <c r="E313" s="1856"/>
      <c r="F313" s="1856"/>
      <c r="G313" s="1856"/>
      <c r="H313" s="1856"/>
      <c r="I313" s="1856"/>
      <c r="J313" s="1856"/>
      <c r="K313" s="702"/>
      <c r="L313" s="1054"/>
      <c r="M313" s="705"/>
      <c r="N313" s="255"/>
      <c r="O313" s="1040"/>
      <c r="P313" s="1044"/>
      <c r="Q313" s="256"/>
      <c r="R313" s="267"/>
      <c r="S313" s="256"/>
      <c r="T313" s="256"/>
      <c r="U313" s="256"/>
      <c r="V313" s="256"/>
      <c r="W313" s="254"/>
      <c r="X313" s="703"/>
      <c r="Y313" s="125"/>
      <c r="Z313" s="431"/>
      <c r="AA313" s="499"/>
      <c r="AB313" s="741"/>
      <c r="AC313" s="51"/>
      <c r="AD313" s="51"/>
      <c r="AE313" s="645" t="str">
        <f t="shared" si="1"/>
        <v/>
      </c>
      <c r="AF313" s="1037" t="str">
        <f t="shared" si="2"/>
        <v/>
      </c>
      <c r="AG313" s="1037" t="str">
        <f t="shared" si="3"/>
        <v/>
      </c>
      <c r="AH313" s="1037" t="str">
        <f>IF(AE313="","",VLOOKUP(AE313,リスト!BI:BJ,2,0))</f>
        <v/>
      </c>
      <c r="AI313" s="1037" t="str">
        <f t="shared" si="113"/>
        <v/>
      </c>
      <c r="AJ313" s="1037" t="str">
        <f>IF(AI313="","",VLOOKUP(AI313,リスト!BW:BX,2,0))</f>
        <v/>
      </c>
      <c r="AK313" s="1037" t="str">
        <f t="shared" si="110"/>
        <v/>
      </c>
      <c r="AL313" s="685" t="str">
        <f t="shared" si="6"/>
        <v/>
      </c>
      <c r="AM313" s="646" t="str">
        <f t="shared" si="7"/>
        <v/>
      </c>
      <c r="AN313" s="646" t="str">
        <f t="shared" si="114"/>
        <v/>
      </c>
      <c r="AO313" s="647" t="str">
        <f t="shared" si="115"/>
        <v/>
      </c>
      <c r="AP313" s="647" t="str">
        <f t="shared" si="111"/>
        <v/>
      </c>
      <c r="AQ313" s="647" t="str">
        <f t="shared" si="9"/>
        <v/>
      </c>
      <c r="AR313" s="647" t="str">
        <f t="shared" si="10"/>
        <v/>
      </c>
      <c r="AS313" s="647" t="str">
        <f t="shared" si="11"/>
        <v/>
      </c>
      <c r="AT313" s="647" t="str">
        <f t="shared" si="112"/>
        <v/>
      </c>
      <c r="AU313" s="647" t="str">
        <f t="shared" si="13"/>
        <v/>
      </c>
      <c r="AV313" s="647" t="str">
        <f t="shared" si="14"/>
        <v/>
      </c>
      <c r="AW313" s="647" t="str">
        <f t="shared" si="15"/>
        <v/>
      </c>
      <c r="AX313" s="647" t="str">
        <f t="shared" si="16"/>
        <v/>
      </c>
    </row>
    <row r="314" spans="1:50" s="5" customFormat="1" ht="28.15" hidden="1" customHeight="1" outlineLevel="1">
      <c r="C314" s="649">
        <v>298</v>
      </c>
      <c r="D314" s="1855"/>
      <c r="E314" s="1856"/>
      <c r="F314" s="1856"/>
      <c r="G314" s="1856"/>
      <c r="H314" s="1856"/>
      <c r="I314" s="1856"/>
      <c r="J314" s="1856"/>
      <c r="K314" s="702"/>
      <c r="L314" s="1054"/>
      <c r="M314" s="705"/>
      <c r="N314" s="257"/>
      <c r="O314" s="1040"/>
      <c r="P314" s="1044"/>
      <c r="Q314" s="256"/>
      <c r="R314" s="267"/>
      <c r="S314" s="256"/>
      <c r="T314" s="256"/>
      <c r="U314" s="256"/>
      <c r="V314" s="256"/>
      <c r="W314" s="254"/>
      <c r="X314" s="703"/>
      <c r="Y314" s="125"/>
      <c r="Z314" s="431"/>
      <c r="AA314" s="499"/>
      <c r="AB314" s="741"/>
      <c r="AC314" s="51"/>
      <c r="AD314" s="51"/>
      <c r="AE314" s="645" t="str">
        <f t="shared" si="1"/>
        <v/>
      </c>
      <c r="AF314" s="1037" t="str">
        <f t="shared" si="2"/>
        <v/>
      </c>
      <c r="AG314" s="1037" t="str">
        <f t="shared" si="3"/>
        <v/>
      </c>
      <c r="AH314" s="1037" t="str">
        <f>IF(AE314="","",VLOOKUP(AE314,リスト!BI:BJ,2,0))</f>
        <v/>
      </c>
      <c r="AI314" s="1037" t="str">
        <f t="shared" si="113"/>
        <v/>
      </c>
      <c r="AJ314" s="1037" t="str">
        <f>IF(AI314="","",VLOOKUP(AI314,リスト!BW:BX,2,0))</f>
        <v/>
      </c>
      <c r="AK314" s="1037" t="str">
        <f t="shared" si="110"/>
        <v/>
      </c>
      <c r="AL314" s="685" t="str">
        <f t="shared" si="6"/>
        <v/>
      </c>
      <c r="AM314" s="646" t="str">
        <f t="shared" si="7"/>
        <v/>
      </c>
      <c r="AN314" s="646" t="str">
        <f t="shared" si="114"/>
        <v/>
      </c>
      <c r="AO314" s="647" t="str">
        <f t="shared" si="115"/>
        <v/>
      </c>
      <c r="AP314" s="647" t="str">
        <f t="shared" si="111"/>
        <v/>
      </c>
      <c r="AQ314" s="647" t="str">
        <f t="shared" si="9"/>
        <v/>
      </c>
      <c r="AR314" s="647" t="str">
        <f t="shared" si="10"/>
        <v/>
      </c>
      <c r="AS314" s="647" t="str">
        <f t="shared" si="11"/>
        <v/>
      </c>
      <c r="AT314" s="647" t="str">
        <f t="shared" si="112"/>
        <v/>
      </c>
      <c r="AU314" s="647" t="str">
        <f t="shared" si="13"/>
        <v/>
      </c>
      <c r="AV314" s="647" t="str">
        <f t="shared" si="14"/>
        <v/>
      </c>
      <c r="AW314" s="647" t="str">
        <f t="shared" si="15"/>
        <v/>
      </c>
      <c r="AX314" s="647" t="str">
        <f t="shared" si="16"/>
        <v/>
      </c>
    </row>
    <row r="315" spans="1:50" s="5" customFormat="1" ht="28.15" hidden="1" customHeight="1" outlineLevel="1">
      <c r="C315" s="649">
        <v>299</v>
      </c>
      <c r="D315" s="1855"/>
      <c r="E315" s="1856"/>
      <c r="F315" s="1856"/>
      <c r="G315" s="1856"/>
      <c r="H315" s="1856"/>
      <c r="I315" s="1856"/>
      <c r="J315" s="1856"/>
      <c r="K315" s="702"/>
      <c r="L315" s="1054"/>
      <c r="M315" s="705"/>
      <c r="N315" s="255"/>
      <c r="O315" s="1040"/>
      <c r="P315" s="1044"/>
      <c r="Q315" s="256"/>
      <c r="R315" s="267"/>
      <c r="S315" s="256"/>
      <c r="T315" s="256"/>
      <c r="U315" s="256"/>
      <c r="V315" s="256"/>
      <c r="W315" s="254"/>
      <c r="X315" s="703"/>
      <c r="Y315" s="125"/>
      <c r="Z315" s="431"/>
      <c r="AA315" s="499"/>
      <c r="AB315" s="741"/>
      <c r="AC315" s="51"/>
      <c r="AD315" s="51"/>
      <c r="AE315" s="645" t="str">
        <f t="shared" si="1"/>
        <v/>
      </c>
      <c r="AF315" s="1037" t="str">
        <f t="shared" si="2"/>
        <v/>
      </c>
      <c r="AG315" s="1037" t="str">
        <f t="shared" si="3"/>
        <v/>
      </c>
      <c r="AH315" s="1037" t="str">
        <f>IF(AE315="","",VLOOKUP(AE315,リスト!BI:BJ,2,0))</f>
        <v/>
      </c>
      <c r="AI315" s="1037" t="str">
        <f t="shared" si="113"/>
        <v/>
      </c>
      <c r="AJ315" s="1037" t="str">
        <f>IF(AI315="","",VLOOKUP(AI315,リスト!BW:BX,2,0))</f>
        <v/>
      </c>
      <c r="AK315" s="1037" t="str">
        <f t="shared" si="110"/>
        <v/>
      </c>
      <c r="AL315" s="685" t="str">
        <f t="shared" si="6"/>
        <v/>
      </c>
      <c r="AM315" s="646" t="str">
        <f t="shared" si="7"/>
        <v/>
      </c>
      <c r="AN315" s="646" t="str">
        <f t="shared" si="114"/>
        <v/>
      </c>
      <c r="AO315" s="647" t="str">
        <f t="shared" si="115"/>
        <v/>
      </c>
      <c r="AP315" s="647" t="str">
        <f t="shared" si="111"/>
        <v/>
      </c>
      <c r="AQ315" s="647" t="str">
        <f t="shared" si="9"/>
        <v/>
      </c>
      <c r="AR315" s="647" t="str">
        <f t="shared" si="10"/>
        <v/>
      </c>
      <c r="AS315" s="647" t="str">
        <f t="shared" si="11"/>
        <v/>
      </c>
      <c r="AT315" s="647" t="str">
        <f t="shared" si="112"/>
        <v/>
      </c>
      <c r="AU315" s="647" t="str">
        <f t="shared" si="13"/>
        <v/>
      </c>
      <c r="AV315" s="647" t="str">
        <f t="shared" si="14"/>
        <v/>
      </c>
      <c r="AW315" s="647" t="str">
        <f t="shared" si="15"/>
        <v/>
      </c>
      <c r="AX315" s="647" t="str">
        <f t="shared" si="16"/>
        <v/>
      </c>
    </row>
    <row r="316" spans="1:50" s="5" customFormat="1" ht="28.15" hidden="1" customHeight="1" outlineLevel="1" thickBot="1">
      <c r="C316" s="652">
        <v>300</v>
      </c>
      <c r="D316" s="1858"/>
      <c r="E316" s="1859"/>
      <c r="F316" s="1859"/>
      <c r="G316" s="1859"/>
      <c r="H316" s="1859"/>
      <c r="I316" s="1859"/>
      <c r="J316" s="1859"/>
      <c r="K316" s="706"/>
      <c r="L316" s="1056"/>
      <c r="M316" s="707"/>
      <c r="N316" s="258"/>
      <c r="O316" s="1045"/>
      <c r="P316" s="1046"/>
      <c r="Q316" s="259"/>
      <c r="R316" s="123"/>
      <c r="S316" s="259"/>
      <c r="T316" s="259"/>
      <c r="U316" s="259"/>
      <c r="V316" s="259"/>
      <c r="W316" s="260"/>
      <c r="X316" s="708"/>
      <c r="Y316" s="126"/>
      <c r="Z316" s="431"/>
      <c r="AA316" s="499"/>
      <c r="AB316" s="742"/>
      <c r="AC316" s="51"/>
      <c r="AD316" s="51"/>
      <c r="AE316" s="645" t="str">
        <f t="shared" si="1"/>
        <v/>
      </c>
      <c r="AF316" s="1037" t="str">
        <f t="shared" si="2"/>
        <v/>
      </c>
      <c r="AG316" s="1037" t="str">
        <f t="shared" si="3"/>
        <v/>
      </c>
      <c r="AH316" s="1037" t="str">
        <f>IF(AE316="","",VLOOKUP(AE316,リスト!BI:BJ,2,0))</f>
        <v/>
      </c>
      <c r="AI316" s="1037" t="str">
        <f t="shared" si="113"/>
        <v/>
      </c>
      <c r="AJ316" s="1037" t="str">
        <f>IF(AI316="","",VLOOKUP(AI316,リスト!BW:BX,2,0))</f>
        <v/>
      </c>
      <c r="AK316" s="1037" t="str">
        <f t="shared" si="110"/>
        <v/>
      </c>
      <c r="AL316" s="685" t="str">
        <f t="shared" si="6"/>
        <v/>
      </c>
      <c r="AM316" s="646" t="str">
        <f t="shared" si="7"/>
        <v/>
      </c>
      <c r="AN316" s="646" t="str">
        <f t="shared" si="114"/>
        <v/>
      </c>
      <c r="AO316" s="647" t="str">
        <f t="shared" si="115"/>
        <v/>
      </c>
      <c r="AP316" s="647" t="str">
        <f t="shared" si="111"/>
        <v/>
      </c>
      <c r="AQ316" s="647" t="str">
        <f t="shared" si="9"/>
        <v/>
      </c>
      <c r="AR316" s="647" t="str">
        <f t="shared" si="10"/>
        <v/>
      </c>
      <c r="AS316" s="647" t="str">
        <f t="shared" si="11"/>
        <v/>
      </c>
      <c r="AT316" s="647" t="str">
        <f t="shared" si="112"/>
        <v/>
      </c>
      <c r="AU316" s="647" t="str">
        <f t="shared" si="13"/>
        <v/>
      </c>
      <c r="AV316" s="647" t="str">
        <f t="shared" si="14"/>
        <v/>
      </c>
      <c r="AW316" s="647" t="str">
        <f t="shared" si="15"/>
        <v/>
      </c>
      <c r="AX316" s="647" t="str">
        <f t="shared" si="16"/>
        <v/>
      </c>
    </row>
    <row r="317" spans="1:50" s="54" customFormat="1" ht="14.25" customHeight="1">
      <c r="B317" s="64"/>
      <c r="C317" s="686"/>
      <c r="D317" s="686"/>
      <c r="E317" s="686"/>
      <c r="F317" s="686"/>
      <c r="G317" s="686"/>
      <c r="L317" s="686"/>
      <c r="M317" s="686"/>
      <c r="N317" s="687"/>
      <c r="O317" s="687"/>
      <c r="P317" s="687"/>
      <c r="Q317" s="688"/>
      <c r="AA317" s="981"/>
      <c r="AB317" s="51"/>
      <c r="AC317" s="51"/>
      <c r="AD317" s="51"/>
    </row>
    <row r="318" spans="1:50" s="63" customFormat="1" ht="14.25" customHeight="1">
      <c r="B318" s="64"/>
      <c r="C318" s="686"/>
      <c r="D318" s="686"/>
      <c r="E318" s="54"/>
      <c r="F318" s="54"/>
      <c r="G318" s="54"/>
      <c r="H318" s="54"/>
      <c r="I318" s="686"/>
      <c r="J318" s="687"/>
      <c r="K318" s="56"/>
      <c r="L318" s="688"/>
      <c r="M318" s="57"/>
      <c r="O318" s="688"/>
      <c r="P318" s="688"/>
      <c r="R318" s="54"/>
      <c r="S318" s="54"/>
      <c r="T318" s="54"/>
      <c r="U318" s="54"/>
      <c r="V318" s="54"/>
      <c r="W318" s="54"/>
      <c r="X318" s="54"/>
      <c r="Y318" s="54"/>
      <c r="AA318" s="982"/>
      <c r="AB318" s="51"/>
      <c r="AC318" s="51"/>
      <c r="AD318" s="51"/>
    </row>
    <row r="319" spans="1:50" s="63" customFormat="1" ht="14.25" customHeight="1">
      <c r="B319" s="64"/>
      <c r="C319" s="83"/>
      <c r="D319" s="83"/>
      <c r="E319" s="83"/>
      <c r="F319" s="83"/>
      <c r="G319" s="83"/>
      <c r="H319" s="83"/>
      <c r="I319" s="83"/>
      <c r="J319" s="83"/>
      <c r="K319" s="83"/>
      <c r="L319" s="83"/>
      <c r="M319" s="83"/>
      <c r="N319" s="83"/>
      <c r="O319" s="83"/>
      <c r="P319" s="83"/>
      <c r="Q319" s="83"/>
      <c r="R319" s="68"/>
      <c r="S319" s="68"/>
      <c r="T319" s="68"/>
      <c r="U319" s="68"/>
      <c r="V319" s="68"/>
      <c r="W319" s="68"/>
      <c r="X319" s="83"/>
      <c r="Y319" s="83"/>
      <c r="AA319" s="982"/>
      <c r="AB319" s="51"/>
      <c r="AC319" s="51"/>
      <c r="AD319" s="51"/>
    </row>
    <row r="320" spans="1:50" s="63" customFormat="1" ht="14.25" customHeight="1">
      <c r="A320" s="688"/>
      <c r="B320" s="65"/>
      <c r="C320" s="82"/>
      <c r="D320" s="83"/>
      <c r="E320" s="83"/>
      <c r="F320" s="83"/>
      <c r="G320" s="83"/>
      <c r="H320" s="83"/>
      <c r="I320" s="83"/>
      <c r="J320" s="83"/>
      <c r="K320" s="83"/>
      <c r="L320" s="83"/>
      <c r="M320" s="83"/>
      <c r="N320" s="83"/>
      <c r="O320" s="83"/>
      <c r="P320" s="83"/>
      <c r="Q320" s="83"/>
      <c r="R320" s="68"/>
      <c r="S320" s="68"/>
      <c r="T320" s="68"/>
      <c r="U320" s="68"/>
      <c r="V320" s="68"/>
      <c r="W320" s="68"/>
      <c r="X320" s="83"/>
      <c r="Y320" s="83"/>
      <c r="AA320" s="982"/>
      <c r="AB320" s="51"/>
      <c r="AC320" s="51"/>
      <c r="AD320" s="51"/>
    </row>
    <row r="321" spans="1:50" s="63" customFormat="1" ht="14.25" customHeight="1">
      <c r="A321" s="688"/>
      <c r="B321" s="65"/>
      <c r="C321" s="82"/>
      <c r="D321" s="83"/>
      <c r="E321" s="83"/>
      <c r="F321" s="83"/>
      <c r="G321" s="83"/>
      <c r="H321" s="83"/>
      <c r="I321" s="83"/>
      <c r="J321" s="67"/>
      <c r="K321" s="82"/>
      <c r="L321" s="83"/>
      <c r="M321" s="83"/>
      <c r="N321" s="83"/>
      <c r="O321" s="83"/>
      <c r="P321" s="85"/>
      <c r="Q321" s="83"/>
      <c r="R321" s="68"/>
      <c r="S321" s="68"/>
      <c r="T321" s="68"/>
      <c r="U321" s="68"/>
      <c r="V321" s="68"/>
      <c r="W321" s="68"/>
      <c r="X321" s="83"/>
      <c r="Y321" s="83"/>
      <c r="AA321" s="982"/>
      <c r="AB321" s="51"/>
      <c r="AC321" s="51"/>
      <c r="AD321" s="51"/>
      <c r="AE321" s="314"/>
      <c r="AF321" s="314"/>
      <c r="AG321" s="314"/>
      <c r="AH321" s="314"/>
      <c r="AI321" s="314"/>
      <c r="AJ321" s="314"/>
      <c r="AK321" s="314"/>
      <c r="AL321" s="314"/>
      <c r="AM321" s="314"/>
      <c r="AN321" s="314"/>
      <c r="AO321" s="314"/>
      <c r="AP321" s="314"/>
      <c r="AQ321" s="314"/>
      <c r="AR321" s="314"/>
      <c r="AS321" s="314"/>
      <c r="AT321" s="314"/>
      <c r="AU321" s="314"/>
      <c r="AV321" s="314"/>
      <c r="AW321" s="314"/>
      <c r="AX321" s="314"/>
    </row>
    <row r="322" spans="1:50" s="63" customFormat="1" ht="14.25" customHeight="1">
      <c r="A322" s="688"/>
      <c r="B322" s="65"/>
      <c r="C322" s="83"/>
      <c r="D322" s="83"/>
      <c r="E322" s="83"/>
      <c r="F322" s="83"/>
      <c r="G322" s="83"/>
      <c r="H322" s="83"/>
      <c r="I322" s="83"/>
      <c r="J322" s="67"/>
      <c r="K322" s="82"/>
      <c r="L322" s="83"/>
      <c r="M322" s="83"/>
      <c r="N322" s="83"/>
      <c r="O322" s="83"/>
      <c r="P322" s="85"/>
      <c r="Q322" s="83"/>
      <c r="R322" s="68"/>
      <c r="S322" s="68"/>
      <c r="T322" s="68"/>
      <c r="U322" s="68"/>
      <c r="V322" s="68"/>
      <c r="W322" s="68"/>
      <c r="X322" s="68"/>
      <c r="Y322" s="68"/>
      <c r="AA322" s="982"/>
      <c r="AB322" s="51"/>
      <c r="AC322" s="51"/>
      <c r="AD322" s="51"/>
      <c r="AE322" s="314"/>
      <c r="AF322" s="314"/>
      <c r="AG322" s="314"/>
      <c r="AH322" s="314"/>
      <c r="AI322" s="314"/>
      <c r="AJ322" s="314"/>
      <c r="AK322" s="314"/>
      <c r="AL322" s="314"/>
      <c r="AM322" s="314"/>
      <c r="AN322" s="314"/>
      <c r="AO322" s="314"/>
      <c r="AP322" s="314"/>
      <c r="AQ322" s="314"/>
      <c r="AR322" s="314"/>
      <c r="AS322" s="314"/>
      <c r="AT322" s="314"/>
      <c r="AU322" s="314"/>
      <c r="AV322" s="314"/>
      <c r="AW322" s="314"/>
      <c r="AX322" s="314"/>
    </row>
    <row r="323" spans="1:50" s="63" customFormat="1" ht="14.25" customHeight="1">
      <c r="B323" s="65"/>
      <c r="C323" s="67"/>
      <c r="D323" s="67"/>
      <c r="E323" s="67"/>
      <c r="F323" s="67"/>
      <c r="G323" s="83"/>
      <c r="H323" s="83"/>
      <c r="I323" s="83"/>
      <c r="J323" s="67"/>
      <c r="K323" s="82"/>
      <c r="L323" s="84"/>
      <c r="M323" s="84"/>
      <c r="N323" s="84"/>
      <c r="O323" s="84"/>
      <c r="P323" s="83"/>
      <c r="Q323" s="83"/>
      <c r="R323" s="68"/>
      <c r="S323" s="68"/>
      <c r="T323" s="68"/>
      <c r="U323" s="68"/>
      <c r="V323" s="68"/>
      <c r="W323" s="17"/>
      <c r="X323" s="68"/>
      <c r="Y323" s="68"/>
      <c r="AA323" s="982"/>
      <c r="AB323" s="51"/>
      <c r="AC323" s="51"/>
      <c r="AD323" s="51"/>
      <c r="AE323" s="314"/>
      <c r="AF323" s="314"/>
      <c r="AG323" s="314"/>
      <c r="AH323" s="314"/>
      <c r="AI323" s="314"/>
      <c r="AJ323" s="314"/>
      <c r="AK323" s="314"/>
      <c r="AL323" s="314"/>
      <c r="AM323" s="314"/>
      <c r="AN323" s="314"/>
      <c r="AO323" s="314"/>
      <c r="AP323" s="314"/>
      <c r="AQ323" s="314"/>
      <c r="AR323" s="314"/>
      <c r="AS323" s="314"/>
      <c r="AT323" s="314"/>
      <c r="AU323" s="314"/>
      <c r="AV323" s="314"/>
      <c r="AW323" s="314"/>
      <c r="AX323" s="314"/>
    </row>
    <row r="324" spans="1:50" s="63" customFormat="1" ht="14.25" customHeight="1">
      <c r="B324" s="65"/>
      <c r="G324" s="59"/>
      <c r="H324" s="59"/>
      <c r="I324" s="59"/>
      <c r="J324" s="54"/>
      <c r="W324" s="58"/>
      <c r="X324" s="689"/>
      <c r="Y324" s="689"/>
      <c r="AA324" s="982"/>
      <c r="AB324" s="51"/>
      <c r="AC324" s="51"/>
      <c r="AD324" s="51"/>
      <c r="AE324" s="314"/>
      <c r="AF324" s="314"/>
      <c r="AG324" s="314"/>
      <c r="AH324" s="314"/>
      <c r="AI324" s="314"/>
      <c r="AJ324" s="314"/>
      <c r="AK324" s="314"/>
      <c r="AL324" s="314"/>
      <c r="AM324" s="314"/>
      <c r="AN324" s="314"/>
      <c r="AO324" s="314"/>
      <c r="AP324" s="314"/>
      <c r="AQ324" s="314"/>
      <c r="AR324" s="314"/>
      <c r="AS324" s="314"/>
      <c r="AT324" s="314"/>
      <c r="AU324" s="314"/>
      <c r="AV324" s="314"/>
      <c r="AW324" s="314"/>
      <c r="AX324" s="314"/>
    </row>
    <row r="325" spans="1:50" s="66" customFormat="1" ht="14.25" customHeight="1">
      <c r="B325" s="65"/>
      <c r="G325" s="22"/>
      <c r="H325" s="22"/>
      <c r="I325" s="22"/>
      <c r="J325" s="60"/>
      <c r="AA325" s="983"/>
      <c r="AB325" s="51"/>
      <c r="AC325" s="51"/>
      <c r="AD325" s="51"/>
      <c r="AE325" s="314"/>
      <c r="AF325" s="314"/>
      <c r="AG325" s="314"/>
      <c r="AH325" s="314"/>
      <c r="AI325" s="314"/>
      <c r="AJ325" s="314"/>
      <c r="AK325" s="314"/>
      <c r="AL325" s="314"/>
      <c r="AM325" s="314"/>
      <c r="AN325" s="314"/>
      <c r="AO325" s="314"/>
      <c r="AP325" s="314"/>
      <c r="AQ325" s="314"/>
      <c r="AR325" s="314"/>
      <c r="AS325" s="314"/>
      <c r="AT325" s="314"/>
      <c r="AU325" s="314"/>
      <c r="AV325" s="314"/>
      <c r="AW325" s="314"/>
      <c r="AX325" s="314"/>
    </row>
    <row r="326" spans="1:50" ht="14.25" customHeight="1">
      <c r="AA326" s="980"/>
      <c r="AE326" s="314"/>
      <c r="AF326" s="314"/>
      <c r="AG326" s="314"/>
      <c r="AH326" s="314"/>
      <c r="AI326" s="314"/>
      <c r="AJ326" s="314"/>
      <c r="AK326" s="314"/>
      <c r="AL326" s="314"/>
      <c r="AM326" s="314"/>
      <c r="AN326" s="314"/>
      <c r="AO326" s="314"/>
      <c r="AP326" s="314"/>
      <c r="AQ326" s="314"/>
      <c r="AR326" s="314"/>
      <c r="AS326" s="314"/>
      <c r="AT326" s="314"/>
      <c r="AU326" s="314"/>
      <c r="AV326" s="314"/>
      <c r="AW326" s="314"/>
      <c r="AX326" s="314"/>
    </row>
    <row r="327" spans="1:50" ht="14.25" customHeight="1">
      <c r="AE327" s="314"/>
      <c r="AF327" s="314"/>
      <c r="AG327" s="314"/>
      <c r="AH327" s="314"/>
      <c r="AI327" s="314"/>
      <c r="AJ327" s="314"/>
      <c r="AK327" s="314"/>
      <c r="AL327" s="314"/>
      <c r="AM327" s="314"/>
      <c r="AN327" s="314"/>
      <c r="AO327" s="314"/>
      <c r="AP327" s="314"/>
      <c r="AQ327" s="314"/>
      <c r="AR327" s="314"/>
      <c r="AS327" s="314"/>
      <c r="AT327" s="314"/>
      <c r="AU327" s="314"/>
      <c r="AV327" s="314"/>
      <c r="AW327" s="314"/>
      <c r="AX327" s="314"/>
    </row>
  </sheetData>
  <sheetProtection sheet="1" objects="1" scenarios="1" selectLockedCells="1"/>
  <mergeCells count="347">
    <mergeCell ref="AP9:AX10"/>
    <mergeCell ref="C10:C16"/>
    <mergeCell ref="D10:J16"/>
    <mergeCell ref="K10:K16"/>
    <mergeCell ref="L10:L16"/>
    <mergeCell ref="M10:M12"/>
    <mergeCell ref="N10:N16"/>
    <mergeCell ref="O10:P12"/>
    <mergeCell ref="Q10:Q11"/>
    <mergeCell ref="R10:R11"/>
    <mergeCell ref="S10:S11"/>
    <mergeCell ref="T10:T11"/>
    <mergeCell ref="AN11:AN15"/>
    <mergeCell ref="AO12:AO15"/>
    <mergeCell ref="AR12:AR15"/>
    <mergeCell ref="AW11:AW15"/>
    <mergeCell ref="AX11:AX15"/>
    <mergeCell ref="AP11:AP15"/>
    <mergeCell ref="AQ11:AQ15"/>
    <mergeCell ref="AS11:AS15"/>
    <mergeCell ref="AT11:AT15"/>
    <mergeCell ref="AU11:AU15"/>
    <mergeCell ref="AV11:AV15"/>
    <mergeCell ref="U13:U14"/>
    <mergeCell ref="V13:V14"/>
    <mergeCell ref="U15:U16"/>
    <mergeCell ref="V15:V16"/>
    <mergeCell ref="AI11:AI15"/>
    <mergeCell ref="AJ11:AJ15"/>
    <mergeCell ref="AK11:AK15"/>
    <mergeCell ref="AL11:AL15"/>
    <mergeCell ref="AM11:AM15"/>
    <mergeCell ref="X10:Y11"/>
    <mergeCell ref="AE11:AE15"/>
    <mergeCell ref="AF11:AF14"/>
    <mergeCell ref="AG11:AG14"/>
    <mergeCell ref="AH11:AH15"/>
    <mergeCell ref="X12:X16"/>
    <mergeCell ref="U10:V12"/>
    <mergeCell ref="AE9:AL10"/>
    <mergeCell ref="AM9:AO10"/>
    <mergeCell ref="Y12:Y13"/>
    <mergeCell ref="AB10:AB16"/>
    <mergeCell ref="D315:J315"/>
    <mergeCell ref="D316:J316"/>
    <mergeCell ref="W10:W16"/>
    <mergeCell ref="D309:J309"/>
    <mergeCell ref="D310:J310"/>
    <mergeCell ref="D311:J311"/>
    <mergeCell ref="D312:J312"/>
    <mergeCell ref="D313:J313"/>
    <mergeCell ref="D314:J314"/>
    <mergeCell ref="D293:J293"/>
    <mergeCell ref="D294:J294"/>
    <mergeCell ref="D305:J305"/>
    <mergeCell ref="D306:J306"/>
    <mergeCell ref="D307:J307"/>
    <mergeCell ref="D308:J308"/>
    <mergeCell ref="D17:J17"/>
    <mergeCell ref="D288:J288"/>
    <mergeCell ref="D289:J289"/>
    <mergeCell ref="D290:J290"/>
    <mergeCell ref="D291:J291"/>
    <mergeCell ref="D292:J292"/>
    <mergeCell ref="M13:M16"/>
    <mergeCell ref="O13:O16"/>
    <mergeCell ref="P13:P16"/>
    <mergeCell ref="D283:J283"/>
    <mergeCell ref="D284:J284"/>
    <mergeCell ref="D275:J275"/>
    <mergeCell ref="D276:J276"/>
    <mergeCell ref="D277:J277"/>
    <mergeCell ref="D278:J278"/>
    <mergeCell ref="D279:J279"/>
    <mergeCell ref="D270:J270"/>
    <mergeCell ref="D271:J271"/>
    <mergeCell ref="D272:J272"/>
    <mergeCell ref="D273:J273"/>
    <mergeCell ref="D274:J274"/>
    <mergeCell ref="D265:J265"/>
    <mergeCell ref="D266:J266"/>
    <mergeCell ref="D267:J267"/>
    <mergeCell ref="D268:J268"/>
    <mergeCell ref="D269:J269"/>
    <mergeCell ref="D285:J285"/>
    <mergeCell ref="D286:J286"/>
    <mergeCell ref="D287:J287"/>
    <mergeCell ref="D252:J252"/>
    <mergeCell ref="D253:J253"/>
    <mergeCell ref="D254:J254"/>
    <mergeCell ref="D255:J255"/>
    <mergeCell ref="D256:J256"/>
    <mergeCell ref="D257:J257"/>
    <mergeCell ref="D258:J258"/>
    <mergeCell ref="D259:J259"/>
    <mergeCell ref="D260:J260"/>
    <mergeCell ref="D261:J261"/>
    <mergeCell ref="D262:J262"/>
    <mergeCell ref="D263:J263"/>
    <mergeCell ref="D264:J264"/>
    <mergeCell ref="D280:J280"/>
    <mergeCell ref="D281:J281"/>
    <mergeCell ref="D282:J282"/>
    <mergeCell ref="D247:J247"/>
    <mergeCell ref="D248:J248"/>
    <mergeCell ref="D239:J239"/>
    <mergeCell ref="D240:J240"/>
    <mergeCell ref="D241:J241"/>
    <mergeCell ref="D242:J242"/>
    <mergeCell ref="D243:J243"/>
    <mergeCell ref="D234:J234"/>
    <mergeCell ref="D235:J235"/>
    <mergeCell ref="D236:J236"/>
    <mergeCell ref="D237:J237"/>
    <mergeCell ref="D238:J238"/>
    <mergeCell ref="D229:J229"/>
    <mergeCell ref="D230:J230"/>
    <mergeCell ref="D231:J231"/>
    <mergeCell ref="D232:J232"/>
    <mergeCell ref="D233:J233"/>
    <mergeCell ref="D249:J249"/>
    <mergeCell ref="D250:J250"/>
    <mergeCell ref="D251:J251"/>
    <mergeCell ref="D216:J216"/>
    <mergeCell ref="D217:J217"/>
    <mergeCell ref="D218:J218"/>
    <mergeCell ref="D219:J219"/>
    <mergeCell ref="D220:J220"/>
    <mergeCell ref="D221:J221"/>
    <mergeCell ref="D222:J222"/>
    <mergeCell ref="D223:J223"/>
    <mergeCell ref="D224:J224"/>
    <mergeCell ref="D225:J225"/>
    <mergeCell ref="D226:J226"/>
    <mergeCell ref="D227:J227"/>
    <mergeCell ref="D228:J228"/>
    <mergeCell ref="D244:J244"/>
    <mergeCell ref="D245:J245"/>
    <mergeCell ref="D246:J246"/>
    <mergeCell ref="D191:J191"/>
    <mergeCell ref="D192:J192"/>
    <mergeCell ref="D208:J208"/>
    <mergeCell ref="D209:J209"/>
    <mergeCell ref="D210:J210"/>
    <mergeCell ref="D211:J211"/>
    <mergeCell ref="D212:J212"/>
    <mergeCell ref="D203:J203"/>
    <mergeCell ref="D204:J204"/>
    <mergeCell ref="D205:J205"/>
    <mergeCell ref="D206:J206"/>
    <mergeCell ref="D207:J207"/>
    <mergeCell ref="D198:J198"/>
    <mergeCell ref="D199:J199"/>
    <mergeCell ref="D200:J200"/>
    <mergeCell ref="D201:J201"/>
    <mergeCell ref="D202:J202"/>
    <mergeCell ref="D182:J182"/>
    <mergeCell ref="D183:J183"/>
    <mergeCell ref="D184:J184"/>
    <mergeCell ref="D185:J185"/>
    <mergeCell ref="D186:J186"/>
    <mergeCell ref="D187:J187"/>
    <mergeCell ref="D188:J188"/>
    <mergeCell ref="D189:J189"/>
    <mergeCell ref="D190:J190"/>
    <mergeCell ref="D27:J27"/>
    <mergeCell ref="D28:J28"/>
    <mergeCell ref="D29:J29"/>
    <mergeCell ref="D30:J30"/>
    <mergeCell ref="D172:J172"/>
    <mergeCell ref="D173:J173"/>
    <mergeCell ref="D174:J174"/>
    <mergeCell ref="D175:J175"/>
    <mergeCell ref="D176:J176"/>
    <mergeCell ref="D167:J167"/>
    <mergeCell ref="D168:J168"/>
    <mergeCell ref="D169:J169"/>
    <mergeCell ref="D170:J170"/>
    <mergeCell ref="D171:J171"/>
    <mergeCell ref="D162:J162"/>
    <mergeCell ref="D163:J163"/>
    <mergeCell ref="D164:J164"/>
    <mergeCell ref="D165:J165"/>
    <mergeCell ref="D166:J166"/>
    <mergeCell ref="D36:J36"/>
    <mergeCell ref="D37:J37"/>
    <mergeCell ref="D38:J38"/>
    <mergeCell ref="D39:J39"/>
    <mergeCell ref="D40:J40"/>
    <mergeCell ref="D18:J18"/>
    <mergeCell ref="D19:J19"/>
    <mergeCell ref="D20:J20"/>
    <mergeCell ref="D21:J21"/>
    <mergeCell ref="D22:J22"/>
    <mergeCell ref="D23:J23"/>
    <mergeCell ref="D24:J24"/>
    <mergeCell ref="D25:J25"/>
    <mergeCell ref="D26:J26"/>
    <mergeCell ref="D31:J31"/>
    <mergeCell ref="D32:J32"/>
    <mergeCell ref="D33:J33"/>
    <mergeCell ref="D34:J34"/>
    <mergeCell ref="D35:J35"/>
    <mergeCell ref="D46:J46"/>
    <mergeCell ref="D47:J47"/>
    <mergeCell ref="D48:J48"/>
    <mergeCell ref="D49:J49"/>
    <mergeCell ref="D50:J50"/>
    <mergeCell ref="D41:J41"/>
    <mergeCell ref="D42:J42"/>
    <mergeCell ref="D43:J43"/>
    <mergeCell ref="D44:J44"/>
    <mergeCell ref="D45:J45"/>
    <mergeCell ref="D56:J56"/>
    <mergeCell ref="D57:J57"/>
    <mergeCell ref="D58:J58"/>
    <mergeCell ref="D59:J59"/>
    <mergeCell ref="D60:J60"/>
    <mergeCell ref="D51:J51"/>
    <mergeCell ref="D52:J52"/>
    <mergeCell ref="D53:J53"/>
    <mergeCell ref="D54:J54"/>
    <mergeCell ref="D55:J55"/>
    <mergeCell ref="D66:J66"/>
    <mergeCell ref="D67:J67"/>
    <mergeCell ref="D68:J68"/>
    <mergeCell ref="D69:J69"/>
    <mergeCell ref="D70:J70"/>
    <mergeCell ref="D61:J61"/>
    <mergeCell ref="D62:J62"/>
    <mergeCell ref="D63:J63"/>
    <mergeCell ref="D64:J64"/>
    <mergeCell ref="D65:J65"/>
    <mergeCell ref="D76:J76"/>
    <mergeCell ref="D77:J77"/>
    <mergeCell ref="D78:J78"/>
    <mergeCell ref="D79:J79"/>
    <mergeCell ref="D80:J80"/>
    <mergeCell ref="D71:J71"/>
    <mergeCell ref="D72:J72"/>
    <mergeCell ref="D73:J73"/>
    <mergeCell ref="D74:J74"/>
    <mergeCell ref="D75:J75"/>
    <mergeCell ref="D86:J86"/>
    <mergeCell ref="D87:J87"/>
    <mergeCell ref="D88:J88"/>
    <mergeCell ref="D89:J89"/>
    <mergeCell ref="D90:J90"/>
    <mergeCell ref="D81:J81"/>
    <mergeCell ref="D82:J82"/>
    <mergeCell ref="D83:J83"/>
    <mergeCell ref="D84:J84"/>
    <mergeCell ref="D85:J85"/>
    <mergeCell ref="D96:J96"/>
    <mergeCell ref="D97:J97"/>
    <mergeCell ref="D98:J98"/>
    <mergeCell ref="D99:J99"/>
    <mergeCell ref="D100:J100"/>
    <mergeCell ref="D91:J91"/>
    <mergeCell ref="D92:J92"/>
    <mergeCell ref="D93:J93"/>
    <mergeCell ref="D94:J94"/>
    <mergeCell ref="D95:J95"/>
    <mergeCell ref="D106:J106"/>
    <mergeCell ref="D107:J107"/>
    <mergeCell ref="D108:J108"/>
    <mergeCell ref="D109:J109"/>
    <mergeCell ref="D110:J110"/>
    <mergeCell ref="D101:J101"/>
    <mergeCell ref="D102:J102"/>
    <mergeCell ref="D103:J103"/>
    <mergeCell ref="D104:J104"/>
    <mergeCell ref="D105:J105"/>
    <mergeCell ref="D116:J116"/>
    <mergeCell ref="D117:J117"/>
    <mergeCell ref="D118:J118"/>
    <mergeCell ref="D119:J119"/>
    <mergeCell ref="D120:J120"/>
    <mergeCell ref="D111:J111"/>
    <mergeCell ref="D112:J112"/>
    <mergeCell ref="D113:J113"/>
    <mergeCell ref="D114:J114"/>
    <mergeCell ref="D115:J115"/>
    <mergeCell ref="D126:J126"/>
    <mergeCell ref="D127:J127"/>
    <mergeCell ref="D128:J128"/>
    <mergeCell ref="D129:J129"/>
    <mergeCell ref="D130:J130"/>
    <mergeCell ref="D121:J121"/>
    <mergeCell ref="D122:J122"/>
    <mergeCell ref="D123:J123"/>
    <mergeCell ref="D124:J124"/>
    <mergeCell ref="D125:J125"/>
    <mergeCell ref="D136:J136"/>
    <mergeCell ref="D137:J137"/>
    <mergeCell ref="D138:J138"/>
    <mergeCell ref="D139:J139"/>
    <mergeCell ref="D140:J140"/>
    <mergeCell ref="D131:J131"/>
    <mergeCell ref="D132:J132"/>
    <mergeCell ref="D133:J133"/>
    <mergeCell ref="D134:J134"/>
    <mergeCell ref="D135:J135"/>
    <mergeCell ref="D146:J146"/>
    <mergeCell ref="D147:J147"/>
    <mergeCell ref="D148:J148"/>
    <mergeCell ref="D149:J149"/>
    <mergeCell ref="D150:J150"/>
    <mergeCell ref="D141:J141"/>
    <mergeCell ref="D142:J142"/>
    <mergeCell ref="D143:J143"/>
    <mergeCell ref="D144:J144"/>
    <mergeCell ref="D145:J145"/>
    <mergeCell ref="D156:J156"/>
    <mergeCell ref="D157:J157"/>
    <mergeCell ref="D158:J158"/>
    <mergeCell ref="D159:J159"/>
    <mergeCell ref="D160:J160"/>
    <mergeCell ref="D151:J151"/>
    <mergeCell ref="D152:J152"/>
    <mergeCell ref="D153:J153"/>
    <mergeCell ref="D154:J154"/>
    <mergeCell ref="D155:J155"/>
    <mergeCell ref="D304:J304"/>
    <mergeCell ref="D299:J299"/>
    <mergeCell ref="D300:J300"/>
    <mergeCell ref="D301:J301"/>
    <mergeCell ref="D302:J302"/>
    <mergeCell ref="D303:J303"/>
    <mergeCell ref="D161:J161"/>
    <mergeCell ref="D295:J295"/>
    <mergeCell ref="D296:J296"/>
    <mergeCell ref="D297:J297"/>
    <mergeCell ref="D298:J298"/>
    <mergeCell ref="D177:J177"/>
    <mergeCell ref="D178:J178"/>
    <mergeCell ref="D179:J179"/>
    <mergeCell ref="D193:J193"/>
    <mergeCell ref="D194:J194"/>
    <mergeCell ref="D195:J195"/>
    <mergeCell ref="D196:J196"/>
    <mergeCell ref="D197:J197"/>
    <mergeCell ref="D213:J213"/>
    <mergeCell ref="D214:J214"/>
    <mergeCell ref="D215:J215"/>
    <mergeCell ref="D180:J180"/>
    <mergeCell ref="D181:J181"/>
  </mergeCells>
  <phoneticPr fontId="3"/>
  <dataValidations count="8">
    <dataValidation type="whole" allowBlank="1" showInputMessage="1" showErrorMessage="1" error="1～100の値を入力してください。" sqref="W17:W316" xr:uid="{00000000-0002-0000-0800-000000000000}">
      <formula1>1</formula1>
      <formula2>100</formula2>
    </dataValidation>
    <dataValidation type="whole" operator="greaterThan" allowBlank="1" showInputMessage="1" showErrorMessage="1" error="整数を入力してください。" sqref="Q17:V316" xr:uid="{00000000-0002-0000-0800-000001000000}">
      <formula1>0</formula1>
    </dataValidation>
    <dataValidation type="list" showInputMessage="1" showErrorMessage="1" sqref="L17:L316" xr:uid="{00000000-0002-0000-0800-000002000000}">
      <formula1>INDIRECT($K17)</formula1>
    </dataValidation>
    <dataValidation type="whole" allowBlank="1" showInputMessage="1" showErrorMessage="1" sqref="N17:N316" xr:uid="{00000000-0002-0000-0800-000003000000}">
      <formula1>2</formula1>
      <formula2>99</formula2>
    </dataValidation>
    <dataValidation type="whole" allowBlank="1" showInputMessage="1" showErrorMessage="1" sqref="O17:O316" xr:uid="{00000000-0002-0000-0800-000004000000}">
      <formula1>1700</formula1>
      <formula2>9999</formula2>
    </dataValidation>
    <dataValidation type="whole" allowBlank="1" showInputMessage="1" showErrorMessage="1" sqref="P17:P316" xr:uid="{00000000-0002-0000-0800-000005000000}">
      <formula1>1</formula1>
      <formula2>12</formula2>
    </dataValidation>
    <dataValidation type="whole" operator="greaterThanOrEqual" allowBlank="1" showInputMessage="1" showErrorMessage="1" sqref="Y17:Y316" xr:uid="{00000000-0002-0000-0800-000006000000}">
      <formula1>0</formula1>
    </dataValidation>
    <dataValidation type="list" allowBlank="1" showInputMessage="1" showErrorMessage="1" sqref="AB17:AB316" xr:uid="{00000000-0002-0000-0800-000007000000}">
      <formula1>"○"</formula1>
    </dataValidation>
  </dataValidations>
  <printOptions horizontalCentered="1" verticalCentered="1"/>
  <pageMargins left="0" right="0" top="0" bottom="0" header="0" footer="0.19685039370078741"/>
  <pageSetup paperSize="9" scale="60" fitToWidth="0" fitToHeight="0" pageOrder="overThenDown" orientation="landscape" cellComments="asDisplayed" r:id="rId1"/>
  <headerFooter scaleWithDoc="0"/>
  <colBreaks count="1" manualBreakCount="1">
    <brk id="26" max="325" man="1"/>
  </colBreaks>
  <drawing r:id="rId2"/>
  <legacyDrawing r:id="rId3"/>
  <legacyDrawingHF r:id="rId4"/>
  <controls>
    <mc:AlternateContent xmlns:mc="http://schemas.openxmlformats.org/markup-compatibility/2006">
      <mc:Choice Requires="x14">
        <control shapeId="8194" r:id="rId5" name="Label1">
          <controlPr defaultSize="0" print="0" autoLine="0" r:id="rId6">
            <anchor moveWithCells="1">
              <from>
                <xdr:col>16</xdr:col>
                <xdr:colOff>9525</xdr:colOff>
                <xdr:row>1</xdr:row>
                <xdr:rowOff>9525</xdr:rowOff>
              </from>
              <to>
                <xdr:col>16</xdr:col>
                <xdr:colOff>885825</xdr:colOff>
                <xdr:row>1</xdr:row>
                <xdr:rowOff>219075</xdr:rowOff>
              </to>
            </anchor>
          </controlPr>
        </control>
      </mc:Choice>
      <mc:Fallback>
        <control shapeId="8194" r:id="rId5" name="Label1"/>
      </mc:Fallback>
    </mc:AlternateContent>
    <mc:AlternateContent xmlns:mc="http://schemas.openxmlformats.org/markup-compatibility/2006">
      <mc:Choice Requires="x14">
        <control shapeId="8195" r:id="rId7" name="txt_hyouji">
          <controlPr locked="0" defaultSize="0" print="0" autoLine="0" r:id="rId8">
            <anchor moveWithCells="1">
              <from>
                <xdr:col>16</xdr:col>
                <xdr:colOff>9525</xdr:colOff>
                <xdr:row>1</xdr:row>
                <xdr:rowOff>219075</xdr:rowOff>
              </from>
              <to>
                <xdr:col>16</xdr:col>
                <xdr:colOff>885825</xdr:colOff>
                <xdr:row>2</xdr:row>
                <xdr:rowOff>161925</xdr:rowOff>
              </to>
            </anchor>
          </controlPr>
        </control>
      </mc:Choice>
      <mc:Fallback>
        <control shapeId="8195" r:id="rId7" name="txt_hyouji"/>
      </mc:Fallback>
    </mc:AlternateContent>
    <mc:AlternateContent xmlns:mc="http://schemas.openxmlformats.org/markup-compatibility/2006">
      <mc:Choice Requires="x14">
        <control shapeId="8196" r:id="rId9" name="btnKoushin1">
          <controlPr defaultSize="0" print="0" autoLine="0" r:id="rId10">
            <anchor moveWithCells="1">
              <from>
                <xdr:col>16</xdr:col>
                <xdr:colOff>895350</xdr:colOff>
                <xdr:row>1</xdr:row>
                <xdr:rowOff>9525</xdr:rowOff>
              </from>
              <to>
                <xdr:col>17</xdr:col>
                <xdr:colOff>533400</xdr:colOff>
                <xdr:row>2</xdr:row>
                <xdr:rowOff>161925</xdr:rowOff>
              </to>
            </anchor>
          </controlPr>
        </control>
      </mc:Choice>
      <mc:Fallback>
        <control shapeId="8196"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8000000}">
          <x14:formula1>
            <xm:f>リスト!$S$5:$S$6</xm:f>
          </x14:formula1>
          <xm:sqref>M17:M316</xm:sqref>
        </x14:dataValidation>
        <x14:dataValidation type="list" allowBlank="1" showInputMessage="1" showErrorMessage="1" xr:uid="{00000000-0002-0000-0800-000009000000}">
          <x14:formula1>
            <xm:f>リスト!$N$5:$N$6</xm:f>
          </x14:formula1>
          <xm:sqref>K17:K316</xm:sqref>
        </x14:dataValidation>
        <x14:dataValidation type="list" allowBlank="1" showInputMessage="1" showErrorMessage="1" xr:uid="{00000000-0002-0000-0800-00000A000000}">
          <x14:formula1>
            <xm:f>リスト!$U$5:$U$6</xm:f>
          </x14:formula1>
          <xm:sqref>X17:X316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sheetPr>
  <dimension ref="A1:AU332"/>
  <sheetViews>
    <sheetView showGridLines="0" zoomScale="80" zoomScaleNormal="80" zoomScaleSheetLayoutView="80" workbookViewId="0">
      <pane xSplit="3" ySplit="18" topLeftCell="D19" activePane="bottomRight" state="frozen"/>
      <selection pane="topRight" activeCell="D1" sqref="D1"/>
      <selection pane="bottomLeft" activeCell="A19" sqref="A19"/>
      <selection pane="bottomRight" activeCell="D19" sqref="D19"/>
    </sheetView>
  </sheetViews>
  <sheetFormatPr defaultColWidth="2.625" defaultRowHeight="14.25" customHeight="1" outlineLevelRow="1" outlineLevelCol="1"/>
  <cols>
    <col min="1" max="1" width="0.875" style="51" customWidth="1"/>
    <col min="2" max="2" width="2.625" style="51" customWidth="1"/>
    <col min="3" max="3" width="3.625" style="51" customWidth="1"/>
    <col min="4" max="4" width="26.375" style="51" customWidth="1"/>
    <col min="5" max="5" width="18" style="51" customWidth="1"/>
    <col min="6" max="6" width="16.125" style="51" customWidth="1"/>
    <col min="7" max="7" width="6.875" style="51" customWidth="1"/>
    <col min="8" max="8" width="5.375" style="51" customWidth="1"/>
    <col min="9" max="9" width="10.5" style="51" customWidth="1"/>
    <col min="10" max="10" width="5.375" style="51" customWidth="1"/>
    <col min="11" max="12" width="21.125" style="51" customWidth="1"/>
    <col min="13" max="13" width="18.5" style="50" customWidth="1"/>
    <col min="14" max="14" width="15.875" style="50" customWidth="1"/>
    <col min="15" max="15" width="10.5" style="50" customWidth="1"/>
    <col min="16" max="16" width="10.625" style="50" customWidth="1"/>
    <col min="17" max="17" width="10.625" style="51" customWidth="1"/>
    <col min="18" max="18" width="8" style="50" customWidth="1"/>
    <col min="19" max="19" width="9.625" style="51" customWidth="1"/>
    <col min="20" max="20" width="21.25" style="51" customWidth="1"/>
    <col min="21" max="21" width="2.625" style="51"/>
    <col min="22" max="22" width="2.625" style="51" outlineLevel="1"/>
    <col min="23" max="23" width="10.75" style="51" customWidth="1" outlineLevel="1"/>
    <col min="24" max="25" width="2.625" style="51" outlineLevel="1"/>
    <col min="26" max="47" width="10.625" style="51" customWidth="1" outlineLevel="1"/>
    <col min="48" max="16384" width="2.625" style="51"/>
  </cols>
  <sheetData>
    <row r="1" spans="1:47" ht="18.75">
      <c r="W1" s="899" t="s">
        <v>400</v>
      </c>
    </row>
    <row r="2" spans="1:47" ht="21" customHeight="1">
      <c r="A2" s="633" t="s">
        <v>743</v>
      </c>
      <c r="M2" s="51"/>
      <c r="N2" s="51"/>
      <c r="O2" s="51"/>
      <c r="R2" s="51"/>
      <c r="V2" s="980"/>
      <c r="Z2" s="380" t="s">
        <v>851</v>
      </c>
    </row>
    <row r="3" spans="1:47" ht="14.25" customHeight="1">
      <c r="A3" s="634"/>
      <c r="B3" s="709"/>
      <c r="C3" s="599"/>
      <c r="D3" s="673"/>
      <c r="E3" s="673"/>
      <c r="F3" s="673"/>
      <c r="G3" s="673"/>
      <c r="H3" s="673"/>
      <c r="I3" s="673"/>
      <c r="J3" s="673"/>
      <c r="K3" s="673"/>
      <c r="L3" s="673"/>
      <c r="V3" s="980"/>
      <c r="W3" s="50"/>
    </row>
    <row r="4" spans="1:47" ht="14.25" customHeight="1">
      <c r="A4" s="710"/>
      <c r="B4" s="673"/>
      <c r="C4" s="599" t="s">
        <v>732</v>
      </c>
      <c r="D4" s="673"/>
      <c r="E4" s="673"/>
      <c r="F4" s="673"/>
      <c r="G4" s="673"/>
      <c r="H4" s="673"/>
      <c r="I4" s="673"/>
      <c r="J4" s="673"/>
      <c r="K4" s="673"/>
      <c r="L4" s="673"/>
      <c r="V4" s="980"/>
      <c r="W4" s="50"/>
    </row>
    <row r="5" spans="1:47" ht="14.25" customHeight="1">
      <c r="B5" s="673"/>
      <c r="C5" s="5" t="s">
        <v>733</v>
      </c>
      <c r="E5" s="673"/>
      <c r="F5" s="673"/>
      <c r="G5" s="673"/>
      <c r="H5" s="673"/>
      <c r="I5" s="673"/>
      <c r="J5" s="673"/>
      <c r="K5" s="673"/>
      <c r="L5" s="673"/>
      <c r="V5" s="980"/>
      <c r="W5" s="50"/>
    </row>
    <row r="6" spans="1:47" ht="14.25" customHeight="1">
      <c r="B6" s="673"/>
      <c r="C6" s="5" t="s">
        <v>179</v>
      </c>
      <c r="D6" s="673"/>
      <c r="E6" s="673"/>
      <c r="F6" s="673"/>
      <c r="G6" s="673"/>
      <c r="H6" s="673"/>
      <c r="I6" s="673"/>
      <c r="J6" s="673"/>
      <c r="K6" s="673"/>
      <c r="L6" s="673"/>
      <c r="V6" s="980"/>
    </row>
    <row r="7" spans="1:47" ht="14.25" customHeight="1">
      <c r="A7" s="50"/>
      <c r="B7" s="711"/>
      <c r="C7" s="7" t="s">
        <v>398</v>
      </c>
      <c r="D7" s="673"/>
      <c r="E7" s="673"/>
      <c r="F7" s="673"/>
      <c r="G7" s="673"/>
      <c r="H7" s="673"/>
      <c r="I7" s="673"/>
      <c r="J7" s="673"/>
      <c r="K7" s="673"/>
      <c r="L7" s="673"/>
      <c r="V7" s="980"/>
    </row>
    <row r="8" spans="1:47" ht="14.25" customHeight="1">
      <c r="B8" s="673"/>
      <c r="E8" s="673"/>
      <c r="F8" s="673"/>
      <c r="G8" s="673"/>
      <c r="H8" s="673"/>
      <c r="I8" s="673"/>
      <c r="J8" s="673"/>
      <c r="K8" s="673"/>
      <c r="L8" s="673"/>
      <c r="V8" s="980"/>
    </row>
    <row r="9" spans="1:47" ht="14.25" customHeight="1">
      <c r="B9" s="673"/>
      <c r="C9" s="5"/>
      <c r="D9" s="673"/>
      <c r="E9" s="673"/>
      <c r="F9" s="673"/>
      <c r="G9" s="673"/>
      <c r="H9" s="673"/>
      <c r="I9" s="673"/>
      <c r="J9" s="673"/>
      <c r="K9" s="673"/>
      <c r="L9" s="673"/>
      <c r="V9" s="980"/>
    </row>
    <row r="10" spans="1:47" ht="14.25" customHeight="1">
      <c r="B10" s="673"/>
      <c r="C10" s="5"/>
      <c r="D10" s="673"/>
      <c r="E10" s="673"/>
      <c r="F10" s="673"/>
      <c r="G10" s="673"/>
      <c r="H10" s="673"/>
      <c r="I10" s="673"/>
      <c r="J10" s="673"/>
      <c r="K10" s="673"/>
      <c r="L10" s="673"/>
      <c r="V10" s="980"/>
    </row>
    <row r="11" spans="1:47" ht="14.25" customHeight="1" thickBot="1">
      <c r="B11" s="673"/>
      <c r="C11" s="5"/>
      <c r="D11" s="673"/>
      <c r="E11" s="673"/>
      <c r="F11" s="673"/>
      <c r="G11" s="673"/>
      <c r="H11" s="673"/>
      <c r="I11" s="673"/>
      <c r="J11" s="673"/>
      <c r="K11" s="673"/>
      <c r="L11" s="673"/>
      <c r="V11" s="980"/>
      <c r="Z11" s="1900" t="s">
        <v>345</v>
      </c>
      <c r="AA11" s="1901"/>
      <c r="AB11" s="1901"/>
      <c r="AC11" s="1901"/>
      <c r="AD11" s="1901"/>
      <c r="AE11" s="1901"/>
      <c r="AF11" s="1901"/>
      <c r="AG11" s="1902"/>
      <c r="AH11" s="1900" t="s">
        <v>346</v>
      </c>
      <c r="AI11" s="1901"/>
      <c r="AJ11" s="1902"/>
      <c r="AK11" s="1910" t="s">
        <v>499</v>
      </c>
      <c r="AL11" s="1999"/>
      <c r="AM11" s="1900" t="s">
        <v>347</v>
      </c>
      <c r="AN11" s="1901"/>
      <c r="AO11" s="1901"/>
      <c r="AP11" s="1901"/>
      <c r="AQ11" s="1901"/>
      <c r="AR11" s="1901"/>
      <c r="AS11" s="1901"/>
      <c r="AT11" s="1901"/>
      <c r="AU11" s="1902"/>
    </row>
    <row r="12" spans="1:47" s="5" customFormat="1" ht="14.25" customHeight="1">
      <c r="C12" s="1969" t="s">
        <v>18</v>
      </c>
      <c r="D12" s="1923" t="s">
        <v>113</v>
      </c>
      <c r="E12" s="2001" t="s">
        <v>134</v>
      </c>
      <c r="F12" s="2004" t="s">
        <v>135</v>
      </c>
      <c r="G12" s="1880" t="s">
        <v>40</v>
      </c>
      <c r="H12" s="1883" t="s">
        <v>189</v>
      </c>
      <c r="I12" s="1880" t="s">
        <v>44</v>
      </c>
      <c r="J12" s="1886"/>
      <c r="K12" s="1861" t="s">
        <v>507</v>
      </c>
      <c r="L12" s="1892" t="s">
        <v>118</v>
      </c>
      <c r="M12" s="1861" t="s">
        <v>119</v>
      </c>
      <c r="N12" s="1861" t="s">
        <v>120</v>
      </c>
      <c r="O12" s="1992" t="s">
        <v>136</v>
      </c>
      <c r="P12" s="1953" t="s">
        <v>397</v>
      </c>
      <c r="Q12" s="1996"/>
      <c r="R12" s="2005" t="s">
        <v>734</v>
      </c>
      <c r="S12" s="1994" t="s">
        <v>121</v>
      </c>
      <c r="T12" s="1895"/>
      <c r="V12" s="499"/>
      <c r="W12" s="1966" t="s">
        <v>819</v>
      </c>
      <c r="Z12" s="1903"/>
      <c r="AA12" s="1904"/>
      <c r="AB12" s="1904"/>
      <c r="AC12" s="1904"/>
      <c r="AD12" s="1904"/>
      <c r="AE12" s="1904"/>
      <c r="AF12" s="1904"/>
      <c r="AG12" s="1905"/>
      <c r="AH12" s="1903"/>
      <c r="AI12" s="1904"/>
      <c r="AJ12" s="1905"/>
      <c r="AK12" s="1912"/>
      <c r="AL12" s="2000"/>
      <c r="AM12" s="1903"/>
      <c r="AN12" s="1904"/>
      <c r="AO12" s="1904"/>
      <c r="AP12" s="1904"/>
      <c r="AQ12" s="1904"/>
      <c r="AR12" s="1904"/>
      <c r="AS12" s="1904"/>
      <c r="AT12" s="1904"/>
      <c r="AU12" s="1905"/>
    </row>
    <row r="13" spans="1:47" s="5" customFormat="1" ht="14.25" customHeight="1">
      <c r="C13" s="1970"/>
      <c r="D13" s="1792"/>
      <c r="E13" s="2002"/>
      <c r="F13" s="1875"/>
      <c r="G13" s="1881"/>
      <c r="H13" s="1884"/>
      <c r="I13" s="1881"/>
      <c r="J13" s="1887"/>
      <c r="K13" s="1862"/>
      <c r="L13" s="1893"/>
      <c r="M13" s="1862"/>
      <c r="N13" s="1862"/>
      <c r="O13" s="1993"/>
      <c r="P13" s="1955"/>
      <c r="Q13" s="1997"/>
      <c r="R13" s="2006"/>
      <c r="S13" s="1995"/>
      <c r="T13" s="1897"/>
      <c r="V13" s="499"/>
      <c r="W13" s="1967"/>
      <c r="Z13" s="1985" t="s">
        <v>350</v>
      </c>
      <c r="AA13" s="1986" t="s">
        <v>850</v>
      </c>
      <c r="AB13" s="1986" t="s">
        <v>848</v>
      </c>
      <c r="AC13" s="1985" t="s">
        <v>310</v>
      </c>
      <c r="AD13" s="1985" t="s">
        <v>341</v>
      </c>
      <c r="AE13" s="1985" t="s">
        <v>475</v>
      </c>
      <c r="AF13" s="1985" t="s">
        <v>343</v>
      </c>
      <c r="AG13" s="1985" t="s">
        <v>479</v>
      </c>
      <c r="AH13" s="1985" t="s">
        <v>483</v>
      </c>
      <c r="AI13" s="1978" t="s">
        <v>500</v>
      </c>
      <c r="AJ13" s="674"/>
      <c r="AK13" s="1906" t="s">
        <v>344</v>
      </c>
      <c r="AL13" s="1906" t="s">
        <v>501</v>
      </c>
      <c r="AM13" s="1985" t="s">
        <v>344</v>
      </c>
      <c r="AN13" s="1978" t="s">
        <v>500</v>
      </c>
      <c r="AO13" s="674"/>
      <c r="AP13" s="1985" t="s">
        <v>348</v>
      </c>
      <c r="AQ13" s="1985" t="s">
        <v>349</v>
      </c>
      <c r="AR13" s="1985" t="s">
        <v>120</v>
      </c>
      <c r="AS13" s="1985" t="s">
        <v>354</v>
      </c>
      <c r="AT13" s="1982" t="s">
        <v>353</v>
      </c>
      <c r="AU13" s="1982" t="s">
        <v>24</v>
      </c>
    </row>
    <row r="14" spans="1:47" s="5" customFormat="1" ht="14.25" customHeight="1">
      <c r="C14" s="1970"/>
      <c r="D14" s="1792"/>
      <c r="E14" s="2002"/>
      <c r="F14" s="1875"/>
      <c r="G14" s="1882"/>
      <c r="H14" s="1884"/>
      <c r="I14" s="1882"/>
      <c r="J14" s="1888"/>
      <c r="K14" s="1131" t="s">
        <v>122</v>
      </c>
      <c r="L14" s="712" t="s">
        <v>122</v>
      </c>
      <c r="M14" s="712" t="s">
        <v>122</v>
      </c>
      <c r="N14" s="712" t="s">
        <v>122</v>
      </c>
      <c r="O14" s="637" t="s">
        <v>122</v>
      </c>
      <c r="P14" s="1957"/>
      <c r="Q14" s="1998"/>
      <c r="R14" s="2006"/>
      <c r="S14" s="1988" t="s">
        <v>123</v>
      </c>
      <c r="T14" s="1877" t="s">
        <v>131</v>
      </c>
      <c r="V14" s="499"/>
      <c r="W14" s="1967"/>
      <c r="Z14" s="1986"/>
      <c r="AA14" s="1986"/>
      <c r="AB14" s="1986"/>
      <c r="AC14" s="1986"/>
      <c r="AD14" s="1986"/>
      <c r="AE14" s="1986"/>
      <c r="AF14" s="1986" t="s">
        <v>156</v>
      </c>
      <c r="AG14" s="1986"/>
      <c r="AH14" s="1986" t="s">
        <v>156</v>
      </c>
      <c r="AI14" s="1907" t="s">
        <v>156</v>
      </c>
      <c r="AJ14" s="1906" t="s">
        <v>503</v>
      </c>
      <c r="AK14" s="1907" t="s">
        <v>156</v>
      </c>
      <c r="AL14" s="1907" t="s">
        <v>156</v>
      </c>
      <c r="AM14" s="1986" t="s">
        <v>156</v>
      </c>
      <c r="AN14" s="1907" t="s">
        <v>156</v>
      </c>
      <c r="AO14" s="1906" t="s">
        <v>503</v>
      </c>
      <c r="AP14" s="1986"/>
      <c r="AQ14" s="1986"/>
      <c r="AR14" s="1986"/>
      <c r="AS14" s="1986"/>
      <c r="AT14" s="1983"/>
      <c r="AU14" s="1983"/>
    </row>
    <row r="15" spans="1:47" s="5" customFormat="1" ht="14.25" customHeight="1">
      <c r="C15" s="1970"/>
      <c r="D15" s="1792"/>
      <c r="E15" s="2002"/>
      <c r="F15" s="1875"/>
      <c r="G15" s="1868" t="s">
        <v>208</v>
      </c>
      <c r="H15" s="1884"/>
      <c r="I15" s="1941" t="s">
        <v>169</v>
      </c>
      <c r="J15" s="1868" t="s">
        <v>34</v>
      </c>
      <c r="K15" s="678"/>
      <c r="L15" s="713"/>
      <c r="M15" s="640"/>
      <c r="N15" s="714"/>
      <c r="O15" s="679"/>
      <c r="P15" s="1979" t="s">
        <v>132</v>
      </c>
      <c r="Q15" s="1979" t="s">
        <v>24</v>
      </c>
      <c r="R15" s="2007"/>
      <c r="S15" s="1989"/>
      <c r="T15" s="1878"/>
      <c r="V15" s="499"/>
      <c r="W15" s="1967"/>
      <c r="Z15" s="1986"/>
      <c r="AA15" s="1986"/>
      <c r="AB15" s="1986"/>
      <c r="AC15" s="1986"/>
      <c r="AD15" s="1986"/>
      <c r="AE15" s="1986"/>
      <c r="AF15" s="1986"/>
      <c r="AG15" s="1986"/>
      <c r="AH15" s="1986"/>
      <c r="AI15" s="1907"/>
      <c r="AJ15" s="1907"/>
      <c r="AK15" s="1907"/>
      <c r="AL15" s="1907"/>
      <c r="AM15" s="1986"/>
      <c r="AN15" s="1907"/>
      <c r="AO15" s="1907"/>
      <c r="AP15" s="1986"/>
      <c r="AQ15" s="1986"/>
      <c r="AR15" s="1986"/>
      <c r="AS15" s="1986"/>
      <c r="AT15" s="1983"/>
      <c r="AU15" s="1983"/>
    </row>
    <row r="16" spans="1:47" s="5" customFormat="1" ht="14.25" customHeight="1">
      <c r="C16" s="1970"/>
      <c r="D16" s="1792"/>
      <c r="E16" s="2002"/>
      <c r="F16" s="1875"/>
      <c r="G16" s="1945"/>
      <c r="H16" s="1884"/>
      <c r="I16" s="1942"/>
      <c r="J16" s="1869"/>
      <c r="K16" s="678"/>
      <c r="L16" s="713"/>
      <c r="M16" s="640"/>
      <c r="N16" s="714"/>
      <c r="O16" s="679"/>
      <c r="P16" s="1980"/>
      <c r="Q16" s="1980"/>
      <c r="R16" s="2007"/>
      <c r="S16" s="1989"/>
      <c r="T16" s="681"/>
      <c r="V16" s="499"/>
      <c r="W16" s="1967"/>
      <c r="Z16" s="1986"/>
      <c r="AA16" s="1986"/>
      <c r="AB16" s="1986"/>
      <c r="AC16" s="1986"/>
      <c r="AD16" s="1986"/>
      <c r="AE16" s="1986"/>
      <c r="AF16" s="1986"/>
      <c r="AG16" s="1986"/>
      <c r="AH16" s="1986"/>
      <c r="AI16" s="1907"/>
      <c r="AJ16" s="1907"/>
      <c r="AK16" s="1907"/>
      <c r="AL16" s="1907"/>
      <c r="AM16" s="1986"/>
      <c r="AN16" s="1907"/>
      <c r="AO16" s="1907"/>
      <c r="AP16" s="1986"/>
      <c r="AQ16" s="1986"/>
      <c r="AR16" s="1986"/>
      <c r="AS16" s="1986"/>
      <c r="AT16" s="1983"/>
      <c r="AU16" s="1983"/>
    </row>
    <row r="17" spans="3:47" s="5" customFormat="1" ht="14.25" customHeight="1" thickBot="1">
      <c r="C17" s="1970"/>
      <c r="D17" s="1792"/>
      <c r="E17" s="2002"/>
      <c r="F17" s="1875"/>
      <c r="G17" s="1945"/>
      <c r="H17" s="1884"/>
      <c r="I17" s="1942"/>
      <c r="J17" s="1869"/>
      <c r="K17" s="678"/>
      <c r="L17" s="713"/>
      <c r="M17" s="640"/>
      <c r="N17" s="714"/>
      <c r="O17" s="679"/>
      <c r="P17" s="1949" t="s">
        <v>122</v>
      </c>
      <c r="Q17" s="1949" t="s">
        <v>122</v>
      </c>
      <c r="R17" s="2007"/>
      <c r="S17" s="1990"/>
      <c r="T17" s="681"/>
      <c r="V17" s="499"/>
      <c r="W17" s="1967"/>
      <c r="Z17" s="1987"/>
      <c r="AA17" s="1135" t="s">
        <v>342</v>
      </c>
      <c r="AB17" s="1135" t="s">
        <v>342</v>
      </c>
      <c r="AC17" s="1987"/>
      <c r="AD17" s="1987"/>
      <c r="AE17" s="1987"/>
      <c r="AF17" s="1987"/>
      <c r="AG17" s="1987"/>
      <c r="AH17" s="1987"/>
      <c r="AI17" s="1908"/>
      <c r="AJ17" s="1908"/>
      <c r="AK17" s="1908"/>
      <c r="AL17" s="1908"/>
      <c r="AM17" s="1987"/>
      <c r="AN17" s="1908"/>
      <c r="AO17" s="1908"/>
      <c r="AP17" s="1986"/>
      <c r="AQ17" s="1987"/>
      <c r="AR17" s="1987"/>
      <c r="AS17" s="1987"/>
      <c r="AT17" s="1984"/>
      <c r="AU17" s="1984"/>
    </row>
    <row r="18" spans="3:47" s="5" customFormat="1" ht="30" customHeight="1" thickTop="1" thickBot="1">
      <c r="C18" s="1971"/>
      <c r="D18" s="1928"/>
      <c r="E18" s="2003"/>
      <c r="F18" s="1876"/>
      <c r="G18" s="1946"/>
      <c r="H18" s="1885"/>
      <c r="I18" s="1943"/>
      <c r="J18" s="1870"/>
      <c r="K18" s="682"/>
      <c r="L18" s="713"/>
      <c r="M18" s="640"/>
      <c r="N18" s="715"/>
      <c r="O18" s="679"/>
      <c r="P18" s="1950"/>
      <c r="Q18" s="1981"/>
      <c r="R18" s="2008"/>
      <c r="S18" s="1991"/>
      <c r="T18" s="684"/>
      <c r="V18" s="499"/>
      <c r="W18" s="1968"/>
      <c r="Z18" s="984"/>
      <c r="AA18" s="984"/>
      <c r="AB18" s="984"/>
      <c r="AC18" s="984"/>
      <c r="AD18" s="984"/>
      <c r="AE18" s="984"/>
      <c r="AF18" s="984"/>
      <c r="AG18" s="984"/>
      <c r="AH18" s="1152">
        <f>SUM(AH19:AH318)</f>
        <v>0</v>
      </c>
      <c r="AI18" s="1152">
        <f t="shared" ref="AI18:AU18" si="0">SUM(AI19:AI318)</f>
        <v>0</v>
      </c>
      <c r="AJ18" s="1152">
        <f t="shared" si="0"/>
        <v>0</v>
      </c>
      <c r="AK18" s="1152">
        <f t="shared" si="0"/>
        <v>0</v>
      </c>
      <c r="AL18" s="1152">
        <f t="shared" si="0"/>
        <v>0</v>
      </c>
      <c r="AM18" s="1152">
        <f t="shared" si="0"/>
        <v>0</v>
      </c>
      <c r="AN18" s="1152">
        <f t="shared" si="0"/>
        <v>0</v>
      </c>
      <c r="AO18" s="1153">
        <f t="shared" si="0"/>
        <v>0</v>
      </c>
      <c r="AP18" s="1150">
        <f t="shared" si="0"/>
        <v>0</v>
      </c>
      <c r="AQ18" s="1155">
        <f t="shared" si="0"/>
        <v>0</v>
      </c>
      <c r="AR18" s="1152">
        <f t="shared" si="0"/>
        <v>0</v>
      </c>
      <c r="AS18" s="1152">
        <f t="shared" si="0"/>
        <v>0</v>
      </c>
      <c r="AT18" s="1322">
        <f>SUM(AT19:AT318)</f>
        <v>0</v>
      </c>
      <c r="AU18" s="1322">
        <f t="shared" si="0"/>
        <v>0</v>
      </c>
    </row>
    <row r="19" spans="3:47" s="5" customFormat="1" ht="27.75" customHeight="1" thickTop="1">
      <c r="C19" s="642">
        <v>1</v>
      </c>
      <c r="D19" s="722"/>
      <c r="E19" s="723"/>
      <c r="F19" s="657"/>
      <c r="G19" s="699"/>
      <c r="H19" s="262"/>
      <c r="I19" s="262"/>
      <c r="J19" s="1048"/>
      <c r="K19" s="261"/>
      <c r="L19" s="261"/>
      <c r="M19" s="261"/>
      <c r="N19" s="261"/>
      <c r="O19" s="261"/>
      <c r="P19" s="261"/>
      <c r="Q19" s="261"/>
      <c r="R19" s="724"/>
      <c r="S19" s="701"/>
      <c r="T19" s="725"/>
      <c r="U19" s="431"/>
      <c r="V19" s="499"/>
      <c r="W19" s="740"/>
      <c r="Z19" s="985" t="str">
        <f t="shared" ref="Z19:Z318" si="1">IF(AND(E19="",F19=""),"","["&amp;RIGHT(LEFT(E19,3),2)&amp;RIGHT(LEFT(F19,2),1)&amp;"]")</f>
        <v/>
      </c>
      <c r="AA19" s="1047" t="str">
        <f>IF(Z19="","",IF(K19+L19&lt;100000,1,0))</f>
        <v/>
      </c>
      <c r="AB19" s="1047" t="str">
        <f>IF(Z19="","",IF(AND(AA19=0,K19+L19&lt;200000),1,))</f>
        <v/>
      </c>
      <c r="AC19" s="1047" t="str">
        <f>IF(Z19="","",VLOOKUP(Z19,リスト!BN:BO,2,0))</f>
        <v/>
      </c>
      <c r="AD19" s="1047" t="str">
        <f>IF(AB19=1,3,IF(G19="2：中古",MIN(AC19,H19),AC19))</f>
        <v/>
      </c>
      <c r="AE19" s="1047" t="str">
        <f>IF(AD19="","",VLOOKUP(AD19,リスト!BW:BX,2,0))</f>
        <v/>
      </c>
      <c r="AF19" s="1047" t="str">
        <f t="shared" ref="AF19:AF82" si="2">IF(Z19="","",調査年-I19)</f>
        <v/>
      </c>
      <c r="AG19" s="994" t="str">
        <f t="shared" ref="AG19:AG318" si="3">IF(OR(Z19="",AA19=1),"",
IF(AND(AD19&gt;0,AF19&lt;AD19,AH19&lt;=ROUND((K19-1)*AE19,0)),ROUND(AH19,0),
IF(AND(AD19&gt;0,AF19&lt;AD19),ROUND((K19-1)*AE19,0),
"")))</f>
        <v/>
      </c>
      <c r="AH19" s="986" t="str">
        <f t="shared" ref="AH19:AH318" si="4">IF(OR(Z19="",AA19=1),"",
IF(AND(AD19&gt;0,AF19&lt;AD19),K19-ROUND((K19-1)*AE19*AF19,0),1
))</f>
        <v/>
      </c>
      <c r="AI19" s="986" t="str">
        <f>IF(OR(Z19="",AA19=1),"",
IF(S19="",AG19,
IF(S19="2：廃棄等",SUM(AH19,T19),
IF(S19="1：売却",AH19-T19,
IF(AND(T19="",AG19=""),"",SUM(T19,AG19))))))</f>
        <v/>
      </c>
      <c r="AJ19" s="987" t="str">
        <f>IF(AND(AI19="",AG19=""),"",
IF(OR(S19="1：売却",S19="2：廃棄等"),SUM(AI19)-SUM(AG19),""))</f>
        <v/>
      </c>
      <c r="AK19" s="987" t="str">
        <f t="shared" ref="AK19:AK318" si="5">IF(OR(AA19=1,L19=""),"",
IF(AND(AD19&gt;0,L19&gt;0,AF19&lt;AD19),L19-ROUND(L19*AE19*AF19,0),""
))</f>
        <v/>
      </c>
      <c r="AL19" s="987" t="str">
        <f>IF(OR(Z19="",AA19=1),IF(AND(AA19=1,AF19=0),L19,""),
IF(AND(AD19&gt;0,AF19&lt;AD19,SUM(AK19)&gt;0,AK19&lt;=ROUND(L19*AE19,0)),ROUND(AK19,0),
IF(AND(AD19&gt;0,AF19&lt;AD19,SUM(L19)&gt;0),ROUND(L19*AE19,0),"")))</f>
        <v/>
      </c>
      <c r="AM19" s="987" t="str">
        <f t="shared" ref="AM19:AM82" si="6">IF(R19="","",IF(OR(I19=調査年,AH19=""),"",ROUND(AH19*R19%,0)))</f>
        <v/>
      </c>
      <c r="AN19" s="987" t="str">
        <f t="shared" ref="AN19:AN318" si="7">IF(R19="","",IF(AI19="","",ROUND(AI19*R19%,0)))</f>
        <v/>
      </c>
      <c r="AO19" s="987" t="str">
        <f t="shared" ref="AO19:AO318" si="8">IF(R19="","",IF(AJ19="","",ROUND(AJ19*R19%,0)))</f>
        <v/>
      </c>
      <c r="AP19" s="648" t="str">
        <f t="shared" ref="AP19:AP318" si="9">IF(R19="","",IF(AH19="","",ROUND(AH19*R19%,0)))</f>
        <v/>
      </c>
      <c r="AQ19" s="987" t="str">
        <f>IF(OR(R19="",AND(OR(I19&lt;&gt;調査年,AA19=0),M19="",AL19="")),"",
SUM(
IF(AND(I19=調査年,AA19=1),ROUND(K19*R19%,0),),
ROUND(M19*R19%,0),
ROUND(SUM(AL19)*R19%,0),
))</f>
        <v/>
      </c>
      <c r="AR19" s="987" t="str">
        <f t="shared" ref="AR19:AR318" si="10">IF(R19="","",IF(N19="","",ROUND(N19*R19%,0)))</f>
        <v/>
      </c>
      <c r="AS19" s="987" t="str">
        <f>IF(R19="","",IF(O19="","",ROUND(O19*R19%,0)))</f>
        <v/>
      </c>
      <c r="AT19" s="1325" t="str">
        <f>IF(R19="","",IF(P19="","",ROUND(P19*R19%,0)))</f>
        <v/>
      </c>
      <c r="AU19" s="1325" t="str">
        <f>IF(R19="","",IF(Q19="","",ROUND(Q19*R19%,0)))</f>
        <v/>
      </c>
    </row>
    <row r="20" spans="3:47" s="5" customFormat="1" ht="28.15" customHeight="1">
      <c r="C20" s="649">
        <v>2</v>
      </c>
      <c r="D20" s="1133"/>
      <c r="E20" s="670"/>
      <c r="F20" s="726"/>
      <c r="G20" s="666"/>
      <c r="H20" s="266"/>
      <c r="I20" s="266"/>
      <c r="J20" s="1049"/>
      <c r="K20" s="267"/>
      <c r="L20" s="267"/>
      <c r="M20" s="267"/>
      <c r="N20" s="267"/>
      <c r="O20" s="727"/>
      <c r="P20" s="1321"/>
      <c r="Q20" s="1329"/>
      <c r="R20" s="254"/>
      <c r="S20" s="703"/>
      <c r="T20" s="728"/>
      <c r="U20" s="431"/>
      <c r="V20" s="499"/>
      <c r="W20" s="741"/>
      <c r="Z20" s="645" t="str">
        <f t="shared" si="1"/>
        <v/>
      </c>
      <c r="AA20" s="1037" t="str">
        <f>IF(Z20="","",IF(K20+L20&lt;100000,1,0))</f>
        <v/>
      </c>
      <c r="AB20" s="1037" t="str">
        <f>IF(Z20="","",IF(AND(AA20=0,K20+L20&lt;200000),1,))</f>
        <v/>
      </c>
      <c r="AC20" s="1037" t="str">
        <f>IF(Z20="","",VLOOKUP(Z20,リスト!BN:BO,2,0))</f>
        <v/>
      </c>
      <c r="AD20" s="1037" t="str">
        <f t="shared" ref="AD20:AD83" si="11">IF(AB20=1,3,IF(G20="2：中古",MIN(AC20,H20),AC20))</f>
        <v/>
      </c>
      <c r="AE20" s="1037" t="str">
        <f>IF(AD20="","",VLOOKUP(AD20,リスト!BW:BX,2,0))</f>
        <v/>
      </c>
      <c r="AF20" s="1037" t="str">
        <f t="shared" si="2"/>
        <v/>
      </c>
      <c r="AG20" s="685" t="str">
        <f t="shared" si="3"/>
        <v/>
      </c>
      <c r="AH20" s="646" t="str">
        <f t="shared" si="4"/>
        <v/>
      </c>
      <c r="AI20" s="646" t="str">
        <f t="shared" ref="AI20:AI83" si="12">IF(OR(Z20="",AA20=1),"",
IF(S20="",AG20,
IF(S20="2：廃棄等",SUM(AH20,T20),
IF(S20="1：売却",AH20-T20,
IF(AND(T20="",AG20=""),"",SUM(T20,AG20))))))</f>
        <v/>
      </c>
      <c r="AJ20" s="647" t="str">
        <f t="shared" ref="AJ20:AJ83" si="13">IF(AND(AI20="",AG20=""),"",
IF(OR(S20="1：売却",S20="2：廃棄等"),SUM(AI20)-SUM(AG20),""))</f>
        <v/>
      </c>
      <c r="AK20" s="647" t="str">
        <f t="shared" si="5"/>
        <v/>
      </c>
      <c r="AL20" s="647" t="str">
        <f t="shared" ref="AL20:AL83" si="14">IF(OR(Z20="",AA20=1),IF(AND(AA20=1,AF20=0),L20,""),
IF(AND(AD20&gt;0,AF20&lt;AD20,SUM(AK20)&gt;0,AK20&lt;=ROUND(L20*AE20,0)),ROUND(AK20,0),
IF(AND(AD20&gt;0,AF20&lt;AD20,SUM(L20)&gt;0),ROUND(L20*AE20,0),"")))</f>
        <v/>
      </c>
      <c r="AM20" s="647" t="str">
        <f t="shared" si="6"/>
        <v/>
      </c>
      <c r="AN20" s="647" t="str">
        <f t="shared" si="7"/>
        <v/>
      </c>
      <c r="AO20" s="647" t="str">
        <f t="shared" si="8"/>
        <v/>
      </c>
      <c r="AP20" s="647" t="str">
        <f t="shared" si="9"/>
        <v/>
      </c>
      <c r="AQ20" s="647" t="str">
        <f t="shared" ref="AQ20:AQ82" si="15">IF(OR(R20="",AND(OR(I20&lt;&gt;調査年,AA20=0),M20="",AL20="")),"",
SUM(
IF(AND(I20=調査年,AA20=1),ROUND(K20*R20%,0),),
ROUND(M20*R20%,0),
ROUND(SUM(AL20)*R20%,0),
))</f>
        <v/>
      </c>
      <c r="AR20" s="647" t="str">
        <f t="shared" si="10"/>
        <v/>
      </c>
      <c r="AS20" s="647" t="str">
        <f t="shared" ref="AS20:AS318" si="16">IF(R20="","",IF(O20="","",ROUND(O20*R20%,0)))</f>
        <v/>
      </c>
      <c r="AT20" s="1323" t="str">
        <f>IF(R20="","",IF(P20="","",ROUND(P20*R20%,0)))</f>
        <v/>
      </c>
      <c r="AU20" s="1323" t="str">
        <f>IF(R20="","",IF(Q20="","",ROUND(Q20*R20%,0)))</f>
        <v/>
      </c>
    </row>
    <row r="21" spans="3:47" s="5" customFormat="1" ht="28.15" customHeight="1">
      <c r="C21" s="649">
        <v>3</v>
      </c>
      <c r="D21" s="1134"/>
      <c r="E21" s="729"/>
      <c r="F21" s="726"/>
      <c r="G21" s="705"/>
      <c r="H21" s="257"/>
      <c r="I21" s="257"/>
      <c r="J21" s="1049"/>
      <c r="K21" s="256"/>
      <c r="L21" s="256"/>
      <c r="M21" s="730"/>
      <c r="N21" s="256"/>
      <c r="O21" s="727"/>
      <c r="P21" s="1321"/>
      <c r="Q21" s="1329"/>
      <c r="R21" s="254"/>
      <c r="S21" s="703"/>
      <c r="T21" s="728"/>
      <c r="U21" s="431"/>
      <c r="V21" s="499"/>
      <c r="W21" s="741"/>
      <c r="Z21" s="645" t="str">
        <f t="shared" si="1"/>
        <v/>
      </c>
      <c r="AA21" s="1037" t="str">
        <f t="shared" ref="AA21:AA84" si="17">IF(Z21="","",IF(K21+L21&lt;100000,1,0))</f>
        <v/>
      </c>
      <c r="AB21" s="1037" t="str">
        <f t="shared" ref="AB21:AB84" si="18">IF(Z21="","",IF(AND(AA21=0,K21+L21&lt;200000),1,))</f>
        <v/>
      </c>
      <c r="AC21" s="1037" t="str">
        <f>IF(Z21="","",VLOOKUP(Z21,リスト!BN:BO,2,0))</f>
        <v/>
      </c>
      <c r="AD21" s="1037" t="str">
        <f t="shared" si="11"/>
        <v/>
      </c>
      <c r="AE21" s="1037" t="str">
        <f>IF(AD21="","",VLOOKUP(AD21,リスト!BW:BX,2,0))</f>
        <v/>
      </c>
      <c r="AF21" s="1037" t="str">
        <f t="shared" si="2"/>
        <v/>
      </c>
      <c r="AG21" s="685" t="str">
        <f t="shared" si="3"/>
        <v/>
      </c>
      <c r="AH21" s="646" t="str">
        <f t="shared" si="4"/>
        <v/>
      </c>
      <c r="AI21" s="646" t="str">
        <f t="shared" si="12"/>
        <v/>
      </c>
      <c r="AJ21" s="647" t="str">
        <f t="shared" si="13"/>
        <v/>
      </c>
      <c r="AK21" s="647" t="str">
        <f t="shared" si="5"/>
        <v/>
      </c>
      <c r="AL21" s="647" t="str">
        <f t="shared" si="14"/>
        <v/>
      </c>
      <c r="AM21" s="647" t="str">
        <f t="shared" si="6"/>
        <v/>
      </c>
      <c r="AN21" s="647" t="str">
        <f t="shared" si="7"/>
        <v/>
      </c>
      <c r="AO21" s="647" t="str">
        <f t="shared" si="8"/>
        <v/>
      </c>
      <c r="AP21" s="647" t="str">
        <f t="shared" si="9"/>
        <v/>
      </c>
      <c r="AQ21" s="647" t="str">
        <f t="shared" si="15"/>
        <v/>
      </c>
      <c r="AR21" s="647" t="str">
        <f t="shared" si="10"/>
        <v/>
      </c>
      <c r="AS21" s="647" t="str">
        <f t="shared" si="16"/>
        <v/>
      </c>
      <c r="AT21" s="1323" t="str">
        <f t="shared" ref="AT21:AT84" si="19">IF(R21="","",IF(P21="","",ROUND(P21*R21%,0)))</f>
        <v/>
      </c>
      <c r="AU21" s="1323" t="str">
        <f t="shared" ref="AU21:AU84" si="20">IF(R21="","",IF(Q21="","",ROUND(Q21*R21%,0)))</f>
        <v/>
      </c>
    </row>
    <row r="22" spans="3:47" s="5" customFormat="1" ht="28.15" customHeight="1">
      <c r="C22" s="649">
        <v>4</v>
      </c>
      <c r="D22" s="1133"/>
      <c r="E22" s="670"/>
      <c r="F22" s="726"/>
      <c r="G22" s="705"/>
      <c r="H22" s="255"/>
      <c r="I22" s="255"/>
      <c r="J22" s="1049"/>
      <c r="K22" s="256"/>
      <c r="L22" s="256"/>
      <c r="M22" s="730"/>
      <c r="N22" s="256"/>
      <c r="O22" s="727"/>
      <c r="P22" s="1321"/>
      <c r="Q22" s="1329"/>
      <c r="R22" s="254"/>
      <c r="S22" s="703"/>
      <c r="T22" s="728"/>
      <c r="U22" s="431"/>
      <c r="V22" s="499"/>
      <c r="W22" s="741"/>
      <c r="Z22" s="645" t="str">
        <f t="shared" si="1"/>
        <v/>
      </c>
      <c r="AA22" s="1037" t="str">
        <f t="shared" si="17"/>
        <v/>
      </c>
      <c r="AB22" s="1037" t="str">
        <f t="shared" si="18"/>
        <v/>
      </c>
      <c r="AC22" s="1037" t="str">
        <f>IF(Z22="","",VLOOKUP(Z22,リスト!BN:BO,2,0))</f>
        <v/>
      </c>
      <c r="AD22" s="1037" t="str">
        <f t="shared" si="11"/>
        <v/>
      </c>
      <c r="AE22" s="1037" t="str">
        <f>IF(AD22="","",VLOOKUP(AD22,リスト!BW:BX,2,0))</f>
        <v/>
      </c>
      <c r="AF22" s="1037" t="str">
        <f t="shared" si="2"/>
        <v/>
      </c>
      <c r="AG22" s="685" t="str">
        <f t="shared" si="3"/>
        <v/>
      </c>
      <c r="AH22" s="646" t="str">
        <f t="shared" si="4"/>
        <v/>
      </c>
      <c r="AI22" s="646" t="str">
        <f t="shared" si="12"/>
        <v/>
      </c>
      <c r="AJ22" s="647" t="str">
        <f t="shared" si="13"/>
        <v/>
      </c>
      <c r="AK22" s="647" t="str">
        <f t="shared" si="5"/>
        <v/>
      </c>
      <c r="AL22" s="647" t="str">
        <f t="shared" si="14"/>
        <v/>
      </c>
      <c r="AM22" s="647" t="str">
        <f t="shared" si="6"/>
        <v/>
      </c>
      <c r="AN22" s="647" t="str">
        <f t="shared" si="7"/>
        <v/>
      </c>
      <c r="AO22" s="647" t="str">
        <f t="shared" si="8"/>
        <v/>
      </c>
      <c r="AP22" s="647" t="str">
        <f t="shared" si="9"/>
        <v/>
      </c>
      <c r="AQ22" s="647" t="str">
        <f t="shared" si="15"/>
        <v/>
      </c>
      <c r="AR22" s="647" t="str">
        <f t="shared" si="10"/>
        <v/>
      </c>
      <c r="AS22" s="647" t="str">
        <f t="shared" si="16"/>
        <v/>
      </c>
      <c r="AT22" s="1323" t="str">
        <f t="shared" si="19"/>
        <v/>
      </c>
      <c r="AU22" s="1323" t="str">
        <f t="shared" si="20"/>
        <v/>
      </c>
    </row>
    <row r="23" spans="3:47" s="5" customFormat="1" ht="28.15" customHeight="1">
      <c r="C23" s="649">
        <v>5</v>
      </c>
      <c r="D23" s="1134"/>
      <c r="E23" s="729"/>
      <c r="F23" s="726"/>
      <c r="G23" s="705"/>
      <c r="H23" s="257"/>
      <c r="I23" s="257"/>
      <c r="J23" s="1049"/>
      <c r="K23" s="256"/>
      <c r="L23" s="256"/>
      <c r="M23" s="730"/>
      <c r="N23" s="256"/>
      <c r="O23" s="727"/>
      <c r="P23" s="1321"/>
      <c r="Q23" s="1329"/>
      <c r="R23" s="254"/>
      <c r="S23" s="703"/>
      <c r="T23" s="728"/>
      <c r="U23" s="431"/>
      <c r="V23" s="499"/>
      <c r="W23" s="741"/>
      <c r="Z23" s="645" t="str">
        <f t="shared" si="1"/>
        <v/>
      </c>
      <c r="AA23" s="1037" t="str">
        <f t="shared" si="17"/>
        <v/>
      </c>
      <c r="AB23" s="1037" t="str">
        <f t="shared" si="18"/>
        <v/>
      </c>
      <c r="AC23" s="1037" t="str">
        <f>IF(Z23="","",VLOOKUP(Z23,リスト!BN:BO,2,0))</f>
        <v/>
      </c>
      <c r="AD23" s="1037" t="str">
        <f t="shared" si="11"/>
        <v/>
      </c>
      <c r="AE23" s="1037" t="str">
        <f>IF(AD23="","",VLOOKUP(AD23,リスト!BW:BX,2,0))</f>
        <v/>
      </c>
      <c r="AF23" s="1037" t="str">
        <f t="shared" si="2"/>
        <v/>
      </c>
      <c r="AG23" s="685" t="str">
        <f t="shared" si="3"/>
        <v/>
      </c>
      <c r="AH23" s="646" t="str">
        <f t="shared" si="4"/>
        <v/>
      </c>
      <c r="AI23" s="646" t="str">
        <f t="shared" si="12"/>
        <v/>
      </c>
      <c r="AJ23" s="647" t="str">
        <f t="shared" si="13"/>
        <v/>
      </c>
      <c r="AK23" s="647" t="str">
        <f t="shared" si="5"/>
        <v/>
      </c>
      <c r="AL23" s="647" t="str">
        <f t="shared" si="14"/>
        <v/>
      </c>
      <c r="AM23" s="647" t="str">
        <f t="shared" si="6"/>
        <v/>
      </c>
      <c r="AN23" s="647" t="str">
        <f t="shared" si="7"/>
        <v/>
      </c>
      <c r="AO23" s="647" t="str">
        <f t="shared" si="8"/>
        <v/>
      </c>
      <c r="AP23" s="647" t="str">
        <f t="shared" si="9"/>
        <v/>
      </c>
      <c r="AQ23" s="647" t="str">
        <f t="shared" si="15"/>
        <v/>
      </c>
      <c r="AR23" s="647" t="str">
        <f t="shared" si="10"/>
        <v/>
      </c>
      <c r="AS23" s="647" t="str">
        <f t="shared" si="16"/>
        <v/>
      </c>
      <c r="AT23" s="1323" t="str">
        <f t="shared" si="19"/>
        <v/>
      </c>
      <c r="AU23" s="1323" t="str">
        <f t="shared" si="20"/>
        <v/>
      </c>
    </row>
    <row r="24" spans="3:47" s="5" customFormat="1" ht="28.15" customHeight="1">
      <c r="C24" s="649">
        <v>6</v>
      </c>
      <c r="D24" s="1133"/>
      <c r="E24" s="670"/>
      <c r="F24" s="726"/>
      <c r="G24" s="705"/>
      <c r="H24" s="255"/>
      <c r="I24" s="255"/>
      <c r="J24" s="1049"/>
      <c r="K24" s="256"/>
      <c r="L24" s="256"/>
      <c r="M24" s="730"/>
      <c r="N24" s="256"/>
      <c r="O24" s="727"/>
      <c r="P24" s="1321"/>
      <c r="Q24" s="1329"/>
      <c r="R24" s="254"/>
      <c r="S24" s="703"/>
      <c r="T24" s="728"/>
      <c r="U24" s="431"/>
      <c r="V24" s="499"/>
      <c r="W24" s="741"/>
      <c r="Z24" s="645" t="str">
        <f t="shared" si="1"/>
        <v/>
      </c>
      <c r="AA24" s="1037" t="str">
        <f t="shared" si="17"/>
        <v/>
      </c>
      <c r="AB24" s="1037" t="str">
        <f t="shared" si="18"/>
        <v/>
      </c>
      <c r="AC24" s="1037" t="str">
        <f>IF(Z24="","",VLOOKUP(Z24,リスト!BN:BO,2,0))</f>
        <v/>
      </c>
      <c r="AD24" s="1037" t="str">
        <f t="shared" si="11"/>
        <v/>
      </c>
      <c r="AE24" s="1037" t="str">
        <f>IF(AD24="","",VLOOKUP(AD24,リスト!BW:BX,2,0))</f>
        <v/>
      </c>
      <c r="AF24" s="1037" t="str">
        <f t="shared" si="2"/>
        <v/>
      </c>
      <c r="AG24" s="685" t="str">
        <f t="shared" si="3"/>
        <v/>
      </c>
      <c r="AH24" s="646" t="str">
        <f t="shared" si="4"/>
        <v/>
      </c>
      <c r="AI24" s="646" t="str">
        <f t="shared" si="12"/>
        <v/>
      </c>
      <c r="AJ24" s="647" t="str">
        <f t="shared" si="13"/>
        <v/>
      </c>
      <c r="AK24" s="647" t="str">
        <f t="shared" si="5"/>
        <v/>
      </c>
      <c r="AL24" s="647" t="str">
        <f t="shared" si="14"/>
        <v/>
      </c>
      <c r="AM24" s="647" t="str">
        <f t="shared" si="6"/>
        <v/>
      </c>
      <c r="AN24" s="647" t="str">
        <f t="shared" si="7"/>
        <v/>
      </c>
      <c r="AO24" s="647" t="str">
        <f t="shared" si="8"/>
        <v/>
      </c>
      <c r="AP24" s="647" t="str">
        <f t="shared" si="9"/>
        <v/>
      </c>
      <c r="AQ24" s="647" t="str">
        <f t="shared" si="15"/>
        <v/>
      </c>
      <c r="AR24" s="647" t="str">
        <f t="shared" si="10"/>
        <v/>
      </c>
      <c r="AS24" s="647" t="str">
        <f t="shared" si="16"/>
        <v/>
      </c>
      <c r="AT24" s="1323" t="str">
        <f t="shared" si="19"/>
        <v/>
      </c>
      <c r="AU24" s="1323" t="str">
        <f t="shared" si="20"/>
        <v/>
      </c>
    </row>
    <row r="25" spans="3:47" s="5" customFormat="1" ht="28.15" customHeight="1">
      <c r="C25" s="649">
        <v>7</v>
      </c>
      <c r="D25" s="1134"/>
      <c r="E25" s="729"/>
      <c r="F25" s="726"/>
      <c r="G25" s="705"/>
      <c r="H25" s="257"/>
      <c r="I25" s="257"/>
      <c r="J25" s="1049"/>
      <c r="K25" s="256"/>
      <c r="L25" s="256"/>
      <c r="M25" s="730"/>
      <c r="N25" s="256"/>
      <c r="O25" s="727"/>
      <c r="P25" s="1321"/>
      <c r="Q25" s="1329"/>
      <c r="R25" s="254"/>
      <c r="S25" s="703"/>
      <c r="T25" s="728"/>
      <c r="U25" s="431"/>
      <c r="V25" s="499"/>
      <c r="W25" s="741"/>
      <c r="Z25" s="645" t="str">
        <f t="shared" si="1"/>
        <v/>
      </c>
      <c r="AA25" s="1037" t="str">
        <f t="shared" si="17"/>
        <v/>
      </c>
      <c r="AB25" s="1037" t="str">
        <f t="shared" si="18"/>
        <v/>
      </c>
      <c r="AC25" s="1037" t="str">
        <f>IF(Z25="","",VLOOKUP(Z25,リスト!BN:BO,2,0))</f>
        <v/>
      </c>
      <c r="AD25" s="1037" t="str">
        <f t="shared" si="11"/>
        <v/>
      </c>
      <c r="AE25" s="1037" t="str">
        <f>IF(AD25="","",VLOOKUP(AD25,リスト!BW:BX,2,0))</f>
        <v/>
      </c>
      <c r="AF25" s="1037" t="str">
        <f t="shared" si="2"/>
        <v/>
      </c>
      <c r="AG25" s="685" t="str">
        <f t="shared" si="3"/>
        <v/>
      </c>
      <c r="AH25" s="646" t="str">
        <f t="shared" si="4"/>
        <v/>
      </c>
      <c r="AI25" s="646" t="str">
        <f t="shared" si="12"/>
        <v/>
      </c>
      <c r="AJ25" s="647" t="str">
        <f t="shared" si="13"/>
        <v/>
      </c>
      <c r="AK25" s="647" t="str">
        <f t="shared" si="5"/>
        <v/>
      </c>
      <c r="AL25" s="647" t="str">
        <f t="shared" si="14"/>
        <v/>
      </c>
      <c r="AM25" s="647" t="str">
        <f t="shared" si="6"/>
        <v/>
      </c>
      <c r="AN25" s="647" t="str">
        <f t="shared" si="7"/>
        <v/>
      </c>
      <c r="AO25" s="647" t="str">
        <f t="shared" si="8"/>
        <v/>
      </c>
      <c r="AP25" s="647" t="str">
        <f t="shared" si="9"/>
        <v/>
      </c>
      <c r="AQ25" s="647" t="str">
        <f t="shared" si="15"/>
        <v/>
      </c>
      <c r="AR25" s="647" t="str">
        <f t="shared" si="10"/>
        <v/>
      </c>
      <c r="AS25" s="647" t="str">
        <f t="shared" si="16"/>
        <v/>
      </c>
      <c r="AT25" s="1323" t="str">
        <f t="shared" si="19"/>
        <v/>
      </c>
      <c r="AU25" s="1323" t="str">
        <f t="shared" si="20"/>
        <v/>
      </c>
    </row>
    <row r="26" spans="3:47" s="5" customFormat="1" ht="28.15" customHeight="1">
      <c r="C26" s="649">
        <v>8</v>
      </c>
      <c r="D26" s="1133"/>
      <c r="E26" s="670"/>
      <c r="F26" s="726"/>
      <c r="G26" s="705"/>
      <c r="H26" s="255"/>
      <c r="I26" s="255"/>
      <c r="J26" s="1049"/>
      <c r="K26" s="256"/>
      <c r="L26" s="256"/>
      <c r="M26" s="730"/>
      <c r="N26" s="256"/>
      <c r="O26" s="727"/>
      <c r="P26" s="1321"/>
      <c r="Q26" s="1329"/>
      <c r="R26" s="254"/>
      <c r="S26" s="703"/>
      <c r="T26" s="728"/>
      <c r="U26" s="431"/>
      <c r="V26" s="499"/>
      <c r="W26" s="741"/>
      <c r="Z26" s="645" t="str">
        <f t="shared" si="1"/>
        <v/>
      </c>
      <c r="AA26" s="1037" t="str">
        <f t="shared" si="17"/>
        <v/>
      </c>
      <c r="AB26" s="1037" t="str">
        <f t="shared" si="18"/>
        <v/>
      </c>
      <c r="AC26" s="1037" t="str">
        <f>IF(Z26="","",VLOOKUP(Z26,リスト!BN:BO,2,0))</f>
        <v/>
      </c>
      <c r="AD26" s="1037" t="str">
        <f t="shared" si="11"/>
        <v/>
      </c>
      <c r="AE26" s="1037" t="str">
        <f>IF(AD26="","",VLOOKUP(AD26,リスト!BW:BX,2,0))</f>
        <v/>
      </c>
      <c r="AF26" s="1037" t="str">
        <f t="shared" si="2"/>
        <v/>
      </c>
      <c r="AG26" s="685" t="str">
        <f t="shared" si="3"/>
        <v/>
      </c>
      <c r="AH26" s="646" t="str">
        <f t="shared" si="4"/>
        <v/>
      </c>
      <c r="AI26" s="646" t="str">
        <f t="shared" si="12"/>
        <v/>
      </c>
      <c r="AJ26" s="647" t="str">
        <f t="shared" si="13"/>
        <v/>
      </c>
      <c r="AK26" s="647" t="str">
        <f t="shared" si="5"/>
        <v/>
      </c>
      <c r="AL26" s="647" t="str">
        <f t="shared" si="14"/>
        <v/>
      </c>
      <c r="AM26" s="647" t="str">
        <f t="shared" si="6"/>
        <v/>
      </c>
      <c r="AN26" s="647" t="str">
        <f t="shared" si="7"/>
        <v/>
      </c>
      <c r="AO26" s="647" t="str">
        <f t="shared" si="8"/>
        <v/>
      </c>
      <c r="AP26" s="647" t="str">
        <f t="shared" si="9"/>
        <v/>
      </c>
      <c r="AQ26" s="647" t="str">
        <f t="shared" si="15"/>
        <v/>
      </c>
      <c r="AR26" s="647" t="str">
        <f t="shared" si="10"/>
        <v/>
      </c>
      <c r="AS26" s="647" t="str">
        <f t="shared" si="16"/>
        <v/>
      </c>
      <c r="AT26" s="1323" t="str">
        <f t="shared" si="19"/>
        <v/>
      </c>
      <c r="AU26" s="1323" t="str">
        <f t="shared" si="20"/>
        <v/>
      </c>
    </row>
    <row r="27" spans="3:47" s="5" customFormat="1" ht="28.15" customHeight="1">
      <c r="C27" s="649">
        <v>9</v>
      </c>
      <c r="D27" s="1134"/>
      <c r="E27" s="729"/>
      <c r="F27" s="726"/>
      <c r="G27" s="705"/>
      <c r="H27" s="257"/>
      <c r="I27" s="257"/>
      <c r="J27" s="1049"/>
      <c r="K27" s="256"/>
      <c r="L27" s="256"/>
      <c r="M27" s="730"/>
      <c r="N27" s="256"/>
      <c r="O27" s="727"/>
      <c r="P27" s="1321"/>
      <c r="Q27" s="1329"/>
      <c r="R27" s="254"/>
      <c r="S27" s="703"/>
      <c r="T27" s="728"/>
      <c r="U27" s="431"/>
      <c r="V27" s="499"/>
      <c r="W27" s="741"/>
      <c r="Z27" s="645" t="str">
        <f t="shared" si="1"/>
        <v/>
      </c>
      <c r="AA27" s="1037" t="str">
        <f t="shared" si="17"/>
        <v/>
      </c>
      <c r="AB27" s="1037" t="str">
        <f t="shared" si="18"/>
        <v/>
      </c>
      <c r="AC27" s="1037" t="str">
        <f>IF(Z27="","",VLOOKUP(Z27,リスト!BN:BO,2,0))</f>
        <v/>
      </c>
      <c r="AD27" s="1037" t="str">
        <f t="shared" si="11"/>
        <v/>
      </c>
      <c r="AE27" s="1037" t="str">
        <f>IF(AD27="","",VLOOKUP(AD27,リスト!BW:BX,2,0))</f>
        <v/>
      </c>
      <c r="AF27" s="1037" t="str">
        <f t="shared" si="2"/>
        <v/>
      </c>
      <c r="AG27" s="685" t="str">
        <f t="shared" si="3"/>
        <v/>
      </c>
      <c r="AH27" s="646" t="str">
        <f t="shared" si="4"/>
        <v/>
      </c>
      <c r="AI27" s="646" t="str">
        <f t="shared" si="12"/>
        <v/>
      </c>
      <c r="AJ27" s="647" t="str">
        <f t="shared" si="13"/>
        <v/>
      </c>
      <c r="AK27" s="647" t="str">
        <f t="shared" si="5"/>
        <v/>
      </c>
      <c r="AL27" s="647" t="str">
        <f t="shared" si="14"/>
        <v/>
      </c>
      <c r="AM27" s="647" t="str">
        <f t="shared" si="6"/>
        <v/>
      </c>
      <c r="AN27" s="647" t="str">
        <f t="shared" si="7"/>
        <v/>
      </c>
      <c r="AO27" s="647" t="str">
        <f t="shared" si="8"/>
        <v/>
      </c>
      <c r="AP27" s="647" t="str">
        <f t="shared" si="9"/>
        <v/>
      </c>
      <c r="AQ27" s="647" t="str">
        <f t="shared" si="15"/>
        <v/>
      </c>
      <c r="AR27" s="647" t="str">
        <f t="shared" si="10"/>
        <v/>
      </c>
      <c r="AS27" s="647" t="str">
        <f t="shared" si="16"/>
        <v/>
      </c>
      <c r="AT27" s="1323" t="str">
        <f t="shared" si="19"/>
        <v/>
      </c>
      <c r="AU27" s="1323" t="str">
        <f t="shared" si="20"/>
        <v/>
      </c>
    </row>
    <row r="28" spans="3:47" s="5" customFormat="1" ht="28.15" customHeight="1">
      <c r="C28" s="649">
        <v>10</v>
      </c>
      <c r="D28" s="1133"/>
      <c r="E28" s="670"/>
      <c r="F28" s="726"/>
      <c r="G28" s="705"/>
      <c r="H28" s="255"/>
      <c r="I28" s="255"/>
      <c r="J28" s="1049"/>
      <c r="K28" s="256"/>
      <c r="L28" s="256"/>
      <c r="M28" s="730"/>
      <c r="N28" s="256"/>
      <c r="O28" s="727"/>
      <c r="P28" s="1321"/>
      <c r="Q28" s="1329"/>
      <c r="R28" s="254"/>
      <c r="S28" s="703"/>
      <c r="T28" s="728"/>
      <c r="U28" s="431"/>
      <c r="V28" s="499"/>
      <c r="W28" s="741"/>
      <c r="Z28" s="645" t="str">
        <f t="shared" si="1"/>
        <v/>
      </c>
      <c r="AA28" s="1037" t="str">
        <f t="shared" si="17"/>
        <v/>
      </c>
      <c r="AB28" s="1037" t="str">
        <f t="shared" si="18"/>
        <v/>
      </c>
      <c r="AC28" s="1037" t="str">
        <f>IF(Z28="","",VLOOKUP(Z28,リスト!BN:BO,2,0))</f>
        <v/>
      </c>
      <c r="AD28" s="1037" t="str">
        <f t="shared" si="11"/>
        <v/>
      </c>
      <c r="AE28" s="1037" t="str">
        <f>IF(AD28="","",VLOOKUP(AD28,リスト!BW:BX,2,0))</f>
        <v/>
      </c>
      <c r="AF28" s="1037" t="str">
        <f t="shared" si="2"/>
        <v/>
      </c>
      <c r="AG28" s="685" t="str">
        <f t="shared" si="3"/>
        <v/>
      </c>
      <c r="AH28" s="646" t="str">
        <f t="shared" si="4"/>
        <v/>
      </c>
      <c r="AI28" s="646" t="str">
        <f t="shared" si="12"/>
        <v/>
      </c>
      <c r="AJ28" s="647" t="str">
        <f t="shared" si="13"/>
        <v/>
      </c>
      <c r="AK28" s="647" t="str">
        <f t="shared" si="5"/>
        <v/>
      </c>
      <c r="AL28" s="647" t="str">
        <f t="shared" si="14"/>
        <v/>
      </c>
      <c r="AM28" s="647" t="str">
        <f t="shared" si="6"/>
        <v/>
      </c>
      <c r="AN28" s="647" t="str">
        <f t="shared" si="7"/>
        <v/>
      </c>
      <c r="AO28" s="647" t="str">
        <f t="shared" si="8"/>
        <v/>
      </c>
      <c r="AP28" s="647" t="str">
        <f t="shared" si="9"/>
        <v/>
      </c>
      <c r="AQ28" s="647" t="str">
        <f t="shared" si="15"/>
        <v/>
      </c>
      <c r="AR28" s="647" t="str">
        <f t="shared" si="10"/>
        <v/>
      </c>
      <c r="AS28" s="647" t="str">
        <f t="shared" si="16"/>
        <v/>
      </c>
      <c r="AT28" s="1323" t="str">
        <f t="shared" si="19"/>
        <v/>
      </c>
      <c r="AU28" s="1323" t="str">
        <f t="shared" si="20"/>
        <v/>
      </c>
    </row>
    <row r="29" spans="3:47" s="5" customFormat="1" ht="28.15" customHeight="1">
      <c r="C29" s="649">
        <v>11</v>
      </c>
      <c r="D29" s="1134"/>
      <c r="E29" s="729"/>
      <c r="F29" s="726"/>
      <c r="G29" s="705"/>
      <c r="H29" s="257"/>
      <c r="I29" s="257"/>
      <c r="J29" s="1049"/>
      <c r="K29" s="256"/>
      <c r="L29" s="256"/>
      <c r="M29" s="730"/>
      <c r="N29" s="256"/>
      <c r="O29" s="727"/>
      <c r="P29" s="1321"/>
      <c r="Q29" s="1329"/>
      <c r="R29" s="254"/>
      <c r="S29" s="703"/>
      <c r="T29" s="728"/>
      <c r="U29" s="431"/>
      <c r="V29" s="499"/>
      <c r="W29" s="741"/>
      <c r="Z29" s="645" t="str">
        <f t="shared" si="1"/>
        <v/>
      </c>
      <c r="AA29" s="1037" t="str">
        <f t="shared" si="17"/>
        <v/>
      </c>
      <c r="AB29" s="1037" t="str">
        <f t="shared" si="18"/>
        <v/>
      </c>
      <c r="AC29" s="1037" t="str">
        <f>IF(Z29="","",VLOOKUP(Z29,リスト!BN:BO,2,0))</f>
        <v/>
      </c>
      <c r="AD29" s="1037" t="str">
        <f t="shared" si="11"/>
        <v/>
      </c>
      <c r="AE29" s="1037" t="str">
        <f>IF(AD29="","",VLOOKUP(AD29,リスト!BW:BX,2,0))</f>
        <v/>
      </c>
      <c r="AF29" s="1037" t="str">
        <f t="shared" si="2"/>
        <v/>
      </c>
      <c r="AG29" s="685" t="str">
        <f t="shared" si="3"/>
        <v/>
      </c>
      <c r="AH29" s="646" t="str">
        <f t="shared" si="4"/>
        <v/>
      </c>
      <c r="AI29" s="646" t="str">
        <f t="shared" si="12"/>
        <v/>
      </c>
      <c r="AJ29" s="647" t="str">
        <f t="shared" si="13"/>
        <v/>
      </c>
      <c r="AK29" s="647" t="str">
        <f t="shared" si="5"/>
        <v/>
      </c>
      <c r="AL29" s="647" t="str">
        <f t="shared" si="14"/>
        <v/>
      </c>
      <c r="AM29" s="647" t="str">
        <f t="shared" si="6"/>
        <v/>
      </c>
      <c r="AN29" s="647" t="str">
        <f t="shared" si="7"/>
        <v/>
      </c>
      <c r="AO29" s="647" t="str">
        <f t="shared" si="8"/>
        <v/>
      </c>
      <c r="AP29" s="647" t="str">
        <f t="shared" si="9"/>
        <v/>
      </c>
      <c r="AQ29" s="647" t="str">
        <f t="shared" si="15"/>
        <v/>
      </c>
      <c r="AR29" s="647" t="str">
        <f t="shared" si="10"/>
        <v/>
      </c>
      <c r="AS29" s="647" t="str">
        <f t="shared" si="16"/>
        <v/>
      </c>
      <c r="AT29" s="1323" t="str">
        <f t="shared" si="19"/>
        <v/>
      </c>
      <c r="AU29" s="1323" t="str">
        <f t="shared" si="20"/>
        <v/>
      </c>
    </row>
    <row r="30" spans="3:47" s="5" customFormat="1" ht="28.15" customHeight="1">
      <c r="C30" s="649">
        <v>12</v>
      </c>
      <c r="D30" s="1133"/>
      <c r="E30" s="670"/>
      <c r="F30" s="726"/>
      <c r="G30" s="705"/>
      <c r="H30" s="255"/>
      <c r="I30" s="255"/>
      <c r="J30" s="1049"/>
      <c r="K30" s="256"/>
      <c r="L30" s="256"/>
      <c r="M30" s="730"/>
      <c r="N30" s="256"/>
      <c r="O30" s="727"/>
      <c r="P30" s="1321"/>
      <c r="Q30" s="1329"/>
      <c r="R30" s="254"/>
      <c r="S30" s="703"/>
      <c r="T30" s="728"/>
      <c r="U30" s="431"/>
      <c r="V30" s="499"/>
      <c r="W30" s="741"/>
      <c r="Z30" s="645" t="str">
        <f t="shared" si="1"/>
        <v/>
      </c>
      <c r="AA30" s="1037" t="str">
        <f t="shared" si="17"/>
        <v/>
      </c>
      <c r="AB30" s="1037" t="str">
        <f t="shared" si="18"/>
        <v/>
      </c>
      <c r="AC30" s="1037" t="str">
        <f>IF(Z30="","",VLOOKUP(Z30,リスト!BN:BO,2,0))</f>
        <v/>
      </c>
      <c r="AD30" s="1037" t="str">
        <f t="shared" si="11"/>
        <v/>
      </c>
      <c r="AE30" s="1037" t="str">
        <f>IF(AD30="","",VLOOKUP(AD30,リスト!BW:BX,2,0))</f>
        <v/>
      </c>
      <c r="AF30" s="1037" t="str">
        <f t="shared" si="2"/>
        <v/>
      </c>
      <c r="AG30" s="685" t="str">
        <f t="shared" si="3"/>
        <v/>
      </c>
      <c r="AH30" s="646" t="str">
        <f t="shared" si="4"/>
        <v/>
      </c>
      <c r="AI30" s="646" t="str">
        <f t="shared" si="12"/>
        <v/>
      </c>
      <c r="AJ30" s="647" t="str">
        <f t="shared" si="13"/>
        <v/>
      </c>
      <c r="AK30" s="647" t="str">
        <f t="shared" si="5"/>
        <v/>
      </c>
      <c r="AL30" s="647" t="str">
        <f t="shared" si="14"/>
        <v/>
      </c>
      <c r="AM30" s="647" t="str">
        <f t="shared" si="6"/>
        <v/>
      </c>
      <c r="AN30" s="647" t="str">
        <f t="shared" si="7"/>
        <v/>
      </c>
      <c r="AO30" s="647" t="str">
        <f t="shared" si="8"/>
        <v/>
      </c>
      <c r="AP30" s="647" t="str">
        <f t="shared" si="9"/>
        <v/>
      </c>
      <c r="AQ30" s="647" t="str">
        <f t="shared" si="15"/>
        <v/>
      </c>
      <c r="AR30" s="647" t="str">
        <f t="shared" si="10"/>
        <v/>
      </c>
      <c r="AS30" s="647" t="str">
        <f t="shared" si="16"/>
        <v/>
      </c>
      <c r="AT30" s="1323" t="str">
        <f t="shared" si="19"/>
        <v/>
      </c>
      <c r="AU30" s="1323" t="str">
        <f t="shared" si="20"/>
        <v/>
      </c>
    </row>
    <row r="31" spans="3:47" s="5" customFormat="1" ht="28.15" customHeight="1">
      <c r="C31" s="649">
        <v>13</v>
      </c>
      <c r="D31" s="1134"/>
      <c r="E31" s="729"/>
      <c r="F31" s="726"/>
      <c r="G31" s="705"/>
      <c r="H31" s="257"/>
      <c r="I31" s="257"/>
      <c r="J31" s="1050"/>
      <c r="K31" s="256"/>
      <c r="L31" s="256"/>
      <c r="M31" s="730"/>
      <c r="N31" s="256"/>
      <c r="O31" s="727"/>
      <c r="P31" s="1321"/>
      <c r="Q31" s="1329"/>
      <c r="R31" s="254"/>
      <c r="S31" s="703"/>
      <c r="T31" s="728"/>
      <c r="U31" s="431"/>
      <c r="V31" s="499"/>
      <c r="W31" s="741"/>
      <c r="Z31" s="645" t="str">
        <f t="shared" si="1"/>
        <v/>
      </c>
      <c r="AA31" s="1037" t="str">
        <f t="shared" si="17"/>
        <v/>
      </c>
      <c r="AB31" s="1037" t="str">
        <f t="shared" si="18"/>
        <v/>
      </c>
      <c r="AC31" s="1037" t="str">
        <f>IF(Z31="","",VLOOKUP(Z31,リスト!BN:BO,2,0))</f>
        <v/>
      </c>
      <c r="AD31" s="1037" t="str">
        <f t="shared" si="11"/>
        <v/>
      </c>
      <c r="AE31" s="1037" t="str">
        <f>IF(AD31="","",VLOOKUP(AD31,リスト!BW:BX,2,0))</f>
        <v/>
      </c>
      <c r="AF31" s="1037" t="str">
        <f t="shared" si="2"/>
        <v/>
      </c>
      <c r="AG31" s="685" t="str">
        <f t="shared" si="3"/>
        <v/>
      </c>
      <c r="AH31" s="646" t="str">
        <f t="shared" si="4"/>
        <v/>
      </c>
      <c r="AI31" s="646" t="str">
        <f t="shared" si="12"/>
        <v/>
      </c>
      <c r="AJ31" s="647" t="str">
        <f t="shared" si="13"/>
        <v/>
      </c>
      <c r="AK31" s="647" t="str">
        <f t="shared" si="5"/>
        <v/>
      </c>
      <c r="AL31" s="647" t="str">
        <f t="shared" si="14"/>
        <v/>
      </c>
      <c r="AM31" s="647" t="str">
        <f t="shared" si="6"/>
        <v/>
      </c>
      <c r="AN31" s="647" t="str">
        <f t="shared" si="7"/>
        <v/>
      </c>
      <c r="AO31" s="647" t="str">
        <f t="shared" si="8"/>
        <v/>
      </c>
      <c r="AP31" s="647" t="str">
        <f t="shared" si="9"/>
        <v/>
      </c>
      <c r="AQ31" s="647" t="str">
        <f t="shared" si="15"/>
        <v/>
      </c>
      <c r="AR31" s="647" t="str">
        <f t="shared" si="10"/>
        <v/>
      </c>
      <c r="AS31" s="647" t="str">
        <f t="shared" si="16"/>
        <v/>
      </c>
      <c r="AT31" s="1323" t="str">
        <f t="shared" si="19"/>
        <v/>
      </c>
      <c r="AU31" s="1323" t="str">
        <f t="shared" si="20"/>
        <v/>
      </c>
    </row>
    <row r="32" spans="3:47" s="5" customFormat="1" ht="28.15" customHeight="1">
      <c r="C32" s="649">
        <v>14</v>
      </c>
      <c r="D32" s="1133"/>
      <c r="E32" s="670"/>
      <c r="F32" s="726"/>
      <c r="G32" s="705"/>
      <c r="H32" s="255"/>
      <c r="I32" s="255"/>
      <c r="J32" s="1051"/>
      <c r="K32" s="256"/>
      <c r="L32" s="256"/>
      <c r="M32" s="730"/>
      <c r="N32" s="256"/>
      <c r="O32" s="727"/>
      <c r="P32" s="1321"/>
      <c r="Q32" s="1329"/>
      <c r="R32" s="254"/>
      <c r="S32" s="703"/>
      <c r="T32" s="728"/>
      <c r="U32" s="431"/>
      <c r="V32" s="499"/>
      <c r="W32" s="741"/>
      <c r="Z32" s="645" t="str">
        <f t="shared" si="1"/>
        <v/>
      </c>
      <c r="AA32" s="1037" t="str">
        <f t="shared" si="17"/>
        <v/>
      </c>
      <c r="AB32" s="1037" t="str">
        <f t="shared" si="18"/>
        <v/>
      </c>
      <c r="AC32" s="1037" t="str">
        <f>IF(Z32="","",VLOOKUP(Z32,リスト!BN:BO,2,0))</f>
        <v/>
      </c>
      <c r="AD32" s="1037" t="str">
        <f t="shared" si="11"/>
        <v/>
      </c>
      <c r="AE32" s="1037" t="str">
        <f>IF(AD32="","",VLOOKUP(AD32,リスト!BW:BX,2,0))</f>
        <v/>
      </c>
      <c r="AF32" s="1037" t="str">
        <f t="shared" si="2"/>
        <v/>
      </c>
      <c r="AG32" s="685" t="str">
        <f t="shared" si="3"/>
        <v/>
      </c>
      <c r="AH32" s="646" t="str">
        <f t="shared" si="4"/>
        <v/>
      </c>
      <c r="AI32" s="646" t="str">
        <f t="shared" si="12"/>
        <v/>
      </c>
      <c r="AJ32" s="647" t="str">
        <f t="shared" si="13"/>
        <v/>
      </c>
      <c r="AK32" s="647" t="str">
        <f t="shared" si="5"/>
        <v/>
      </c>
      <c r="AL32" s="647" t="str">
        <f t="shared" si="14"/>
        <v/>
      </c>
      <c r="AM32" s="647" t="str">
        <f t="shared" si="6"/>
        <v/>
      </c>
      <c r="AN32" s="647" t="str">
        <f t="shared" si="7"/>
        <v/>
      </c>
      <c r="AO32" s="647" t="str">
        <f t="shared" si="8"/>
        <v/>
      </c>
      <c r="AP32" s="647" t="str">
        <f t="shared" si="9"/>
        <v/>
      </c>
      <c r="AQ32" s="647" t="str">
        <f t="shared" si="15"/>
        <v/>
      </c>
      <c r="AR32" s="647" t="str">
        <f t="shared" si="10"/>
        <v/>
      </c>
      <c r="AS32" s="647" t="str">
        <f t="shared" si="16"/>
        <v/>
      </c>
      <c r="AT32" s="1323" t="str">
        <f t="shared" si="19"/>
        <v/>
      </c>
      <c r="AU32" s="1323" t="str">
        <f t="shared" si="20"/>
        <v/>
      </c>
    </row>
    <row r="33" spans="3:47" s="5" customFormat="1" ht="28.15" customHeight="1">
      <c r="C33" s="649">
        <v>15</v>
      </c>
      <c r="D33" s="1133"/>
      <c r="E33" s="670"/>
      <c r="F33" s="726"/>
      <c r="G33" s="705"/>
      <c r="H33" s="255"/>
      <c r="I33" s="255"/>
      <c r="J33" s="1051"/>
      <c r="K33" s="256"/>
      <c r="L33" s="256"/>
      <c r="M33" s="730"/>
      <c r="N33" s="256"/>
      <c r="O33" s="727"/>
      <c r="P33" s="1321"/>
      <c r="Q33" s="1329"/>
      <c r="R33" s="254"/>
      <c r="S33" s="703"/>
      <c r="T33" s="728"/>
      <c r="U33" s="431"/>
      <c r="V33" s="499"/>
      <c r="W33" s="741"/>
      <c r="Z33" s="645" t="str">
        <f t="shared" si="1"/>
        <v/>
      </c>
      <c r="AA33" s="1037" t="str">
        <f t="shared" si="17"/>
        <v/>
      </c>
      <c r="AB33" s="1037" t="str">
        <f t="shared" si="18"/>
        <v/>
      </c>
      <c r="AC33" s="1037" t="str">
        <f>IF(Z33="","",VLOOKUP(Z33,リスト!BN:BO,2,0))</f>
        <v/>
      </c>
      <c r="AD33" s="1037" t="str">
        <f t="shared" si="11"/>
        <v/>
      </c>
      <c r="AE33" s="1037" t="str">
        <f>IF(AD33="","",VLOOKUP(AD33,リスト!BW:BX,2,0))</f>
        <v/>
      </c>
      <c r="AF33" s="1037" t="str">
        <f t="shared" si="2"/>
        <v/>
      </c>
      <c r="AG33" s="685" t="str">
        <f t="shared" si="3"/>
        <v/>
      </c>
      <c r="AH33" s="646" t="str">
        <f t="shared" si="4"/>
        <v/>
      </c>
      <c r="AI33" s="646" t="str">
        <f t="shared" si="12"/>
        <v/>
      </c>
      <c r="AJ33" s="647" t="str">
        <f t="shared" si="13"/>
        <v/>
      </c>
      <c r="AK33" s="647" t="str">
        <f t="shared" si="5"/>
        <v/>
      </c>
      <c r="AL33" s="647" t="str">
        <f t="shared" si="14"/>
        <v/>
      </c>
      <c r="AM33" s="647" t="str">
        <f t="shared" si="6"/>
        <v/>
      </c>
      <c r="AN33" s="647" t="str">
        <f t="shared" si="7"/>
        <v/>
      </c>
      <c r="AO33" s="647" t="str">
        <f t="shared" si="8"/>
        <v/>
      </c>
      <c r="AP33" s="647" t="str">
        <f t="shared" si="9"/>
        <v/>
      </c>
      <c r="AQ33" s="647" t="str">
        <f t="shared" si="15"/>
        <v/>
      </c>
      <c r="AR33" s="647" t="str">
        <f t="shared" si="10"/>
        <v/>
      </c>
      <c r="AS33" s="647" t="str">
        <f t="shared" si="16"/>
        <v/>
      </c>
      <c r="AT33" s="1323" t="str">
        <f t="shared" si="19"/>
        <v/>
      </c>
      <c r="AU33" s="1323" t="str">
        <f t="shared" si="20"/>
        <v/>
      </c>
    </row>
    <row r="34" spans="3:47" s="5" customFormat="1" ht="28.15" customHeight="1">
      <c r="C34" s="649">
        <v>16</v>
      </c>
      <c r="D34" s="1133"/>
      <c r="E34" s="670"/>
      <c r="F34" s="726"/>
      <c r="G34" s="705"/>
      <c r="H34" s="255"/>
      <c r="I34" s="255"/>
      <c r="J34" s="1051"/>
      <c r="K34" s="256"/>
      <c r="L34" s="256"/>
      <c r="M34" s="730"/>
      <c r="N34" s="256"/>
      <c r="O34" s="727"/>
      <c r="P34" s="1321"/>
      <c r="Q34" s="1329"/>
      <c r="R34" s="254"/>
      <c r="S34" s="703"/>
      <c r="T34" s="728"/>
      <c r="U34" s="431"/>
      <c r="V34" s="499"/>
      <c r="W34" s="741"/>
      <c r="Z34" s="645" t="str">
        <f t="shared" si="1"/>
        <v/>
      </c>
      <c r="AA34" s="1037" t="str">
        <f t="shared" si="17"/>
        <v/>
      </c>
      <c r="AB34" s="1037" t="str">
        <f t="shared" si="18"/>
        <v/>
      </c>
      <c r="AC34" s="1037" t="str">
        <f>IF(Z34="","",VLOOKUP(Z34,リスト!BN:BO,2,0))</f>
        <v/>
      </c>
      <c r="AD34" s="1037" t="str">
        <f t="shared" si="11"/>
        <v/>
      </c>
      <c r="AE34" s="1037" t="str">
        <f>IF(AD34="","",VLOOKUP(AD34,リスト!BW:BX,2,0))</f>
        <v/>
      </c>
      <c r="AF34" s="1037" t="str">
        <f t="shared" si="2"/>
        <v/>
      </c>
      <c r="AG34" s="685" t="str">
        <f t="shared" si="3"/>
        <v/>
      </c>
      <c r="AH34" s="646" t="str">
        <f t="shared" si="4"/>
        <v/>
      </c>
      <c r="AI34" s="646" t="str">
        <f t="shared" si="12"/>
        <v/>
      </c>
      <c r="AJ34" s="647" t="str">
        <f t="shared" si="13"/>
        <v/>
      </c>
      <c r="AK34" s="647" t="str">
        <f t="shared" si="5"/>
        <v/>
      </c>
      <c r="AL34" s="647" t="str">
        <f t="shared" si="14"/>
        <v/>
      </c>
      <c r="AM34" s="647" t="str">
        <f t="shared" si="6"/>
        <v/>
      </c>
      <c r="AN34" s="647" t="str">
        <f t="shared" si="7"/>
        <v/>
      </c>
      <c r="AO34" s="647" t="str">
        <f t="shared" si="8"/>
        <v/>
      </c>
      <c r="AP34" s="647" t="str">
        <f t="shared" si="9"/>
        <v/>
      </c>
      <c r="AQ34" s="647" t="str">
        <f t="shared" si="15"/>
        <v/>
      </c>
      <c r="AR34" s="647" t="str">
        <f t="shared" si="10"/>
        <v/>
      </c>
      <c r="AS34" s="647" t="str">
        <f t="shared" si="16"/>
        <v/>
      </c>
      <c r="AT34" s="1323" t="str">
        <f t="shared" si="19"/>
        <v/>
      </c>
      <c r="AU34" s="1323" t="str">
        <f t="shared" si="20"/>
        <v/>
      </c>
    </row>
    <row r="35" spans="3:47" s="5" customFormat="1" ht="28.15" customHeight="1">
      <c r="C35" s="649">
        <v>17</v>
      </c>
      <c r="D35" s="1133"/>
      <c r="E35" s="670"/>
      <c r="F35" s="726"/>
      <c r="G35" s="705"/>
      <c r="H35" s="255"/>
      <c r="I35" s="255"/>
      <c r="J35" s="1051"/>
      <c r="K35" s="256"/>
      <c r="L35" s="256"/>
      <c r="M35" s="730"/>
      <c r="N35" s="256"/>
      <c r="O35" s="727"/>
      <c r="P35" s="1321"/>
      <c r="Q35" s="1329"/>
      <c r="R35" s="254"/>
      <c r="S35" s="703"/>
      <c r="T35" s="728"/>
      <c r="U35" s="431"/>
      <c r="V35" s="499"/>
      <c r="W35" s="741"/>
      <c r="Z35" s="645" t="str">
        <f t="shared" si="1"/>
        <v/>
      </c>
      <c r="AA35" s="1037" t="str">
        <f t="shared" si="17"/>
        <v/>
      </c>
      <c r="AB35" s="1037" t="str">
        <f t="shared" si="18"/>
        <v/>
      </c>
      <c r="AC35" s="1037" t="str">
        <f>IF(Z35="","",VLOOKUP(Z35,リスト!BN:BO,2,0))</f>
        <v/>
      </c>
      <c r="AD35" s="1037" t="str">
        <f t="shared" si="11"/>
        <v/>
      </c>
      <c r="AE35" s="1037" t="str">
        <f>IF(AD35="","",VLOOKUP(AD35,リスト!BW:BX,2,0))</f>
        <v/>
      </c>
      <c r="AF35" s="1037" t="str">
        <f t="shared" si="2"/>
        <v/>
      </c>
      <c r="AG35" s="685" t="str">
        <f t="shared" si="3"/>
        <v/>
      </c>
      <c r="AH35" s="646" t="str">
        <f t="shared" si="4"/>
        <v/>
      </c>
      <c r="AI35" s="646" t="str">
        <f t="shared" si="12"/>
        <v/>
      </c>
      <c r="AJ35" s="647" t="str">
        <f t="shared" si="13"/>
        <v/>
      </c>
      <c r="AK35" s="647" t="str">
        <f t="shared" si="5"/>
        <v/>
      </c>
      <c r="AL35" s="647" t="str">
        <f t="shared" si="14"/>
        <v/>
      </c>
      <c r="AM35" s="647" t="str">
        <f t="shared" si="6"/>
        <v/>
      </c>
      <c r="AN35" s="647" t="str">
        <f t="shared" si="7"/>
        <v/>
      </c>
      <c r="AO35" s="647" t="str">
        <f t="shared" si="8"/>
        <v/>
      </c>
      <c r="AP35" s="647" t="str">
        <f t="shared" si="9"/>
        <v/>
      </c>
      <c r="AQ35" s="647" t="str">
        <f t="shared" si="15"/>
        <v/>
      </c>
      <c r="AR35" s="647" t="str">
        <f t="shared" si="10"/>
        <v/>
      </c>
      <c r="AS35" s="647" t="str">
        <f t="shared" si="16"/>
        <v/>
      </c>
      <c r="AT35" s="1323" t="str">
        <f t="shared" si="19"/>
        <v/>
      </c>
      <c r="AU35" s="1323" t="str">
        <f t="shared" si="20"/>
        <v/>
      </c>
    </row>
    <row r="36" spans="3:47" s="5" customFormat="1" ht="28.15" customHeight="1">
      <c r="C36" s="649">
        <v>18</v>
      </c>
      <c r="D36" s="1133"/>
      <c r="E36" s="670"/>
      <c r="F36" s="726"/>
      <c r="G36" s="705"/>
      <c r="H36" s="255"/>
      <c r="I36" s="255"/>
      <c r="J36" s="1051"/>
      <c r="K36" s="256"/>
      <c r="L36" s="256"/>
      <c r="M36" s="730"/>
      <c r="N36" s="256"/>
      <c r="O36" s="727"/>
      <c r="P36" s="1321"/>
      <c r="Q36" s="1329"/>
      <c r="R36" s="254"/>
      <c r="S36" s="703"/>
      <c r="T36" s="728"/>
      <c r="U36" s="431"/>
      <c r="V36" s="499"/>
      <c r="W36" s="741"/>
      <c r="Z36" s="645" t="str">
        <f t="shared" si="1"/>
        <v/>
      </c>
      <c r="AA36" s="1037" t="str">
        <f t="shared" si="17"/>
        <v/>
      </c>
      <c r="AB36" s="1037" t="str">
        <f t="shared" si="18"/>
        <v/>
      </c>
      <c r="AC36" s="1037" t="str">
        <f>IF(Z36="","",VLOOKUP(Z36,リスト!BN:BO,2,0))</f>
        <v/>
      </c>
      <c r="AD36" s="1037" t="str">
        <f t="shared" si="11"/>
        <v/>
      </c>
      <c r="AE36" s="1037" t="str">
        <f>IF(AD36="","",VLOOKUP(AD36,リスト!BW:BX,2,0))</f>
        <v/>
      </c>
      <c r="AF36" s="1037" t="str">
        <f t="shared" si="2"/>
        <v/>
      </c>
      <c r="AG36" s="685" t="str">
        <f t="shared" si="3"/>
        <v/>
      </c>
      <c r="AH36" s="646" t="str">
        <f t="shared" si="4"/>
        <v/>
      </c>
      <c r="AI36" s="646" t="str">
        <f t="shared" si="12"/>
        <v/>
      </c>
      <c r="AJ36" s="647" t="str">
        <f t="shared" si="13"/>
        <v/>
      </c>
      <c r="AK36" s="647" t="str">
        <f t="shared" si="5"/>
        <v/>
      </c>
      <c r="AL36" s="647" t="str">
        <f t="shared" si="14"/>
        <v/>
      </c>
      <c r="AM36" s="647" t="str">
        <f t="shared" si="6"/>
        <v/>
      </c>
      <c r="AN36" s="647" t="str">
        <f t="shared" si="7"/>
        <v/>
      </c>
      <c r="AO36" s="647" t="str">
        <f t="shared" si="8"/>
        <v/>
      </c>
      <c r="AP36" s="647" t="str">
        <f t="shared" si="9"/>
        <v/>
      </c>
      <c r="AQ36" s="647" t="str">
        <f t="shared" si="15"/>
        <v/>
      </c>
      <c r="AR36" s="647" t="str">
        <f t="shared" si="10"/>
        <v/>
      </c>
      <c r="AS36" s="647" t="str">
        <f t="shared" si="16"/>
        <v/>
      </c>
      <c r="AT36" s="1323" t="str">
        <f t="shared" si="19"/>
        <v/>
      </c>
      <c r="AU36" s="1323" t="str">
        <f t="shared" si="20"/>
        <v/>
      </c>
    </row>
    <row r="37" spans="3:47" s="5" customFormat="1" ht="28.15" customHeight="1">
      <c r="C37" s="649">
        <v>19</v>
      </c>
      <c r="D37" s="1133"/>
      <c r="E37" s="670"/>
      <c r="F37" s="726"/>
      <c r="G37" s="705"/>
      <c r="H37" s="255"/>
      <c r="I37" s="255"/>
      <c r="J37" s="1051"/>
      <c r="K37" s="256"/>
      <c r="L37" s="256"/>
      <c r="M37" s="730"/>
      <c r="N37" s="256"/>
      <c r="O37" s="727"/>
      <c r="P37" s="1321"/>
      <c r="Q37" s="1329"/>
      <c r="R37" s="254"/>
      <c r="S37" s="703"/>
      <c r="T37" s="728"/>
      <c r="U37" s="431"/>
      <c r="V37" s="499"/>
      <c r="W37" s="741"/>
      <c r="Z37" s="645" t="str">
        <f t="shared" si="1"/>
        <v/>
      </c>
      <c r="AA37" s="1037" t="str">
        <f t="shared" si="17"/>
        <v/>
      </c>
      <c r="AB37" s="1037" t="str">
        <f t="shared" si="18"/>
        <v/>
      </c>
      <c r="AC37" s="1037" t="str">
        <f>IF(Z37="","",VLOOKUP(Z37,リスト!BN:BO,2,0))</f>
        <v/>
      </c>
      <c r="AD37" s="1037" t="str">
        <f t="shared" si="11"/>
        <v/>
      </c>
      <c r="AE37" s="1037" t="str">
        <f>IF(AD37="","",VLOOKUP(AD37,リスト!BW:BX,2,0))</f>
        <v/>
      </c>
      <c r="AF37" s="1037" t="str">
        <f t="shared" si="2"/>
        <v/>
      </c>
      <c r="AG37" s="685" t="str">
        <f t="shared" si="3"/>
        <v/>
      </c>
      <c r="AH37" s="646" t="str">
        <f t="shared" si="4"/>
        <v/>
      </c>
      <c r="AI37" s="646" t="str">
        <f t="shared" si="12"/>
        <v/>
      </c>
      <c r="AJ37" s="647" t="str">
        <f t="shared" si="13"/>
        <v/>
      </c>
      <c r="AK37" s="647" t="str">
        <f t="shared" si="5"/>
        <v/>
      </c>
      <c r="AL37" s="647" t="str">
        <f t="shared" si="14"/>
        <v/>
      </c>
      <c r="AM37" s="647" t="str">
        <f t="shared" si="6"/>
        <v/>
      </c>
      <c r="AN37" s="647" t="str">
        <f t="shared" si="7"/>
        <v/>
      </c>
      <c r="AO37" s="647" t="str">
        <f t="shared" si="8"/>
        <v/>
      </c>
      <c r="AP37" s="647" t="str">
        <f t="shared" si="9"/>
        <v/>
      </c>
      <c r="AQ37" s="647" t="str">
        <f t="shared" si="15"/>
        <v/>
      </c>
      <c r="AR37" s="647" t="str">
        <f t="shared" si="10"/>
        <v/>
      </c>
      <c r="AS37" s="647" t="str">
        <f t="shared" si="16"/>
        <v/>
      </c>
      <c r="AT37" s="1323" t="str">
        <f t="shared" si="19"/>
        <v/>
      </c>
      <c r="AU37" s="1323" t="str">
        <f t="shared" si="20"/>
        <v/>
      </c>
    </row>
    <row r="38" spans="3:47" s="5" customFormat="1" ht="28.15" customHeight="1" collapsed="1">
      <c r="C38" s="650">
        <v>20</v>
      </c>
      <c r="D38" s="1133"/>
      <c r="E38" s="670"/>
      <c r="F38" s="726"/>
      <c r="G38" s="666"/>
      <c r="H38" s="266"/>
      <c r="I38" s="266"/>
      <c r="J38" s="1049"/>
      <c r="K38" s="267"/>
      <c r="L38" s="267"/>
      <c r="M38" s="267"/>
      <c r="N38" s="267"/>
      <c r="O38" s="727"/>
      <c r="P38" s="1321"/>
      <c r="Q38" s="1329"/>
      <c r="R38" s="254"/>
      <c r="S38" s="703"/>
      <c r="T38" s="728"/>
      <c r="U38" s="431"/>
      <c r="V38" s="499"/>
      <c r="W38" s="741"/>
      <c r="Z38" s="645" t="str">
        <f t="shared" ref="Z38:Z163" si="21">IF(AND(E38="",F38=""),"","["&amp;RIGHT(LEFT(E38,3),2)&amp;RIGHT(LEFT(F38,2),1)&amp;"]")</f>
        <v/>
      </c>
      <c r="AA38" s="1037" t="str">
        <f t="shared" si="17"/>
        <v/>
      </c>
      <c r="AB38" s="1037" t="str">
        <f t="shared" si="18"/>
        <v/>
      </c>
      <c r="AC38" s="1037" t="str">
        <f>IF(Z38="","",VLOOKUP(Z38,リスト!BN:BO,2,0))</f>
        <v/>
      </c>
      <c r="AD38" s="1037" t="str">
        <f t="shared" si="11"/>
        <v/>
      </c>
      <c r="AE38" s="1037" t="str">
        <f>IF(AD38="","",VLOOKUP(AD38,リスト!BW:BX,2,0))</f>
        <v/>
      </c>
      <c r="AF38" s="1037" t="str">
        <f t="shared" si="2"/>
        <v/>
      </c>
      <c r="AG38" s="685" t="str">
        <f t="shared" ref="AG38:AG163" si="22">IF(OR(Z38="",AA38=1),"",
IF(AND(AD38&gt;0,AF38&lt;AD38,AH38&lt;=ROUND((K38-1)*AE38,0)),ROUND(AH38,0),
IF(AND(AD38&gt;0,AF38&lt;AD38),ROUND((K38-1)*AE38,0),
"")))</f>
        <v/>
      </c>
      <c r="AH38" s="646" t="str">
        <f t="shared" ref="AH38:AH163" si="23">IF(OR(Z38="",AA38=1),"",
IF(AND(AD38&gt;0,AF38&lt;AD38),K38-ROUND((K38-1)*AE38*AF38,0),1
))</f>
        <v/>
      </c>
      <c r="AI38" s="646" t="str">
        <f t="shared" si="12"/>
        <v/>
      </c>
      <c r="AJ38" s="647" t="str">
        <f t="shared" si="13"/>
        <v/>
      </c>
      <c r="AK38" s="647" t="str">
        <f t="shared" ref="AK38:AK163" si="24">IF(OR(AA38=1,L38=""),"",
IF(AND(AD38&gt;0,L38&gt;0,AF38&lt;AD38),L38-ROUND(L38*AE38*AF38,0),""
))</f>
        <v/>
      </c>
      <c r="AL38" s="647" t="str">
        <f t="shared" si="14"/>
        <v/>
      </c>
      <c r="AM38" s="647" t="str">
        <f t="shared" si="6"/>
        <v/>
      </c>
      <c r="AN38" s="647" t="str">
        <f t="shared" ref="AN38:AN163" si="25">IF(R38="","",IF(AI38="","",ROUND(AI38*R38%,0)))</f>
        <v/>
      </c>
      <c r="AO38" s="647" t="str">
        <f t="shared" ref="AO38:AO163" si="26">IF(R38="","",IF(AJ38="","",ROUND(AJ38*R38%,0)))</f>
        <v/>
      </c>
      <c r="AP38" s="647" t="str">
        <f t="shared" ref="AP38:AP163" si="27">IF(R38="","",IF(AH38="","",ROUND(AH38*R38%,0)))</f>
        <v/>
      </c>
      <c r="AQ38" s="647" t="str">
        <f t="shared" si="15"/>
        <v/>
      </c>
      <c r="AR38" s="647" t="str">
        <f t="shared" ref="AR38:AR163" si="28">IF(R38="","",IF(N38="","",ROUND(N38*R38%,0)))</f>
        <v/>
      </c>
      <c r="AS38" s="647" t="str">
        <f t="shared" ref="AS38:AS163" si="29">IF(R38="","",IF(O38="","",ROUND(O38*R38%,0)))</f>
        <v/>
      </c>
      <c r="AT38" s="1323" t="str">
        <f t="shared" si="19"/>
        <v/>
      </c>
      <c r="AU38" s="1323" t="str">
        <f t="shared" si="20"/>
        <v/>
      </c>
    </row>
    <row r="39" spans="3:47" s="5" customFormat="1" ht="28.15" hidden="1" customHeight="1" outlineLevel="1">
      <c r="C39" s="716">
        <v>21</v>
      </c>
      <c r="D39" s="731"/>
      <c r="E39" s="670"/>
      <c r="F39" s="732"/>
      <c r="G39" s="733"/>
      <c r="H39" s="734"/>
      <c r="I39" s="734"/>
      <c r="J39" s="1049"/>
      <c r="K39" s="735"/>
      <c r="L39" s="735"/>
      <c r="M39" s="736"/>
      <c r="N39" s="735"/>
      <c r="O39" s="727"/>
      <c r="P39" s="1321"/>
      <c r="Q39" s="1329"/>
      <c r="R39" s="254"/>
      <c r="S39" s="703"/>
      <c r="T39" s="728"/>
      <c r="U39" s="431"/>
      <c r="V39" s="499"/>
      <c r="W39" s="741"/>
      <c r="X39" s="54"/>
      <c r="Y39" s="54"/>
      <c r="Z39" s="645" t="str">
        <f t="shared" si="21"/>
        <v/>
      </c>
      <c r="AA39" s="1037" t="str">
        <f t="shared" si="17"/>
        <v/>
      </c>
      <c r="AB39" s="1037" t="str">
        <f t="shared" si="18"/>
        <v/>
      </c>
      <c r="AC39" s="1037" t="str">
        <f>IF(Z39="","",VLOOKUP(Z39,リスト!BN:BO,2,0))</f>
        <v/>
      </c>
      <c r="AD39" s="1037" t="str">
        <f t="shared" si="11"/>
        <v/>
      </c>
      <c r="AE39" s="1037" t="str">
        <f>IF(AD39="","",VLOOKUP(AD39,リスト!BW:BX,2,0))</f>
        <v/>
      </c>
      <c r="AF39" s="1037" t="str">
        <f t="shared" si="2"/>
        <v/>
      </c>
      <c r="AG39" s="685" t="str">
        <f t="shared" si="22"/>
        <v/>
      </c>
      <c r="AH39" s="646" t="str">
        <f t="shared" si="23"/>
        <v/>
      </c>
      <c r="AI39" s="646" t="str">
        <f t="shared" si="12"/>
        <v/>
      </c>
      <c r="AJ39" s="647" t="str">
        <f t="shared" si="13"/>
        <v/>
      </c>
      <c r="AK39" s="647" t="str">
        <f t="shared" si="24"/>
        <v/>
      </c>
      <c r="AL39" s="647" t="str">
        <f t="shared" si="14"/>
        <v/>
      </c>
      <c r="AM39" s="647" t="str">
        <f t="shared" si="6"/>
        <v/>
      </c>
      <c r="AN39" s="647" t="str">
        <f t="shared" si="25"/>
        <v/>
      </c>
      <c r="AO39" s="647" t="str">
        <f t="shared" si="26"/>
        <v/>
      </c>
      <c r="AP39" s="647" t="str">
        <f t="shared" si="27"/>
        <v/>
      </c>
      <c r="AQ39" s="647" t="str">
        <f t="shared" si="15"/>
        <v/>
      </c>
      <c r="AR39" s="647" t="str">
        <f t="shared" si="28"/>
        <v/>
      </c>
      <c r="AS39" s="647" t="str">
        <f t="shared" si="29"/>
        <v/>
      </c>
      <c r="AT39" s="1323" t="str">
        <f t="shared" si="19"/>
        <v/>
      </c>
      <c r="AU39" s="1323" t="str">
        <f t="shared" si="20"/>
        <v/>
      </c>
    </row>
    <row r="40" spans="3:47" s="5" customFormat="1" ht="28.15" hidden="1" customHeight="1" outlineLevel="1">
      <c r="C40" s="649">
        <v>22</v>
      </c>
      <c r="D40" s="1133"/>
      <c r="E40" s="670"/>
      <c r="F40" s="726"/>
      <c r="G40" s="705"/>
      <c r="H40" s="255"/>
      <c r="I40" s="255"/>
      <c r="J40" s="1049"/>
      <c r="K40" s="256"/>
      <c r="L40" s="256"/>
      <c r="M40" s="730"/>
      <c r="N40" s="256"/>
      <c r="O40" s="727"/>
      <c r="P40" s="1321"/>
      <c r="Q40" s="1329"/>
      <c r="R40" s="254"/>
      <c r="S40" s="703"/>
      <c r="T40" s="728"/>
      <c r="U40" s="431"/>
      <c r="V40" s="499"/>
      <c r="W40" s="741"/>
      <c r="X40" s="54"/>
      <c r="Y40" s="54"/>
      <c r="Z40" s="645" t="str">
        <f t="shared" si="21"/>
        <v/>
      </c>
      <c r="AA40" s="1037" t="str">
        <f t="shared" si="17"/>
        <v/>
      </c>
      <c r="AB40" s="1037" t="str">
        <f t="shared" si="18"/>
        <v/>
      </c>
      <c r="AC40" s="1037" t="str">
        <f>IF(Z40="","",VLOOKUP(Z40,リスト!BN:BO,2,0))</f>
        <v/>
      </c>
      <c r="AD40" s="1037" t="str">
        <f t="shared" si="11"/>
        <v/>
      </c>
      <c r="AE40" s="1037" t="str">
        <f>IF(AD40="","",VLOOKUP(AD40,リスト!BW:BX,2,0))</f>
        <v/>
      </c>
      <c r="AF40" s="1037" t="str">
        <f t="shared" si="2"/>
        <v/>
      </c>
      <c r="AG40" s="685" t="str">
        <f t="shared" si="22"/>
        <v/>
      </c>
      <c r="AH40" s="646" t="str">
        <f t="shared" si="23"/>
        <v/>
      </c>
      <c r="AI40" s="646" t="str">
        <f t="shared" si="12"/>
        <v/>
      </c>
      <c r="AJ40" s="647" t="str">
        <f t="shared" si="13"/>
        <v/>
      </c>
      <c r="AK40" s="647" t="str">
        <f t="shared" si="24"/>
        <v/>
      </c>
      <c r="AL40" s="647" t="str">
        <f t="shared" si="14"/>
        <v/>
      </c>
      <c r="AM40" s="647" t="str">
        <f t="shared" si="6"/>
        <v/>
      </c>
      <c r="AN40" s="647" t="str">
        <f t="shared" si="25"/>
        <v/>
      </c>
      <c r="AO40" s="647" t="str">
        <f t="shared" si="26"/>
        <v/>
      </c>
      <c r="AP40" s="647" t="str">
        <f t="shared" si="27"/>
        <v/>
      </c>
      <c r="AQ40" s="647" t="str">
        <f t="shared" si="15"/>
        <v/>
      </c>
      <c r="AR40" s="647" t="str">
        <f t="shared" si="28"/>
        <v/>
      </c>
      <c r="AS40" s="647" t="str">
        <f t="shared" si="29"/>
        <v/>
      </c>
      <c r="AT40" s="1323" t="str">
        <f t="shared" si="19"/>
        <v/>
      </c>
      <c r="AU40" s="1323" t="str">
        <f t="shared" si="20"/>
        <v/>
      </c>
    </row>
    <row r="41" spans="3:47" s="5" customFormat="1" ht="28.15" hidden="1" customHeight="1" outlineLevel="1">
      <c r="C41" s="649">
        <v>23</v>
      </c>
      <c r="D41" s="1134"/>
      <c r="E41" s="729"/>
      <c r="F41" s="726"/>
      <c r="G41" s="705"/>
      <c r="H41" s="257"/>
      <c r="I41" s="257"/>
      <c r="J41" s="1049"/>
      <c r="K41" s="256"/>
      <c r="L41" s="256"/>
      <c r="M41" s="730"/>
      <c r="N41" s="256"/>
      <c r="O41" s="727"/>
      <c r="P41" s="1321"/>
      <c r="Q41" s="1329"/>
      <c r="R41" s="254"/>
      <c r="S41" s="703"/>
      <c r="T41" s="728"/>
      <c r="U41" s="431"/>
      <c r="V41" s="499"/>
      <c r="W41" s="741"/>
      <c r="X41" s="55"/>
      <c r="Y41" s="55"/>
      <c r="Z41" s="645" t="str">
        <f t="shared" si="21"/>
        <v/>
      </c>
      <c r="AA41" s="1037" t="str">
        <f t="shared" si="17"/>
        <v/>
      </c>
      <c r="AB41" s="1037" t="str">
        <f t="shared" si="18"/>
        <v/>
      </c>
      <c r="AC41" s="1037" t="str">
        <f>IF(Z41="","",VLOOKUP(Z41,リスト!BN:BO,2,0))</f>
        <v/>
      </c>
      <c r="AD41" s="1037" t="str">
        <f t="shared" si="11"/>
        <v/>
      </c>
      <c r="AE41" s="1037" t="str">
        <f>IF(AD41="","",VLOOKUP(AD41,リスト!BW:BX,2,0))</f>
        <v/>
      </c>
      <c r="AF41" s="1037" t="str">
        <f t="shared" si="2"/>
        <v/>
      </c>
      <c r="AG41" s="685" t="str">
        <f t="shared" si="22"/>
        <v/>
      </c>
      <c r="AH41" s="646" t="str">
        <f t="shared" si="23"/>
        <v/>
      </c>
      <c r="AI41" s="646" t="str">
        <f t="shared" si="12"/>
        <v/>
      </c>
      <c r="AJ41" s="647" t="str">
        <f t="shared" si="13"/>
        <v/>
      </c>
      <c r="AK41" s="647" t="str">
        <f t="shared" si="24"/>
        <v/>
      </c>
      <c r="AL41" s="647" t="str">
        <f t="shared" si="14"/>
        <v/>
      </c>
      <c r="AM41" s="647" t="str">
        <f t="shared" si="6"/>
        <v/>
      </c>
      <c r="AN41" s="647" t="str">
        <f t="shared" si="25"/>
        <v/>
      </c>
      <c r="AO41" s="647" t="str">
        <f t="shared" si="26"/>
        <v/>
      </c>
      <c r="AP41" s="647" t="str">
        <f t="shared" si="27"/>
        <v/>
      </c>
      <c r="AQ41" s="647" t="str">
        <f t="shared" si="15"/>
        <v/>
      </c>
      <c r="AR41" s="647" t="str">
        <f t="shared" si="28"/>
        <v/>
      </c>
      <c r="AS41" s="647" t="str">
        <f t="shared" si="29"/>
        <v/>
      </c>
      <c r="AT41" s="1323" t="str">
        <f t="shared" si="19"/>
        <v/>
      </c>
      <c r="AU41" s="1323" t="str">
        <f t="shared" si="20"/>
        <v/>
      </c>
    </row>
    <row r="42" spans="3:47" s="5" customFormat="1" ht="28.15" hidden="1" customHeight="1" outlineLevel="1">
      <c r="C42" s="649">
        <v>24</v>
      </c>
      <c r="D42" s="1133"/>
      <c r="E42" s="670"/>
      <c r="F42" s="726"/>
      <c r="G42" s="705"/>
      <c r="H42" s="255"/>
      <c r="I42" s="255"/>
      <c r="J42" s="1049"/>
      <c r="K42" s="256"/>
      <c r="L42" s="256"/>
      <c r="M42" s="730"/>
      <c r="N42" s="256"/>
      <c r="O42" s="727"/>
      <c r="P42" s="1321"/>
      <c r="Q42" s="1329"/>
      <c r="R42" s="254"/>
      <c r="S42" s="703"/>
      <c r="T42" s="728"/>
      <c r="U42" s="431"/>
      <c r="V42" s="499"/>
      <c r="W42" s="741"/>
      <c r="X42" s="55"/>
      <c r="Y42" s="55"/>
      <c r="Z42" s="645" t="str">
        <f t="shared" si="21"/>
        <v/>
      </c>
      <c r="AA42" s="1037" t="str">
        <f t="shared" si="17"/>
        <v/>
      </c>
      <c r="AB42" s="1037" t="str">
        <f t="shared" si="18"/>
        <v/>
      </c>
      <c r="AC42" s="1037" t="str">
        <f>IF(Z42="","",VLOOKUP(Z42,リスト!BN:BO,2,0))</f>
        <v/>
      </c>
      <c r="AD42" s="1037" t="str">
        <f t="shared" si="11"/>
        <v/>
      </c>
      <c r="AE42" s="1037" t="str">
        <f>IF(AD42="","",VLOOKUP(AD42,リスト!BW:BX,2,0))</f>
        <v/>
      </c>
      <c r="AF42" s="1037" t="str">
        <f t="shared" si="2"/>
        <v/>
      </c>
      <c r="AG42" s="685" t="str">
        <f t="shared" si="22"/>
        <v/>
      </c>
      <c r="AH42" s="646" t="str">
        <f t="shared" si="23"/>
        <v/>
      </c>
      <c r="AI42" s="646" t="str">
        <f t="shared" si="12"/>
        <v/>
      </c>
      <c r="AJ42" s="647" t="str">
        <f t="shared" si="13"/>
        <v/>
      </c>
      <c r="AK42" s="647" t="str">
        <f t="shared" si="24"/>
        <v/>
      </c>
      <c r="AL42" s="647" t="str">
        <f t="shared" si="14"/>
        <v/>
      </c>
      <c r="AM42" s="647" t="str">
        <f t="shared" si="6"/>
        <v/>
      </c>
      <c r="AN42" s="647" t="str">
        <f t="shared" si="25"/>
        <v/>
      </c>
      <c r="AO42" s="647" t="str">
        <f t="shared" si="26"/>
        <v/>
      </c>
      <c r="AP42" s="647" t="str">
        <f t="shared" si="27"/>
        <v/>
      </c>
      <c r="AQ42" s="647" t="str">
        <f t="shared" si="15"/>
        <v/>
      </c>
      <c r="AR42" s="647" t="str">
        <f t="shared" si="28"/>
        <v/>
      </c>
      <c r="AS42" s="647" t="str">
        <f t="shared" si="29"/>
        <v/>
      </c>
      <c r="AT42" s="1323" t="str">
        <f t="shared" si="19"/>
        <v/>
      </c>
      <c r="AU42" s="1323" t="str">
        <f t="shared" si="20"/>
        <v/>
      </c>
    </row>
    <row r="43" spans="3:47" s="5" customFormat="1" ht="28.15" hidden="1" customHeight="1" outlineLevel="1">
      <c r="C43" s="649">
        <v>25</v>
      </c>
      <c r="D43" s="1134"/>
      <c r="E43" s="729"/>
      <c r="F43" s="726"/>
      <c r="G43" s="705"/>
      <c r="H43" s="257"/>
      <c r="I43" s="257"/>
      <c r="J43" s="1049"/>
      <c r="K43" s="256"/>
      <c r="L43" s="256"/>
      <c r="M43" s="730"/>
      <c r="N43" s="256"/>
      <c r="O43" s="727"/>
      <c r="P43" s="1321"/>
      <c r="Q43" s="1329"/>
      <c r="R43" s="254"/>
      <c r="S43" s="703"/>
      <c r="T43" s="728"/>
      <c r="U43" s="431"/>
      <c r="V43" s="499"/>
      <c r="W43" s="741"/>
      <c r="X43" s="717"/>
      <c r="Y43" s="717"/>
      <c r="Z43" s="645" t="str">
        <f t="shared" si="21"/>
        <v/>
      </c>
      <c r="AA43" s="1037" t="str">
        <f t="shared" si="17"/>
        <v/>
      </c>
      <c r="AB43" s="1037" t="str">
        <f t="shared" si="18"/>
        <v/>
      </c>
      <c r="AC43" s="1037" t="str">
        <f>IF(Z43="","",VLOOKUP(Z43,リスト!BN:BO,2,0))</f>
        <v/>
      </c>
      <c r="AD43" s="1037" t="str">
        <f t="shared" si="11"/>
        <v/>
      </c>
      <c r="AE43" s="1037" t="str">
        <f>IF(AD43="","",VLOOKUP(AD43,リスト!BW:BX,2,0))</f>
        <v/>
      </c>
      <c r="AF43" s="1037" t="str">
        <f t="shared" si="2"/>
        <v/>
      </c>
      <c r="AG43" s="685" t="str">
        <f t="shared" si="22"/>
        <v/>
      </c>
      <c r="AH43" s="646" t="str">
        <f t="shared" si="23"/>
        <v/>
      </c>
      <c r="AI43" s="646" t="str">
        <f t="shared" si="12"/>
        <v/>
      </c>
      <c r="AJ43" s="647" t="str">
        <f t="shared" si="13"/>
        <v/>
      </c>
      <c r="AK43" s="647" t="str">
        <f t="shared" si="24"/>
        <v/>
      </c>
      <c r="AL43" s="647" t="str">
        <f t="shared" si="14"/>
        <v/>
      </c>
      <c r="AM43" s="647" t="str">
        <f t="shared" si="6"/>
        <v/>
      </c>
      <c r="AN43" s="647" t="str">
        <f t="shared" si="25"/>
        <v/>
      </c>
      <c r="AO43" s="647" t="str">
        <f t="shared" si="26"/>
        <v/>
      </c>
      <c r="AP43" s="647" t="str">
        <f t="shared" si="27"/>
        <v/>
      </c>
      <c r="AQ43" s="647" t="str">
        <f t="shared" si="15"/>
        <v/>
      </c>
      <c r="AR43" s="647" t="str">
        <f t="shared" si="28"/>
        <v/>
      </c>
      <c r="AS43" s="647" t="str">
        <f t="shared" si="29"/>
        <v/>
      </c>
      <c r="AT43" s="1323" t="str">
        <f t="shared" si="19"/>
        <v/>
      </c>
      <c r="AU43" s="1323" t="str">
        <f t="shared" si="20"/>
        <v/>
      </c>
    </row>
    <row r="44" spans="3:47" s="5" customFormat="1" ht="28.15" hidden="1" customHeight="1" outlineLevel="1">
      <c r="C44" s="649">
        <v>26</v>
      </c>
      <c r="D44" s="1133"/>
      <c r="E44" s="670"/>
      <c r="F44" s="726"/>
      <c r="G44" s="705"/>
      <c r="H44" s="255"/>
      <c r="I44" s="255"/>
      <c r="J44" s="1049"/>
      <c r="K44" s="256"/>
      <c r="L44" s="256"/>
      <c r="M44" s="730"/>
      <c r="N44" s="256"/>
      <c r="O44" s="727"/>
      <c r="P44" s="1321"/>
      <c r="Q44" s="1329"/>
      <c r="R44" s="254"/>
      <c r="S44" s="703"/>
      <c r="T44" s="728"/>
      <c r="U44" s="431"/>
      <c r="V44" s="499"/>
      <c r="W44" s="741"/>
      <c r="X44" s="717"/>
      <c r="Y44" s="717"/>
      <c r="Z44" s="645" t="str">
        <f t="shared" si="21"/>
        <v/>
      </c>
      <c r="AA44" s="1037" t="str">
        <f t="shared" si="17"/>
        <v/>
      </c>
      <c r="AB44" s="1037" t="str">
        <f t="shared" si="18"/>
        <v/>
      </c>
      <c r="AC44" s="1037" t="str">
        <f>IF(Z44="","",VLOOKUP(Z44,リスト!BN:BO,2,0))</f>
        <v/>
      </c>
      <c r="AD44" s="1037" t="str">
        <f t="shared" si="11"/>
        <v/>
      </c>
      <c r="AE44" s="1037" t="str">
        <f>IF(AD44="","",VLOOKUP(AD44,リスト!BW:BX,2,0))</f>
        <v/>
      </c>
      <c r="AF44" s="1037" t="str">
        <f t="shared" si="2"/>
        <v/>
      </c>
      <c r="AG44" s="685" t="str">
        <f t="shared" si="22"/>
        <v/>
      </c>
      <c r="AH44" s="646" t="str">
        <f t="shared" si="23"/>
        <v/>
      </c>
      <c r="AI44" s="646" t="str">
        <f t="shared" si="12"/>
        <v/>
      </c>
      <c r="AJ44" s="647" t="str">
        <f t="shared" si="13"/>
        <v/>
      </c>
      <c r="AK44" s="647" t="str">
        <f t="shared" si="24"/>
        <v/>
      </c>
      <c r="AL44" s="647" t="str">
        <f t="shared" si="14"/>
        <v/>
      </c>
      <c r="AM44" s="647" t="str">
        <f t="shared" si="6"/>
        <v/>
      </c>
      <c r="AN44" s="647" t="str">
        <f t="shared" si="25"/>
        <v/>
      </c>
      <c r="AO44" s="647" t="str">
        <f t="shared" si="26"/>
        <v/>
      </c>
      <c r="AP44" s="647" t="str">
        <f t="shared" si="27"/>
        <v/>
      </c>
      <c r="AQ44" s="647" t="str">
        <f t="shared" si="15"/>
        <v/>
      </c>
      <c r="AR44" s="647" t="str">
        <f t="shared" si="28"/>
        <v/>
      </c>
      <c r="AS44" s="647" t="str">
        <f t="shared" si="29"/>
        <v/>
      </c>
      <c r="AT44" s="1323" t="str">
        <f t="shared" si="19"/>
        <v/>
      </c>
      <c r="AU44" s="1323" t="str">
        <f t="shared" si="20"/>
        <v/>
      </c>
    </row>
    <row r="45" spans="3:47" s="5" customFormat="1" ht="28.15" hidden="1" customHeight="1" outlineLevel="1">
      <c r="C45" s="649">
        <v>27</v>
      </c>
      <c r="D45" s="1134"/>
      <c r="E45" s="729"/>
      <c r="F45" s="726"/>
      <c r="G45" s="705"/>
      <c r="H45" s="257"/>
      <c r="I45" s="257"/>
      <c r="J45" s="1049"/>
      <c r="K45" s="256"/>
      <c r="L45" s="256"/>
      <c r="M45" s="730"/>
      <c r="N45" s="256"/>
      <c r="O45" s="727"/>
      <c r="P45" s="1321"/>
      <c r="Q45" s="1329"/>
      <c r="R45" s="254"/>
      <c r="S45" s="703"/>
      <c r="T45" s="728"/>
      <c r="U45" s="431"/>
      <c r="V45" s="499"/>
      <c r="W45" s="741"/>
      <c r="X45" s="717"/>
      <c r="Y45" s="717"/>
      <c r="Z45" s="645" t="str">
        <f t="shared" si="21"/>
        <v/>
      </c>
      <c r="AA45" s="1037" t="str">
        <f t="shared" si="17"/>
        <v/>
      </c>
      <c r="AB45" s="1037" t="str">
        <f t="shared" si="18"/>
        <v/>
      </c>
      <c r="AC45" s="1037" t="str">
        <f>IF(Z45="","",VLOOKUP(Z45,リスト!BN:BO,2,0))</f>
        <v/>
      </c>
      <c r="AD45" s="1037" t="str">
        <f t="shared" si="11"/>
        <v/>
      </c>
      <c r="AE45" s="1037" t="str">
        <f>IF(AD45="","",VLOOKUP(AD45,リスト!BW:BX,2,0))</f>
        <v/>
      </c>
      <c r="AF45" s="1037" t="str">
        <f t="shared" si="2"/>
        <v/>
      </c>
      <c r="AG45" s="685" t="str">
        <f t="shared" si="22"/>
        <v/>
      </c>
      <c r="AH45" s="646" t="str">
        <f t="shared" si="23"/>
        <v/>
      </c>
      <c r="AI45" s="646" t="str">
        <f t="shared" si="12"/>
        <v/>
      </c>
      <c r="AJ45" s="647" t="str">
        <f t="shared" si="13"/>
        <v/>
      </c>
      <c r="AK45" s="647" t="str">
        <f t="shared" si="24"/>
        <v/>
      </c>
      <c r="AL45" s="647" t="str">
        <f t="shared" si="14"/>
        <v/>
      </c>
      <c r="AM45" s="647" t="str">
        <f t="shared" si="6"/>
        <v/>
      </c>
      <c r="AN45" s="647" t="str">
        <f t="shared" si="25"/>
        <v/>
      </c>
      <c r="AO45" s="647" t="str">
        <f t="shared" si="26"/>
        <v/>
      </c>
      <c r="AP45" s="647" t="str">
        <f t="shared" si="27"/>
        <v/>
      </c>
      <c r="AQ45" s="647" t="str">
        <f t="shared" si="15"/>
        <v/>
      </c>
      <c r="AR45" s="647" t="str">
        <f t="shared" si="28"/>
        <v/>
      </c>
      <c r="AS45" s="647" t="str">
        <f t="shared" si="29"/>
        <v/>
      </c>
      <c r="AT45" s="1323" t="str">
        <f t="shared" si="19"/>
        <v/>
      </c>
      <c r="AU45" s="1323" t="str">
        <f t="shared" si="20"/>
        <v/>
      </c>
    </row>
    <row r="46" spans="3:47" s="5" customFormat="1" ht="28.15" hidden="1" customHeight="1" outlineLevel="1">
      <c r="C46" s="649">
        <v>28</v>
      </c>
      <c r="D46" s="1133"/>
      <c r="E46" s="670"/>
      <c r="F46" s="726"/>
      <c r="G46" s="705"/>
      <c r="H46" s="255"/>
      <c r="I46" s="255"/>
      <c r="J46" s="1049"/>
      <c r="K46" s="256"/>
      <c r="L46" s="256"/>
      <c r="M46" s="730"/>
      <c r="N46" s="256"/>
      <c r="O46" s="727"/>
      <c r="P46" s="1321"/>
      <c r="Q46" s="1329"/>
      <c r="R46" s="254"/>
      <c r="S46" s="703"/>
      <c r="T46" s="728"/>
      <c r="U46" s="431"/>
      <c r="V46" s="499"/>
      <c r="W46" s="741"/>
      <c r="X46" s="55"/>
      <c r="Y46" s="55"/>
      <c r="Z46" s="645" t="str">
        <f t="shared" si="21"/>
        <v/>
      </c>
      <c r="AA46" s="1037" t="str">
        <f t="shared" si="17"/>
        <v/>
      </c>
      <c r="AB46" s="1037" t="str">
        <f t="shared" si="18"/>
        <v/>
      </c>
      <c r="AC46" s="1037" t="str">
        <f>IF(Z46="","",VLOOKUP(Z46,リスト!BN:BO,2,0))</f>
        <v/>
      </c>
      <c r="AD46" s="1037" t="str">
        <f t="shared" si="11"/>
        <v/>
      </c>
      <c r="AE46" s="1037" t="str">
        <f>IF(AD46="","",VLOOKUP(AD46,リスト!BW:BX,2,0))</f>
        <v/>
      </c>
      <c r="AF46" s="1037" t="str">
        <f t="shared" si="2"/>
        <v/>
      </c>
      <c r="AG46" s="685" t="str">
        <f t="shared" si="22"/>
        <v/>
      </c>
      <c r="AH46" s="646" t="str">
        <f t="shared" si="23"/>
        <v/>
      </c>
      <c r="AI46" s="646" t="str">
        <f t="shared" si="12"/>
        <v/>
      </c>
      <c r="AJ46" s="647" t="str">
        <f t="shared" si="13"/>
        <v/>
      </c>
      <c r="AK46" s="647" t="str">
        <f t="shared" si="24"/>
        <v/>
      </c>
      <c r="AL46" s="647" t="str">
        <f t="shared" si="14"/>
        <v/>
      </c>
      <c r="AM46" s="647" t="str">
        <f t="shared" si="6"/>
        <v/>
      </c>
      <c r="AN46" s="647" t="str">
        <f t="shared" si="25"/>
        <v/>
      </c>
      <c r="AO46" s="647" t="str">
        <f t="shared" si="26"/>
        <v/>
      </c>
      <c r="AP46" s="647" t="str">
        <f t="shared" si="27"/>
        <v/>
      </c>
      <c r="AQ46" s="647" t="str">
        <f t="shared" si="15"/>
        <v/>
      </c>
      <c r="AR46" s="647" t="str">
        <f t="shared" si="28"/>
        <v/>
      </c>
      <c r="AS46" s="647" t="str">
        <f t="shared" si="29"/>
        <v/>
      </c>
      <c r="AT46" s="1323" t="str">
        <f t="shared" si="19"/>
        <v/>
      </c>
      <c r="AU46" s="1323" t="str">
        <f t="shared" si="20"/>
        <v/>
      </c>
    </row>
    <row r="47" spans="3:47" s="5" customFormat="1" ht="28.15" hidden="1" customHeight="1" outlineLevel="1">
      <c r="C47" s="649">
        <v>29</v>
      </c>
      <c r="D47" s="1134"/>
      <c r="E47" s="729"/>
      <c r="F47" s="726"/>
      <c r="G47" s="705"/>
      <c r="H47" s="257"/>
      <c r="I47" s="257"/>
      <c r="J47" s="1049"/>
      <c r="K47" s="256"/>
      <c r="L47" s="256"/>
      <c r="M47" s="730"/>
      <c r="N47" s="256"/>
      <c r="O47" s="727"/>
      <c r="P47" s="1321"/>
      <c r="Q47" s="1329"/>
      <c r="R47" s="254"/>
      <c r="S47" s="703"/>
      <c r="T47" s="728"/>
      <c r="U47" s="431"/>
      <c r="V47" s="499"/>
      <c r="W47" s="741"/>
      <c r="X47" s="55"/>
      <c r="Y47" s="55"/>
      <c r="Z47" s="645" t="str">
        <f t="shared" si="21"/>
        <v/>
      </c>
      <c r="AA47" s="1037" t="str">
        <f t="shared" si="17"/>
        <v/>
      </c>
      <c r="AB47" s="1037" t="str">
        <f t="shared" si="18"/>
        <v/>
      </c>
      <c r="AC47" s="1037" t="str">
        <f>IF(Z47="","",VLOOKUP(Z47,リスト!BN:BO,2,0))</f>
        <v/>
      </c>
      <c r="AD47" s="1037" t="str">
        <f t="shared" si="11"/>
        <v/>
      </c>
      <c r="AE47" s="1037" t="str">
        <f>IF(AD47="","",VLOOKUP(AD47,リスト!BW:BX,2,0))</f>
        <v/>
      </c>
      <c r="AF47" s="1037" t="str">
        <f t="shared" si="2"/>
        <v/>
      </c>
      <c r="AG47" s="685" t="str">
        <f t="shared" si="22"/>
        <v/>
      </c>
      <c r="AH47" s="646" t="str">
        <f t="shared" si="23"/>
        <v/>
      </c>
      <c r="AI47" s="646" t="str">
        <f t="shared" si="12"/>
        <v/>
      </c>
      <c r="AJ47" s="647" t="str">
        <f t="shared" si="13"/>
        <v/>
      </c>
      <c r="AK47" s="647" t="str">
        <f t="shared" si="24"/>
        <v/>
      </c>
      <c r="AL47" s="647" t="str">
        <f t="shared" si="14"/>
        <v/>
      </c>
      <c r="AM47" s="647" t="str">
        <f t="shared" si="6"/>
        <v/>
      </c>
      <c r="AN47" s="647" t="str">
        <f t="shared" si="25"/>
        <v/>
      </c>
      <c r="AO47" s="647" t="str">
        <f t="shared" si="26"/>
        <v/>
      </c>
      <c r="AP47" s="647" t="str">
        <f t="shared" si="27"/>
        <v/>
      </c>
      <c r="AQ47" s="647" t="str">
        <f t="shared" si="15"/>
        <v/>
      </c>
      <c r="AR47" s="647" t="str">
        <f t="shared" si="28"/>
        <v/>
      </c>
      <c r="AS47" s="647" t="str">
        <f t="shared" si="29"/>
        <v/>
      </c>
      <c r="AT47" s="1323" t="str">
        <f t="shared" si="19"/>
        <v/>
      </c>
      <c r="AU47" s="1323" t="str">
        <f t="shared" si="20"/>
        <v/>
      </c>
    </row>
    <row r="48" spans="3:47" s="5" customFormat="1" ht="28.15" hidden="1" customHeight="1" outlineLevel="1">
      <c r="C48" s="649">
        <v>30</v>
      </c>
      <c r="D48" s="1133"/>
      <c r="E48" s="670"/>
      <c r="F48" s="726"/>
      <c r="G48" s="705"/>
      <c r="H48" s="255"/>
      <c r="I48" s="255"/>
      <c r="J48" s="1049"/>
      <c r="K48" s="256"/>
      <c r="L48" s="256"/>
      <c r="M48" s="730"/>
      <c r="N48" s="256"/>
      <c r="O48" s="727"/>
      <c r="P48" s="1321"/>
      <c r="Q48" s="1329"/>
      <c r="R48" s="254"/>
      <c r="S48" s="703"/>
      <c r="T48" s="728"/>
      <c r="U48" s="431"/>
      <c r="V48" s="499"/>
      <c r="W48" s="741"/>
      <c r="X48" s="54"/>
      <c r="Y48" s="54"/>
      <c r="Z48" s="645" t="str">
        <f t="shared" si="21"/>
        <v/>
      </c>
      <c r="AA48" s="1037" t="str">
        <f t="shared" si="17"/>
        <v/>
      </c>
      <c r="AB48" s="1037" t="str">
        <f t="shared" si="18"/>
        <v/>
      </c>
      <c r="AC48" s="1037" t="str">
        <f>IF(Z48="","",VLOOKUP(Z48,リスト!BN:BO,2,0))</f>
        <v/>
      </c>
      <c r="AD48" s="1037" t="str">
        <f t="shared" si="11"/>
        <v/>
      </c>
      <c r="AE48" s="1037" t="str">
        <f>IF(AD48="","",VLOOKUP(AD48,リスト!BW:BX,2,0))</f>
        <v/>
      </c>
      <c r="AF48" s="1037" t="str">
        <f t="shared" si="2"/>
        <v/>
      </c>
      <c r="AG48" s="685" t="str">
        <f t="shared" si="22"/>
        <v/>
      </c>
      <c r="AH48" s="646" t="str">
        <f t="shared" si="23"/>
        <v/>
      </c>
      <c r="AI48" s="646" t="str">
        <f t="shared" si="12"/>
        <v/>
      </c>
      <c r="AJ48" s="647" t="str">
        <f t="shared" si="13"/>
        <v/>
      </c>
      <c r="AK48" s="647" t="str">
        <f t="shared" si="24"/>
        <v/>
      </c>
      <c r="AL48" s="647" t="str">
        <f t="shared" si="14"/>
        <v/>
      </c>
      <c r="AM48" s="647" t="str">
        <f t="shared" si="6"/>
        <v/>
      </c>
      <c r="AN48" s="647" t="str">
        <f t="shared" si="25"/>
        <v/>
      </c>
      <c r="AO48" s="647" t="str">
        <f t="shared" si="26"/>
        <v/>
      </c>
      <c r="AP48" s="647" t="str">
        <f t="shared" si="27"/>
        <v/>
      </c>
      <c r="AQ48" s="647" t="str">
        <f t="shared" si="15"/>
        <v/>
      </c>
      <c r="AR48" s="647" t="str">
        <f t="shared" si="28"/>
        <v/>
      </c>
      <c r="AS48" s="647" t="str">
        <f t="shared" si="29"/>
        <v/>
      </c>
      <c r="AT48" s="1323" t="str">
        <f t="shared" si="19"/>
        <v/>
      </c>
      <c r="AU48" s="1323" t="str">
        <f t="shared" si="20"/>
        <v/>
      </c>
    </row>
    <row r="49" spans="3:47" s="5" customFormat="1" ht="28.15" hidden="1" customHeight="1" outlineLevel="1">
      <c r="C49" s="649">
        <v>31</v>
      </c>
      <c r="D49" s="1134"/>
      <c r="E49" s="729"/>
      <c r="F49" s="726"/>
      <c r="G49" s="705"/>
      <c r="H49" s="257"/>
      <c r="I49" s="257"/>
      <c r="J49" s="1050"/>
      <c r="K49" s="256"/>
      <c r="L49" s="256"/>
      <c r="M49" s="730"/>
      <c r="N49" s="256"/>
      <c r="O49" s="727"/>
      <c r="P49" s="1321"/>
      <c r="Q49" s="1329"/>
      <c r="R49" s="254"/>
      <c r="S49" s="703"/>
      <c r="T49" s="728"/>
      <c r="U49" s="431"/>
      <c r="V49" s="499"/>
      <c r="W49" s="741"/>
      <c r="X49" s="55"/>
      <c r="Y49" s="55"/>
      <c r="Z49" s="645" t="str">
        <f t="shared" si="21"/>
        <v/>
      </c>
      <c r="AA49" s="1037" t="str">
        <f t="shared" si="17"/>
        <v/>
      </c>
      <c r="AB49" s="1037" t="str">
        <f t="shared" si="18"/>
        <v/>
      </c>
      <c r="AC49" s="1037" t="str">
        <f>IF(Z49="","",VLOOKUP(Z49,リスト!BN:BO,2,0))</f>
        <v/>
      </c>
      <c r="AD49" s="1037" t="str">
        <f t="shared" si="11"/>
        <v/>
      </c>
      <c r="AE49" s="1037" t="str">
        <f>IF(AD49="","",VLOOKUP(AD49,リスト!BW:BX,2,0))</f>
        <v/>
      </c>
      <c r="AF49" s="1037" t="str">
        <f t="shared" si="2"/>
        <v/>
      </c>
      <c r="AG49" s="685" t="str">
        <f t="shared" si="22"/>
        <v/>
      </c>
      <c r="AH49" s="646" t="str">
        <f t="shared" si="23"/>
        <v/>
      </c>
      <c r="AI49" s="646" t="str">
        <f t="shared" si="12"/>
        <v/>
      </c>
      <c r="AJ49" s="647" t="str">
        <f t="shared" si="13"/>
        <v/>
      </c>
      <c r="AK49" s="647" t="str">
        <f t="shared" si="24"/>
        <v/>
      </c>
      <c r="AL49" s="647" t="str">
        <f t="shared" si="14"/>
        <v/>
      </c>
      <c r="AM49" s="647" t="str">
        <f t="shared" si="6"/>
        <v/>
      </c>
      <c r="AN49" s="647" t="str">
        <f t="shared" si="25"/>
        <v/>
      </c>
      <c r="AO49" s="647" t="str">
        <f t="shared" si="26"/>
        <v/>
      </c>
      <c r="AP49" s="647" t="str">
        <f t="shared" si="27"/>
        <v/>
      </c>
      <c r="AQ49" s="647" t="str">
        <f t="shared" si="15"/>
        <v/>
      </c>
      <c r="AR49" s="647" t="str">
        <f t="shared" si="28"/>
        <v/>
      </c>
      <c r="AS49" s="647" t="str">
        <f t="shared" si="29"/>
        <v/>
      </c>
      <c r="AT49" s="1323" t="str">
        <f t="shared" si="19"/>
        <v/>
      </c>
      <c r="AU49" s="1323" t="str">
        <f t="shared" si="20"/>
        <v/>
      </c>
    </row>
    <row r="50" spans="3:47" s="5" customFormat="1" ht="28.15" hidden="1" customHeight="1" outlineLevel="1">
      <c r="C50" s="649">
        <v>32</v>
      </c>
      <c r="D50" s="1133"/>
      <c r="E50" s="670"/>
      <c r="F50" s="726"/>
      <c r="G50" s="705"/>
      <c r="H50" s="255"/>
      <c r="I50" s="255"/>
      <c r="J50" s="1051"/>
      <c r="K50" s="256"/>
      <c r="L50" s="256"/>
      <c r="M50" s="730"/>
      <c r="N50" s="256"/>
      <c r="O50" s="727"/>
      <c r="P50" s="1321"/>
      <c r="Q50" s="1329"/>
      <c r="R50" s="254"/>
      <c r="S50" s="703"/>
      <c r="T50" s="728"/>
      <c r="U50" s="431"/>
      <c r="V50" s="499"/>
      <c r="W50" s="741"/>
      <c r="X50" s="55"/>
      <c r="Y50" s="55"/>
      <c r="Z50" s="645" t="str">
        <f t="shared" si="21"/>
        <v/>
      </c>
      <c r="AA50" s="1037" t="str">
        <f t="shared" si="17"/>
        <v/>
      </c>
      <c r="AB50" s="1037" t="str">
        <f t="shared" si="18"/>
        <v/>
      </c>
      <c r="AC50" s="1037" t="str">
        <f>IF(Z50="","",VLOOKUP(Z50,リスト!BN:BO,2,0))</f>
        <v/>
      </c>
      <c r="AD50" s="1037" t="str">
        <f t="shared" si="11"/>
        <v/>
      </c>
      <c r="AE50" s="1037" t="str">
        <f>IF(AD50="","",VLOOKUP(AD50,リスト!BW:BX,2,0))</f>
        <v/>
      </c>
      <c r="AF50" s="1037" t="str">
        <f t="shared" si="2"/>
        <v/>
      </c>
      <c r="AG50" s="685" t="str">
        <f t="shared" si="22"/>
        <v/>
      </c>
      <c r="AH50" s="646" t="str">
        <f t="shared" si="23"/>
        <v/>
      </c>
      <c r="AI50" s="646" t="str">
        <f t="shared" si="12"/>
        <v/>
      </c>
      <c r="AJ50" s="647" t="str">
        <f t="shared" si="13"/>
        <v/>
      </c>
      <c r="AK50" s="647" t="str">
        <f t="shared" si="24"/>
        <v/>
      </c>
      <c r="AL50" s="647" t="str">
        <f t="shared" si="14"/>
        <v/>
      </c>
      <c r="AM50" s="647" t="str">
        <f t="shared" si="6"/>
        <v/>
      </c>
      <c r="AN50" s="647" t="str">
        <f t="shared" si="25"/>
        <v/>
      </c>
      <c r="AO50" s="647" t="str">
        <f t="shared" si="26"/>
        <v/>
      </c>
      <c r="AP50" s="647" t="str">
        <f t="shared" si="27"/>
        <v/>
      </c>
      <c r="AQ50" s="647" t="str">
        <f t="shared" si="15"/>
        <v/>
      </c>
      <c r="AR50" s="647" t="str">
        <f t="shared" si="28"/>
        <v/>
      </c>
      <c r="AS50" s="647" t="str">
        <f t="shared" si="29"/>
        <v/>
      </c>
      <c r="AT50" s="1323" t="str">
        <f t="shared" si="19"/>
        <v/>
      </c>
      <c r="AU50" s="1323" t="str">
        <f t="shared" si="20"/>
        <v/>
      </c>
    </row>
    <row r="51" spans="3:47" s="5" customFormat="1" ht="28.15" hidden="1" customHeight="1" outlineLevel="1">
      <c r="C51" s="649">
        <v>33</v>
      </c>
      <c r="D51" s="1133"/>
      <c r="E51" s="670"/>
      <c r="F51" s="726"/>
      <c r="G51" s="705"/>
      <c r="H51" s="255"/>
      <c r="I51" s="255"/>
      <c r="J51" s="1051"/>
      <c r="K51" s="256"/>
      <c r="L51" s="256"/>
      <c r="M51" s="730"/>
      <c r="N51" s="256"/>
      <c r="O51" s="727"/>
      <c r="P51" s="1321"/>
      <c r="Q51" s="1329"/>
      <c r="R51" s="254"/>
      <c r="S51" s="703"/>
      <c r="T51" s="728"/>
      <c r="U51" s="431"/>
      <c r="V51" s="499"/>
      <c r="W51" s="741"/>
      <c r="X51" s="51"/>
      <c r="Y51" s="51"/>
      <c r="Z51" s="645" t="str">
        <f t="shared" si="21"/>
        <v/>
      </c>
      <c r="AA51" s="1037" t="str">
        <f t="shared" si="17"/>
        <v/>
      </c>
      <c r="AB51" s="1037" t="str">
        <f t="shared" si="18"/>
        <v/>
      </c>
      <c r="AC51" s="1037" t="str">
        <f>IF(Z51="","",VLOOKUP(Z51,リスト!BN:BO,2,0))</f>
        <v/>
      </c>
      <c r="AD51" s="1037" t="str">
        <f t="shared" si="11"/>
        <v/>
      </c>
      <c r="AE51" s="1037" t="str">
        <f>IF(AD51="","",VLOOKUP(AD51,リスト!BW:BX,2,0))</f>
        <v/>
      </c>
      <c r="AF51" s="1037" t="str">
        <f t="shared" si="2"/>
        <v/>
      </c>
      <c r="AG51" s="685" t="str">
        <f t="shared" si="22"/>
        <v/>
      </c>
      <c r="AH51" s="646" t="str">
        <f t="shared" si="23"/>
        <v/>
      </c>
      <c r="AI51" s="646" t="str">
        <f t="shared" si="12"/>
        <v/>
      </c>
      <c r="AJ51" s="647" t="str">
        <f t="shared" si="13"/>
        <v/>
      </c>
      <c r="AK51" s="647" t="str">
        <f t="shared" si="24"/>
        <v/>
      </c>
      <c r="AL51" s="647" t="str">
        <f t="shared" si="14"/>
        <v/>
      </c>
      <c r="AM51" s="647" t="str">
        <f t="shared" si="6"/>
        <v/>
      </c>
      <c r="AN51" s="647" t="str">
        <f t="shared" si="25"/>
        <v/>
      </c>
      <c r="AO51" s="647" t="str">
        <f t="shared" si="26"/>
        <v/>
      </c>
      <c r="AP51" s="647" t="str">
        <f t="shared" si="27"/>
        <v/>
      </c>
      <c r="AQ51" s="647" t="str">
        <f t="shared" si="15"/>
        <v/>
      </c>
      <c r="AR51" s="647" t="str">
        <f t="shared" si="28"/>
        <v/>
      </c>
      <c r="AS51" s="647" t="str">
        <f t="shared" si="29"/>
        <v/>
      </c>
      <c r="AT51" s="1323" t="str">
        <f t="shared" si="19"/>
        <v/>
      </c>
      <c r="AU51" s="1323" t="str">
        <f t="shared" si="20"/>
        <v/>
      </c>
    </row>
    <row r="52" spans="3:47" s="5" customFormat="1" ht="28.15" hidden="1" customHeight="1" outlineLevel="1">
      <c r="C52" s="649">
        <v>34</v>
      </c>
      <c r="D52" s="1133"/>
      <c r="E52" s="670"/>
      <c r="F52" s="726"/>
      <c r="G52" s="705"/>
      <c r="H52" s="255"/>
      <c r="I52" s="255"/>
      <c r="J52" s="1051"/>
      <c r="K52" s="735"/>
      <c r="L52" s="735"/>
      <c r="M52" s="736"/>
      <c r="N52" s="735"/>
      <c r="O52" s="727"/>
      <c r="P52" s="1321"/>
      <c r="Q52" s="1329"/>
      <c r="R52" s="254"/>
      <c r="S52" s="703"/>
      <c r="T52" s="728"/>
      <c r="U52" s="431"/>
      <c r="V52" s="499"/>
      <c r="W52" s="741"/>
      <c r="X52" s="51"/>
      <c r="Y52" s="51"/>
      <c r="Z52" s="645" t="str">
        <f t="shared" si="21"/>
        <v/>
      </c>
      <c r="AA52" s="1037" t="str">
        <f t="shared" si="17"/>
        <v/>
      </c>
      <c r="AB52" s="1037" t="str">
        <f t="shared" si="18"/>
        <v/>
      </c>
      <c r="AC52" s="1037" t="str">
        <f>IF(Z52="","",VLOOKUP(Z52,リスト!BN:BO,2,0))</f>
        <v/>
      </c>
      <c r="AD52" s="1037" t="str">
        <f t="shared" si="11"/>
        <v/>
      </c>
      <c r="AE52" s="1037" t="str">
        <f>IF(AD52="","",VLOOKUP(AD52,リスト!BW:BX,2,0))</f>
        <v/>
      </c>
      <c r="AF52" s="1037" t="str">
        <f t="shared" si="2"/>
        <v/>
      </c>
      <c r="AG52" s="685" t="str">
        <f t="shared" si="22"/>
        <v/>
      </c>
      <c r="AH52" s="646" t="str">
        <f t="shared" si="23"/>
        <v/>
      </c>
      <c r="AI52" s="646" t="str">
        <f t="shared" si="12"/>
        <v/>
      </c>
      <c r="AJ52" s="647" t="str">
        <f t="shared" si="13"/>
        <v/>
      </c>
      <c r="AK52" s="647" t="str">
        <f t="shared" si="24"/>
        <v/>
      </c>
      <c r="AL52" s="647" t="str">
        <f t="shared" si="14"/>
        <v/>
      </c>
      <c r="AM52" s="647" t="str">
        <f t="shared" si="6"/>
        <v/>
      </c>
      <c r="AN52" s="647" t="str">
        <f t="shared" si="25"/>
        <v/>
      </c>
      <c r="AO52" s="647" t="str">
        <f t="shared" si="26"/>
        <v/>
      </c>
      <c r="AP52" s="647" t="str">
        <f t="shared" si="27"/>
        <v/>
      </c>
      <c r="AQ52" s="647" t="str">
        <f t="shared" si="15"/>
        <v/>
      </c>
      <c r="AR52" s="647" t="str">
        <f t="shared" si="28"/>
        <v/>
      </c>
      <c r="AS52" s="647" t="str">
        <f t="shared" si="29"/>
        <v/>
      </c>
      <c r="AT52" s="1323" t="str">
        <f t="shared" si="19"/>
        <v/>
      </c>
      <c r="AU52" s="1323" t="str">
        <f t="shared" si="20"/>
        <v/>
      </c>
    </row>
    <row r="53" spans="3:47" s="5" customFormat="1" ht="28.15" hidden="1" customHeight="1" outlineLevel="1">
      <c r="C53" s="649">
        <v>35</v>
      </c>
      <c r="D53" s="1133"/>
      <c r="E53" s="670"/>
      <c r="F53" s="726"/>
      <c r="G53" s="705"/>
      <c r="H53" s="255"/>
      <c r="I53" s="255"/>
      <c r="J53" s="1051"/>
      <c r="K53" s="735"/>
      <c r="L53" s="735"/>
      <c r="M53" s="736"/>
      <c r="N53" s="735"/>
      <c r="O53" s="727"/>
      <c r="P53" s="1321"/>
      <c r="Q53" s="1329"/>
      <c r="R53" s="254"/>
      <c r="S53" s="703"/>
      <c r="T53" s="728"/>
      <c r="U53" s="431"/>
      <c r="V53" s="499"/>
      <c r="W53" s="741"/>
      <c r="X53" s="51"/>
      <c r="Y53" s="51"/>
      <c r="Z53" s="645" t="str">
        <f t="shared" si="21"/>
        <v/>
      </c>
      <c r="AA53" s="1037" t="str">
        <f t="shared" si="17"/>
        <v/>
      </c>
      <c r="AB53" s="1037" t="str">
        <f t="shared" si="18"/>
        <v/>
      </c>
      <c r="AC53" s="1037" t="str">
        <f>IF(Z53="","",VLOOKUP(Z53,リスト!BN:BO,2,0))</f>
        <v/>
      </c>
      <c r="AD53" s="1037" t="str">
        <f t="shared" si="11"/>
        <v/>
      </c>
      <c r="AE53" s="1037" t="str">
        <f>IF(AD53="","",VLOOKUP(AD53,リスト!BW:BX,2,0))</f>
        <v/>
      </c>
      <c r="AF53" s="1037" t="str">
        <f t="shared" si="2"/>
        <v/>
      </c>
      <c r="AG53" s="685" t="str">
        <f t="shared" si="22"/>
        <v/>
      </c>
      <c r="AH53" s="646" t="str">
        <f t="shared" si="23"/>
        <v/>
      </c>
      <c r="AI53" s="646" t="str">
        <f t="shared" si="12"/>
        <v/>
      </c>
      <c r="AJ53" s="647" t="str">
        <f t="shared" si="13"/>
        <v/>
      </c>
      <c r="AK53" s="647" t="str">
        <f t="shared" si="24"/>
        <v/>
      </c>
      <c r="AL53" s="647" t="str">
        <f t="shared" si="14"/>
        <v/>
      </c>
      <c r="AM53" s="647" t="str">
        <f t="shared" si="6"/>
        <v/>
      </c>
      <c r="AN53" s="647" t="str">
        <f t="shared" si="25"/>
        <v/>
      </c>
      <c r="AO53" s="647" t="str">
        <f t="shared" si="26"/>
        <v/>
      </c>
      <c r="AP53" s="647" t="str">
        <f t="shared" si="27"/>
        <v/>
      </c>
      <c r="AQ53" s="647" t="str">
        <f t="shared" si="15"/>
        <v/>
      </c>
      <c r="AR53" s="647" t="str">
        <f t="shared" si="28"/>
        <v/>
      </c>
      <c r="AS53" s="647" t="str">
        <f t="shared" si="29"/>
        <v/>
      </c>
      <c r="AT53" s="1323" t="str">
        <f t="shared" si="19"/>
        <v/>
      </c>
      <c r="AU53" s="1323" t="str">
        <f t="shared" si="20"/>
        <v/>
      </c>
    </row>
    <row r="54" spans="3:47" s="5" customFormat="1" ht="28.15" hidden="1" customHeight="1" outlineLevel="1">
      <c r="C54" s="649">
        <v>36</v>
      </c>
      <c r="D54" s="1133"/>
      <c r="E54" s="670"/>
      <c r="F54" s="726"/>
      <c r="G54" s="705"/>
      <c r="H54" s="255"/>
      <c r="I54" s="255"/>
      <c r="J54" s="1051"/>
      <c r="K54" s="735"/>
      <c r="L54" s="735"/>
      <c r="M54" s="736"/>
      <c r="N54" s="735"/>
      <c r="O54" s="727"/>
      <c r="P54" s="1321"/>
      <c r="Q54" s="1329"/>
      <c r="R54" s="254"/>
      <c r="S54" s="703"/>
      <c r="T54" s="728"/>
      <c r="U54" s="431"/>
      <c r="V54" s="499"/>
      <c r="W54" s="741"/>
      <c r="X54" s="51"/>
      <c r="Y54" s="51"/>
      <c r="Z54" s="645" t="str">
        <f t="shared" si="21"/>
        <v/>
      </c>
      <c r="AA54" s="1037" t="str">
        <f t="shared" si="17"/>
        <v/>
      </c>
      <c r="AB54" s="1037" t="str">
        <f t="shared" si="18"/>
        <v/>
      </c>
      <c r="AC54" s="1037" t="str">
        <f>IF(Z54="","",VLOOKUP(Z54,リスト!BN:BO,2,0))</f>
        <v/>
      </c>
      <c r="AD54" s="1037" t="str">
        <f t="shared" si="11"/>
        <v/>
      </c>
      <c r="AE54" s="1037" t="str">
        <f>IF(AD54="","",VLOOKUP(AD54,リスト!BW:BX,2,0))</f>
        <v/>
      </c>
      <c r="AF54" s="1037" t="str">
        <f t="shared" si="2"/>
        <v/>
      </c>
      <c r="AG54" s="685" t="str">
        <f t="shared" si="22"/>
        <v/>
      </c>
      <c r="AH54" s="646" t="str">
        <f t="shared" si="23"/>
        <v/>
      </c>
      <c r="AI54" s="646" t="str">
        <f t="shared" si="12"/>
        <v/>
      </c>
      <c r="AJ54" s="647" t="str">
        <f t="shared" si="13"/>
        <v/>
      </c>
      <c r="AK54" s="647" t="str">
        <f t="shared" si="24"/>
        <v/>
      </c>
      <c r="AL54" s="647" t="str">
        <f t="shared" si="14"/>
        <v/>
      </c>
      <c r="AM54" s="647" t="str">
        <f t="shared" si="6"/>
        <v/>
      </c>
      <c r="AN54" s="647" t="str">
        <f t="shared" si="25"/>
        <v/>
      </c>
      <c r="AO54" s="647" t="str">
        <f t="shared" si="26"/>
        <v/>
      </c>
      <c r="AP54" s="647" t="str">
        <f t="shared" si="27"/>
        <v/>
      </c>
      <c r="AQ54" s="647" t="str">
        <f t="shared" si="15"/>
        <v/>
      </c>
      <c r="AR54" s="647" t="str">
        <f t="shared" si="28"/>
        <v/>
      </c>
      <c r="AS54" s="647" t="str">
        <f t="shared" si="29"/>
        <v/>
      </c>
      <c r="AT54" s="1323" t="str">
        <f t="shared" si="19"/>
        <v/>
      </c>
      <c r="AU54" s="1323" t="str">
        <f t="shared" si="20"/>
        <v/>
      </c>
    </row>
    <row r="55" spans="3:47" s="5" customFormat="1" ht="28.15" hidden="1" customHeight="1" outlineLevel="1">
      <c r="C55" s="649">
        <v>37</v>
      </c>
      <c r="D55" s="1133"/>
      <c r="E55" s="670"/>
      <c r="F55" s="726"/>
      <c r="G55" s="705"/>
      <c r="H55" s="255"/>
      <c r="I55" s="255"/>
      <c r="J55" s="1051"/>
      <c r="K55" s="735"/>
      <c r="L55" s="735"/>
      <c r="M55" s="736"/>
      <c r="N55" s="735"/>
      <c r="O55" s="727"/>
      <c r="P55" s="1321"/>
      <c r="Q55" s="1329"/>
      <c r="R55" s="254"/>
      <c r="S55" s="703"/>
      <c r="T55" s="728"/>
      <c r="U55" s="431"/>
      <c r="V55" s="499"/>
      <c r="W55" s="741"/>
      <c r="X55" s="51"/>
      <c r="Y55" s="51"/>
      <c r="Z55" s="645" t="str">
        <f t="shared" si="21"/>
        <v/>
      </c>
      <c r="AA55" s="1037" t="str">
        <f t="shared" si="17"/>
        <v/>
      </c>
      <c r="AB55" s="1037" t="str">
        <f t="shared" si="18"/>
        <v/>
      </c>
      <c r="AC55" s="1037" t="str">
        <f>IF(Z55="","",VLOOKUP(Z55,リスト!BN:BO,2,0))</f>
        <v/>
      </c>
      <c r="AD55" s="1037" t="str">
        <f t="shared" si="11"/>
        <v/>
      </c>
      <c r="AE55" s="1037" t="str">
        <f>IF(AD55="","",VLOOKUP(AD55,リスト!BW:BX,2,0))</f>
        <v/>
      </c>
      <c r="AF55" s="1037" t="str">
        <f t="shared" si="2"/>
        <v/>
      </c>
      <c r="AG55" s="685" t="str">
        <f t="shared" si="22"/>
        <v/>
      </c>
      <c r="AH55" s="646" t="str">
        <f t="shared" si="23"/>
        <v/>
      </c>
      <c r="AI55" s="646" t="str">
        <f t="shared" si="12"/>
        <v/>
      </c>
      <c r="AJ55" s="647" t="str">
        <f t="shared" si="13"/>
        <v/>
      </c>
      <c r="AK55" s="647" t="str">
        <f t="shared" si="24"/>
        <v/>
      </c>
      <c r="AL55" s="647" t="str">
        <f t="shared" si="14"/>
        <v/>
      </c>
      <c r="AM55" s="647" t="str">
        <f t="shared" si="6"/>
        <v/>
      </c>
      <c r="AN55" s="647" t="str">
        <f t="shared" si="25"/>
        <v/>
      </c>
      <c r="AO55" s="647" t="str">
        <f t="shared" si="26"/>
        <v/>
      </c>
      <c r="AP55" s="647" t="str">
        <f t="shared" si="27"/>
        <v/>
      </c>
      <c r="AQ55" s="647" t="str">
        <f t="shared" si="15"/>
        <v/>
      </c>
      <c r="AR55" s="647" t="str">
        <f t="shared" si="28"/>
        <v/>
      </c>
      <c r="AS55" s="647" t="str">
        <f t="shared" si="29"/>
        <v/>
      </c>
      <c r="AT55" s="1323" t="str">
        <f t="shared" si="19"/>
        <v/>
      </c>
      <c r="AU55" s="1323" t="str">
        <f t="shared" si="20"/>
        <v/>
      </c>
    </row>
    <row r="56" spans="3:47" s="5" customFormat="1" ht="28.15" hidden="1" customHeight="1" outlineLevel="1">
      <c r="C56" s="649">
        <v>38</v>
      </c>
      <c r="D56" s="1133"/>
      <c r="E56" s="670"/>
      <c r="F56" s="726"/>
      <c r="G56" s="666"/>
      <c r="H56" s="266"/>
      <c r="I56" s="266"/>
      <c r="J56" s="1049"/>
      <c r="K56" s="727"/>
      <c r="L56" s="727"/>
      <c r="M56" s="727"/>
      <c r="N56" s="727"/>
      <c r="O56" s="727"/>
      <c r="P56" s="1321"/>
      <c r="Q56" s="1329"/>
      <c r="R56" s="254"/>
      <c r="S56" s="703"/>
      <c r="T56" s="728"/>
      <c r="U56" s="431"/>
      <c r="V56" s="499"/>
      <c r="W56" s="741"/>
      <c r="X56" s="51"/>
      <c r="Y56" s="51"/>
      <c r="Z56" s="645" t="str">
        <f t="shared" si="21"/>
        <v/>
      </c>
      <c r="AA56" s="1037" t="str">
        <f t="shared" si="17"/>
        <v/>
      </c>
      <c r="AB56" s="1037" t="str">
        <f t="shared" si="18"/>
        <v/>
      </c>
      <c r="AC56" s="1037" t="str">
        <f>IF(Z56="","",VLOOKUP(Z56,リスト!BN:BO,2,0))</f>
        <v/>
      </c>
      <c r="AD56" s="1037" t="str">
        <f t="shared" si="11"/>
        <v/>
      </c>
      <c r="AE56" s="1037" t="str">
        <f>IF(AD56="","",VLOOKUP(AD56,リスト!BW:BX,2,0))</f>
        <v/>
      </c>
      <c r="AF56" s="1037" t="str">
        <f t="shared" si="2"/>
        <v/>
      </c>
      <c r="AG56" s="685" t="str">
        <f t="shared" si="22"/>
        <v/>
      </c>
      <c r="AH56" s="646" t="str">
        <f t="shared" si="23"/>
        <v/>
      </c>
      <c r="AI56" s="646" t="str">
        <f t="shared" si="12"/>
        <v/>
      </c>
      <c r="AJ56" s="647" t="str">
        <f t="shared" si="13"/>
        <v/>
      </c>
      <c r="AK56" s="647" t="str">
        <f t="shared" si="24"/>
        <v/>
      </c>
      <c r="AL56" s="647" t="str">
        <f t="shared" si="14"/>
        <v/>
      </c>
      <c r="AM56" s="647" t="str">
        <f t="shared" si="6"/>
        <v/>
      </c>
      <c r="AN56" s="647" t="str">
        <f t="shared" si="25"/>
        <v/>
      </c>
      <c r="AO56" s="647" t="str">
        <f t="shared" si="26"/>
        <v/>
      </c>
      <c r="AP56" s="647" t="str">
        <f t="shared" si="27"/>
        <v/>
      </c>
      <c r="AQ56" s="647" t="str">
        <f t="shared" si="15"/>
        <v/>
      </c>
      <c r="AR56" s="647" t="str">
        <f t="shared" si="28"/>
        <v/>
      </c>
      <c r="AS56" s="647" t="str">
        <f t="shared" si="29"/>
        <v/>
      </c>
      <c r="AT56" s="1323" t="str">
        <f t="shared" si="19"/>
        <v/>
      </c>
      <c r="AU56" s="1323" t="str">
        <f t="shared" si="20"/>
        <v/>
      </c>
    </row>
    <row r="57" spans="3:47" s="5" customFormat="1" ht="28.15" hidden="1" customHeight="1" outlineLevel="1">
      <c r="C57" s="649">
        <v>39</v>
      </c>
      <c r="D57" s="1134"/>
      <c r="E57" s="729"/>
      <c r="F57" s="726"/>
      <c r="G57" s="705"/>
      <c r="H57" s="257"/>
      <c r="I57" s="257"/>
      <c r="J57" s="1049"/>
      <c r="K57" s="735"/>
      <c r="L57" s="735"/>
      <c r="M57" s="736"/>
      <c r="N57" s="735"/>
      <c r="O57" s="727"/>
      <c r="P57" s="1321"/>
      <c r="Q57" s="1329"/>
      <c r="R57" s="254"/>
      <c r="S57" s="703"/>
      <c r="T57" s="728"/>
      <c r="U57" s="431"/>
      <c r="V57" s="499"/>
      <c r="W57" s="741"/>
      <c r="X57" s="51"/>
      <c r="Y57" s="51"/>
      <c r="Z57" s="645" t="str">
        <f t="shared" si="21"/>
        <v/>
      </c>
      <c r="AA57" s="1037" t="str">
        <f t="shared" si="17"/>
        <v/>
      </c>
      <c r="AB57" s="1037" t="str">
        <f t="shared" si="18"/>
        <v/>
      </c>
      <c r="AC57" s="1037" t="str">
        <f>IF(Z57="","",VLOOKUP(Z57,リスト!BN:BO,2,0))</f>
        <v/>
      </c>
      <c r="AD57" s="1037" t="str">
        <f t="shared" si="11"/>
        <v/>
      </c>
      <c r="AE57" s="1037" t="str">
        <f>IF(AD57="","",VLOOKUP(AD57,リスト!BW:BX,2,0))</f>
        <v/>
      </c>
      <c r="AF57" s="1037" t="str">
        <f t="shared" si="2"/>
        <v/>
      </c>
      <c r="AG57" s="685" t="str">
        <f t="shared" si="22"/>
        <v/>
      </c>
      <c r="AH57" s="646" t="str">
        <f t="shared" si="23"/>
        <v/>
      </c>
      <c r="AI57" s="646" t="str">
        <f t="shared" si="12"/>
        <v/>
      </c>
      <c r="AJ57" s="647" t="str">
        <f t="shared" si="13"/>
        <v/>
      </c>
      <c r="AK57" s="647" t="str">
        <f t="shared" si="24"/>
        <v/>
      </c>
      <c r="AL57" s="647" t="str">
        <f t="shared" si="14"/>
        <v/>
      </c>
      <c r="AM57" s="647" t="str">
        <f t="shared" si="6"/>
        <v/>
      </c>
      <c r="AN57" s="647" t="str">
        <f t="shared" si="25"/>
        <v/>
      </c>
      <c r="AO57" s="647" t="str">
        <f t="shared" si="26"/>
        <v/>
      </c>
      <c r="AP57" s="647" t="str">
        <f t="shared" si="27"/>
        <v/>
      </c>
      <c r="AQ57" s="647" t="str">
        <f t="shared" si="15"/>
        <v/>
      </c>
      <c r="AR57" s="647" t="str">
        <f t="shared" si="28"/>
        <v/>
      </c>
      <c r="AS57" s="647" t="str">
        <f t="shared" si="29"/>
        <v/>
      </c>
      <c r="AT57" s="1323" t="str">
        <f t="shared" si="19"/>
        <v/>
      </c>
      <c r="AU57" s="1323" t="str">
        <f t="shared" si="20"/>
        <v/>
      </c>
    </row>
    <row r="58" spans="3:47" s="5" customFormat="1" ht="28.15" hidden="1" customHeight="1" outlineLevel="1">
      <c r="C58" s="649">
        <v>40</v>
      </c>
      <c r="D58" s="1133"/>
      <c r="E58" s="670"/>
      <c r="F58" s="726"/>
      <c r="G58" s="705"/>
      <c r="H58" s="255"/>
      <c r="I58" s="255"/>
      <c r="J58" s="1049"/>
      <c r="K58" s="735"/>
      <c r="L58" s="735"/>
      <c r="M58" s="736"/>
      <c r="N58" s="735"/>
      <c r="O58" s="727"/>
      <c r="P58" s="1321"/>
      <c r="Q58" s="1329"/>
      <c r="R58" s="254"/>
      <c r="S58" s="703"/>
      <c r="T58" s="728"/>
      <c r="U58" s="431"/>
      <c r="V58" s="499"/>
      <c r="W58" s="741"/>
      <c r="X58" s="51"/>
      <c r="Y58" s="51"/>
      <c r="Z58" s="645" t="str">
        <f t="shared" si="21"/>
        <v/>
      </c>
      <c r="AA58" s="1037" t="str">
        <f t="shared" si="17"/>
        <v/>
      </c>
      <c r="AB58" s="1037" t="str">
        <f t="shared" si="18"/>
        <v/>
      </c>
      <c r="AC58" s="1037" t="str">
        <f>IF(Z58="","",VLOOKUP(Z58,リスト!BN:BO,2,0))</f>
        <v/>
      </c>
      <c r="AD58" s="1037" t="str">
        <f t="shared" si="11"/>
        <v/>
      </c>
      <c r="AE58" s="1037" t="str">
        <f>IF(AD58="","",VLOOKUP(AD58,リスト!BW:BX,2,0))</f>
        <v/>
      </c>
      <c r="AF58" s="1037" t="str">
        <f t="shared" si="2"/>
        <v/>
      </c>
      <c r="AG58" s="685" t="str">
        <f t="shared" si="22"/>
        <v/>
      </c>
      <c r="AH58" s="646" t="str">
        <f t="shared" si="23"/>
        <v/>
      </c>
      <c r="AI58" s="646" t="str">
        <f t="shared" si="12"/>
        <v/>
      </c>
      <c r="AJ58" s="647" t="str">
        <f t="shared" si="13"/>
        <v/>
      </c>
      <c r="AK58" s="647" t="str">
        <f t="shared" si="24"/>
        <v/>
      </c>
      <c r="AL58" s="647" t="str">
        <f t="shared" si="14"/>
        <v/>
      </c>
      <c r="AM58" s="647" t="str">
        <f t="shared" si="6"/>
        <v/>
      </c>
      <c r="AN58" s="647" t="str">
        <f t="shared" si="25"/>
        <v/>
      </c>
      <c r="AO58" s="647" t="str">
        <f t="shared" si="26"/>
        <v/>
      </c>
      <c r="AP58" s="647" t="str">
        <f t="shared" si="27"/>
        <v/>
      </c>
      <c r="AQ58" s="647" t="str">
        <f t="shared" si="15"/>
        <v/>
      </c>
      <c r="AR58" s="647" t="str">
        <f t="shared" si="28"/>
        <v/>
      </c>
      <c r="AS58" s="647" t="str">
        <f t="shared" si="29"/>
        <v/>
      </c>
      <c r="AT58" s="1323" t="str">
        <f t="shared" si="19"/>
        <v/>
      </c>
      <c r="AU58" s="1323" t="str">
        <f t="shared" si="20"/>
        <v/>
      </c>
    </row>
    <row r="59" spans="3:47" s="5" customFormat="1" ht="28.15" hidden="1" customHeight="1" outlineLevel="1">
      <c r="C59" s="649">
        <v>41</v>
      </c>
      <c r="D59" s="1134"/>
      <c r="E59" s="729"/>
      <c r="F59" s="726"/>
      <c r="G59" s="705"/>
      <c r="H59" s="257"/>
      <c r="I59" s="257"/>
      <c r="J59" s="1049"/>
      <c r="K59" s="735"/>
      <c r="L59" s="735"/>
      <c r="M59" s="736"/>
      <c r="N59" s="735"/>
      <c r="O59" s="727"/>
      <c r="P59" s="1321"/>
      <c r="Q59" s="1329"/>
      <c r="R59" s="254"/>
      <c r="S59" s="703"/>
      <c r="T59" s="728"/>
      <c r="U59" s="431"/>
      <c r="V59" s="499"/>
      <c r="W59" s="741"/>
      <c r="X59" s="51"/>
      <c r="Y59" s="51"/>
      <c r="Z59" s="645" t="str">
        <f t="shared" si="21"/>
        <v/>
      </c>
      <c r="AA59" s="1037" t="str">
        <f t="shared" si="17"/>
        <v/>
      </c>
      <c r="AB59" s="1037" t="str">
        <f t="shared" si="18"/>
        <v/>
      </c>
      <c r="AC59" s="1037" t="str">
        <f>IF(Z59="","",VLOOKUP(Z59,リスト!BN:BO,2,0))</f>
        <v/>
      </c>
      <c r="AD59" s="1037" t="str">
        <f t="shared" si="11"/>
        <v/>
      </c>
      <c r="AE59" s="1037" t="str">
        <f>IF(AD59="","",VLOOKUP(AD59,リスト!BW:BX,2,0))</f>
        <v/>
      </c>
      <c r="AF59" s="1037" t="str">
        <f t="shared" si="2"/>
        <v/>
      </c>
      <c r="AG59" s="685" t="str">
        <f t="shared" si="22"/>
        <v/>
      </c>
      <c r="AH59" s="646" t="str">
        <f t="shared" si="23"/>
        <v/>
      </c>
      <c r="AI59" s="646" t="str">
        <f t="shared" si="12"/>
        <v/>
      </c>
      <c r="AJ59" s="647" t="str">
        <f t="shared" si="13"/>
        <v/>
      </c>
      <c r="AK59" s="647" t="str">
        <f t="shared" si="24"/>
        <v/>
      </c>
      <c r="AL59" s="647" t="str">
        <f t="shared" si="14"/>
        <v/>
      </c>
      <c r="AM59" s="647" t="str">
        <f t="shared" si="6"/>
        <v/>
      </c>
      <c r="AN59" s="647" t="str">
        <f t="shared" si="25"/>
        <v/>
      </c>
      <c r="AO59" s="647" t="str">
        <f t="shared" si="26"/>
        <v/>
      </c>
      <c r="AP59" s="647" t="str">
        <f t="shared" si="27"/>
        <v/>
      </c>
      <c r="AQ59" s="647" t="str">
        <f t="shared" si="15"/>
        <v/>
      </c>
      <c r="AR59" s="647" t="str">
        <f t="shared" si="28"/>
        <v/>
      </c>
      <c r="AS59" s="647" t="str">
        <f t="shared" si="29"/>
        <v/>
      </c>
      <c r="AT59" s="1323" t="str">
        <f t="shared" si="19"/>
        <v/>
      </c>
      <c r="AU59" s="1323" t="str">
        <f t="shared" si="20"/>
        <v/>
      </c>
    </row>
    <row r="60" spans="3:47" s="5" customFormat="1" ht="28.15" hidden="1" customHeight="1" outlineLevel="1">
      <c r="C60" s="649">
        <v>42</v>
      </c>
      <c r="D60" s="1133"/>
      <c r="E60" s="670"/>
      <c r="F60" s="726"/>
      <c r="G60" s="705"/>
      <c r="H60" s="255"/>
      <c r="I60" s="255"/>
      <c r="J60" s="1049"/>
      <c r="K60" s="735"/>
      <c r="L60" s="735"/>
      <c r="M60" s="736"/>
      <c r="N60" s="735"/>
      <c r="O60" s="727"/>
      <c r="P60" s="1321"/>
      <c r="Q60" s="1329"/>
      <c r="R60" s="254"/>
      <c r="S60" s="703"/>
      <c r="T60" s="728"/>
      <c r="U60" s="431"/>
      <c r="V60" s="499"/>
      <c r="W60" s="741"/>
      <c r="X60" s="51"/>
      <c r="Y60" s="51"/>
      <c r="Z60" s="645" t="str">
        <f t="shared" si="21"/>
        <v/>
      </c>
      <c r="AA60" s="1037" t="str">
        <f t="shared" si="17"/>
        <v/>
      </c>
      <c r="AB60" s="1037" t="str">
        <f t="shared" si="18"/>
        <v/>
      </c>
      <c r="AC60" s="1037" t="str">
        <f>IF(Z60="","",VLOOKUP(Z60,リスト!BN:BO,2,0))</f>
        <v/>
      </c>
      <c r="AD60" s="1037" t="str">
        <f t="shared" si="11"/>
        <v/>
      </c>
      <c r="AE60" s="1037" t="str">
        <f>IF(AD60="","",VLOOKUP(AD60,リスト!BW:BX,2,0))</f>
        <v/>
      </c>
      <c r="AF60" s="1037" t="str">
        <f t="shared" si="2"/>
        <v/>
      </c>
      <c r="AG60" s="685" t="str">
        <f t="shared" si="22"/>
        <v/>
      </c>
      <c r="AH60" s="646" t="str">
        <f t="shared" si="23"/>
        <v/>
      </c>
      <c r="AI60" s="646" t="str">
        <f t="shared" si="12"/>
        <v/>
      </c>
      <c r="AJ60" s="647" t="str">
        <f t="shared" si="13"/>
        <v/>
      </c>
      <c r="AK60" s="647" t="str">
        <f t="shared" si="24"/>
        <v/>
      </c>
      <c r="AL60" s="647" t="str">
        <f t="shared" si="14"/>
        <v/>
      </c>
      <c r="AM60" s="647" t="str">
        <f t="shared" si="6"/>
        <v/>
      </c>
      <c r="AN60" s="647" t="str">
        <f t="shared" si="25"/>
        <v/>
      </c>
      <c r="AO60" s="647" t="str">
        <f t="shared" si="26"/>
        <v/>
      </c>
      <c r="AP60" s="647" t="str">
        <f t="shared" si="27"/>
        <v/>
      </c>
      <c r="AQ60" s="647" t="str">
        <f t="shared" si="15"/>
        <v/>
      </c>
      <c r="AR60" s="647" t="str">
        <f t="shared" si="28"/>
        <v/>
      </c>
      <c r="AS60" s="647" t="str">
        <f t="shared" si="29"/>
        <v/>
      </c>
      <c r="AT60" s="1323" t="str">
        <f t="shared" si="19"/>
        <v/>
      </c>
      <c r="AU60" s="1323" t="str">
        <f t="shared" si="20"/>
        <v/>
      </c>
    </row>
    <row r="61" spans="3:47" s="5" customFormat="1" ht="28.15" hidden="1" customHeight="1" outlineLevel="1">
      <c r="C61" s="649">
        <v>43</v>
      </c>
      <c r="D61" s="1134"/>
      <c r="E61" s="729"/>
      <c r="F61" s="726"/>
      <c r="G61" s="705"/>
      <c r="H61" s="257"/>
      <c r="I61" s="257"/>
      <c r="J61" s="1049"/>
      <c r="K61" s="735"/>
      <c r="L61" s="735"/>
      <c r="M61" s="736"/>
      <c r="N61" s="735"/>
      <c r="O61" s="727"/>
      <c r="P61" s="1321"/>
      <c r="Q61" s="1329"/>
      <c r="R61" s="254"/>
      <c r="S61" s="703"/>
      <c r="T61" s="728"/>
      <c r="U61" s="431"/>
      <c r="V61" s="499"/>
      <c r="W61" s="741"/>
      <c r="X61" s="51"/>
      <c r="Y61" s="51"/>
      <c r="Z61" s="645" t="str">
        <f t="shared" si="21"/>
        <v/>
      </c>
      <c r="AA61" s="1037" t="str">
        <f t="shared" si="17"/>
        <v/>
      </c>
      <c r="AB61" s="1037" t="str">
        <f t="shared" si="18"/>
        <v/>
      </c>
      <c r="AC61" s="1037" t="str">
        <f>IF(Z61="","",VLOOKUP(Z61,リスト!BN:BO,2,0))</f>
        <v/>
      </c>
      <c r="AD61" s="1037" t="str">
        <f t="shared" si="11"/>
        <v/>
      </c>
      <c r="AE61" s="1037" t="str">
        <f>IF(AD61="","",VLOOKUP(AD61,リスト!BW:BX,2,0))</f>
        <v/>
      </c>
      <c r="AF61" s="1037" t="str">
        <f t="shared" si="2"/>
        <v/>
      </c>
      <c r="AG61" s="685" t="str">
        <f t="shared" si="22"/>
        <v/>
      </c>
      <c r="AH61" s="646" t="str">
        <f t="shared" si="23"/>
        <v/>
      </c>
      <c r="AI61" s="646" t="str">
        <f t="shared" si="12"/>
        <v/>
      </c>
      <c r="AJ61" s="647" t="str">
        <f t="shared" si="13"/>
        <v/>
      </c>
      <c r="AK61" s="647" t="str">
        <f t="shared" si="24"/>
        <v/>
      </c>
      <c r="AL61" s="647" t="str">
        <f t="shared" si="14"/>
        <v/>
      </c>
      <c r="AM61" s="647" t="str">
        <f t="shared" si="6"/>
        <v/>
      </c>
      <c r="AN61" s="647" t="str">
        <f t="shared" si="25"/>
        <v/>
      </c>
      <c r="AO61" s="647" t="str">
        <f t="shared" si="26"/>
        <v/>
      </c>
      <c r="AP61" s="647" t="str">
        <f t="shared" si="27"/>
        <v/>
      </c>
      <c r="AQ61" s="647" t="str">
        <f t="shared" si="15"/>
        <v/>
      </c>
      <c r="AR61" s="647" t="str">
        <f t="shared" si="28"/>
        <v/>
      </c>
      <c r="AS61" s="647" t="str">
        <f t="shared" si="29"/>
        <v/>
      </c>
      <c r="AT61" s="1323" t="str">
        <f t="shared" si="19"/>
        <v/>
      </c>
      <c r="AU61" s="1323" t="str">
        <f t="shared" si="20"/>
        <v/>
      </c>
    </row>
    <row r="62" spans="3:47" s="5" customFormat="1" ht="28.15" hidden="1" customHeight="1" outlineLevel="1">
      <c r="C62" s="649">
        <v>44</v>
      </c>
      <c r="D62" s="1133"/>
      <c r="E62" s="670"/>
      <c r="F62" s="726"/>
      <c r="G62" s="705"/>
      <c r="H62" s="255"/>
      <c r="I62" s="255"/>
      <c r="J62" s="1049"/>
      <c r="K62" s="735"/>
      <c r="L62" s="735"/>
      <c r="M62" s="736"/>
      <c r="N62" s="735"/>
      <c r="O62" s="727"/>
      <c r="P62" s="1321"/>
      <c r="Q62" s="1329"/>
      <c r="R62" s="254"/>
      <c r="S62" s="703"/>
      <c r="T62" s="728"/>
      <c r="U62" s="431"/>
      <c r="V62" s="499"/>
      <c r="W62" s="741"/>
      <c r="X62" s="51"/>
      <c r="Y62" s="51"/>
      <c r="Z62" s="645" t="str">
        <f t="shared" si="21"/>
        <v/>
      </c>
      <c r="AA62" s="1037" t="str">
        <f t="shared" si="17"/>
        <v/>
      </c>
      <c r="AB62" s="1037" t="str">
        <f t="shared" si="18"/>
        <v/>
      </c>
      <c r="AC62" s="1037" t="str">
        <f>IF(Z62="","",VLOOKUP(Z62,リスト!BN:BO,2,0))</f>
        <v/>
      </c>
      <c r="AD62" s="1037" t="str">
        <f t="shared" si="11"/>
        <v/>
      </c>
      <c r="AE62" s="1037" t="str">
        <f>IF(AD62="","",VLOOKUP(AD62,リスト!BW:BX,2,0))</f>
        <v/>
      </c>
      <c r="AF62" s="1037" t="str">
        <f t="shared" si="2"/>
        <v/>
      </c>
      <c r="AG62" s="685" t="str">
        <f t="shared" si="22"/>
        <v/>
      </c>
      <c r="AH62" s="646" t="str">
        <f t="shared" si="23"/>
        <v/>
      </c>
      <c r="AI62" s="646" t="str">
        <f t="shared" si="12"/>
        <v/>
      </c>
      <c r="AJ62" s="647" t="str">
        <f t="shared" si="13"/>
        <v/>
      </c>
      <c r="AK62" s="647" t="str">
        <f t="shared" si="24"/>
        <v/>
      </c>
      <c r="AL62" s="647" t="str">
        <f t="shared" si="14"/>
        <v/>
      </c>
      <c r="AM62" s="647" t="str">
        <f t="shared" si="6"/>
        <v/>
      </c>
      <c r="AN62" s="647" t="str">
        <f t="shared" si="25"/>
        <v/>
      </c>
      <c r="AO62" s="647" t="str">
        <f t="shared" si="26"/>
        <v/>
      </c>
      <c r="AP62" s="647" t="str">
        <f t="shared" si="27"/>
        <v/>
      </c>
      <c r="AQ62" s="647" t="str">
        <f t="shared" si="15"/>
        <v/>
      </c>
      <c r="AR62" s="647" t="str">
        <f t="shared" si="28"/>
        <v/>
      </c>
      <c r="AS62" s="647" t="str">
        <f t="shared" si="29"/>
        <v/>
      </c>
      <c r="AT62" s="1323" t="str">
        <f t="shared" si="19"/>
        <v/>
      </c>
      <c r="AU62" s="1323" t="str">
        <f t="shared" si="20"/>
        <v/>
      </c>
    </row>
    <row r="63" spans="3:47" s="5" customFormat="1" ht="28.15" hidden="1" customHeight="1" outlineLevel="1">
      <c r="C63" s="649">
        <v>45</v>
      </c>
      <c r="D63" s="1134"/>
      <c r="E63" s="729"/>
      <c r="F63" s="726"/>
      <c r="G63" s="705"/>
      <c r="H63" s="257"/>
      <c r="I63" s="257"/>
      <c r="J63" s="1049"/>
      <c r="K63" s="735"/>
      <c r="L63" s="735"/>
      <c r="M63" s="736"/>
      <c r="N63" s="735"/>
      <c r="O63" s="727"/>
      <c r="P63" s="1321"/>
      <c r="Q63" s="1329"/>
      <c r="R63" s="254"/>
      <c r="S63" s="703"/>
      <c r="T63" s="728"/>
      <c r="U63" s="431"/>
      <c r="V63" s="499"/>
      <c r="W63" s="741"/>
      <c r="X63" s="51"/>
      <c r="Y63" s="51"/>
      <c r="Z63" s="645" t="str">
        <f t="shared" si="21"/>
        <v/>
      </c>
      <c r="AA63" s="1037" t="str">
        <f t="shared" si="17"/>
        <v/>
      </c>
      <c r="AB63" s="1037" t="str">
        <f t="shared" si="18"/>
        <v/>
      </c>
      <c r="AC63" s="1037" t="str">
        <f>IF(Z63="","",VLOOKUP(Z63,リスト!BN:BO,2,0))</f>
        <v/>
      </c>
      <c r="AD63" s="1037" t="str">
        <f t="shared" si="11"/>
        <v/>
      </c>
      <c r="AE63" s="1037" t="str">
        <f>IF(AD63="","",VLOOKUP(AD63,リスト!BW:BX,2,0))</f>
        <v/>
      </c>
      <c r="AF63" s="1037" t="str">
        <f t="shared" si="2"/>
        <v/>
      </c>
      <c r="AG63" s="685" t="str">
        <f t="shared" si="22"/>
        <v/>
      </c>
      <c r="AH63" s="646" t="str">
        <f t="shared" si="23"/>
        <v/>
      </c>
      <c r="AI63" s="646" t="str">
        <f t="shared" si="12"/>
        <v/>
      </c>
      <c r="AJ63" s="647" t="str">
        <f t="shared" si="13"/>
        <v/>
      </c>
      <c r="AK63" s="647" t="str">
        <f t="shared" si="24"/>
        <v/>
      </c>
      <c r="AL63" s="647" t="str">
        <f t="shared" si="14"/>
        <v/>
      </c>
      <c r="AM63" s="647" t="str">
        <f t="shared" si="6"/>
        <v/>
      </c>
      <c r="AN63" s="647" t="str">
        <f t="shared" si="25"/>
        <v/>
      </c>
      <c r="AO63" s="647" t="str">
        <f t="shared" si="26"/>
        <v/>
      </c>
      <c r="AP63" s="647" t="str">
        <f t="shared" si="27"/>
        <v/>
      </c>
      <c r="AQ63" s="647" t="str">
        <f t="shared" si="15"/>
        <v/>
      </c>
      <c r="AR63" s="647" t="str">
        <f t="shared" si="28"/>
        <v/>
      </c>
      <c r="AS63" s="647" t="str">
        <f t="shared" si="29"/>
        <v/>
      </c>
      <c r="AT63" s="1323" t="str">
        <f t="shared" si="19"/>
        <v/>
      </c>
      <c r="AU63" s="1323" t="str">
        <f t="shared" si="20"/>
        <v/>
      </c>
    </row>
    <row r="64" spans="3:47" s="5" customFormat="1" ht="28.15" hidden="1" customHeight="1" outlineLevel="1">
      <c r="C64" s="649">
        <v>46</v>
      </c>
      <c r="D64" s="1133"/>
      <c r="E64" s="670"/>
      <c r="F64" s="726"/>
      <c r="G64" s="705"/>
      <c r="H64" s="255"/>
      <c r="I64" s="255"/>
      <c r="J64" s="1049"/>
      <c r="K64" s="735"/>
      <c r="L64" s="735"/>
      <c r="M64" s="736"/>
      <c r="N64" s="735"/>
      <c r="O64" s="727"/>
      <c r="P64" s="1321"/>
      <c r="Q64" s="1329"/>
      <c r="R64" s="254"/>
      <c r="S64" s="703"/>
      <c r="T64" s="728"/>
      <c r="U64" s="431"/>
      <c r="V64" s="499"/>
      <c r="W64" s="741"/>
      <c r="X64" s="51"/>
      <c r="Y64" s="51"/>
      <c r="Z64" s="645" t="str">
        <f t="shared" si="21"/>
        <v/>
      </c>
      <c r="AA64" s="1037" t="str">
        <f t="shared" si="17"/>
        <v/>
      </c>
      <c r="AB64" s="1037" t="str">
        <f t="shared" si="18"/>
        <v/>
      </c>
      <c r="AC64" s="1037" t="str">
        <f>IF(Z64="","",VLOOKUP(Z64,リスト!BN:BO,2,0))</f>
        <v/>
      </c>
      <c r="AD64" s="1037" t="str">
        <f t="shared" si="11"/>
        <v/>
      </c>
      <c r="AE64" s="1037" t="str">
        <f>IF(AD64="","",VLOOKUP(AD64,リスト!BW:BX,2,0))</f>
        <v/>
      </c>
      <c r="AF64" s="1037" t="str">
        <f t="shared" si="2"/>
        <v/>
      </c>
      <c r="AG64" s="685" t="str">
        <f t="shared" si="22"/>
        <v/>
      </c>
      <c r="AH64" s="646" t="str">
        <f t="shared" si="23"/>
        <v/>
      </c>
      <c r="AI64" s="646" t="str">
        <f t="shared" si="12"/>
        <v/>
      </c>
      <c r="AJ64" s="647" t="str">
        <f t="shared" si="13"/>
        <v/>
      </c>
      <c r="AK64" s="647" t="str">
        <f t="shared" si="24"/>
        <v/>
      </c>
      <c r="AL64" s="647" t="str">
        <f t="shared" si="14"/>
        <v/>
      </c>
      <c r="AM64" s="647" t="str">
        <f t="shared" si="6"/>
        <v/>
      </c>
      <c r="AN64" s="647" t="str">
        <f t="shared" si="25"/>
        <v/>
      </c>
      <c r="AO64" s="647" t="str">
        <f t="shared" si="26"/>
        <v/>
      </c>
      <c r="AP64" s="647" t="str">
        <f t="shared" si="27"/>
        <v/>
      </c>
      <c r="AQ64" s="647" t="str">
        <f t="shared" si="15"/>
        <v/>
      </c>
      <c r="AR64" s="647" t="str">
        <f t="shared" si="28"/>
        <v/>
      </c>
      <c r="AS64" s="647" t="str">
        <f t="shared" si="29"/>
        <v/>
      </c>
      <c r="AT64" s="1323" t="str">
        <f t="shared" si="19"/>
        <v/>
      </c>
      <c r="AU64" s="1323" t="str">
        <f t="shared" si="20"/>
        <v/>
      </c>
    </row>
    <row r="65" spans="3:47" s="5" customFormat="1" ht="28.15" hidden="1" customHeight="1" outlineLevel="1">
      <c r="C65" s="649">
        <v>47</v>
      </c>
      <c r="D65" s="1134"/>
      <c r="E65" s="729"/>
      <c r="F65" s="726"/>
      <c r="G65" s="705"/>
      <c r="H65" s="257"/>
      <c r="I65" s="257"/>
      <c r="J65" s="1049"/>
      <c r="K65" s="735"/>
      <c r="L65" s="735"/>
      <c r="M65" s="736"/>
      <c r="N65" s="735"/>
      <c r="O65" s="727"/>
      <c r="P65" s="1321"/>
      <c r="Q65" s="1329"/>
      <c r="R65" s="254"/>
      <c r="S65" s="703"/>
      <c r="T65" s="728"/>
      <c r="U65" s="431"/>
      <c r="V65" s="499"/>
      <c r="W65" s="741"/>
      <c r="X65" s="51"/>
      <c r="Y65" s="51"/>
      <c r="Z65" s="645" t="str">
        <f t="shared" si="21"/>
        <v/>
      </c>
      <c r="AA65" s="1037" t="str">
        <f t="shared" si="17"/>
        <v/>
      </c>
      <c r="AB65" s="1037" t="str">
        <f t="shared" si="18"/>
        <v/>
      </c>
      <c r="AC65" s="1037" t="str">
        <f>IF(Z65="","",VLOOKUP(Z65,リスト!BN:BO,2,0))</f>
        <v/>
      </c>
      <c r="AD65" s="1037" t="str">
        <f t="shared" si="11"/>
        <v/>
      </c>
      <c r="AE65" s="1037" t="str">
        <f>IF(AD65="","",VLOOKUP(AD65,リスト!BW:BX,2,0))</f>
        <v/>
      </c>
      <c r="AF65" s="1037" t="str">
        <f t="shared" si="2"/>
        <v/>
      </c>
      <c r="AG65" s="685" t="str">
        <f t="shared" si="22"/>
        <v/>
      </c>
      <c r="AH65" s="646" t="str">
        <f t="shared" si="23"/>
        <v/>
      </c>
      <c r="AI65" s="646" t="str">
        <f t="shared" si="12"/>
        <v/>
      </c>
      <c r="AJ65" s="647" t="str">
        <f t="shared" si="13"/>
        <v/>
      </c>
      <c r="AK65" s="647" t="str">
        <f t="shared" si="24"/>
        <v/>
      </c>
      <c r="AL65" s="647" t="str">
        <f t="shared" si="14"/>
        <v/>
      </c>
      <c r="AM65" s="647" t="str">
        <f t="shared" si="6"/>
        <v/>
      </c>
      <c r="AN65" s="647" t="str">
        <f t="shared" si="25"/>
        <v/>
      </c>
      <c r="AO65" s="647" t="str">
        <f t="shared" si="26"/>
        <v/>
      </c>
      <c r="AP65" s="647" t="str">
        <f t="shared" si="27"/>
        <v/>
      </c>
      <c r="AQ65" s="647" t="str">
        <f t="shared" si="15"/>
        <v/>
      </c>
      <c r="AR65" s="647" t="str">
        <f t="shared" si="28"/>
        <v/>
      </c>
      <c r="AS65" s="647" t="str">
        <f t="shared" si="29"/>
        <v/>
      </c>
      <c r="AT65" s="1323" t="str">
        <f t="shared" si="19"/>
        <v/>
      </c>
      <c r="AU65" s="1323" t="str">
        <f t="shared" si="20"/>
        <v/>
      </c>
    </row>
    <row r="66" spans="3:47" s="5" customFormat="1" ht="28.15" hidden="1" customHeight="1" outlineLevel="1">
      <c r="C66" s="649">
        <v>48</v>
      </c>
      <c r="D66" s="1133"/>
      <c r="E66" s="670"/>
      <c r="F66" s="726"/>
      <c r="G66" s="705"/>
      <c r="H66" s="255"/>
      <c r="I66" s="255"/>
      <c r="J66" s="1049"/>
      <c r="K66" s="735"/>
      <c r="L66" s="735"/>
      <c r="M66" s="736"/>
      <c r="N66" s="735"/>
      <c r="O66" s="727"/>
      <c r="P66" s="1321"/>
      <c r="Q66" s="1329"/>
      <c r="R66" s="254"/>
      <c r="S66" s="703"/>
      <c r="T66" s="728"/>
      <c r="U66" s="431"/>
      <c r="V66" s="499"/>
      <c r="W66" s="741"/>
      <c r="X66" s="51"/>
      <c r="Y66" s="51"/>
      <c r="Z66" s="645" t="str">
        <f t="shared" si="21"/>
        <v/>
      </c>
      <c r="AA66" s="1037" t="str">
        <f t="shared" si="17"/>
        <v/>
      </c>
      <c r="AB66" s="1037" t="str">
        <f t="shared" si="18"/>
        <v/>
      </c>
      <c r="AC66" s="1037" t="str">
        <f>IF(Z66="","",VLOOKUP(Z66,リスト!BN:BO,2,0))</f>
        <v/>
      </c>
      <c r="AD66" s="1037" t="str">
        <f t="shared" si="11"/>
        <v/>
      </c>
      <c r="AE66" s="1037" t="str">
        <f>IF(AD66="","",VLOOKUP(AD66,リスト!BW:BX,2,0))</f>
        <v/>
      </c>
      <c r="AF66" s="1037" t="str">
        <f t="shared" si="2"/>
        <v/>
      </c>
      <c r="AG66" s="685" t="str">
        <f t="shared" si="22"/>
        <v/>
      </c>
      <c r="AH66" s="646" t="str">
        <f t="shared" si="23"/>
        <v/>
      </c>
      <c r="AI66" s="646" t="str">
        <f t="shared" si="12"/>
        <v/>
      </c>
      <c r="AJ66" s="647" t="str">
        <f t="shared" si="13"/>
        <v/>
      </c>
      <c r="AK66" s="647" t="str">
        <f t="shared" si="24"/>
        <v/>
      </c>
      <c r="AL66" s="647" t="str">
        <f t="shared" si="14"/>
        <v/>
      </c>
      <c r="AM66" s="647" t="str">
        <f t="shared" si="6"/>
        <v/>
      </c>
      <c r="AN66" s="647" t="str">
        <f t="shared" si="25"/>
        <v/>
      </c>
      <c r="AO66" s="647" t="str">
        <f t="shared" si="26"/>
        <v/>
      </c>
      <c r="AP66" s="647" t="str">
        <f t="shared" si="27"/>
        <v/>
      </c>
      <c r="AQ66" s="647" t="str">
        <f t="shared" si="15"/>
        <v/>
      </c>
      <c r="AR66" s="647" t="str">
        <f t="shared" si="28"/>
        <v/>
      </c>
      <c r="AS66" s="647" t="str">
        <f t="shared" si="29"/>
        <v/>
      </c>
      <c r="AT66" s="1323" t="str">
        <f t="shared" si="19"/>
        <v/>
      </c>
      <c r="AU66" s="1323" t="str">
        <f t="shared" si="20"/>
        <v/>
      </c>
    </row>
    <row r="67" spans="3:47" s="5" customFormat="1" ht="28.15" hidden="1" customHeight="1" outlineLevel="1">
      <c r="C67" s="649">
        <v>49</v>
      </c>
      <c r="D67" s="1134"/>
      <c r="E67" s="729"/>
      <c r="F67" s="726"/>
      <c r="G67" s="705"/>
      <c r="H67" s="257"/>
      <c r="I67" s="257"/>
      <c r="J67" s="1050"/>
      <c r="K67" s="735"/>
      <c r="L67" s="735"/>
      <c r="M67" s="736"/>
      <c r="N67" s="735"/>
      <c r="O67" s="727"/>
      <c r="P67" s="1321"/>
      <c r="Q67" s="1329"/>
      <c r="R67" s="254"/>
      <c r="S67" s="703"/>
      <c r="T67" s="728"/>
      <c r="U67" s="431"/>
      <c r="V67" s="499"/>
      <c r="W67" s="741"/>
      <c r="X67" s="51"/>
      <c r="Y67" s="51"/>
      <c r="Z67" s="645" t="str">
        <f t="shared" si="21"/>
        <v/>
      </c>
      <c r="AA67" s="1037" t="str">
        <f t="shared" si="17"/>
        <v/>
      </c>
      <c r="AB67" s="1037" t="str">
        <f t="shared" si="18"/>
        <v/>
      </c>
      <c r="AC67" s="1037" t="str">
        <f>IF(Z67="","",VLOOKUP(Z67,リスト!BN:BO,2,0))</f>
        <v/>
      </c>
      <c r="AD67" s="1037" t="str">
        <f t="shared" si="11"/>
        <v/>
      </c>
      <c r="AE67" s="1037" t="str">
        <f>IF(AD67="","",VLOOKUP(AD67,リスト!BW:BX,2,0))</f>
        <v/>
      </c>
      <c r="AF67" s="1037" t="str">
        <f t="shared" si="2"/>
        <v/>
      </c>
      <c r="AG67" s="685" t="str">
        <f t="shared" si="22"/>
        <v/>
      </c>
      <c r="AH67" s="646" t="str">
        <f t="shared" si="23"/>
        <v/>
      </c>
      <c r="AI67" s="646" t="str">
        <f t="shared" si="12"/>
        <v/>
      </c>
      <c r="AJ67" s="647" t="str">
        <f t="shared" si="13"/>
        <v/>
      </c>
      <c r="AK67" s="647" t="str">
        <f t="shared" si="24"/>
        <v/>
      </c>
      <c r="AL67" s="647" t="str">
        <f t="shared" si="14"/>
        <v/>
      </c>
      <c r="AM67" s="647" t="str">
        <f t="shared" si="6"/>
        <v/>
      </c>
      <c r="AN67" s="647" t="str">
        <f t="shared" si="25"/>
        <v/>
      </c>
      <c r="AO67" s="647" t="str">
        <f t="shared" si="26"/>
        <v/>
      </c>
      <c r="AP67" s="647" t="str">
        <f t="shared" si="27"/>
        <v/>
      </c>
      <c r="AQ67" s="647" t="str">
        <f t="shared" si="15"/>
        <v/>
      </c>
      <c r="AR67" s="647" t="str">
        <f t="shared" si="28"/>
        <v/>
      </c>
      <c r="AS67" s="647" t="str">
        <f t="shared" si="29"/>
        <v/>
      </c>
      <c r="AT67" s="1323" t="str">
        <f t="shared" si="19"/>
        <v/>
      </c>
      <c r="AU67" s="1323" t="str">
        <f t="shared" si="20"/>
        <v/>
      </c>
    </row>
    <row r="68" spans="3:47" s="5" customFormat="1" ht="28.15" hidden="1" customHeight="1" outlineLevel="1">
      <c r="C68" s="649">
        <v>50</v>
      </c>
      <c r="D68" s="1133"/>
      <c r="E68" s="670"/>
      <c r="F68" s="726"/>
      <c r="G68" s="705"/>
      <c r="H68" s="255"/>
      <c r="I68" s="255"/>
      <c r="J68" s="1051"/>
      <c r="K68" s="735"/>
      <c r="L68" s="735"/>
      <c r="M68" s="736"/>
      <c r="N68" s="735"/>
      <c r="O68" s="727"/>
      <c r="P68" s="1321"/>
      <c r="Q68" s="1329"/>
      <c r="R68" s="254"/>
      <c r="S68" s="703"/>
      <c r="T68" s="728"/>
      <c r="U68" s="431"/>
      <c r="V68" s="499"/>
      <c r="W68" s="741"/>
      <c r="X68" s="51"/>
      <c r="Y68" s="51"/>
      <c r="Z68" s="645" t="str">
        <f t="shared" si="21"/>
        <v/>
      </c>
      <c r="AA68" s="1037" t="str">
        <f t="shared" si="17"/>
        <v/>
      </c>
      <c r="AB68" s="1037" t="str">
        <f t="shared" si="18"/>
        <v/>
      </c>
      <c r="AC68" s="1037" t="str">
        <f>IF(Z68="","",VLOOKUP(Z68,リスト!BN:BO,2,0))</f>
        <v/>
      </c>
      <c r="AD68" s="1037" t="str">
        <f t="shared" si="11"/>
        <v/>
      </c>
      <c r="AE68" s="1037" t="str">
        <f>IF(AD68="","",VLOOKUP(AD68,リスト!BW:BX,2,0))</f>
        <v/>
      </c>
      <c r="AF68" s="1037" t="str">
        <f t="shared" si="2"/>
        <v/>
      </c>
      <c r="AG68" s="685" t="str">
        <f t="shared" si="22"/>
        <v/>
      </c>
      <c r="AH68" s="646" t="str">
        <f t="shared" si="23"/>
        <v/>
      </c>
      <c r="AI68" s="646" t="str">
        <f t="shared" si="12"/>
        <v/>
      </c>
      <c r="AJ68" s="647" t="str">
        <f t="shared" si="13"/>
        <v/>
      </c>
      <c r="AK68" s="647" t="str">
        <f t="shared" si="24"/>
        <v/>
      </c>
      <c r="AL68" s="647" t="str">
        <f t="shared" si="14"/>
        <v/>
      </c>
      <c r="AM68" s="647" t="str">
        <f t="shared" si="6"/>
        <v/>
      </c>
      <c r="AN68" s="647" t="str">
        <f t="shared" si="25"/>
        <v/>
      </c>
      <c r="AO68" s="647" t="str">
        <f t="shared" si="26"/>
        <v/>
      </c>
      <c r="AP68" s="647" t="str">
        <f t="shared" si="27"/>
        <v/>
      </c>
      <c r="AQ68" s="647" t="str">
        <f t="shared" si="15"/>
        <v/>
      </c>
      <c r="AR68" s="647" t="str">
        <f t="shared" si="28"/>
        <v/>
      </c>
      <c r="AS68" s="647" t="str">
        <f t="shared" si="29"/>
        <v/>
      </c>
      <c r="AT68" s="1323" t="str">
        <f t="shared" si="19"/>
        <v/>
      </c>
      <c r="AU68" s="1323" t="str">
        <f t="shared" si="20"/>
        <v/>
      </c>
    </row>
    <row r="69" spans="3:47" s="5" customFormat="1" ht="28.15" hidden="1" customHeight="1" outlineLevel="1">
      <c r="C69" s="649">
        <v>51</v>
      </c>
      <c r="D69" s="1133"/>
      <c r="E69" s="670"/>
      <c r="F69" s="726"/>
      <c r="G69" s="705"/>
      <c r="H69" s="255"/>
      <c r="I69" s="255"/>
      <c r="J69" s="1051"/>
      <c r="K69" s="735"/>
      <c r="L69" s="735"/>
      <c r="M69" s="736"/>
      <c r="N69" s="735"/>
      <c r="O69" s="727"/>
      <c r="P69" s="1321"/>
      <c r="Q69" s="1329"/>
      <c r="R69" s="254"/>
      <c r="S69" s="703"/>
      <c r="T69" s="728"/>
      <c r="U69" s="431"/>
      <c r="V69" s="499"/>
      <c r="W69" s="741"/>
      <c r="X69" s="51"/>
      <c r="Y69" s="51"/>
      <c r="Z69" s="645" t="str">
        <f t="shared" si="21"/>
        <v/>
      </c>
      <c r="AA69" s="1037" t="str">
        <f t="shared" si="17"/>
        <v/>
      </c>
      <c r="AB69" s="1037" t="str">
        <f t="shared" si="18"/>
        <v/>
      </c>
      <c r="AC69" s="1037" t="str">
        <f>IF(Z69="","",VLOOKUP(Z69,リスト!BN:BO,2,0))</f>
        <v/>
      </c>
      <c r="AD69" s="1037" t="str">
        <f t="shared" si="11"/>
        <v/>
      </c>
      <c r="AE69" s="1037" t="str">
        <f>IF(AD69="","",VLOOKUP(AD69,リスト!BW:BX,2,0))</f>
        <v/>
      </c>
      <c r="AF69" s="1037" t="str">
        <f t="shared" si="2"/>
        <v/>
      </c>
      <c r="AG69" s="685" t="str">
        <f t="shared" si="22"/>
        <v/>
      </c>
      <c r="AH69" s="646" t="str">
        <f t="shared" si="23"/>
        <v/>
      </c>
      <c r="AI69" s="646" t="str">
        <f t="shared" si="12"/>
        <v/>
      </c>
      <c r="AJ69" s="647" t="str">
        <f t="shared" si="13"/>
        <v/>
      </c>
      <c r="AK69" s="647" t="str">
        <f t="shared" si="24"/>
        <v/>
      </c>
      <c r="AL69" s="647" t="str">
        <f t="shared" si="14"/>
        <v/>
      </c>
      <c r="AM69" s="647" t="str">
        <f t="shared" si="6"/>
        <v/>
      </c>
      <c r="AN69" s="647" t="str">
        <f t="shared" si="25"/>
        <v/>
      </c>
      <c r="AO69" s="647" t="str">
        <f t="shared" si="26"/>
        <v/>
      </c>
      <c r="AP69" s="647" t="str">
        <f t="shared" si="27"/>
        <v/>
      </c>
      <c r="AQ69" s="647" t="str">
        <f t="shared" si="15"/>
        <v/>
      </c>
      <c r="AR69" s="647" t="str">
        <f t="shared" si="28"/>
        <v/>
      </c>
      <c r="AS69" s="647" t="str">
        <f t="shared" si="29"/>
        <v/>
      </c>
      <c r="AT69" s="1323" t="str">
        <f t="shared" si="19"/>
        <v/>
      </c>
      <c r="AU69" s="1323" t="str">
        <f t="shared" si="20"/>
        <v/>
      </c>
    </row>
    <row r="70" spans="3:47" s="5" customFormat="1" ht="28.15" hidden="1" customHeight="1" outlineLevel="1">
      <c r="C70" s="649">
        <v>52</v>
      </c>
      <c r="D70" s="1133"/>
      <c r="E70" s="670"/>
      <c r="F70" s="726"/>
      <c r="G70" s="705"/>
      <c r="H70" s="255"/>
      <c r="I70" s="255"/>
      <c r="J70" s="1051"/>
      <c r="K70" s="735"/>
      <c r="L70" s="735"/>
      <c r="M70" s="736"/>
      <c r="N70" s="735"/>
      <c r="O70" s="727"/>
      <c r="P70" s="1321"/>
      <c r="Q70" s="1329"/>
      <c r="R70" s="254"/>
      <c r="S70" s="703"/>
      <c r="T70" s="728"/>
      <c r="U70" s="431"/>
      <c r="V70" s="499"/>
      <c r="W70" s="741"/>
      <c r="X70" s="51"/>
      <c r="Y70" s="51"/>
      <c r="Z70" s="645" t="str">
        <f t="shared" si="21"/>
        <v/>
      </c>
      <c r="AA70" s="1037" t="str">
        <f t="shared" si="17"/>
        <v/>
      </c>
      <c r="AB70" s="1037" t="str">
        <f t="shared" si="18"/>
        <v/>
      </c>
      <c r="AC70" s="1037" t="str">
        <f>IF(Z70="","",VLOOKUP(Z70,リスト!BN:BO,2,0))</f>
        <v/>
      </c>
      <c r="AD70" s="1037" t="str">
        <f t="shared" si="11"/>
        <v/>
      </c>
      <c r="AE70" s="1037" t="str">
        <f>IF(AD70="","",VLOOKUP(AD70,リスト!BW:BX,2,0))</f>
        <v/>
      </c>
      <c r="AF70" s="1037" t="str">
        <f t="shared" si="2"/>
        <v/>
      </c>
      <c r="AG70" s="685" t="str">
        <f t="shared" si="22"/>
        <v/>
      </c>
      <c r="AH70" s="646" t="str">
        <f t="shared" si="23"/>
        <v/>
      </c>
      <c r="AI70" s="646" t="str">
        <f t="shared" si="12"/>
        <v/>
      </c>
      <c r="AJ70" s="647" t="str">
        <f t="shared" si="13"/>
        <v/>
      </c>
      <c r="AK70" s="647" t="str">
        <f t="shared" si="24"/>
        <v/>
      </c>
      <c r="AL70" s="647" t="str">
        <f t="shared" si="14"/>
        <v/>
      </c>
      <c r="AM70" s="647" t="str">
        <f t="shared" si="6"/>
        <v/>
      </c>
      <c r="AN70" s="647" t="str">
        <f t="shared" si="25"/>
        <v/>
      </c>
      <c r="AO70" s="647" t="str">
        <f t="shared" si="26"/>
        <v/>
      </c>
      <c r="AP70" s="647" t="str">
        <f t="shared" si="27"/>
        <v/>
      </c>
      <c r="AQ70" s="647" t="str">
        <f t="shared" si="15"/>
        <v/>
      </c>
      <c r="AR70" s="647" t="str">
        <f t="shared" si="28"/>
        <v/>
      </c>
      <c r="AS70" s="647" t="str">
        <f t="shared" si="29"/>
        <v/>
      </c>
      <c r="AT70" s="1323" t="str">
        <f t="shared" si="19"/>
        <v/>
      </c>
      <c r="AU70" s="1323" t="str">
        <f t="shared" si="20"/>
        <v/>
      </c>
    </row>
    <row r="71" spans="3:47" s="5" customFormat="1" ht="28.15" hidden="1" customHeight="1" outlineLevel="1">
      <c r="C71" s="649">
        <v>53</v>
      </c>
      <c r="D71" s="1133"/>
      <c r="E71" s="670"/>
      <c r="F71" s="726"/>
      <c r="G71" s="705"/>
      <c r="H71" s="255"/>
      <c r="I71" s="255"/>
      <c r="J71" s="1051"/>
      <c r="K71" s="735"/>
      <c r="L71" s="735"/>
      <c r="M71" s="736"/>
      <c r="N71" s="735"/>
      <c r="O71" s="727"/>
      <c r="P71" s="1321"/>
      <c r="Q71" s="1329"/>
      <c r="R71" s="254"/>
      <c r="S71" s="703"/>
      <c r="T71" s="728"/>
      <c r="U71" s="431"/>
      <c r="V71" s="499"/>
      <c r="W71" s="741"/>
      <c r="X71" s="51"/>
      <c r="Y71" s="51"/>
      <c r="Z71" s="645" t="str">
        <f t="shared" si="21"/>
        <v/>
      </c>
      <c r="AA71" s="1037" t="str">
        <f t="shared" si="17"/>
        <v/>
      </c>
      <c r="AB71" s="1037" t="str">
        <f t="shared" si="18"/>
        <v/>
      </c>
      <c r="AC71" s="1037" t="str">
        <f>IF(Z71="","",VLOOKUP(Z71,リスト!BN:BO,2,0))</f>
        <v/>
      </c>
      <c r="AD71" s="1037" t="str">
        <f t="shared" si="11"/>
        <v/>
      </c>
      <c r="AE71" s="1037" t="str">
        <f>IF(AD71="","",VLOOKUP(AD71,リスト!BW:BX,2,0))</f>
        <v/>
      </c>
      <c r="AF71" s="1037" t="str">
        <f t="shared" si="2"/>
        <v/>
      </c>
      <c r="AG71" s="685" t="str">
        <f t="shared" si="22"/>
        <v/>
      </c>
      <c r="AH71" s="646" t="str">
        <f t="shared" si="23"/>
        <v/>
      </c>
      <c r="AI71" s="646" t="str">
        <f t="shared" si="12"/>
        <v/>
      </c>
      <c r="AJ71" s="647" t="str">
        <f t="shared" si="13"/>
        <v/>
      </c>
      <c r="AK71" s="647" t="str">
        <f t="shared" si="24"/>
        <v/>
      </c>
      <c r="AL71" s="647" t="str">
        <f t="shared" si="14"/>
        <v/>
      </c>
      <c r="AM71" s="647" t="str">
        <f t="shared" si="6"/>
        <v/>
      </c>
      <c r="AN71" s="647" t="str">
        <f t="shared" si="25"/>
        <v/>
      </c>
      <c r="AO71" s="647" t="str">
        <f t="shared" si="26"/>
        <v/>
      </c>
      <c r="AP71" s="647" t="str">
        <f t="shared" si="27"/>
        <v/>
      </c>
      <c r="AQ71" s="647" t="str">
        <f t="shared" si="15"/>
        <v/>
      </c>
      <c r="AR71" s="647" t="str">
        <f t="shared" si="28"/>
        <v/>
      </c>
      <c r="AS71" s="647" t="str">
        <f t="shared" si="29"/>
        <v/>
      </c>
      <c r="AT71" s="1323" t="str">
        <f t="shared" si="19"/>
        <v/>
      </c>
      <c r="AU71" s="1323" t="str">
        <f t="shared" si="20"/>
        <v/>
      </c>
    </row>
    <row r="72" spans="3:47" s="5" customFormat="1" ht="28.15" hidden="1" customHeight="1" outlineLevel="1">
      <c r="C72" s="649">
        <v>54</v>
      </c>
      <c r="D72" s="1133"/>
      <c r="E72" s="670"/>
      <c r="F72" s="726"/>
      <c r="G72" s="705"/>
      <c r="H72" s="255"/>
      <c r="I72" s="255"/>
      <c r="J72" s="1051"/>
      <c r="K72" s="735"/>
      <c r="L72" s="735"/>
      <c r="M72" s="736"/>
      <c r="N72" s="735"/>
      <c r="O72" s="727"/>
      <c r="P72" s="1321"/>
      <c r="Q72" s="1329"/>
      <c r="R72" s="254"/>
      <c r="S72" s="703"/>
      <c r="T72" s="728"/>
      <c r="U72" s="431"/>
      <c r="V72" s="499"/>
      <c r="W72" s="741"/>
      <c r="X72" s="51"/>
      <c r="Y72" s="51"/>
      <c r="Z72" s="645" t="str">
        <f t="shared" si="21"/>
        <v/>
      </c>
      <c r="AA72" s="1037" t="str">
        <f t="shared" si="17"/>
        <v/>
      </c>
      <c r="AB72" s="1037" t="str">
        <f t="shared" si="18"/>
        <v/>
      </c>
      <c r="AC72" s="1037" t="str">
        <f>IF(Z72="","",VLOOKUP(Z72,リスト!BN:BO,2,0))</f>
        <v/>
      </c>
      <c r="AD72" s="1037" t="str">
        <f t="shared" si="11"/>
        <v/>
      </c>
      <c r="AE72" s="1037" t="str">
        <f>IF(AD72="","",VLOOKUP(AD72,リスト!BW:BX,2,0))</f>
        <v/>
      </c>
      <c r="AF72" s="1037" t="str">
        <f t="shared" si="2"/>
        <v/>
      </c>
      <c r="AG72" s="685" t="str">
        <f t="shared" si="22"/>
        <v/>
      </c>
      <c r="AH72" s="646" t="str">
        <f t="shared" si="23"/>
        <v/>
      </c>
      <c r="AI72" s="646" t="str">
        <f t="shared" si="12"/>
        <v/>
      </c>
      <c r="AJ72" s="647" t="str">
        <f t="shared" si="13"/>
        <v/>
      </c>
      <c r="AK72" s="647" t="str">
        <f t="shared" si="24"/>
        <v/>
      </c>
      <c r="AL72" s="647" t="str">
        <f t="shared" si="14"/>
        <v/>
      </c>
      <c r="AM72" s="647" t="str">
        <f t="shared" si="6"/>
        <v/>
      </c>
      <c r="AN72" s="647" t="str">
        <f t="shared" si="25"/>
        <v/>
      </c>
      <c r="AO72" s="647" t="str">
        <f t="shared" si="26"/>
        <v/>
      </c>
      <c r="AP72" s="647" t="str">
        <f t="shared" si="27"/>
        <v/>
      </c>
      <c r="AQ72" s="647" t="str">
        <f t="shared" si="15"/>
        <v/>
      </c>
      <c r="AR72" s="647" t="str">
        <f t="shared" si="28"/>
        <v/>
      </c>
      <c r="AS72" s="647" t="str">
        <f t="shared" si="29"/>
        <v/>
      </c>
      <c r="AT72" s="1323" t="str">
        <f t="shared" si="19"/>
        <v/>
      </c>
      <c r="AU72" s="1323" t="str">
        <f t="shared" si="20"/>
        <v/>
      </c>
    </row>
    <row r="73" spans="3:47" s="5" customFormat="1" ht="28.15" hidden="1" customHeight="1" outlineLevel="1">
      <c r="C73" s="649">
        <v>55</v>
      </c>
      <c r="D73" s="1133"/>
      <c r="E73" s="670"/>
      <c r="F73" s="726"/>
      <c r="G73" s="705"/>
      <c r="H73" s="255"/>
      <c r="I73" s="255"/>
      <c r="J73" s="1051"/>
      <c r="K73" s="735"/>
      <c r="L73" s="735"/>
      <c r="M73" s="736"/>
      <c r="N73" s="735"/>
      <c r="O73" s="727"/>
      <c r="P73" s="1321"/>
      <c r="Q73" s="1329"/>
      <c r="R73" s="254"/>
      <c r="S73" s="703"/>
      <c r="T73" s="728"/>
      <c r="U73" s="431"/>
      <c r="V73" s="499"/>
      <c r="W73" s="741"/>
      <c r="X73" s="51"/>
      <c r="Y73" s="51"/>
      <c r="Z73" s="645" t="str">
        <f t="shared" si="21"/>
        <v/>
      </c>
      <c r="AA73" s="1037" t="str">
        <f t="shared" si="17"/>
        <v/>
      </c>
      <c r="AB73" s="1037" t="str">
        <f t="shared" si="18"/>
        <v/>
      </c>
      <c r="AC73" s="1037" t="str">
        <f>IF(Z73="","",VLOOKUP(Z73,リスト!BN:BO,2,0))</f>
        <v/>
      </c>
      <c r="AD73" s="1037" t="str">
        <f t="shared" si="11"/>
        <v/>
      </c>
      <c r="AE73" s="1037" t="str">
        <f>IF(AD73="","",VLOOKUP(AD73,リスト!BW:BX,2,0))</f>
        <v/>
      </c>
      <c r="AF73" s="1037" t="str">
        <f t="shared" si="2"/>
        <v/>
      </c>
      <c r="AG73" s="685" t="str">
        <f t="shared" si="22"/>
        <v/>
      </c>
      <c r="AH73" s="646" t="str">
        <f t="shared" si="23"/>
        <v/>
      </c>
      <c r="AI73" s="646" t="str">
        <f t="shared" si="12"/>
        <v/>
      </c>
      <c r="AJ73" s="647" t="str">
        <f t="shared" si="13"/>
        <v/>
      </c>
      <c r="AK73" s="647" t="str">
        <f t="shared" si="24"/>
        <v/>
      </c>
      <c r="AL73" s="647" t="str">
        <f t="shared" si="14"/>
        <v/>
      </c>
      <c r="AM73" s="647" t="str">
        <f t="shared" si="6"/>
        <v/>
      </c>
      <c r="AN73" s="647" t="str">
        <f t="shared" si="25"/>
        <v/>
      </c>
      <c r="AO73" s="647" t="str">
        <f t="shared" si="26"/>
        <v/>
      </c>
      <c r="AP73" s="647" t="str">
        <f t="shared" si="27"/>
        <v/>
      </c>
      <c r="AQ73" s="647" t="str">
        <f t="shared" si="15"/>
        <v/>
      </c>
      <c r="AR73" s="647" t="str">
        <f t="shared" si="28"/>
        <v/>
      </c>
      <c r="AS73" s="647" t="str">
        <f t="shared" si="29"/>
        <v/>
      </c>
      <c r="AT73" s="1323" t="str">
        <f t="shared" si="19"/>
        <v/>
      </c>
      <c r="AU73" s="1323" t="str">
        <f t="shared" si="20"/>
        <v/>
      </c>
    </row>
    <row r="74" spans="3:47" s="5" customFormat="1" ht="28.15" hidden="1" customHeight="1" outlineLevel="1">
      <c r="C74" s="649">
        <v>56</v>
      </c>
      <c r="D74" s="1133"/>
      <c r="E74" s="670"/>
      <c r="F74" s="726"/>
      <c r="G74" s="666"/>
      <c r="H74" s="266"/>
      <c r="I74" s="266"/>
      <c r="J74" s="1049"/>
      <c r="K74" s="727"/>
      <c r="L74" s="727"/>
      <c r="M74" s="727"/>
      <c r="N74" s="727"/>
      <c r="O74" s="727"/>
      <c r="P74" s="1321"/>
      <c r="Q74" s="1329"/>
      <c r="R74" s="254"/>
      <c r="S74" s="703"/>
      <c r="T74" s="728"/>
      <c r="U74" s="431"/>
      <c r="V74" s="499"/>
      <c r="W74" s="741"/>
      <c r="X74" s="51"/>
      <c r="Y74" s="51"/>
      <c r="Z74" s="645" t="str">
        <f t="shared" si="21"/>
        <v/>
      </c>
      <c r="AA74" s="1037" t="str">
        <f t="shared" si="17"/>
        <v/>
      </c>
      <c r="AB74" s="1037" t="str">
        <f t="shared" si="18"/>
        <v/>
      </c>
      <c r="AC74" s="1037" t="str">
        <f>IF(Z74="","",VLOOKUP(Z74,リスト!BN:BO,2,0))</f>
        <v/>
      </c>
      <c r="AD74" s="1037" t="str">
        <f t="shared" si="11"/>
        <v/>
      </c>
      <c r="AE74" s="1037" t="str">
        <f>IF(AD74="","",VLOOKUP(AD74,リスト!BW:BX,2,0))</f>
        <v/>
      </c>
      <c r="AF74" s="1037" t="str">
        <f t="shared" si="2"/>
        <v/>
      </c>
      <c r="AG74" s="685" t="str">
        <f t="shared" si="22"/>
        <v/>
      </c>
      <c r="AH74" s="646" t="str">
        <f t="shared" si="23"/>
        <v/>
      </c>
      <c r="AI74" s="646" t="str">
        <f t="shared" si="12"/>
        <v/>
      </c>
      <c r="AJ74" s="647" t="str">
        <f t="shared" si="13"/>
        <v/>
      </c>
      <c r="AK74" s="647" t="str">
        <f t="shared" si="24"/>
        <v/>
      </c>
      <c r="AL74" s="647" t="str">
        <f t="shared" si="14"/>
        <v/>
      </c>
      <c r="AM74" s="647" t="str">
        <f t="shared" si="6"/>
        <v/>
      </c>
      <c r="AN74" s="647" t="str">
        <f t="shared" si="25"/>
        <v/>
      </c>
      <c r="AO74" s="647" t="str">
        <f t="shared" si="26"/>
        <v/>
      </c>
      <c r="AP74" s="647" t="str">
        <f t="shared" si="27"/>
        <v/>
      </c>
      <c r="AQ74" s="647" t="str">
        <f t="shared" si="15"/>
        <v/>
      </c>
      <c r="AR74" s="647" t="str">
        <f t="shared" si="28"/>
        <v/>
      </c>
      <c r="AS74" s="647" t="str">
        <f t="shared" si="29"/>
        <v/>
      </c>
      <c r="AT74" s="1323" t="str">
        <f t="shared" si="19"/>
        <v/>
      </c>
      <c r="AU74" s="1323" t="str">
        <f t="shared" si="20"/>
        <v/>
      </c>
    </row>
    <row r="75" spans="3:47" s="5" customFormat="1" ht="28.15" hidden="1" customHeight="1" outlineLevel="1">
      <c r="C75" s="649">
        <v>57</v>
      </c>
      <c r="D75" s="1134"/>
      <c r="E75" s="729"/>
      <c r="F75" s="726"/>
      <c r="G75" s="705"/>
      <c r="H75" s="257"/>
      <c r="I75" s="257"/>
      <c r="J75" s="1049"/>
      <c r="K75" s="735"/>
      <c r="L75" s="735"/>
      <c r="M75" s="736"/>
      <c r="N75" s="735"/>
      <c r="O75" s="727"/>
      <c r="P75" s="1321"/>
      <c r="Q75" s="1329"/>
      <c r="R75" s="254"/>
      <c r="S75" s="703"/>
      <c r="T75" s="728"/>
      <c r="U75" s="431"/>
      <c r="V75" s="499"/>
      <c r="W75" s="741"/>
      <c r="X75" s="51"/>
      <c r="Y75" s="51"/>
      <c r="Z75" s="645" t="str">
        <f t="shared" si="21"/>
        <v/>
      </c>
      <c r="AA75" s="1037" t="str">
        <f t="shared" si="17"/>
        <v/>
      </c>
      <c r="AB75" s="1037" t="str">
        <f t="shared" si="18"/>
        <v/>
      </c>
      <c r="AC75" s="1037" t="str">
        <f>IF(Z75="","",VLOOKUP(Z75,リスト!BN:BO,2,0))</f>
        <v/>
      </c>
      <c r="AD75" s="1037" t="str">
        <f t="shared" si="11"/>
        <v/>
      </c>
      <c r="AE75" s="1037" t="str">
        <f>IF(AD75="","",VLOOKUP(AD75,リスト!BW:BX,2,0))</f>
        <v/>
      </c>
      <c r="AF75" s="1037" t="str">
        <f t="shared" si="2"/>
        <v/>
      </c>
      <c r="AG75" s="685" t="str">
        <f t="shared" si="22"/>
        <v/>
      </c>
      <c r="AH75" s="646" t="str">
        <f t="shared" si="23"/>
        <v/>
      </c>
      <c r="AI75" s="646" t="str">
        <f t="shared" si="12"/>
        <v/>
      </c>
      <c r="AJ75" s="647" t="str">
        <f t="shared" si="13"/>
        <v/>
      </c>
      <c r="AK75" s="647" t="str">
        <f t="shared" si="24"/>
        <v/>
      </c>
      <c r="AL75" s="647" t="str">
        <f t="shared" si="14"/>
        <v/>
      </c>
      <c r="AM75" s="647" t="str">
        <f t="shared" si="6"/>
        <v/>
      </c>
      <c r="AN75" s="647" t="str">
        <f t="shared" si="25"/>
        <v/>
      </c>
      <c r="AO75" s="647" t="str">
        <f t="shared" si="26"/>
        <v/>
      </c>
      <c r="AP75" s="647" t="str">
        <f t="shared" si="27"/>
        <v/>
      </c>
      <c r="AQ75" s="647" t="str">
        <f t="shared" si="15"/>
        <v/>
      </c>
      <c r="AR75" s="647" t="str">
        <f t="shared" si="28"/>
        <v/>
      </c>
      <c r="AS75" s="647" t="str">
        <f t="shared" si="29"/>
        <v/>
      </c>
      <c r="AT75" s="1323" t="str">
        <f t="shared" si="19"/>
        <v/>
      </c>
      <c r="AU75" s="1323" t="str">
        <f t="shared" si="20"/>
        <v/>
      </c>
    </row>
    <row r="76" spans="3:47" s="5" customFormat="1" ht="28.15" hidden="1" customHeight="1" outlineLevel="1">
      <c r="C76" s="649">
        <v>58</v>
      </c>
      <c r="D76" s="1133"/>
      <c r="E76" s="670"/>
      <c r="F76" s="726"/>
      <c r="G76" s="705"/>
      <c r="H76" s="255"/>
      <c r="I76" s="255"/>
      <c r="J76" s="1049"/>
      <c r="K76" s="735"/>
      <c r="L76" s="735"/>
      <c r="M76" s="736"/>
      <c r="N76" s="735"/>
      <c r="O76" s="727"/>
      <c r="P76" s="1321"/>
      <c r="Q76" s="1329"/>
      <c r="R76" s="254"/>
      <c r="S76" s="703"/>
      <c r="T76" s="728"/>
      <c r="U76" s="431"/>
      <c r="V76" s="499"/>
      <c r="W76" s="741"/>
      <c r="X76" s="51"/>
      <c r="Y76" s="51"/>
      <c r="Z76" s="645" t="str">
        <f t="shared" si="21"/>
        <v/>
      </c>
      <c r="AA76" s="1037" t="str">
        <f t="shared" si="17"/>
        <v/>
      </c>
      <c r="AB76" s="1037" t="str">
        <f t="shared" si="18"/>
        <v/>
      </c>
      <c r="AC76" s="1037" t="str">
        <f>IF(Z76="","",VLOOKUP(Z76,リスト!BN:BO,2,0))</f>
        <v/>
      </c>
      <c r="AD76" s="1037" t="str">
        <f t="shared" si="11"/>
        <v/>
      </c>
      <c r="AE76" s="1037" t="str">
        <f>IF(AD76="","",VLOOKUP(AD76,リスト!BW:BX,2,0))</f>
        <v/>
      </c>
      <c r="AF76" s="1037" t="str">
        <f t="shared" si="2"/>
        <v/>
      </c>
      <c r="AG76" s="685" t="str">
        <f t="shared" si="22"/>
        <v/>
      </c>
      <c r="AH76" s="646" t="str">
        <f t="shared" si="23"/>
        <v/>
      </c>
      <c r="AI76" s="646" t="str">
        <f t="shared" si="12"/>
        <v/>
      </c>
      <c r="AJ76" s="647" t="str">
        <f t="shared" si="13"/>
        <v/>
      </c>
      <c r="AK76" s="647" t="str">
        <f t="shared" si="24"/>
        <v/>
      </c>
      <c r="AL76" s="647" t="str">
        <f t="shared" si="14"/>
        <v/>
      </c>
      <c r="AM76" s="647" t="str">
        <f t="shared" si="6"/>
        <v/>
      </c>
      <c r="AN76" s="647" t="str">
        <f t="shared" si="25"/>
        <v/>
      </c>
      <c r="AO76" s="647" t="str">
        <f t="shared" si="26"/>
        <v/>
      </c>
      <c r="AP76" s="647" t="str">
        <f t="shared" si="27"/>
        <v/>
      </c>
      <c r="AQ76" s="647" t="str">
        <f t="shared" si="15"/>
        <v/>
      </c>
      <c r="AR76" s="647" t="str">
        <f t="shared" si="28"/>
        <v/>
      </c>
      <c r="AS76" s="647" t="str">
        <f t="shared" si="29"/>
        <v/>
      </c>
      <c r="AT76" s="1323" t="str">
        <f t="shared" si="19"/>
        <v/>
      </c>
      <c r="AU76" s="1323" t="str">
        <f t="shared" si="20"/>
        <v/>
      </c>
    </row>
    <row r="77" spans="3:47" s="5" customFormat="1" ht="28.15" hidden="1" customHeight="1" outlineLevel="1">
      <c r="C77" s="649">
        <v>59</v>
      </c>
      <c r="D77" s="1134"/>
      <c r="E77" s="729"/>
      <c r="F77" s="726"/>
      <c r="G77" s="705"/>
      <c r="H77" s="257"/>
      <c r="I77" s="257"/>
      <c r="J77" s="1049"/>
      <c r="K77" s="735"/>
      <c r="L77" s="735"/>
      <c r="M77" s="736"/>
      <c r="N77" s="735"/>
      <c r="O77" s="727"/>
      <c r="P77" s="1321"/>
      <c r="Q77" s="1329"/>
      <c r="R77" s="254"/>
      <c r="S77" s="703"/>
      <c r="T77" s="728"/>
      <c r="U77" s="431"/>
      <c r="V77" s="499"/>
      <c r="W77" s="741"/>
      <c r="X77" s="51"/>
      <c r="Y77" s="51"/>
      <c r="Z77" s="645" t="str">
        <f t="shared" si="21"/>
        <v/>
      </c>
      <c r="AA77" s="1037" t="str">
        <f t="shared" si="17"/>
        <v/>
      </c>
      <c r="AB77" s="1037" t="str">
        <f t="shared" si="18"/>
        <v/>
      </c>
      <c r="AC77" s="1037" t="str">
        <f>IF(Z77="","",VLOOKUP(Z77,リスト!BN:BO,2,0))</f>
        <v/>
      </c>
      <c r="AD77" s="1037" t="str">
        <f t="shared" si="11"/>
        <v/>
      </c>
      <c r="AE77" s="1037" t="str">
        <f>IF(AD77="","",VLOOKUP(AD77,リスト!BW:BX,2,0))</f>
        <v/>
      </c>
      <c r="AF77" s="1037" t="str">
        <f t="shared" si="2"/>
        <v/>
      </c>
      <c r="AG77" s="685" t="str">
        <f t="shared" si="22"/>
        <v/>
      </c>
      <c r="AH77" s="646" t="str">
        <f t="shared" si="23"/>
        <v/>
      </c>
      <c r="AI77" s="646" t="str">
        <f t="shared" si="12"/>
        <v/>
      </c>
      <c r="AJ77" s="647" t="str">
        <f t="shared" si="13"/>
        <v/>
      </c>
      <c r="AK77" s="647" t="str">
        <f t="shared" si="24"/>
        <v/>
      </c>
      <c r="AL77" s="647" t="str">
        <f t="shared" si="14"/>
        <v/>
      </c>
      <c r="AM77" s="647" t="str">
        <f t="shared" si="6"/>
        <v/>
      </c>
      <c r="AN77" s="647" t="str">
        <f t="shared" si="25"/>
        <v/>
      </c>
      <c r="AO77" s="647" t="str">
        <f t="shared" si="26"/>
        <v/>
      </c>
      <c r="AP77" s="647" t="str">
        <f t="shared" si="27"/>
        <v/>
      </c>
      <c r="AQ77" s="647" t="str">
        <f t="shared" si="15"/>
        <v/>
      </c>
      <c r="AR77" s="647" t="str">
        <f t="shared" si="28"/>
        <v/>
      </c>
      <c r="AS77" s="647" t="str">
        <f t="shared" si="29"/>
        <v/>
      </c>
      <c r="AT77" s="1323" t="str">
        <f t="shared" si="19"/>
        <v/>
      </c>
      <c r="AU77" s="1323" t="str">
        <f t="shared" si="20"/>
        <v/>
      </c>
    </row>
    <row r="78" spans="3:47" s="5" customFormat="1" ht="28.15" hidden="1" customHeight="1" outlineLevel="1">
      <c r="C78" s="649">
        <v>60</v>
      </c>
      <c r="D78" s="1133"/>
      <c r="E78" s="670"/>
      <c r="F78" s="726"/>
      <c r="G78" s="705"/>
      <c r="H78" s="255"/>
      <c r="I78" s="255"/>
      <c r="J78" s="1049"/>
      <c r="K78" s="735"/>
      <c r="L78" s="735"/>
      <c r="M78" s="736"/>
      <c r="N78" s="735"/>
      <c r="O78" s="727"/>
      <c r="P78" s="1321"/>
      <c r="Q78" s="1329"/>
      <c r="R78" s="254"/>
      <c r="S78" s="703"/>
      <c r="T78" s="728"/>
      <c r="U78" s="431"/>
      <c r="V78" s="499"/>
      <c r="W78" s="741"/>
      <c r="X78" s="51"/>
      <c r="Y78" s="51"/>
      <c r="Z78" s="645" t="str">
        <f t="shared" si="21"/>
        <v/>
      </c>
      <c r="AA78" s="1037" t="str">
        <f t="shared" si="17"/>
        <v/>
      </c>
      <c r="AB78" s="1037" t="str">
        <f t="shared" si="18"/>
        <v/>
      </c>
      <c r="AC78" s="1037" t="str">
        <f>IF(Z78="","",VLOOKUP(Z78,リスト!BN:BO,2,0))</f>
        <v/>
      </c>
      <c r="AD78" s="1037" t="str">
        <f t="shared" si="11"/>
        <v/>
      </c>
      <c r="AE78" s="1037" t="str">
        <f>IF(AD78="","",VLOOKUP(AD78,リスト!BW:BX,2,0))</f>
        <v/>
      </c>
      <c r="AF78" s="1037" t="str">
        <f t="shared" si="2"/>
        <v/>
      </c>
      <c r="AG78" s="685" t="str">
        <f t="shared" si="22"/>
        <v/>
      </c>
      <c r="AH78" s="646" t="str">
        <f t="shared" si="23"/>
        <v/>
      </c>
      <c r="AI78" s="646" t="str">
        <f t="shared" si="12"/>
        <v/>
      </c>
      <c r="AJ78" s="647" t="str">
        <f t="shared" si="13"/>
        <v/>
      </c>
      <c r="AK78" s="647" t="str">
        <f t="shared" si="24"/>
        <v/>
      </c>
      <c r="AL78" s="647" t="str">
        <f t="shared" si="14"/>
        <v/>
      </c>
      <c r="AM78" s="647" t="str">
        <f t="shared" si="6"/>
        <v/>
      </c>
      <c r="AN78" s="647" t="str">
        <f t="shared" si="25"/>
        <v/>
      </c>
      <c r="AO78" s="647" t="str">
        <f t="shared" si="26"/>
        <v/>
      </c>
      <c r="AP78" s="647" t="str">
        <f t="shared" si="27"/>
        <v/>
      </c>
      <c r="AQ78" s="647" t="str">
        <f t="shared" si="15"/>
        <v/>
      </c>
      <c r="AR78" s="647" t="str">
        <f t="shared" si="28"/>
        <v/>
      </c>
      <c r="AS78" s="647" t="str">
        <f t="shared" si="29"/>
        <v/>
      </c>
      <c r="AT78" s="1323" t="str">
        <f t="shared" si="19"/>
        <v/>
      </c>
      <c r="AU78" s="1323" t="str">
        <f t="shared" si="20"/>
        <v/>
      </c>
    </row>
    <row r="79" spans="3:47" s="5" customFormat="1" ht="28.15" hidden="1" customHeight="1" outlineLevel="1">
      <c r="C79" s="649">
        <v>61</v>
      </c>
      <c r="D79" s="1134"/>
      <c r="E79" s="729"/>
      <c r="F79" s="726"/>
      <c r="G79" s="705"/>
      <c r="H79" s="257"/>
      <c r="I79" s="257"/>
      <c r="J79" s="1049"/>
      <c r="K79" s="735"/>
      <c r="L79" s="735"/>
      <c r="M79" s="736"/>
      <c r="N79" s="735"/>
      <c r="O79" s="727"/>
      <c r="P79" s="1321"/>
      <c r="Q79" s="1329"/>
      <c r="R79" s="254"/>
      <c r="S79" s="703"/>
      <c r="T79" s="728"/>
      <c r="U79" s="431"/>
      <c r="V79" s="499"/>
      <c r="W79" s="741"/>
      <c r="X79" s="51"/>
      <c r="Y79" s="51"/>
      <c r="Z79" s="645" t="str">
        <f t="shared" si="21"/>
        <v/>
      </c>
      <c r="AA79" s="1037" t="str">
        <f t="shared" si="17"/>
        <v/>
      </c>
      <c r="AB79" s="1037" t="str">
        <f t="shared" si="18"/>
        <v/>
      </c>
      <c r="AC79" s="1037" t="str">
        <f>IF(Z79="","",VLOOKUP(Z79,リスト!BN:BO,2,0))</f>
        <v/>
      </c>
      <c r="AD79" s="1037" t="str">
        <f t="shared" si="11"/>
        <v/>
      </c>
      <c r="AE79" s="1037" t="str">
        <f>IF(AD79="","",VLOOKUP(AD79,リスト!BW:BX,2,0))</f>
        <v/>
      </c>
      <c r="AF79" s="1037" t="str">
        <f t="shared" si="2"/>
        <v/>
      </c>
      <c r="AG79" s="685" t="str">
        <f t="shared" si="22"/>
        <v/>
      </c>
      <c r="AH79" s="646" t="str">
        <f t="shared" si="23"/>
        <v/>
      </c>
      <c r="AI79" s="646" t="str">
        <f t="shared" si="12"/>
        <v/>
      </c>
      <c r="AJ79" s="647" t="str">
        <f t="shared" si="13"/>
        <v/>
      </c>
      <c r="AK79" s="647" t="str">
        <f t="shared" si="24"/>
        <v/>
      </c>
      <c r="AL79" s="647" t="str">
        <f t="shared" si="14"/>
        <v/>
      </c>
      <c r="AM79" s="647" t="str">
        <f t="shared" si="6"/>
        <v/>
      </c>
      <c r="AN79" s="647" t="str">
        <f t="shared" si="25"/>
        <v/>
      </c>
      <c r="AO79" s="647" t="str">
        <f t="shared" si="26"/>
        <v/>
      </c>
      <c r="AP79" s="647" t="str">
        <f t="shared" si="27"/>
        <v/>
      </c>
      <c r="AQ79" s="647" t="str">
        <f t="shared" si="15"/>
        <v/>
      </c>
      <c r="AR79" s="647" t="str">
        <f t="shared" si="28"/>
        <v/>
      </c>
      <c r="AS79" s="647" t="str">
        <f t="shared" si="29"/>
        <v/>
      </c>
      <c r="AT79" s="1323" t="str">
        <f t="shared" si="19"/>
        <v/>
      </c>
      <c r="AU79" s="1323" t="str">
        <f t="shared" si="20"/>
        <v/>
      </c>
    </row>
    <row r="80" spans="3:47" s="5" customFormat="1" ht="28.15" hidden="1" customHeight="1" outlineLevel="1">
      <c r="C80" s="649">
        <v>62</v>
      </c>
      <c r="D80" s="1133"/>
      <c r="E80" s="670"/>
      <c r="F80" s="726"/>
      <c r="G80" s="705"/>
      <c r="H80" s="255"/>
      <c r="I80" s="255"/>
      <c r="J80" s="1049"/>
      <c r="K80" s="735"/>
      <c r="L80" s="735"/>
      <c r="M80" s="736"/>
      <c r="N80" s="735"/>
      <c r="O80" s="727"/>
      <c r="P80" s="1321"/>
      <c r="Q80" s="1329"/>
      <c r="R80" s="254"/>
      <c r="S80" s="703"/>
      <c r="T80" s="728"/>
      <c r="U80" s="431"/>
      <c r="V80" s="499"/>
      <c r="W80" s="741"/>
      <c r="X80" s="51"/>
      <c r="Y80" s="51"/>
      <c r="Z80" s="645" t="str">
        <f t="shared" si="21"/>
        <v/>
      </c>
      <c r="AA80" s="1037" t="str">
        <f t="shared" si="17"/>
        <v/>
      </c>
      <c r="AB80" s="1037" t="str">
        <f t="shared" si="18"/>
        <v/>
      </c>
      <c r="AC80" s="1037" t="str">
        <f>IF(Z80="","",VLOOKUP(Z80,リスト!BN:BO,2,0))</f>
        <v/>
      </c>
      <c r="AD80" s="1037" t="str">
        <f t="shared" si="11"/>
        <v/>
      </c>
      <c r="AE80" s="1037" t="str">
        <f>IF(AD80="","",VLOOKUP(AD80,リスト!BW:BX,2,0))</f>
        <v/>
      </c>
      <c r="AF80" s="1037" t="str">
        <f t="shared" si="2"/>
        <v/>
      </c>
      <c r="AG80" s="685" t="str">
        <f t="shared" si="22"/>
        <v/>
      </c>
      <c r="AH80" s="646" t="str">
        <f t="shared" si="23"/>
        <v/>
      </c>
      <c r="AI80" s="646" t="str">
        <f t="shared" si="12"/>
        <v/>
      </c>
      <c r="AJ80" s="647" t="str">
        <f t="shared" si="13"/>
        <v/>
      </c>
      <c r="AK80" s="647" t="str">
        <f t="shared" si="24"/>
        <v/>
      </c>
      <c r="AL80" s="647" t="str">
        <f t="shared" si="14"/>
        <v/>
      </c>
      <c r="AM80" s="647" t="str">
        <f t="shared" si="6"/>
        <v/>
      </c>
      <c r="AN80" s="647" t="str">
        <f t="shared" si="25"/>
        <v/>
      </c>
      <c r="AO80" s="647" t="str">
        <f t="shared" si="26"/>
        <v/>
      </c>
      <c r="AP80" s="647" t="str">
        <f t="shared" si="27"/>
        <v/>
      </c>
      <c r="AQ80" s="647" t="str">
        <f t="shared" si="15"/>
        <v/>
      </c>
      <c r="AR80" s="647" t="str">
        <f t="shared" si="28"/>
        <v/>
      </c>
      <c r="AS80" s="647" t="str">
        <f t="shared" si="29"/>
        <v/>
      </c>
      <c r="AT80" s="1323" t="str">
        <f t="shared" si="19"/>
        <v/>
      </c>
      <c r="AU80" s="1323" t="str">
        <f t="shared" si="20"/>
        <v/>
      </c>
    </row>
    <row r="81" spans="3:47" s="5" customFormat="1" ht="28.15" hidden="1" customHeight="1" outlineLevel="1">
      <c r="C81" s="649">
        <v>63</v>
      </c>
      <c r="D81" s="1134"/>
      <c r="E81" s="729"/>
      <c r="F81" s="726"/>
      <c r="G81" s="705"/>
      <c r="H81" s="257"/>
      <c r="I81" s="257"/>
      <c r="J81" s="1049"/>
      <c r="K81" s="735"/>
      <c r="L81" s="735"/>
      <c r="M81" s="736"/>
      <c r="N81" s="735"/>
      <c r="O81" s="727"/>
      <c r="P81" s="1321"/>
      <c r="Q81" s="1329"/>
      <c r="R81" s="254"/>
      <c r="S81" s="703"/>
      <c r="T81" s="728"/>
      <c r="U81" s="431"/>
      <c r="V81" s="499"/>
      <c r="W81" s="741"/>
      <c r="X81" s="51"/>
      <c r="Y81" s="51"/>
      <c r="Z81" s="645" t="str">
        <f t="shared" si="21"/>
        <v/>
      </c>
      <c r="AA81" s="1037" t="str">
        <f t="shared" si="17"/>
        <v/>
      </c>
      <c r="AB81" s="1037" t="str">
        <f t="shared" si="18"/>
        <v/>
      </c>
      <c r="AC81" s="1037" t="str">
        <f>IF(Z81="","",VLOOKUP(Z81,リスト!BN:BO,2,0))</f>
        <v/>
      </c>
      <c r="AD81" s="1037" t="str">
        <f t="shared" si="11"/>
        <v/>
      </c>
      <c r="AE81" s="1037" t="str">
        <f>IF(AD81="","",VLOOKUP(AD81,リスト!BW:BX,2,0))</f>
        <v/>
      </c>
      <c r="AF81" s="1037" t="str">
        <f t="shared" si="2"/>
        <v/>
      </c>
      <c r="AG81" s="685" t="str">
        <f t="shared" si="22"/>
        <v/>
      </c>
      <c r="AH81" s="646" t="str">
        <f t="shared" si="23"/>
        <v/>
      </c>
      <c r="AI81" s="646" t="str">
        <f t="shared" si="12"/>
        <v/>
      </c>
      <c r="AJ81" s="647" t="str">
        <f t="shared" si="13"/>
        <v/>
      </c>
      <c r="AK81" s="647" t="str">
        <f t="shared" si="24"/>
        <v/>
      </c>
      <c r="AL81" s="647" t="str">
        <f t="shared" si="14"/>
        <v/>
      </c>
      <c r="AM81" s="647" t="str">
        <f t="shared" si="6"/>
        <v/>
      </c>
      <c r="AN81" s="647" t="str">
        <f t="shared" si="25"/>
        <v/>
      </c>
      <c r="AO81" s="647" t="str">
        <f t="shared" si="26"/>
        <v/>
      </c>
      <c r="AP81" s="647" t="str">
        <f t="shared" si="27"/>
        <v/>
      </c>
      <c r="AQ81" s="647" t="str">
        <f t="shared" si="15"/>
        <v/>
      </c>
      <c r="AR81" s="647" t="str">
        <f t="shared" si="28"/>
        <v/>
      </c>
      <c r="AS81" s="647" t="str">
        <f t="shared" si="29"/>
        <v/>
      </c>
      <c r="AT81" s="1323" t="str">
        <f t="shared" si="19"/>
        <v/>
      </c>
      <c r="AU81" s="1323" t="str">
        <f t="shared" si="20"/>
        <v/>
      </c>
    </row>
    <row r="82" spans="3:47" s="5" customFormat="1" ht="28.15" hidden="1" customHeight="1" outlineLevel="1">
      <c r="C82" s="649">
        <v>64</v>
      </c>
      <c r="D82" s="1133"/>
      <c r="E82" s="670"/>
      <c r="F82" s="726"/>
      <c r="G82" s="705"/>
      <c r="H82" s="255"/>
      <c r="I82" s="255"/>
      <c r="J82" s="1049"/>
      <c r="K82" s="735"/>
      <c r="L82" s="735"/>
      <c r="M82" s="736"/>
      <c r="N82" s="735"/>
      <c r="O82" s="727"/>
      <c r="P82" s="1321"/>
      <c r="Q82" s="1329"/>
      <c r="R82" s="254"/>
      <c r="S82" s="703"/>
      <c r="T82" s="728"/>
      <c r="U82" s="431"/>
      <c r="V82" s="499"/>
      <c r="W82" s="741"/>
      <c r="X82" s="51"/>
      <c r="Y82" s="51"/>
      <c r="Z82" s="645" t="str">
        <f t="shared" si="21"/>
        <v/>
      </c>
      <c r="AA82" s="1037" t="str">
        <f t="shared" si="17"/>
        <v/>
      </c>
      <c r="AB82" s="1037" t="str">
        <f t="shared" si="18"/>
        <v/>
      </c>
      <c r="AC82" s="1037" t="str">
        <f>IF(Z82="","",VLOOKUP(Z82,リスト!BN:BO,2,0))</f>
        <v/>
      </c>
      <c r="AD82" s="1037" t="str">
        <f t="shared" si="11"/>
        <v/>
      </c>
      <c r="AE82" s="1037" t="str">
        <f>IF(AD82="","",VLOOKUP(AD82,リスト!BW:BX,2,0))</f>
        <v/>
      </c>
      <c r="AF82" s="1037" t="str">
        <f t="shared" si="2"/>
        <v/>
      </c>
      <c r="AG82" s="685" t="str">
        <f t="shared" si="22"/>
        <v/>
      </c>
      <c r="AH82" s="646" t="str">
        <f t="shared" si="23"/>
        <v/>
      </c>
      <c r="AI82" s="646" t="str">
        <f t="shared" si="12"/>
        <v/>
      </c>
      <c r="AJ82" s="647" t="str">
        <f t="shared" si="13"/>
        <v/>
      </c>
      <c r="AK82" s="647" t="str">
        <f t="shared" si="24"/>
        <v/>
      </c>
      <c r="AL82" s="647" t="str">
        <f t="shared" si="14"/>
        <v/>
      </c>
      <c r="AM82" s="647" t="str">
        <f t="shared" si="6"/>
        <v/>
      </c>
      <c r="AN82" s="647" t="str">
        <f t="shared" si="25"/>
        <v/>
      </c>
      <c r="AO82" s="647" t="str">
        <f t="shared" si="26"/>
        <v/>
      </c>
      <c r="AP82" s="647" t="str">
        <f t="shared" si="27"/>
        <v/>
      </c>
      <c r="AQ82" s="647" t="str">
        <f t="shared" si="15"/>
        <v/>
      </c>
      <c r="AR82" s="647" t="str">
        <f t="shared" si="28"/>
        <v/>
      </c>
      <c r="AS82" s="647" t="str">
        <f t="shared" si="29"/>
        <v/>
      </c>
      <c r="AT82" s="1323" t="str">
        <f t="shared" si="19"/>
        <v/>
      </c>
      <c r="AU82" s="1323" t="str">
        <f t="shared" si="20"/>
        <v/>
      </c>
    </row>
    <row r="83" spans="3:47" s="5" customFormat="1" ht="28.15" hidden="1" customHeight="1" outlineLevel="1">
      <c r="C83" s="649">
        <v>65</v>
      </c>
      <c r="D83" s="1134"/>
      <c r="E83" s="729"/>
      <c r="F83" s="726"/>
      <c r="G83" s="705"/>
      <c r="H83" s="257"/>
      <c r="I83" s="257"/>
      <c r="J83" s="1049"/>
      <c r="K83" s="735"/>
      <c r="L83" s="735"/>
      <c r="M83" s="736"/>
      <c r="N83" s="735"/>
      <c r="O83" s="727"/>
      <c r="P83" s="1321"/>
      <c r="Q83" s="1329"/>
      <c r="R83" s="254"/>
      <c r="S83" s="703"/>
      <c r="T83" s="728"/>
      <c r="U83" s="431"/>
      <c r="V83" s="499"/>
      <c r="W83" s="741"/>
      <c r="X83" s="51"/>
      <c r="Y83" s="51"/>
      <c r="Z83" s="645" t="str">
        <f t="shared" si="21"/>
        <v/>
      </c>
      <c r="AA83" s="1037" t="str">
        <f t="shared" si="17"/>
        <v/>
      </c>
      <c r="AB83" s="1037" t="str">
        <f t="shared" si="18"/>
        <v/>
      </c>
      <c r="AC83" s="1037" t="str">
        <f>IF(Z83="","",VLOOKUP(Z83,リスト!BN:BO,2,0))</f>
        <v/>
      </c>
      <c r="AD83" s="1037" t="str">
        <f t="shared" si="11"/>
        <v/>
      </c>
      <c r="AE83" s="1037" t="str">
        <f>IF(AD83="","",VLOOKUP(AD83,リスト!BW:BX,2,0))</f>
        <v/>
      </c>
      <c r="AF83" s="1037" t="str">
        <f t="shared" ref="AF83:AF146" si="30">IF(Z83="","",調査年-I83)</f>
        <v/>
      </c>
      <c r="AG83" s="685" t="str">
        <f t="shared" si="22"/>
        <v/>
      </c>
      <c r="AH83" s="646" t="str">
        <f t="shared" si="23"/>
        <v/>
      </c>
      <c r="AI83" s="646" t="str">
        <f t="shared" si="12"/>
        <v/>
      </c>
      <c r="AJ83" s="647" t="str">
        <f t="shared" si="13"/>
        <v/>
      </c>
      <c r="AK83" s="647" t="str">
        <f t="shared" si="24"/>
        <v/>
      </c>
      <c r="AL83" s="647" t="str">
        <f t="shared" si="14"/>
        <v/>
      </c>
      <c r="AM83" s="647" t="str">
        <f t="shared" ref="AM83:AM146" si="31">IF(R83="","",IF(OR(I83=調査年,AH83=""),"",ROUND(AH83*R83%,0)))</f>
        <v/>
      </c>
      <c r="AN83" s="647" t="str">
        <f t="shared" si="25"/>
        <v/>
      </c>
      <c r="AO83" s="647" t="str">
        <f t="shared" si="26"/>
        <v/>
      </c>
      <c r="AP83" s="647" t="str">
        <f t="shared" si="27"/>
        <v/>
      </c>
      <c r="AQ83" s="647" t="str">
        <f t="shared" ref="AQ83:AQ146" si="32">IF(OR(R83="",AND(OR(I83&lt;&gt;調査年,AA83=0),M83="",AL83="")),"",
SUM(
IF(AND(I83=調査年,AA83=1),ROUND(K83*R83%,0),),
ROUND(M83*R83%,0),
ROUND(SUM(AL83)*R83%,0),
))</f>
        <v/>
      </c>
      <c r="AR83" s="647" t="str">
        <f t="shared" si="28"/>
        <v/>
      </c>
      <c r="AS83" s="647" t="str">
        <f t="shared" si="29"/>
        <v/>
      </c>
      <c r="AT83" s="1323" t="str">
        <f t="shared" si="19"/>
        <v/>
      </c>
      <c r="AU83" s="1323" t="str">
        <f t="shared" si="20"/>
        <v/>
      </c>
    </row>
    <row r="84" spans="3:47" s="5" customFormat="1" ht="28.15" hidden="1" customHeight="1" outlineLevel="1">
      <c r="C84" s="649">
        <v>66</v>
      </c>
      <c r="D84" s="1133"/>
      <c r="E84" s="670"/>
      <c r="F84" s="726"/>
      <c r="G84" s="705"/>
      <c r="H84" s="255"/>
      <c r="I84" s="255"/>
      <c r="J84" s="1049"/>
      <c r="K84" s="735"/>
      <c r="L84" s="735"/>
      <c r="M84" s="736"/>
      <c r="N84" s="735"/>
      <c r="O84" s="727"/>
      <c r="P84" s="1321"/>
      <c r="Q84" s="1329"/>
      <c r="R84" s="254"/>
      <c r="S84" s="703"/>
      <c r="T84" s="728"/>
      <c r="U84" s="431"/>
      <c r="V84" s="499"/>
      <c r="W84" s="741"/>
      <c r="X84" s="51"/>
      <c r="Y84" s="51"/>
      <c r="Z84" s="645" t="str">
        <f t="shared" si="21"/>
        <v/>
      </c>
      <c r="AA84" s="1037" t="str">
        <f t="shared" si="17"/>
        <v/>
      </c>
      <c r="AB84" s="1037" t="str">
        <f t="shared" si="18"/>
        <v/>
      </c>
      <c r="AC84" s="1037" t="str">
        <f>IF(Z84="","",VLOOKUP(Z84,リスト!BN:BO,2,0))</f>
        <v/>
      </c>
      <c r="AD84" s="1037" t="str">
        <f t="shared" ref="AD84:AD147" si="33">IF(AB84=1,3,IF(G84="2：中古",MIN(AC84,H84),AC84))</f>
        <v/>
      </c>
      <c r="AE84" s="1037" t="str">
        <f>IF(AD84="","",VLOOKUP(AD84,リスト!BW:BX,2,0))</f>
        <v/>
      </c>
      <c r="AF84" s="1037" t="str">
        <f t="shared" si="30"/>
        <v/>
      </c>
      <c r="AG84" s="685" t="str">
        <f t="shared" si="22"/>
        <v/>
      </c>
      <c r="AH84" s="646" t="str">
        <f t="shared" si="23"/>
        <v/>
      </c>
      <c r="AI84" s="646" t="str">
        <f t="shared" ref="AI84:AI147" si="34">IF(OR(Z84="",AA84=1),"",
IF(S84="",AG84,
IF(S84="2：廃棄等",SUM(AH84,T84),
IF(S84="1：売却",AH84-T84,
IF(AND(T84="",AG84=""),"",SUM(T84,AG84))))))</f>
        <v/>
      </c>
      <c r="AJ84" s="647" t="str">
        <f t="shared" ref="AJ84:AJ147" si="35">IF(AND(AI84="",AG84=""),"",
IF(OR(S84="1：売却",S84="2：廃棄等"),SUM(AI84)-SUM(AG84),""))</f>
        <v/>
      </c>
      <c r="AK84" s="647" t="str">
        <f t="shared" si="24"/>
        <v/>
      </c>
      <c r="AL84" s="647" t="str">
        <f t="shared" ref="AL84:AL147" si="36">IF(OR(Z84="",AA84=1),IF(AND(AA84=1,AF84=0),L84,""),
IF(AND(AD84&gt;0,AF84&lt;AD84,SUM(AK84)&gt;0,AK84&lt;=ROUND(L84*AE84,0)),ROUND(AK84,0),
IF(AND(AD84&gt;0,AF84&lt;AD84,SUM(L84)&gt;0),ROUND(L84*AE84,0),"")))</f>
        <v/>
      </c>
      <c r="AM84" s="647" t="str">
        <f t="shared" si="31"/>
        <v/>
      </c>
      <c r="AN84" s="647" t="str">
        <f t="shared" si="25"/>
        <v/>
      </c>
      <c r="AO84" s="647" t="str">
        <f t="shared" si="26"/>
        <v/>
      </c>
      <c r="AP84" s="647" t="str">
        <f t="shared" si="27"/>
        <v/>
      </c>
      <c r="AQ84" s="647" t="str">
        <f t="shared" si="32"/>
        <v/>
      </c>
      <c r="AR84" s="647" t="str">
        <f t="shared" si="28"/>
        <v/>
      </c>
      <c r="AS84" s="647" t="str">
        <f t="shared" si="29"/>
        <v/>
      </c>
      <c r="AT84" s="1323" t="str">
        <f t="shared" si="19"/>
        <v/>
      </c>
      <c r="AU84" s="1323" t="str">
        <f t="shared" si="20"/>
        <v/>
      </c>
    </row>
    <row r="85" spans="3:47" s="5" customFormat="1" ht="28.15" hidden="1" customHeight="1" outlineLevel="1">
      <c r="C85" s="649">
        <v>67</v>
      </c>
      <c r="D85" s="1134"/>
      <c r="E85" s="729"/>
      <c r="F85" s="726"/>
      <c r="G85" s="705"/>
      <c r="H85" s="257"/>
      <c r="I85" s="257"/>
      <c r="J85" s="1050"/>
      <c r="K85" s="735"/>
      <c r="L85" s="735"/>
      <c r="M85" s="736"/>
      <c r="N85" s="735"/>
      <c r="O85" s="727"/>
      <c r="P85" s="1321"/>
      <c r="Q85" s="1329"/>
      <c r="R85" s="254"/>
      <c r="S85" s="703"/>
      <c r="T85" s="728"/>
      <c r="U85" s="431"/>
      <c r="V85" s="499"/>
      <c r="W85" s="741"/>
      <c r="X85" s="51"/>
      <c r="Y85" s="51"/>
      <c r="Z85" s="645" t="str">
        <f t="shared" si="21"/>
        <v/>
      </c>
      <c r="AA85" s="1037" t="str">
        <f t="shared" ref="AA85:AA148" si="37">IF(Z85="","",IF(K85+L85&lt;100000,1,0))</f>
        <v/>
      </c>
      <c r="AB85" s="1037" t="str">
        <f t="shared" ref="AB85:AB148" si="38">IF(Z85="","",IF(AND(AA85=0,K85+L85&lt;200000),1,))</f>
        <v/>
      </c>
      <c r="AC85" s="1037" t="str">
        <f>IF(Z85="","",VLOOKUP(Z85,リスト!BN:BO,2,0))</f>
        <v/>
      </c>
      <c r="AD85" s="1037" t="str">
        <f t="shared" si="33"/>
        <v/>
      </c>
      <c r="AE85" s="1037" t="str">
        <f>IF(AD85="","",VLOOKUP(AD85,リスト!BW:BX,2,0))</f>
        <v/>
      </c>
      <c r="AF85" s="1037" t="str">
        <f t="shared" si="30"/>
        <v/>
      </c>
      <c r="AG85" s="685" t="str">
        <f t="shared" si="22"/>
        <v/>
      </c>
      <c r="AH85" s="646" t="str">
        <f t="shared" si="23"/>
        <v/>
      </c>
      <c r="AI85" s="646" t="str">
        <f t="shared" si="34"/>
        <v/>
      </c>
      <c r="AJ85" s="647" t="str">
        <f t="shared" si="35"/>
        <v/>
      </c>
      <c r="AK85" s="647" t="str">
        <f t="shared" si="24"/>
        <v/>
      </c>
      <c r="AL85" s="647" t="str">
        <f t="shared" si="36"/>
        <v/>
      </c>
      <c r="AM85" s="647" t="str">
        <f t="shared" si="31"/>
        <v/>
      </c>
      <c r="AN85" s="647" t="str">
        <f t="shared" si="25"/>
        <v/>
      </c>
      <c r="AO85" s="647" t="str">
        <f t="shared" si="26"/>
        <v/>
      </c>
      <c r="AP85" s="647" t="str">
        <f t="shared" si="27"/>
        <v/>
      </c>
      <c r="AQ85" s="647" t="str">
        <f t="shared" si="32"/>
        <v/>
      </c>
      <c r="AR85" s="647" t="str">
        <f t="shared" si="28"/>
        <v/>
      </c>
      <c r="AS85" s="647" t="str">
        <f t="shared" si="29"/>
        <v/>
      </c>
      <c r="AT85" s="1323" t="str">
        <f t="shared" ref="AT85:AT148" si="39">IF(R85="","",IF(P85="","",ROUND(P85*R85%,0)))</f>
        <v/>
      </c>
      <c r="AU85" s="1323" t="str">
        <f t="shared" ref="AU85:AU148" si="40">IF(R85="","",IF(Q85="","",ROUND(Q85*R85%,0)))</f>
        <v/>
      </c>
    </row>
    <row r="86" spans="3:47" s="5" customFormat="1" ht="28.15" hidden="1" customHeight="1" outlineLevel="1">
      <c r="C86" s="649">
        <v>68</v>
      </c>
      <c r="D86" s="1133"/>
      <c r="E86" s="670"/>
      <c r="F86" s="726"/>
      <c r="G86" s="705"/>
      <c r="H86" s="255"/>
      <c r="I86" s="255"/>
      <c r="J86" s="1051"/>
      <c r="K86" s="735"/>
      <c r="L86" s="735"/>
      <c r="M86" s="736"/>
      <c r="N86" s="735"/>
      <c r="O86" s="727"/>
      <c r="P86" s="1321"/>
      <c r="Q86" s="1329"/>
      <c r="R86" s="254"/>
      <c r="S86" s="703"/>
      <c r="T86" s="728"/>
      <c r="U86" s="431"/>
      <c r="V86" s="499"/>
      <c r="W86" s="741"/>
      <c r="X86" s="51"/>
      <c r="Y86" s="51"/>
      <c r="Z86" s="645" t="str">
        <f t="shared" si="21"/>
        <v/>
      </c>
      <c r="AA86" s="1037" t="str">
        <f t="shared" si="37"/>
        <v/>
      </c>
      <c r="AB86" s="1037" t="str">
        <f t="shared" si="38"/>
        <v/>
      </c>
      <c r="AC86" s="1037" t="str">
        <f>IF(Z86="","",VLOOKUP(Z86,リスト!BN:BO,2,0))</f>
        <v/>
      </c>
      <c r="AD86" s="1037" t="str">
        <f t="shared" si="33"/>
        <v/>
      </c>
      <c r="AE86" s="1037" t="str">
        <f>IF(AD86="","",VLOOKUP(AD86,リスト!BW:BX,2,0))</f>
        <v/>
      </c>
      <c r="AF86" s="1037" t="str">
        <f t="shared" si="30"/>
        <v/>
      </c>
      <c r="AG86" s="685" t="str">
        <f t="shared" si="22"/>
        <v/>
      </c>
      <c r="AH86" s="646" t="str">
        <f t="shared" si="23"/>
        <v/>
      </c>
      <c r="AI86" s="646" t="str">
        <f t="shared" si="34"/>
        <v/>
      </c>
      <c r="AJ86" s="647" t="str">
        <f t="shared" si="35"/>
        <v/>
      </c>
      <c r="AK86" s="647" t="str">
        <f t="shared" si="24"/>
        <v/>
      </c>
      <c r="AL86" s="647" t="str">
        <f t="shared" si="36"/>
        <v/>
      </c>
      <c r="AM86" s="647" t="str">
        <f t="shared" si="31"/>
        <v/>
      </c>
      <c r="AN86" s="647" t="str">
        <f t="shared" si="25"/>
        <v/>
      </c>
      <c r="AO86" s="647" t="str">
        <f t="shared" si="26"/>
        <v/>
      </c>
      <c r="AP86" s="647" t="str">
        <f t="shared" si="27"/>
        <v/>
      </c>
      <c r="AQ86" s="647" t="str">
        <f t="shared" si="32"/>
        <v/>
      </c>
      <c r="AR86" s="647" t="str">
        <f t="shared" si="28"/>
        <v/>
      </c>
      <c r="AS86" s="647" t="str">
        <f t="shared" si="29"/>
        <v/>
      </c>
      <c r="AT86" s="1323" t="str">
        <f t="shared" si="39"/>
        <v/>
      </c>
      <c r="AU86" s="1323" t="str">
        <f t="shared" si="40"/>
        <v/>
      </c>
    </row>
    <row r="87" spans="3:47" s="5" customFormat="1" ht="28.15" hidden="1" customHeight="1" outlineLevel="1">
      <c r="C87" s="649">
        <v>69</v>
      </c>
      <c r="D87" s="1133"/>
      <c r="E87" s="670"/>
      <c r="F87" s="726"/>
      <c r="G87" s="705"/>
      <c r="H87" s="255"/>
      <c r="I87" s="255"/>
      <c r="J87" s="1051"/>
      <c r="K87" s="735"/>
      <c r="L87" s="735"/>
      <c r="M87" s="736"/>
      <c r="N87" s="735"/>
      <c r="O87" s="727"/>
      <c r="P87" s="1321"/>
      <c r="Q87" s="1329"/>
      <c r="R87" s="254"/>
      <c r="S87" s="703"/>
      <c r="T87" s="728"/>
      <c r="U87" s="431"/>
      <c r="V87" s="499"/>
      <c r="W87" s="741"/>
      <c r="X87" s="51"/>
      <c r="Y87" s="51"/>
      <c r="Z87" s="645" t="str">
        <f t="shared" si="21"/>
        <v/>
      </c>
      <c r="AA87" s="1037" t="str">
        <f t="shared" si="37"/>
        <v/>
      </c>
      <c r="AB87" s="1037" t="str">
        <f t="shared" si="38"/>
        <v/>
      </c>
      <c r="AC87" s="1037" t="str">
        <f>IF(Z87="","",VLOOKUP(Z87,リスト!BN:BO,2,0))</f>
        <v/>
      </c>
      <c r="AD87" s="1037" t="str">
        <f t="shared" si="33"/>
        <v/>
      </c>
      <c r="AE87" s="1037" t="str">
        <f>IF(AD87="","",VLOOKUP(AD87,リスト!BW:BX,2,0))</f>
        <v/>
      </c>
      <c r="AF87" s="1037" t="str">
        <f t="shared" si="30"/>
        <v/>
      </c>
      <c r="AG87" s="685" t="str">
        <f t="shared" si="22"/>
        <v/>
      </c>
      <c r="AH87" s="646" t="str">
        <f t="shared" si="23"/>
        <v/>
      </c>
      <c r="AI87" s="646" t="str">
        <f t="shared" si="34"/>
        <v/>
      </c>
      <c r="AJ87" s="647" t="str">
        <f t="shared" si="35"/>
        <v/>
      </c>
      <c r="AK87" s="647" t="str">
        <f t="shared" si="24"/>
        <v/>
      </c>
      <c r="AL87" s="647" t="str">
        <f t="shared" si="36"/>
        <v/>
      </c>
      <c r="AM87" s="647" t="str">
        <f t="shared" si="31"/>
        <v/>
      </c>
      <c r="AN87" s="647" t="str">
        <f t="shared" si="25"/>
        <v/>
      </c>
      <c r="AO87" s="647" t="str">
        <f t="shared" si="26"/>
        <v/>
      </c>
      <c r="AP87" s="647" t="str">
        <f t="shared" si="27"/>
        <v/>
      </c>
      <c r="AQ87" s="647" t="str">
        <f t="shared" si="32"/>
        <v/>
      </c>
      <c r="AR87" s="647" t="str">
        <f t="shared" si="28"/>
        <v/>
      </c>
      <c r="AS87" s="647" t="str">
        <f t="shared" si="29"/>
        <v/>
      </c>
      <c r="AT87" s="1323" t="str">
        <f t="shared" si="39"/>
        <v/>
      </c>
      <c r="AU87" s="1323" t="str">
        <f t="shared" si="40"/>
        <v/>
      </c>
    </row>
    <row r="88" spans="3:47" s="5" customFormat="1" ht="28.15" hidden="1" customHeight="1" outlineLevel="1">
      <c r="C88" s="649">
        <v>70</v>
      </c>
      <c r="D88" s="1133"/>
      <c r="E88" s="670"/>
      <c r="F88" s="726"/>
      <c r="G88" s="705"/>
      <c r="H88" s="255"/>
      <c r="I88" s="255"/>
      <c r="J88" s="1051"/>
      <c r="K88" s="735"/>
      <c r="L88" s="735"/>
      <c r="M88" s="736"/>
      <c r="N88" s="735"/>
      <c r="O88" s="727"/>
      <c r="P88" s="1321"/>
      <c r="Q88" s="1329"/>
      <c r="R88" s="254"/>
      <c r="S88" s="703"/>
      <c r="T88" s="728"/>
      <c r="U88" s="431"/>
      <c r="V88" s="499"/>
      <c r="W88" s="741"/>
      <c r="X88" s="51"/>
      <c r="Y88" s="51"/>
      <c r="Z88" s="645" t="str">
        <f t="shared" si="21"/>
        <v/>
      </c>
      <c r="AA88" s="1037" t="str">
        <f t="shared" si="37"/>
        <v/>
      </c>
      <c r="AB88" s="1037" t="str">
        <f t="shared" si="38"/>
        <v/>
      </c>
      <c r="AC88" s="1037" t="str">
        <f>IF(Z88="","",VLOOKUP(Z88,リスト!BN:BO,2,0))</f>
        <v/>
      </c>
      <c r="AD88" s="1037" t="str">
        <f t="shared" si="33"/>
        <v/>
      </c>
      <c r="AE88" s="1037" t="str">
        <f>IF(AD88="","",VLOOKUP(AD88,リスト!BW:BX,2,0))</f>
        <v/>
      </c>
      <c r="AF88" s="1037" t="str">
        <f t="shared" si="30"/>
        <v/>
      </c>
      <c r="AG88" s="685" t="str">
        <f t="shared" si="22"/>
        <v/>
      </c>
      <c r="AH88" s="646" t="str">
        <f t="shared" si="23"/>
        <v/>
      </c>
      <c r="AI88" s="646" t="str">
        <f t="shared" si="34"/>
        <v/>
      </c>
      <c r="AJ88" s="647" t="str">
        <f t="shared" si="35"/>
        <v/>
      </c>
      <c r="AK88" s="647" t="str">
        <f t="shared" si="24"/>
        <v/>
      </c>
      <c r="AL88" s="647" t="str">
        <f t="shared" si="36"/>
        <v/>
      </c>
      <c r="AM88" s="647" t="str">
        <f t="shared" si="31"/>
        <v/>
      </c>
      <c r="AN88" s="647" t="str">
        <f t="shared" si="25"/>
        <v/>
      </c>
      <c r="AO88" s="647" t="str">
        <f t="shared" si="26"/>
        <v/>
      </c>
      <c r="AP88" s="647" t="str">
        <f t="shared" si="27"/>
        <v/>
      </c>
      <c r="AQ88" s="647" t="str">
        <f t="shared" si="32"/>
        <v/>
      </c>
      <c r="AR88" s="647" t="str">
        <f t="shared" si="28"/>
        <v/>
      </c>
      <c r="AS88" s="647" t="str">
        <f t="shared" si="29"/>
        <v/>
      </c>
      <c r="AT88" s="1323" t="str">
        <f t="shared" si="39"/>
        <v/>
      </c>
      <c r="AU88" s="1323" t="str">
        <f t="shared" si="40"/>
        <v/>
      </c>
    </row>
    <row r="89" spans="3:47" s="5" customFormat="1" ht="28.15" hidden="1" customHeight="1" outlineLevel="1">
      <c r="C89" s="649">
        <v>71</v>
      </c>
      <c r="D89" s="1133"/>
      <c r="E89" s="670"/>
      <c r="F89" s="726"/>
      <c r="G89" s="705"/>
      <c r="H89" s="255"/>
      <c r="I89" s="255"/>
      <c r="J89" s="1051"/>
      <c r="K89" s="735"/>
      <c r="L89" s="735"/>
      <c r="M89" s="736"/>
      <c r="N89" s="735"/>
      <c r="O89" s="727"/>
      <c r="P89" s="1321"/>
      <c r="Q89" s="1329"/>
      <c r="R89" s="254"/>
      <c r="S89" s="703"/>
      <c r="T89" s="728"/>
      <c r="U89" s="431"/>
      <c r="V89" s="499"/>
      <c r="W89" s="741"/>
      <c r="X89" s="51"/>
      <c r="Y89" s="51"/>
      <c r="Z89" s="645" t="str">
        <f t="shared" si="21"/>
        <v/>
      </c>
      <c r="AA89" s="1037" t="str">
        <f t="shared" si="37"/>
        <v/>
      </c>
      <c r="AB89" s="1037" t="str">
        <f t="shared" si="38"/>
        <v/>
      </c>
      <c r="AC89" s="1037" t="str">
        <f>IF(Z89="","",VLOOKUP(Z89,リスト!BN:BO,2,0))</f>
        <v/>
      </c>
      <c r="AD89" s="1037" t="str">
        <f t="shared" si="33"/>
        <v/>
      </c>
      <c r="AE89" s="1037" t="str">
        <f>IF(AD89="","",VLOOKUP(AD89,リスト!BW:BX,2,0))</f>
        <v/>
      </c>
      <c r="AF89" s="1037" t="str">
        <f t="shared" si="30"/>
        <v/>
      </c>
      <c r="AG89" s="685" t="str">
        <f t="shared" si="22"/>
        <v/>
      </c>
      <c r="AH89" s="646" t="str">
        <f t="shared" si="23"/>
        <v/>
      </c>
      <c r="AI89" s="646" t="str">
        <f t="shared" si="34"/>
        <v/>
      </c>
      <c r="AJ89" s="647" t="str">
        <f t="shared" si="35"/>
        <v/>
      </c>
      <c r="AK89" s="647" t="str">
        <f t="shared" si="24"/>
        <v/>
      </c>
      <c r="AL89" s="647" t="str">
        <f t="shared" si="36"/>
        <v/>
      </c>
      <c r="AM89" s="647" t="str">
        <f t="shared" si="31"/>
        <v/>
      </c>
      <c r="AN89" s="647" t="str">
        <f t="shared" si="25"/>
        <v/>
      </c>
      <c r="AO89" s="647" t="str">
        <f t="shared" si="26"/>
        <v/>
      </c>
      <c r="AP89" s="647" t="str">
        <f t="shared" si="27"/>
        <v/>
      </c>
      <c r="AQ89" s="647" t="str">
        <f t="shared" si="32"/>
        <v/>
      </c>
      <c r="AR89" s="647" t="str">
        <f t="shared" si="28"/>
        <v/>
      </c>
      <c r="AS89" s="647" t="str">
        <f t="shared" si="29"/>
        <v/>
      </c>
      <c r="AT89" s="1323" t="str">
        <f t="shared" si="39"/>
        <v/>
      </c>
      <c r="AU89" s="1323" t="str">
        <f t="shared" si="40"/>
        <v/>
      </c>
    </row>
    <row r="90" spans="3:47" s="5" customFormat="1" ht="28.15" hidden="1" customHeight="1" outlineLevel="1">
      <c r="C90" s="649">
        <v>72</v>
      </c>
      <c r="D90" s="1133"/>
      <c r="E90" s="670"/>
      <c r="F90" s="726"/>
      <c r="G90" s="705"/>
      <c r="H90" s="255"/>
      <c r="I90" s="255"/>
      <c r="J90" s="1051"/>
      <c r="K90" s="735"/>
      <c r="L90" s="735"/>
      <c r="M90" s="736"/>
      <c r="N90" s="735"/>
      <c r="O90" s="727"/>
      <c r="P90" s="1321"/>
      <c r="Q90" s="1329"/>
      <c r="R90" s="254"/>
      <c r="S90" s="703"/>
      <c r="T90" s="728"/>
      <c r="U90" s="431"/>
      <c r="V90" s="499"/>
      <c r="W90" s="741"/>
      <c r="X90" s="51"/>
      <c r="Y90" s="51"/>
      <c r="Z90" s="645" t="str">
        <f t="shared" si="21"/>
        <v/>
      </c>
      <c r="AA90" s="1037" t="str">
        <f t="shared" si="37"/>
        <v/>
      </c>
      <c r="AB90" s="1037" t="str">
        <f t="shared" si="38"/>
        <v/>
      </c>
      <c r="AC90" s="1037" t="str">
        <f>IF(Z90="","",VLOOKUP(Z90,リスト!BN:BO,2,0))</f>
        <v/>
      </c>
      <c r="AD90" s="1037" t="str">
        <f t="shared" si="33"/>
        <v/>
      </c>
      <c r="AE90" s="1037" t="str">
        <f>IF(AD90="","",VLOOKUP(AD90,リスト!BW:BX,2,0))</f>
        <v/>
      </c>
      <c r="AF90" s="1037" t="str">
        <f t="shared" si="30"/>
        <v/>
      </c>
      <c r="AG90" s="685" t="str">
        <f t="shared" si="22"/>
        <v/>
      </c>
      <c r="AH90" s="646" t="str">
        <f t="shared" si="23"/>
        <v/>
      </c>
      <c r="AI90" s="646" t="str">
        <f t="shared" si="34"/>
        <v/>
      </c>
      <c r="AJ90" s="647" t="str">
        <f t="shared" si="35"/>
        <v/>
      </c>
      <c r="AK90" s="647" t="str">
        <f t="shared" si="24"/>
        <v/>
      </c>
      <c r="AL90" s="647" t="str">
        <f t="shared" si="36"/>
        <v/>
      </c>
      <c r="AM90" s="647" t="str">
        <f t="shared" si="31"/>
        <v/>
      </c>
      <c r="AN90" s="647" t="str">
        <f t="shared" si="25"/>
        <v/>
      </c>
      <c r="AO90" s="647" t="str">
        <f t="shared" si="26"/>
        <v/>
      </c>
      <c r="AP90" s="647" t="str">
        <f t="shared" si="27"/>
        <v/>
      </c>
      <c r="AQ90" s="647" t="str">
        <f t="shared" si="32"/>
        <v/>
      </c>
      <c r="AR90" s="647" t="str">
        <f t="shared" si="28"/>
        <v/>
      </c>
      <c r="AS90" s="647" t="str">
        <f t="shared" si="29"/>
        <v/>
      </c>
      <c r="AT90" s="1323" t="str">
        <f t="shared" si="39"/>
        <v/>
      </c>
      <c r="AU90" s="1323" t="str">
        <f t="shared" si="40"/>
        <v/>
      </c>
    </row>
    <row r="91" spans="3:47" s="5" customFormat="1" ht="28.15" hidden="1" customHeight="1" outlineLevel="1">
      <c r="C91" s="649">
        <v>73</v>
      </c>
      <c r="D91" s="1133"/>
      <c r="E91" s="670"/>
      <c r="F91" s="726"/>
      <c r="G91" s="705"/>
      <c r="H91" s="255"/>
      <c r="I91" s="255"/>
      <c r="J91" s="1051"/>
      <c r="K91" s="735"/>
      <c r="L91" s="735"/>
      <c r="M91" s="736"/>
      <c r="N91" s="735"/>
      <c r="O91" s="727"/>
      <c r="P91" s="1321"/>
      <c r="Q91" s="1329"/>
      <c r="R91" s="254"/>
      <c r="S91" s="703"/>
      <c r="T91" s="728"/>
      <c r="U91" s="431"/>
      <c r="V91" s="499"/>
      <c r="W91" s="741"/>
      <c r="X91" s="51"/>
      <c r="Y91" s="51"/>
      <c r="Z91" s="645" t="str">
        <f t="shared" si="21"/>
        <v/>
      </c>
      <c r="AA91" s="1037" t="str">
        <f t="shared" si="37"/>
        <v/>
      </c>
      <c r="AB91" s="1037" t="str">
        <f t="shared" si="38"/>
        <v/>
      </c>
      <c r="AC91" s="1037" t="str">
        <f>IF(Z91="","",VLOOKUP(Z91,リスト!BN:BO,2,0))</f>
        <v/>
      </c>
      <c r="AD91" s="1037" t="str">
        <f t="shared" si="33"/>
        <v/>
      </c>
      <c r="AE91" s="1037" t="str">
        <f>IF(AD91="","",VLOOKUP(AD91,リスト!BW:BX,2,0))</f>
        <v/>
      </c>
      <c r="AF91" s="1037" t="str">
        <f t="shared" si="30"/>
        <v/>
      </c>
      <c r="AG91" s="685" t="str">
        <f t="shared" si="22"/>
        <v/>
      </c>
      <c r="AH91" s="646" t="str">
        <f t="shared" si="23"/>
        <v/>
      </c>
      <c r="AI91" s="646" t="str">
        <f t="shared" si="34"/>
        <v/>
      </c>
      <c r="AJ91" s="647" t="str">
        <f t="shared" si="35"/>
        <v/>
      </c>
      <c r="AK91" s="647" t="str">
        <f t="shared" si="24"/>
        <v/>
      </c>
      <c r="AL91" s="647" t="str">
        <f t="shared" si="36"/>
        <v/>
      </c>
      <c r="AM91" s="647" t="str">
        <f t="shared" si="31"/>
        <v/>
      </c>
      <c r="AN91" s="647" t="str">
        <f t="shared" si="25"/>
        <v/>
      </c>
      <c r="AO91" s="647" t="str">
        <f t="shared" si="26"/>
        <v/>
      </c>
      <c r="AP91" s="647" t="str">
        <f t="shared" si="27"/>
        <v/>
      </c>
      <c r="AQ91" s="647" t="str">
        <f t="shared" si="32"/>
        <v/>
      </c>
      <c r="AR91" s="647" t="str">
        <f t="shared" si="28"/>
        <v/>
      </c>
      <c r="AS91" s="647" t="str">
        <f t="shared" si="29"/>
        <v/>
      </c>
      <c r="AT91" s="1323" t="str">
        <f t="shared" si="39"/>
        <v/>
      </c>
      <c r="AU91" s="1323" t="str">
        <f t="shared" si="40"/>
        <v/>
      </c>
    </row>
    <row r="92" spans="3:47" s="5" customFormat="1" ht="28.15" hidden="1" customHeight="1" outlineLevel="1">
      <c r="C92" s="649">
        <v>74</v>
      </c>
      <c r="D92" s="1133"/>
      <c r="E92" s="670"/>
      <c r="F92" s="726"/>
      <c r="G92" s="666"/>
      <c r="H92" s="266"/>
      <c r="I92" s="266"/>
      <c r="J92" s="1049"/>
      <c r="K92" s="727"/>
      <c r="L92" s="727"/>
      <c r="M92" s="727"/>
      <c r="N92" s="727"/>
      <c r="O92" s="727"/>
      <c r="P92" s="1321"/>
      <c r="Q92" s="1329"/>
      <c r="R92" s="254"/>
      <c r="S92" s="703"/>
      <c r="T92" s="728"/>
      <c r="U92" s="431"/>
      <c r="V92" s="499"/>
      <c r="W92" s="741"/>
      <c r="X92" s="51"/>
      <c r="Y92" s="51"/>
      <c r="Z92" s="645" t="str">
        <f t="shared" si="21"/>
        <v/>
      </c>
      <c r="AA92" s="1037" t="str">
        <f t="shared" si="37"/>
        <v/>
      </c>
      <c r="AB92" s="1037" t="str">
        <f t="shared" si="38"/>
        <v/>
      </c>
      <c r="AC92" s="1037" t="str">
        <f>IF(Z92="","",VLOOKUP(Z92,リスト!BN:BO,2,0))</f>
        <v/>
      </c>
      <c r="AD92" s="1037" t="str">
        <f t="shared" si="33"/>
        <v/>
      </c>
      <c r="AE92" s="1037" t="str">
        <f>IF(AD92="","",VLOOKUP(AD92,リスト!BW:BX,2,0))</f>
        <v/>
      </c>
      <c r="AF92" s="1037" t="str">
        <f t="shared" si="30"/>
        <v/>
      </c>
      <c r="AG92" s="685" t="str">
        <f t="shared" si="22"/>
        <v/>
      </c>
      <c r="AH92" s="646" t="str">
        <f t="shared" si="23"/>
        <v/>
      </c>
      <c r="AI92" s="646" t="str">
        <f t="shared" si="34"/>
        <v/>
      </c>
      <c r="AJ92" s="647" t="str">
        <f t="shared" si="35"/>
        <v/>
      </c>
      <c r="AK92" s="647" t="str">
        <f t="shared" si="24"/>
        <v/>
      </c>
      <c r="AL92" s="647" t="str">
        <f t="shared" si="36"/>
        <v/>
      </c>
      <c r="AM92" s="647" t="str">
        <f t="shared" si="31"/>
        <v/>
      </c>
      <c r="AN92" s="647" t="str">
        <f t="shared" si="25"/>
        <v/>
      </c>
      <c r="AO92" s="647" t="str">
        <f t="shared" si="26"/>
        <v/>
      </c>
      <c r="AP92" s="647" t="str">
        <f t="shared" si="27"/>
        <v/>
      </c>
      <c r="AQ92" s="647" t="str">
        <f t="shared" si="32"/>
        <v/>
      </c>
      <c r="AR92" s="647" t="str">
        <f t="shared" si="28"/>
        <v/>
      </c>
      <c r="AS92" s="647" t="str">
        <f t="shared" si="29"/>
        <v/>
      </c>
      <c r="AT92" s="1323" t="str">
        <f t="shared" si="39"/>
        <v/>
      </c>
      <c r="AU92" s="1323" t="str">
        <f t="shared" si="40"/>
        <v/>
      </c>
    </row>
    <row r="93" spans="3:47" s="5" customFormat="1" ht="28.15" hidden="1" customHeight="1" outlineLevel="1">
      <c r="C93" s="649">
        <v>75</v>
      </c>
      <c r="D93" s="1134"/>
      <c r="E93" s="729"/>
      <c r="F93" s="726"/>
      <c r="G93" s="705"/>
      <c r="H93" s="257"/>
      <c r="I93" s="257"/>
      <c r="J93" s="1049"/>
      <c r="K93" s="735"/>
      <c r="L93" s="735"/>
      <c r="M93" s="736"/>
      <c r="N93" s="735"/>
      <c r="O93" s="727"/>
      <c r="P93" s="1321"/>
      <c r="Q93" s="1329"/>
      <c r="R93" s="254"/>
      <c r="S93" s="703"/>
      <c r="T93" s="728"/>
      <c r="U93" s="431"/>
      <c r="V93" s="499"/>
      <c r="W93" s="741"/>
      <c r="X93" s="51"/>
      <c r="Y93" s="51"/>
      <c r="Z93" s="645" t="str">
        <f t="shared" si="21"/>
        <v/>
      </c>
      <c r="AA93" s="1037" t="str">
        <f t="shared" si="37"/>
        <v/>
      </c>
      <c r="AB93" s="1037" t="str">
        <f t="shared" si="38"/>
        <v/>
      </c>
      <c r="AC93" s="1037" t="str">
        <f>IF(Z93="","",VLOOKUP(Z93,リスト!BN:BO,2,0))</f>
        <v/>
      </c>
      <c r="AD93" s="1037" t="str">
        <f t="shared" si="33"/>
        <v/>
      </c>
      <c r="AE93" s="1037" t="str">
        <f>IF(AD93="","",VLOOKUP(AD93,リスト!BW:BX,2,0))</f>
        <v/>
      </c>
      <c r="AF93" s="1037" t="str">
        <f t="shared" si="30"/>
        <v/>
      </c>
      <c r="AG93" s="685" t="str">
        <f t="shared" si="22"/>
        <v/>
      </c>
      <c r="AH93" s="646" t="str">
        <f t="shared" si="23"/>
        <v/>
      </c>
      <c r="AI93" s="646" t="str">
        <f t="shared" si="34"/>
        <v/>
      </c>
      <c r="AJ93" s="647" t="str">
        <f t="shared" si="35"/>
        <v/>
      </c>
      <c r="AK93" s="647" t="str">
        <f t="shared" si="24"/>
        <v/>
      </c>
      <c r="AL93" s="647" t="str">
        <f t="shared" si="36"/>
        <v/>
      </c>
      <c r="AM93" s="647" t="str">
        <f t="shared" si="31"/>
        <v/>
      </c>
      <c r="AN93" s="647" t="str">
        <f t="shared" si="25"/>
        <v/>
      </c>
      <c r="AO93" s="647" t="str">
        <f t="shared" si="26"/>
        <v/>
      </c>
      <c r="AP93" s="647" t="str">
        <f t="shared" si="27"/>
        <v/>
      </c>
      <c r="AQ93" s="647" t="str">
        <f t="shared" si="32"/>
        <v/>
      </c>
      <c r="AR93" s="647" t="str">
        <f t="shared" si="28"/>
        <v/>
      </c>
      <c r="AS93" s="647" t="str">
        <f t="shared" si="29"/>
        <v/>
      </c>
      <c r="AT93" s="1323" t="str">
        <f t="shared" si="39"/>
        <v/>
      </c>
      <c r="AU93" s="1323" t="str">
        <f t="shared" si="40"/>
        <v/>
      </c>
    </row>
    <row r="94" spans="3:47" s="5" customFormat="1" ht="28.15" hidden="1" customHeight="1" outlineLevel="1">
      <c r="C94" s="649">
        <v>76</v>
      </c>
      <c r="D94" s="1133"/>
      <c r="E94" s="670"/>
      <c r="F94" s="726"/>
      <c r="G94" s="705"/>
      <c r="H94" s="255"/>
      <c r="I94" s="255"/>
      <c r="J94" s="1049"/>
      <c r="K94" s="735"/>
      <c r="L94" s="735"/>
      <c r="M94" s="736"/>
      <c r="N94" s="735"/>
      <c r="O94" s="727"/>
      <c r="P94" s="1321"/>
      <c r="Q94" s="1329"/>
      <c r="R94" s="254"/>
      <c r="S94" s="703"/>
      <c r="T94" s="728"/>
      <c r="U94" s="431"/>
      <c r="V94" s="499"/>
      <c r="W94" s="741"/>
      <c r="X94" s="51"/>
      <c r="Y94" s="51"/>
      <c r="Z94" s="645" t="str">
        <f t="shared" si="21"/>
        <v/>
      </c>
      <c r="AA94" s="1037" t="str">
        <f t="shared" si="37"/>
        <v/>
      </c>
      <c r="AB94" s="1037" t="str">
        <f t="shared" si="38"/>
        <v/>
      </c>
      <c r="AC94" s="1037" t="str">
        <f>IF(Z94="","",VLOOKUP(Z94,リスト!BN:BO,2,0))</f>
        <v/>
      </c>
      <c r="AD94" s="1037" t="str">
        <f t="shared" si="33"/>
        <v/>
      </c>
      <c r="AE94" s="1037" t="str">
        <f>IF(AD94="","",VLOOKUP(AD94,リスト!BW:BX,2,0))</f>
        <v/>
      </c>
      <c r="AF94" s="1037" t="str">
        <f t="shared" si="30"/>
        <v/>
      </c>
      <c r="AG94" s="685" t="str">
        <f t="shared" si="22"/>
        <v/>
      </c>
      <c r="AH94" s="646" t="str">
        <f t="shared" si="23"/>
        <v/>
      </c>
      <c r="AI94" s="646" t="str">
        <f t="shared" si="34"/>
        <v/>
      </c>
      <c r="AJ94" s="647" t="str">
        <f t="shared" si="35"/>
        <v/>
      </c>
      <c r="AK94" s="647" t="str">
        <f t="shared" si="24"/>
        <v/>
      </c>
      <c r="AL94" s="647" t="str">
        <f t="shared" si="36"/>
        <v/>
      </c>
      <c r="AM94" s="647" t="str">
        <f t="shared" si="31"/>
        <v/>
      </c>
      <c r="AN94" s="647" t="str">
        <f t="shared" si="25"/>
        <v/>
      </c>
      <c r="AO94" s="647" t="str">
        <f t="shared" si="26"/>
        <v/>
      </c>
      <c r="AP94" s="647" t="str">
        <f t="shared" si="27"/>
        <v/>
      </c>
      <c r="AQ94" s="647" t="str">
        <f t="shared" si="32"/>
        <v/>
      </c>
      <c r="AR94" s="647" t="str">
        <f t="shared" si="28"/>
        <v/>
      </c>
      <c r="AS94" s="647" t="str">
        <f t="shared" si="29"/>
        <v/>
      </c>
      <c r="AT94" s="1323" t="str">
        <f t="shared" si="39"/>
        <v/>
      </c>
      <c r="AU94" s="1323" t="str">
        <f t="shared" si="40"/>
        <v/>
      </c>
    </row>
    <row r="95" spans="3:47" s="5" customFormat="1" ht="28.15" hidden="1" customHeight="1" outlineLevel="1">
      <c r="C95" s="649">
        <v>77</v>
      </c>
      <c r="D95" s="1134"/>
      <c r="E95" s="729"/>
      <c r="F95" s="726"/>
      <c r="G95" s="705"/>
      <c r="H95" s="257"/>
      <c r="I95" s="257"/>
      <c r="J95" s="1049"/>
      <c r="K95" s="735"/>
      <c r="L95" s="735"/>
      <c r="M95" s="736"/>
      <c r="N95" s="735"/>
      <c r="O95" s="727"/>
      <c r="P95" s="1321"/>
      <c r="Q95" s="1329"/>
      <c r="R95" s="254"/>
      <c r="S95" s="703"/>
      <c r="T95" s="728"/>
      <c r="U95" s="431"/>
      <c r="V95" s="499"/>
      <c r="W95" s="741"/>
      <c r="X95" s="51"/>
      <c r="Y95" s="51"/>
      <c r="Z95" s="645" t="str">
        <f t="shared" si="21"/>
        <v/>
      </c>
      <c r="AA95" s="1037" t="str">
        <f t="shared" si="37"/>
        <v/>
      </c>
      <c r="AB95" s="1037" t="str">
        <f t="shared" si="38"/>
        <v/>
      </c>
      <c r="AC95" s="1037" t="str">
        <f>IF(Z95="","",VLOOKUP(Z95,リスト!BN:BO,2,0))</f>
        <v/>
      </c>
      <c r="AD95" s="1037" t="str">
        <f t="shared" si="33"/>
        <v/>
      </c>
      <c r="AE95" s="1037" t="str">
        <f>IF(AD95="","",VLOOKUP(AD95,リスト!BW:BX,2,0))</f>
        <v/>
      </c>
      <c r="AF95" s="1037" t="str">
        <f t="shared" si="30"/>
        <v/>
      </c>
      <c r="AG95" s="685" t="str">
        <f t="shared" si="22"/>
        <v/>
      </c>
      <c r="AH95" s="646" t="str">
        <f t="shared" si="23"/>
        <v/>
      </c>
      <c r="AI95" s="646" t="str">
        <f t="shared" si="34"/>
        <v/>
      </c>
      <c r="AJ95" s="647" t="str">
        <f t="shared" si="35"/>
        <v/>
      </c>
      <c r="AK95" s="647" t="str">
        <f t="shared" si="24"/>
        <v/>
      </c>
      <c r="AL95" s="647" t="str">
        <f t="shared" si="36"/>
        <v/>
      </c>
      <c r="AM95" s="647" t="str">
        <f t="shared" si="31"/>
        <v/>
      </c>
      <c r="AN95" s="647" t="str">
        <f t="shared" si="25"/>
        <v/>
      </c>
      <c r="AO95" s="647" t="str">
        <f t="shared" si="26"/>
        <v/>
      </c>
      <c r="AP95" s="647" t="str">
        <f t="shared" si="27"/>
        <v/>
      </c>
      <c r="AQ95" s="647" t="str">
        <f t="shared" si="32"/>
        <v/>
      </c>
      <c r="AR95" s="647" t="str">
        <f t="shared" si="28"/>
        <v/>
      </c>
      <c r="AS95" s="647" t="str">
        <f t="shared" si="29"/>
        <v/>
      </c>
      <c r="AT95" s="1323" t="str">
        <f t="shared" si="39"/>
        <v/>
      </c>
      <c r="AU95" s="1323" t="str">
        <f t="shared" si="40"/>
        <v/>
      </c>
    </row>
    <row r="96" spans="3:47" s="5" customFormat="1" ht="28.15" hidden="1" customHeight="1" outlineLevel="1">
      <c r="C96" s="649">
        <v>78</v>
      </c>
      <c r="D96" s="1133"/>
      <c r="E96" s="670"/>
      <c r="F96" s="726"/>
      <c r="G96" s="705"/>
      <c r="H96" s="255"/>
      <c r="I96" s="255"/>
      <c r="J96" s="1049"/>
      <c r="K96" s="735"/>
      <c r="L96" s="735"/>
      <c r="M96" s="736"/>
      <c r="N96" s="735"/>
      <c r="O96" s="727"/>
      <c r="P96" s="1321"/>
      <c r="Q96" s="1329"/>
      <c r="R96" s="254"/>
      <c r="S96" s="703"/>
      <c r="T96" s="728"/>
      <c r="U96" s="431"/>
      <c r="V96" s="499"/>
      <c r="W96" s="741"/>
      <c r="X96" s="51"/>
      <c r="Y96" s="51"/>
      <c r="Z96" s="645" t="str">
        <f t="shared" si="21"/>
        <v/>
      </c>
      <c r="AA96" s="1037" t="str">
        <f t="shared" si="37"/>
        <v/>
      </c>
      <c r="AB96" s="1037" t="str">
        <f t="shared" si="38"/>
        <v/>
      </c>
      <c r="AC96" s="1037" t="str">
        <f>IF(Z96="","",VLOOKUP(Z96,リスト!BN:BO,2,0))</f>
        <v/>
      </c>
      <c r="AD96" s="1037" t="str">
        <f t="shared" si="33"/>
        <v/>
      </c>
      <c r="AE96" s="1037" t="str">
        <f>IF(AD96="","",VLOOKUP(AD96,リスト!BW:BX,2,0))</f>
        <v/>
      </c>
      <c r="AF96" s="1037" t="str">
        <f t="shared" si="30"/>
        <v/>
      </c>
      <c r="AG96" s="685" t="str">
        <f t="shared" si="22"/>
        <v/>
      </c>
      <c r="AH96" s="646" t="str">
        <f t="shared" si="23"/>
        <v/>
      </c>
      <c r="AI96" s="646" t="str">
        <f t="shared" si="34"/>
        <v/>
      </c>
      <c r="AJ96" s="647" t="str">
        <f t="shared" si="35"/>
        <v/>
      </c>
      <c r="AK96" s="647" t="str">
        <f t="shared" si="24"/>
        <v/>
      </c>
      <c r="AL96" s="647" t="str">
        <f t="shared" si="36"/>
        <v/>
      </c>
      <c r="AM96" s="647" t="str">
        <f t="shared" si="31"/>
        <v/>
      </c>
      <c r="AN96" s="647" t="str">
        <f t="shared" si="25"/>
        <v/>
      </c>
      <c r="AO96" s="647" t="str">
        <f t="shared" si="26"/>
        <v/>
      </c>
      <c r="AP96" s="647" t="str">
        <f t="shared" si="27"/>
        <v/>
      </c>
      <c r="AQ96" s="647" t="str">
        <f t="shared" si="32"/>
        <v/>
      </c>
      <c r="AR96" s="647" t="str">
        <f t="shared" si="28"/>
        <v/>
      </c>
      <c r="AS96" s="647" t="str">
        <f t="shared" si="29"/>
        <v/>
      </c>
      <c r="AT96" s="1323" t="str">
        <f t="shared" si="39"/>
        <v/>
      </c>
      <c r="AU96" s="1323" t="str">
        <f t="shared" si="40"/>
        <v/>
      </c>
    </row>
    <row r="97" spans="3:47" s="5" customFormat="1" ht="28.15" hidden="1" customHeight="1" outlineLevel="1">
      <c r="C97" s="649">
        <v>79</v>
      </c>
      <c r="D97" s="1134"/>
      <c r="E97" s="729"/>
      <c r="F97" s="726"/>
      <c r="G97" s="705"/>
      <c r="H97" s="257"/>
      <c r="I97" s="257"/>
      <c r="J97" s="1049"/>
      <c r="K97" s="735"/>
      <c r="L97" s="735"/>
      <c r="M97" s="736"/>
      <c r="N97" s="735"/>
      <c r="O97" s="727"/>
      <c r="P97" s="1321"/>
      <c r="Q97" s="1329"/>
      <c r="R97" s="254"/>
      <c r="S97" s="703"/>
      <c r="T97" s="728"/>
      <c r="U97" s="431"/>
      <c r="V97" s="499"/>
      <c r="W97" s="741"/>
      <c r="X97" s="51"/>
      <c r="Y97" s="51"/>
      <c r="Z97" s="645" t="str">
        <f t="shared" si="21"/>
        <v/>
      </c>
      <c r="AA97" s="1037" t="str">
        <f t="shared" si="37"/>
        <v/>
      </c>
      <c r="AB97" s="1037" t="str">
        <f t="shared" si="38"/>
        <v/>
      </c>
      <c r="AC97" s="1037" t="str">
        <f>IF(Z97="","",VLOOKUP(Z97,リスト!BN:BO,2,0))</f>
        <v/>
      </c>
      <c r="AD97" s="1037" t="str">
        <f t="shared" si="33"/>
        <v/>
      </c>
      <c r="AE97" s="1037" t="str">
        <f>IF(AD97="","",VLOOKUP(AD97,リスト!BW:BX,2,0))</f>
        <v/>
      </c>
      <c r="AF97" s="1037" t="str">
        <f t="shared" si="30"/>
        <v/>
      </c>
      <c r="AG97" s="685" t="str">
        <f t="shared" si="22"/>
        <v/>
      </c>
      <c r="AH97" s="646" t="str">
        <f t="shared" si="23"/>
        <v/>
      </c>
      <c r="AI97" s="646" t="str">
        <f t="shared" si="34"/>
        <v/>
      </c>
      <c r="AJ97" s="647" t="str">
        <f t="shared" si="35"/>
        <v/>
      </c>
      <c r="AK97" s="647" t="str">
        <f t="shared" si="24"/>
        <v/>
      </c>
      <c r="AL97" s="647" t="str">
        <f t="shared" si="36"/>
        <v/>
      </c>
      <c r="AM97" s="647" t="str">
        <f t="shared" si="31"/>
        <v/>
      </c>
      <c r="AN97" s="647" t="str">
        <f t="shared" si="25"/>
        <v/>
      </c>
      <c r="AO97" s="647" t="str">
        <f t="shared" si="26"/>
        <v/>
      </c>
      <c r="AP97" s="647" t="str">
        <f t="shared" si="27"/>
        <v/>
      </c>
      <c r="AQ97" s="647" t="str">
        <f t="shared" si="32"/>
        <v/>
      </c>
      <c r="AR97" s="647" t="str">
        <f t="shared" si="28"/>
        <v/>
      </c>
      <c r="AS97" s="647" t="str">
        <f t="shared" si="29"/>
        <v/>
      </c>
      <c r="AT97" s="1323" t="str">
        <f t="shared" si="39"/>
        <v/>
      </c>
      <c r="AU97" s="1323" t="str">
        <f t="shared" si="40"/>
        <v/>
      </c>
    </row>
    <row r="98" spans="3:47" s="5" customFormat="1" ht="28.15" hidden="1" customHeight="1" outlineLevel="1">
      <c r="C98" s="649">
        <v>80</v>
      </c>
      <c r="D98" s="1133"/>
      <c r="E98" s="670"/>
      <c r="F98" s="726"/>
      <c r="G98" s="705"/>
      <c r="H98" s="255"/>
      <c r="I98" s="255"/>
      <c r="J98" s="1049"/>
      <c r="K98" s="735"/>
      <c r="L98" s="735"/>
      <c r="M98" s="736"/>
      <c r="N98" s="735"/>
      <c r="O98" s="727"/>
      <c r="P98" s="1321"/>
      <c r="Q98" s="1329"/>
      <c r="R98" s="254"/>
      <c r="S98" s="703"/>
      <c r="T98" s="728"/>
      <c r="U98" s="431"/>
      <c r="V98" s="499"/>
      <c r="W98" s="741"/>
      <c r="X98" s="51"/>
      <c r="Y98" s="51"/>
      <c r="Z98" s="645" t="str">
        <f t="shared" si="21"/>
        <v/>
      </c>
      <c r="AA98" s="1037" t="str">
        <f t="shared" si="37"/>
        <v/>
      </c>
      <c r="AB98" s="1037" t="str">
        <f t="shared" si="38"/>
        <v/>
      </c>
      <c r="AC98" s="1037" t="str">
        <f>IF(Z98="","",VLOOKUP(Z98,リスト!BN:BO,2,0))</f>
        <v/>
      </c>
      <c r="AD98" s="1037" t="str">
        <f t="shared" si="33"/>
        <v/>
      </c>
      <c r="AE98" s="1037" t="str">
        <f>IF(AD98="","",VLOOKUP(AD98,リスト!BW:BX,2,0))</f>
        <v/>
      </c>
      <c r="AF98" s="1037" t="str">
        <f t="shared" si="30"/>
        <v/>
      </c>
      <c r="AG98" s="685" t="str">
        <f t="shared" si="22"/>
        <v/>
      </c>
      <c r="AH98" s="646" t="str">
        <f t="shared" si="23"/>
        <v/>
      </c>
      <c r="AI98" s="646" t="str">
        <f t="shared" si="34"/>
        <v/>
      </c>
      <c r="AJ98" s="647" t="str">
        <f t="shared" si="35"/>
        <v/>
      </c>
      <c r="AK98" s="647" t="str">
        <f t="shared" si="24"/>
        <v/>
      </c>
      <c r="AL98" s="647" t="str">
        <f t="shared" si="36"/>
        <v/>
      </c>
      <c r="AM98" s="647" t="str">
        <f t="shared" si="31"/>
        <v/>
      </c>
      <c r="AN98" s="647" t="str">
        <f t="shared" si="25"/>
        <v/>
      </c>
      <c r="AO98" s="647" t="str">
        <f t="shared" si="26"/>
        <v/>
      </c>
      <c r="AP98" s="647" t="str">
        <f t="shared" si="27"/>
        <v/>
      </c>
      <c r="AQ98" s="647" t="str">
        <f t="shared" si="32"/>
        <v/>
      </c>
      <c r="AR98" s="647" t="str">
        <f t="shared" si="28"/>
        <v/>
      </c>
      <c r="AS98" s="647" t="str">
        <f t="shared" si="29"/>
        <v/>
      </c>
      <c r="AT98" s="1323" t="str">
        <f t="shared" si="39"/>
        <v/>
      </c>
      <c r="AU98" s="1323" t="str">
        <f t="shared" si="40"/>
        <v/>
      </c>
    </row>
    <row r="99" spans="3:47" s="5" customFormat="1" ht="28.15" hidden="1" customHeight="1" outlineLevel="1">
      <c r="C99" s="649">
        <v>81</v>
      </c>
      <c r="D99" s="1134"/>
      <c r="E99" s="729"/>
      <c r="F99" s="726"/>
      <c r="G99" s="705"/>
      <c r="H99" s="257"/>
      <c r="I99" s="257"/>
      <c r="J99" s="1049"/>
      <c r="K99" s="735"/>
      <c r="L99" s="735"/>
      <c r="M99" s="736"/>
      <c r="N99" s="735"/>
      <c r="O99" s="727"/>
      <c r="P99" s="1321"/>
      <c r="Q99" s="1329"/>
      <c r="R99" s="254"/>
      <c r="S99" s="703"/>
      <c r="T99" s="728"/>
      <c r="U99" s="431"/>
      <c r="V99" s="499"/>
      <c r="W99" s="741"/>
      <c r="X99" s="51"/>
      <c r="Y99" s="51"/>
      <c r="Z99" s="645" t="str">
        <f t="shared" si="21"/>
        <v/>
      </c>
      <c r="AA99" s="1037" t="str">
        <f t="shared" si="37"/>
        <v/>
      </c>
      <c r="AB99" s="1037" t="str">
        <f t="shared" si="38"/>
        <v/>
      </c>
      <c r="AC99" s="1037" t="str">
        <f>IF(Z99="","",VLOOKUP(Z99,リスト!BN:BO,2,0))</f>
        <v/>
      </c>
      <c r="AD99" s="1037" t="str">
        <f t="shared" si="33"/>
        <v/>
      </c>
      <c r="AE99" s="1037" t="str">
        <f>IF(AD99="","",VLOOKUP(AD99,リスト!BW:BX,2,0))</f>
        <v/>
      </c>
      <c r="AF99" s="1037" t="str">
        <f t="shared" si="30"/>
        <v/>
      </c>
      <c r="AG99" s="685" t="str">
        <f t="shared" si="22"/>
        <v/>
      </c>
      <c r="AH99" s="646" t="str">
        <f t="shared" si="23"/>
        <v/>
      </c>
      <c r="AI99" s="646" t="str">
        <f t="shared" si="34"/>
        <v/>
      </c>
      <c r="AJ99" s="647" t="str">
        <f t="shared" si="35"/>
        <v/>
      </c>
      <c r="AK99" s="647" t="str">
        <f t="shared" si="24"/>
        <v/>
      </c>
      <c r="AL99" s="647" t="str">
        <f t="shared" si="36"/>
        <v/>
      </c>
      <c r="AM99" s="647" t="str">
        <f t="shared" si="31"/>
        <v/>
      </c>
      <c r="AN99" s="647" t="str">
        <f t="shared" si="25"/>
        <v/>
      </c>
      <c r="AO99" s="647" t="str">
        <f t="shared" si="26"/>
        <v/>
      </c>
      <c r="AP99" s="647" t="str">
        <f t="shared" si="27"/>
        <v/>
      </c>
      <c r="AQ99" s="647" t="str">
        <f t="shared" si="32"/>
        <v/>
      </c>
      <c r="AR99" s="647" t="str">
        <f t="shared" si="28"/>
        <v/>
      </c>
      <c r="AS99" s="647" t="str">
        <f t="shared" si="29"/>
        <v/>
      </c>
      <c r="AT99" s="1323" t="str">
        <f t="shared" si="39"/>
        <v/>
      </c>
      <c r="AU99" s="1323" t="str">
        <f t="shared" si="40"/>
        <v/>
      </c>
    </row>
    <row r="100" spans="3:47" s="5" customFormat="1" ht="28.15" hidden="1" customHeight="1" outlineLevel="1">
      <c r="C100" s="649">
        <v>82</v>
      </c>
      <c r="D100" s="1133"/>
      <c r="E100" s="670"/>
      <c r="F100" s="726"/>
      <c r="G100" s="705"/>
      <c r="H100" s="255"/>
      <c r="I100" s="255"/>
      <c r="J100" s="1049"/>
      <c r="K100" s="735"/>
      <c r="L100" s="735"/>
      <c r="M100" s="736"/>
      <c r="N100" s="735"/>
      <c r="O100" s="727"/>
      <c r="P100" s="1321"/>
      <c r="Q100" s="1329"/>
      <c r="R100" s="254"/>
      <c r="S100" s="703"/>
      <c r="T100" s="728"/>
      <c r="U100" s="431"/>
      <c r="V100" s="499"/>
      <c r="W100" s="741"/>
      <c r="X100" s="51"/>
      <c r="Y100" s="51"/>
      <c r="Z100" s="645" t="str">
        <f t="shared" si="21"/>
        <v/>
      </c>
      <c r="AA100" s="1037" t="str">
        <f t="shared" si="37"/>
        <v/>
      </c>
      <c r="AB100" s="1037" t="str">
        <f t="shared" si="38"/>
        <v/>
      </c>
      <c r="AC100" s="1037" t="str">
        <f>IF(Z100="","",VLOOKUP(Z100,リスト!BN:BO,2,0))</f>
        <v/>
      </c>
      <c r="AD100" s="1037" t="str">
        <f t="shared" si="33"/>
        <v/>
      </c>
      <c r="AE100" s="1037" t="str">
        <f>IF(AD100="","",VLOOKUP(AD100,リスト!BW:BX,2,0))</f>
        <v/>
      </c>
      <c r="AF100" s="1037" t="str">
        <f t="shared" si="30"/>
        <v/>
      </c>
      <c r="AG100" s="685" t="str">
        <f t="shared" si="22"/>
        <v/>
      </c>
      <c r="AH100" s="646" t="str">
        <f t="shared" si="23"/>
        <v/>
      </c>
      <c r="AI100" s="646" t="str">
        <f t="shared" si="34"/>
        <v/>
      </c>
      <c r="AJ100" s="647" t="str">
        <f t="shared" si="35"/>
        <v/>
      </c>
      <c r="AK100" s="647" t="str">
        <f t="shared" si="24"/>
        <v/>
      </c>
      <c r="AL100" s="647" t="str">
        <f t="shared" si="36"/>
        <v/>
      </c>
      <c r="AM100" s="647" t="str">
        <f t="shared" si="31"/>
        <v/>
      </c>
      <c r="AN100" s="647" t="str">
        <f t="shared" si="25"/>
        <v/>
      </c>
      <c r="AO100" s="647" t="str">
        <f t="shared" si="26"/>
        <v/>
      </c>
      <c r="AP100" s="647" t="str">
        <f t="shared" si="27"/>
        <v/>
      </c>
      <c r="AQ100" s="647" t="str">
        <f t="shared" si="32"/>
        <v/>
      </c>
      <c r="AR100" s="647" t="str">
        <f t="shared" si="28"/>
        <v/>
      </c>
      <c r="AS100" s="647" t="str">
        <f t="shared" si="29"/>
        <v/>
      </c>
      <c r="AT100" s="1323" t="str">
        <f t="shared" si="39"/>
        <v/>
      </c>
      <c r="AU100" s="1323" t="str">
        <f t="shared" si="40"/>
        <v/>
      </c>
    </row>
    <row r="101" spans="3:47" s="5" customFormat="1" ht="28.15" hidden="1" customHeight="1" outlineLevel="1">
      <c r="C101" s="649">
        <v>83</v>
      </c>
      <c r="D101" s="1134"/>
      <c r="E101" s="729"/>
      <c r="F101" s="726"/>
      <c r="G101" s="705"/>
      <c r="H101" s="257"/>
      <c r="I101" s="257"/>
      <c r="J101" s="1049"/>
      <c r="K101" s="735"/>
      <c r="L101" s="735"/>
      <c r="M101" s="736"/>
      <c r="N101" s="735"/>
      <c r="O101" s="727"/>
      <c r="P101" s="1321"/>
      <c r="Q101" s="1329"/>
      <c r="R101" s="254"/>
      <c r="S101" s="703"/>
      <c r="T101" s="728"/>
      <c r="U101" s="431"/>
      <c r="V101" s="499"/>
      <c r="W101" s="741"/>
      <c r="X101" s="51"/>
      <c r="Y101" s="51"/>
      <c r="Z101" s="645" t="str">
        <f t="shared" si="21"/>
        <v/>
      </c>
      <c r="AA101" s="1037" t="str">
        <f t="shared" si="37"/>
        <v/>
      </c>
      <c r="AB101" s="1037" t="str">
        <f t="shared" si="38"/>
        <v/>
      </c>
      <c r="AC101" s="1037" t="str">
        <f>IF(Z101="","",VLOOKUP(Z101,リスト!BN:BO,2,0))</f>
        <v/>
      </c>
      <c r="AD101" s="1037" t="str">
        <f t="shared" si="33"/>
        <v/>
      </c>
      <c r="AE101" s="1037" t="str">
        <f>IF(AD101="","",VLOOKUP(AD101,リスト!BW:BX,2,0))</f>
        <v/>
      </c>
      <c r="AF101" s="1037" t="str">
        <f t="shared" si="30"/>
        <v/>
      </c>
      <c r="AG101" s="685" t="str">
        <f t="shared" si="22"/>
        <v/>
      </c>
      <c r="AH101" s="646" t="str">
        <f t="shared" si="23"/>
        <v/>
      </c>
      <c r="AI101" s="646" t="str">
        <f t="shared" si="34"/>
        <v/>
      </c>
      <c r="AJ101" s="647" t="str">
        <f t="shared" si="35"/>
        <v/>
      </c>
      <c r="AK101" s="647" t="str">
        <f t="shared" si="24"/>
        <v/>
      </c>
      <c r="AL101" s="647" t="str">
        <f t="shared" si="36"/>
        <v/>
      </c>
      <c r="AM101" s="647" t="str">
        <f t="shared" si="31"/>
        <v/>
      </c>
      <c r="AN101" s="647" t="str">
        <f t="shared" si="25"/>
        <v/>
      </c>
      <c r="AO101" s="647" t="str">
        <f t="shared" si="26"/>
        <v/>
      </c>
      <c r="AP101" s="647" t="str">
        <f t="shared" si="27"/>
        <v/>
      </c>
      <c r="AQ101" s="647" t="str">
        <f t="shared" si="32"/>
        <v/>
      </c>
      <c r="AR101" s="647" t="str">
        <f t="shared" si="28"/>
        <v/>
      </c>
      <c r="AS101" s="647" t="str">
        <f t="shared" si="29"/>
        <v/>
      </c>
      <c r="AT101" s="1323" t="str">
        <f t="shared" si="39"/>
        <v/>
      </c>
      <c r="AU101" s="1323" t="str">
        <f t="shared" si="40"/>
        <v/>
      </c>
    </row>
    <row r="102" spans="3:47" s="5" customFormat="1" ht="28.15" hidden="1" customHeight="1" outlineLevel="1">
      <c r="C102" s="649">
        <v>84</v>
      </c>
      <c r="D102" s="1133"/>
      <c r="E102" s="670"/>
      <c r="F102" s="726"/>
      <c r="G102" s="705"/>
      <c r="H102" s="255"/>
      <c r="I102" s="255"/>
      <c r="J102" s="1049"/>
      <c r="K102" s="735"/>
      <c r="L102" s="735"/>
      <c r="M102" s="736"/>
      <c r="N102" s="735"/>
      <c r="O102" s="727"/>
      <c r="P102" s="1321"/>
      <c r="Q102" s="1329"/>
      <c r="R102" s="254"/>
      <c r="S102" s="703"/>
      <c r="T102" s="728"/>
      <c r="U102" s="431"/>
      <c r="V102" s="499"/>
      <c r="W102" s="741"/>
      <c r="X102" s="51"/>
      <c r="Y102" s="51"/>
      <c r="Z102" s="645" t="str">
        <f t="shared" si="21"/>
        <v/>
      </c>
      <c r="AA102" s="1037" t="str">
        <f t="shared" si="37"/>
        <v/>
      </c>
      <c r="AB102" s="1037" t="str">
        <f t="shared" si="38"/>
        <v/>
      </c>
      <c r="AC102" s="1037" t="str">
        <f>IF(Z102="","",VLOOKUP(Z102,リスト!BN:BO,2,0))</f>
        <v/>
      </c>
      <c r="AD102" s="1037" t="str">
        <f t="shared" si="33"/>
        <v/>
      </c>
      <c r="AE102" s="1037" t="str">
        <f>IF(AD102="","",VLOOKUP(AD102,リスト!BW:BX,2,0))</f>
        <v/>
      </c>
      <c r="AF102" s="1037" t="str">
        <f t="shared" si="30"/>
        <v/>
      </c>
      <c r="AG102" s="685" t="str">
        <f t="shared" si="22"/>
        <v/>
      </c>
      <c r="AH102" s="646" t="str">
        <f t="shared" si="23"/>
        <v/>
      </c>
      <c r="AI102" s="646" t="str">
        <f t="shared" si="34"/>
        <v/>
      </c>
      <c r="AJ102" s="647" t="str">
        <f t="shared" si="35"/>
        <v/>
      </c>
      <c r="AK102" s="647" t="str">
        <f t="shared" si="24"/>
        <v/>
      </c>
      <c r="AL102" s="647" t="str">
        <f t="shared" si="36"/>
        <v/>
      </c>
      <c r="AM102" s="647" t="str">
        <f t="shared" si="31"/>
        <v/>
      </c>
      <c r="AN102" s="647" t="str">
        <f t="shared" si="25"/>
        <v/>
      </c>
      <c r="AO102" s="647" t="str">
        <f t="shared" si="26"/>
        <v/>
      </c>
      <c r="AP102" s="647" t="str">
        <f t="shared" si="27"/>
        <v/>
      </c>
      <c r="AQ102" s="647" t="str">
        <f t="shared" si="32"/>
        <v/>
      </c>
      <c r="AR102" s="647" t="str">
        <f t="shared" si="28"/>
        <v/>
      </c>
      <c r="AS102" s="647" t="str">
        <f t="shared" si="29"/>
        <v/>
      </c>
      <c r="AT102" s="1323" t="str">
        <f t="shared" si="39"/>
        <v/>
      </c>
      <c r="AU102" s="1323" t="str">
        <f t="shared" si="40"/>
        <v/>
      </c>
    </row>
    <row r="103" spans="3:47" s="5" customFormat="1" ht="28.15" hidden="1" customHeight="1" outlineLevel="1">
      <c r="C103" s="649">
        <v>85</v>
      </c>
      <c r="D103" s="1134"/>
      <c r="E103" s="729"/>
      <c r="F103" s="726"/>
      <c r="G103" s="705"/>
      <c r="H103" s="257"/>
      <c r="I103" s="257"/>
      <c r="J103" s="1050"/>
      <c r="K103" s="735"/>
      <c r="L103" s="735"/>
      <c r="M103" s="736"/>
      <c r="N103" s="735"/>
      <c r="O103" s="727"/>
      <c r="P103" s="1321"/>
      <c r="Q103" s="1329"/>
      <c r="R103" s="254"/>
      <c r="S103" s="703"/>
      <c r="T103" s="728"/>
      <c r="U103" s="431"/>
      <c r="V103" s="499"/>
      <c r="W103" s="741"/>
      <c r="X103" s="51"/>
      <c r="Y103" s="51"/>
      <c r="Z103" s="645" t="str">
        <f t="shared" si="21"/>
        <v/>
      </c>
      <c r="AA103" s="1037" t="str">
        <f t="shared" si="37"/>
        <v/>
      </c>
      <c r="AB103" s="1037" t="str">
        <f t="shared" si="38"/>
        <v/>
      </c>
      <c r="AC103" s="1037" t="str">
        <f>IF(Z103="","",VLOOKUP(Z103,リスト!BN:BO,2,0))</f>
        <v/>
      </c>
      <c r="AD103" s="1037" t="str">
        <f t="shared" si="33"/>
        <v/>
      </c>
      <c r="AE103" s="1037" t="str">
        <f>IF(AD103="","",VLOOKUP(AD103,リスト!BW:BX,2,0))</f>
        <v/>
      </c>
      <c r="AF103" s="1037" t="str">
        <f t="shared" si="30"/>
        <v/>
      </c>
      <c r="AG103" s="685" t="str">
        <f t="shared" si="22"/>
        <v/>
      </c>
      <c r="AH103" s="646" t="str">
        <f t="shared" si="23"/>
        <v/>
      </c>
      <c r="AI103" s="646" t="str">
        <f t="shared" si="34"/>
        <v/>
      </c>
      <c r="AJ103" s="647" t="str">
        <f t="shared" si="35"/>
        <v/>
      </c>
      <c r="AK103" s="647" t="str">
        <f t="shared" si="24"/>
        <v/>
      </c>
      <c r="AL103" s="647" t="str">
        <f t="shared" si="36"/>
        <v/>
      </c>
      <c r="AM103" s="647" t="str">
        <f t="shared" si="31"/>
        <v/>
      </c>
      <c r="AN103" s="647" t="str">
        <f t="shared" si="25"/>
        <v/>
      </c>
      <c r="AO103" s="647" t="str">
        <f t="shared" si="26"/>
        <v/>
      </c>
      <c r="AP103" s="647" t="str">
        <f t="shared" si="27"/>
        <v/>
      </c>
      <c r="AQ103" s="647" t="str">
        <f t="shared" si="32"/>
        <v/>
      </c>
      <c r="AR103" s="647" t="str">
        <f t="shared" si="28"/>
        <v/>
      </c>
      <c r="AS103" s="647" t="str">
        <f t="shared" si="29"/>
        <v/>
      </c>
      <c r="AT103" s="1323" t="str">
        <f t="shared" si="39"/>
        <v/>
      </c>
      <c r="AU103" s="1323" t="str">
        <f t="shared" si="40"/>
        <v/>
      </c>
    </row>
    <row r="104" spans="3:47" s="5" customFormat="1" ht="28.15" hidden="1" customHeight="1" outlineLevel="1">
      <c r="C104" s="649">
        <v>86</v>
      </c>
      <c r="D104" s="1133"/>
      <c r="E104" s="670"/>
      <c r="F104" s="726"/>
      <c r="G104" s="705"/>
      <c r="H104" s="255"/>
      <c r="I104" s="255"/>
      <c r="J104" s="1051"/>
      <c r="K104" s="735"/>
      <c r="L104" s="735"/>
      <c r="M104" s="736"/>
      <c r="N104" s="735"/>
      <c r="O104" s="727"/>
      <c r="P104" s="1321"/>
      <c r="Q104" s="1329"/>
      <c r="R104" s="254"/>
      <c r="S104" s="703"/>
      <c r="T104" s="728"/>
      <c r="U104" s="431"/>
      <c r="V104" s="499"/>
      <c r="W104" s="741"/>
      <c r="X104" s="51"/>
      <c r="Y104" s="51"/>
      <c r="Z104" s="645" t="str">
        <f t="shared" si="21"/>
        <v/>
      </c>
      <c r="AA104" s="1037" t="str">
        <f t="shared" si="37"/>
        <v/>
      </c>
      <c r="AB104" s="1037" t="str">
        <f t="shared" si="38"/>
        <v/>
      </c>
      <c r="AC104" s="1037" t="str">
        <f>IF(Z104="","",VLOOKUP(Z104,リスト!BN:BO,2,0))</f>
        <v/>
      </c>
      <c r="AD104" s="1037" t="str">
        <f t="shared" si="33"/>
        <v/>
      </c>
      <c r="AE104" s="1037" t="str">
        <f>IF(AD104="","",VLOOKUP(AD104,リスト!BW:BX,2,0))</f>
        <v/>
      </c>
      <c r="AF104" s="1037" t="str">
        <f t="shared" si="30"/>
        <v/>
      </c>
      <c r="AG104" s="685" t="str">
        <f t="shared" si="22"/>
        <v/>
      </c>
      <c r="AH104" s="646" t="str">
        <f t="shared" si="23"/>
        <v/>
      </c>
      <c r="AI104" s="646" t="str">
        <f t="shared" si="34"/>
        <v/>
      </c>
      <c r="AJ104" s="647" t="str">
        <f t="shared" si="35"/>
        <v/>
      </c>
      <c r="AK104" s="647" t="str">
        <f t="shared" si="24"/>
        <v/>
      </c>
      <c r="AL104" s="647" t="str">
        <f t="shared" si="36"/>
        <v/>
      </c>
      <c r="AM104" s="647" t="str">
        <f t="shared" si="31"/>
        <v/>
      </c>
      <c r="AN104" s="647" t="str">
        <f t="shared" si="25"/>
        <v/>
      </c>
      <c r="AO104" s="647" t="str">
        <f t="shared" si="26"/>
        <v/>
      </c>
      <c r="AP104" s="647" t="str">
        <f t="shared" si="27"/>
        <v/>
      </c>
      <c r="AQ104" s="647" t="str">
        <f t="shared" si="32"/>
        <v/>
      </c>
      <c r="AR104" s="647" t="str">
        <f t="shared" si="28"/>
        <v/>
      </c>
      <c r="AS104" s="647" t="str">
        <f t="shared" si="29"/>
        <v/>
      </c>
      <c r="AT104" s="1323" t="str">
        <f t="shared" si="39"/>
        <v/>
      </c>
      <c r="AU104" s="1323" t="str">
        <f t="shared" si="40"/>
        <v/>
      </c>
    </row>
    <row r="105" spans="3:47" s="5" customFormat="1" ht="28.15" hidden="1" customHeight="1" outlineLevel="1">
      <c r="C105" s="649">
        <v>87</v>
      </c>
      <c r="D105" s="1133"/>
      <c r="E105" s="670"/>
      <c r="F105" s="726"/>
      <c r="G105" s="705"/>
      <c r="H105" s="255"/>
      <c r="I105" s="255"/>
      <c r="J105" s="1051"/>
      <c r="K105" s="735"/>
      <c r="L105" s="735"/>
      <c r="M105" s="736"/>
      <c r="N105" s="735"/>
      <c r="O105" s="727"/>
      <c r="P105" s="1321"/>
      <c r="Q105" s="1329"/>
      <c r="R105" s="254"/>
      <c r="S105" s="703"/>
      <c r="T105" s="728"/>
      <c r="U105" s="431"/>
      <c r="V105" s="499"/>
      <c r="W105" s="741"/>
      <c r="X105" s="51"/>
      <c r="Y105" s="51"/>
      <c r="Z105" s="645" t="str">
        <f t="shared" si="21"/>
        <v/>
      </c>
      <c r="AA105" s="1037" t="str">
        <f t="shared" si="37"/>
        <v/>
      </c>
      <c r="AB105" s="1037" t="str">
        <f t="shared" si="38"/>
        <v/>
      </c>
      <c r="AC105" s="1037" t="str">
        <f>IF(Z105="","",VLOOKUP(Z105,リスト!BN:BO,2,0))</f>
        <v/>
      </c>
      <c r="AD105" s="1037" t="str">
        <f t="shared" si="33"/>
        <v/>
      </c>
      <c r="AE105" s="1037" t="str">
        <f>IF(AD105="","",VLOOKUP(AD105,リスト!BW:BX,2,0))</f>
        <v/>
      </c>
      <c r="AF105" s="1037" t="str">
        <f t="shared" si="30"/>
        <v/>
      </c>
      <c r="AG105" s="685" t="str">
        <f t="shared" si="22"/>
        <v/>
      </c>
      <c r="AH105" s="646" t="str">
        <f t="shared" si="23"/>
        <v/>
      </c>
      <c r="AI105" s="646" t="str">
        <f t="shared" si="34"/>
        <v/>
      </c>
      <c r="AJ105" s="647" t="str">
        <f t="shared" si="35"/>
        <v/>
      </c>
      <c r="AK105" s="647" t="str">
        <f t="shared" si="24"/>
        <v/>
      </c>
      <c r="AL105" s="647" t="str">
        <f t="shared" si="36"/>
        <v/>
      </c>
      <c r="AM105" s="647" t="str">
        <f t="shared" si="31"/>
        <v/>
      </c>
      <c r="AN105" s="647" t="str">
        <f t="shared" si="25"/>
        <v/>
      </c>
      <c r="AO105" s="647" t="str">
        <f t="shared" si="26"/>
        <v/>
      </c>
      <c r="AP105" s="647" t="str">
        <f t="shared" si="27"/>
        <v/>
      </c>
      <c r="AQ105" s="647" t="str">
        <f t="shared" si="32"/>
        <v/>
      </c>
      <c r="AR105" s="647" t="str">
        <f t="shared" si="28"/>
        <v/>
      </c>
      <c r="AS105" s="647" t="str">
        <f t="shared" si="29"/>
        <v/>
      </c>
      <c r="AT105" s="1323" t="str">
        <f t="shared" si="39"/>
        <v/>
      </c>
      <c r="AU105" s="1323" t="str">
        <f t="shared" si="40"/>
        <v/>
      </c>
    </row>
    <row r="106" spans="3:47" s="5" customFormat="1" ht="28.15" hidden="1" customHeight="1" outlineLevel="1">
      <c r="C106" s="649">
        <v>88</v>
      </c>
      <c r="D106" s="1133"/>
      <c r="E106" s="670"/>
      <c r="F106" s="726"/>
      <c r="G106" s="705"/>
      <c r="H106" s="255"/>
      <c r="I106" s="255"/>
      <c r="J106" s="1051"/>
      <c r="K106" s="735"/>
      <c r="L106" s="735"/>
      <c r="M106" s="736"/>
      <c r="N106" s="735"/>
      <c r="O106" s="727"/>
      <c r="P106" s="1321"/>
      <c r="Q106" s="1329"/>
      <c r="R106" s="254"/>
      <c r="S106" s="703"/>
      <c r="T106" s="728"/>
      <c r="U106" s="431"/>
      <c r="V106" s="499"/>
      <c r="W106" s="741"/>
      <c r="X106" s="51"/>
      <c r="Y106" s="51"/>
      <c r="Z106" s="645" t="str">
        <f t="shared" si="21"/>
        <v/>
      </c>
      <c r="AA106" s="1037" t="str">
        <f t="shared" si="37"/>
        <v/>
      </c>
      <c r="AB106" s="1037" t="str">
        <f t="shared" si="38"/>
        <v/>
      </c>
      <c r="AC106" s="1037" t="str">
        <f>IF(Z106="","",VLOOKUP(Z106,リスト!BN:BO,2,0))</f>
        <v/>
      </c>
      <c r="AD106" s="1037" t="str">
        <f t="shared" si="33"/>
        <v/>
      </c>
      <c r="AE106" s="1037" t="str">
        <f>IF(AD106="","",VLOOKUP(AD106,リスト!BW:BX,2,0))</f>
        <v/>
      </c>
      <c r="AF106" s="1037" t="str">
        <f t="shared" si="30"/>
        <v/>
      </c>
      <c r="AG106" s="685" t="str">
        <f t="shared" si="22"/>
        <v/>
      </c>
      <c r="AH106" s="646" t="str">
        <f t="shared" si="23"/>
        <v/>
      </c>
      <c r="AI106" s="646" t="str">
        <f t="shared" si="34"/>
        <v/>
      </c>
      <c r="AJ106" s="647" t="str">
        <f t="shared" si="35"/>
        <v/>
      </c>
      <c r="AK106" s="647" t="str">
        <f t="shared" si="24"/>
        <v/>
      </c>
      <c r="AL106" s="647" t="str">
        <f t="shared" si="36"/>
        <v/>
      </c>
      <c r="AM106" s="647" t="str">
        <f t="shared" si="31"/>
        <v/>
      </c>
      <c r="AN106" s="647" t="str">
        <f t="shared" si="25"/>
        <v/>
      </c>
      <c r="AO106" s="647" t="str">
        <f t="shared" si="26"/>
        <v/>
      </c>
      <c r="AP106" s="647" t="str">
        <f t="shared" si="27"/>
        <v/>
      </c>
      <c r="AQ106" s="647" t="str">
        <f t="shared" si="32"/>
        <v/>
      </c>
      <c r="AR106" s="647" t="str">
        <f t="shared" si="28"/>
        <v/>
      </c>
      <c r="AS106" s="647" t="str">
        <f t="shared" si="29"/>
        <v/>
      </c>
      <c r="AT106" s="1323" t="str">
        <f t="shared" si="39"/>
        <v/>
      </c>
      <c r="AU106" s="1323" t="str">
        <f t="shared" si="40"/>
        <v/>
      </c>
    </row>
    <row r="107" spans="3:47" s="5" customFormat="1" ht="28.15" hidden="1" customHeight="1" outlineLevel="1">
      <c r="C107" s="649">
        <v>89</v>
      </c>
      <c r="D107" s="1133"/>
      <c r="E107" s="670"/>
      <c r="F107" s="726"/>
      <c r="G107" s="705"/>
      <c r="H107" s="255"/>
      <c r="I107" s="255"/>
      <c r="J107" s="1051"/>
      <c r="K107" s="735"/>
      <c r="L107" s="735"/>
      <c r="M107" s="736"/>
      <c r="N107" s="735"/>
      <c r="O107" s="727"/>
      <c r="P107" s="1321"/>
      <c r="Q107" s="1329"/>
      <c r="R107" s="254"/>
      <c r="S107" s="703"/>
      <c r="T107" s="728"/>
      <c r="U107" s="431"/>
      <c r="V107" s="499"/>
      <c r="W107" s="741"/>
      <c r="X107" s="51"/>
      <c r="Y107" s="51"/>
      <c r="Z107" s="645" t="str">
        <f t="shared" si="21"/>
        <v/>
      </c>
      <c r="AA107" s="1037" t="str">
        <f t="shared" si="37"/>
        <v/>
      </c>
      <c r="AB107" s="1037" t="str">
        <f t="shared" si="38"/>
        <v/>
      </c>
      <c r="AC107" s="1037" t="str">
        <f>IF(Z107="","",VLOOKUP(Z107,リスト!BN:BO,2,0))</f>
        <v/>
      </c>
      <c r="AD107" s="1037" t="str">
        <f t="shared" si="33"/>
        <v/>
      </c>
      <c r="AE107" s="1037" t="str">
        <f>IF(AD107="","",VLOOKUP(AD107,リスト!BW:BX,2,0))</f>
        <v/>
      </c>
      <c r="AF107" s="1037" t="str">
        <f t="shared" si="30"/>
        <v/>
      </c>
      <c r="AG107" s="685" t="str">
        <f t="shared" si="22"/>
        <v/>
      </c>
      <c r="AH107" s="646" t="str">
        <f t="shared" si="23"/>
        <v/>
      </c>
      <c r="AI107" s="646" t="str">
        <f t="shared" si="34"/>
        <v/>
      </c>
      <c r="AJ107" s="647" t="str">
        <f t="shared" si="35"/>
        <v/>
      </c>
      <c r="AK107" s="647" t="str">
        <f t="shared" si="24"/>
        <v/>
      </c>
      <c r="AL107" s="647" t="str">
        <f t="shared" si="36"/>
        <v/>
      </c>
      <c r="AM107" s="647" t="str">
        <f t="shared" si="31"/>
        <v/>
      </c>
      <c r="AN107" s="647" t="str">
        <f t="shared" si="25"/>
        <v/>
      </c>
      <c r="AO107" s="647" t="str">
        <f t="shared" si="26"/>
        <v/>
      </c>
      <c r="AP107" s="647" t="str">
        <f t="shared" si="27"/>
        <v/>
      </c>
      <c r="AQ107" s="647" t="str">
        <f t="shared" si="32"/>
        <v/>
      </c>
      <c r="AR107" s="647" t="str">
        <f t="shared" si="28"/>
        <v/>
      </c>
      <c r="AS107" s="647" t="str">
        <f t="shared" si="29"/>
        <v/>
      </c>
      <c r="AT107" s="1323" t="str">
        <f t="shared" si="39"/>
        <v/>
      </c>
      <c r="AU107" s="1323" t="str">
        <f t="shared" si="40"/>
        <v/>
      </c>
    </row>
    <row r="108" spans="3:47" s="5" customFormat="1" ht="28.15" hidden="1" customHeight="1" outlineLevel="1">
      <c r="C108" s="649">
        <v>90</v>
      </c>
      <c r="D108" s="1133"/>
      <c r="E108" s="670"/>
      <c r="F108" s="726"/>
      <c r="G108" s="705"/>
      <c r="H108" s="255"/>
      <c r="I108" s="255"/>
      <c r="J108" s="1051"/>
      <c r="K108" s="735"/>
      <c r="L108" s="735"/>
      <c r="M108" s="736"/>
      <c r="N108" s="735"/>
      <c r="O108" s="727"/>
      <c r="P108" s="1321"/>
      <c r="Q108" s="1329"/>
      <c r="R108" s="254"/>
      <c r="S108" s="703"/>
      <c r="T108" s="728"/>
      <c r="U108" s="431"/>
      <c r="V108" s="499"/>
      <c r="W108" s="741"/>
      <c r="X108" s="51"/>
      <c r="Y108" s="51"/>
      <c r="Z108" s="645" t="str">
        <f t="shared" si="21"/>
        <v/>
      </c>
      <c r="AA108" s="1037" t="str">
        <f t="shared" si="37"/>
        <v/>
      </c>
      <c r="AB108" s="1037" t="str">
        <f t="shared" si="38"/>
        <v/>
      </c>
      <c r="AC108" s="1037" t="str">
        <f>IF(Z108="","",VLOOKUP(Z108,リスト!BN:BO,2,0))</f>
        <v/>
      </c>
      <c r="AD108" s="1037" t="str">
        <f t="shared" si="33"/>
        <v/>
      </c>
      <c r="AE108" s="1037" t="str">
        <f>IF(AD108="","",VLOOKUP(AD108,リスト!BW:BX,2,0))</f>
        <v/>
      </c>
      <c r="AF108" s="1037" t="str">
        <f t="shared" si="30"/>
        <v/>
      </c>
      <c r="AG108" s="685" t="str">
        <f t="shared" si="22"/>
        <v/>
      </c>
      <c r="AH108" s="646" t="str">
        <f t="shared" si="23"/>
        <v/>
      </c>
      <c r="AI108" s="646" t="str">
        <f t="shared" si="34"/>
        <v/>
      </c>
      <c r="AJ108" s="647" t="str">
        <f t="shared" si="35"/>
        <v/>
      </c>
      <c r="AK108" s="647" t="str">
        <f t="shared" si="24"/>
        <v/>
      </c>
      <c r="AL108" s="647" t="str">
        <f t="shared" si="36"/>
        <v/>
      </c>
      <c r="AM108" s="647" t="str">
        <f t="shared" si="31"/>
        <v/>
      </c>
      <c r="AN108" s="647" t="str">
        <f t="shared" si="25"/>
        <v/>
      </c>
      <c r="AO108" s="647" t="str">
        <f t="shared" si="26"/>
        <v/>
      </c>
      <c r="AP108" s="647" t="str">
        <f t="shared" si="27"/>
        <v/>
      </c>
      <c r="AQ108" s="647" t="str">
        <f t="shared" si="32"/>
        <v/>
      </c>
      <c r="AR108" s="647" t="str">
        <f t="shared" si="28"/>
        <v/>
      </c>
      <c r="AS108" s="647" t="str">
        <f t="shared" si="29"/>
        <v/>
      </c>
      <c r="AT108" s="1323" t="str">
        <f t="shared" si="39"/>
        <v/>
      </c>
      <c r="AU108" s="1323" t="str">
        <f t="shared" si="40"/>
        <v/>
      </c>
    </row>
    <row r="109" spans="3:47" s="5" customFormat="1" ht="28.15" hidden="1" customHeight="1" outlineLevel="1">
      <c r="C109" s="649">
        <v>91</v>
      </c>
      <c r="D109" s="1133"/>
      <c r="E109" s="670"/>
      <c r="F109" s="726"/>
      <c r="G109" s="705"/>
      <c r="H109" s="255"/>
      <c r="I109" s="255"/>
      <c r="J109" s="1051"/>
      <c r="K109" s="735"/>
      <c r="L109" s="735"/>
      <c r="M109" s="736"/>
      <c r="N109" s="735"/>
      <c r="O109" s="727"/>
      <c r="P109" s="1321"/>
      <c r="Q109" s="1329"/>
      <c r="R109" s="254"/>
      <c r="S109" s="703"/>
      <c r="T109" s="728"/>
      <c r="U109" s="431"/>
      <c r="V109" s="499"/>
      <c r="W109" s="741"/>
      <c r="X109" s="51"/>
      <c r="Y109" s="51"/>
      <c r="Z109" s="645" t="str">
        <f t="shared" si="21"/>
        <v/>
      </c>
      <c r="AA109" s="1037" t="str">
        <f t="shared" si="37"/>
        <v/>
      </c>
      <c r="AB109" s="1037" t="str">
        <f t="shared" si="38"/>
        <v/>
      </c>
      <c r="AC109" s="1037" t="str">
        <f>IF(Z109="","",VLOOKUP(Z109,リスト!BN:BO,2,0))</f>
        <v/>
      </c>
      <c r="AD109" s="1037" t="str">
        <f t="shared" si="33"/>
        <v/>
      </c>
      <c r="AE109" s="1037" t="str">
        <f>IF(AD109="","",VLOOKUP(AD109,リスト!BW:BX,2,0))</f>
        <v/>
      </c>
      <c r="AF109" s="1037" t="str">
        <f t="shared" si="30"/>
        <v/>
      </c>
      <c r="AG109" s="685" t="str">
        <f t="shared" si="22"/>
        <v/>
      </c>
      <c r="AH109" s="646" t="str">
        <f t="shared" si="23"/>
        <v/>
      </c>
      <c r="AI109" s="646" t="str">
        <f t="shared" si="34"/>
        <v/>
      </c>
      <c r="AJ109" s="647" t="str">
        <f t="shared" si="35"/>
        <v/>
      </c>
      <c r="AK109" s="647" t="str">
        <f t="shared" si="24"/>
        <v/>
      </c>
      <c r="AL109" s="647" t="str">
        <f t="shared" si="36"/>
        <v/>
      </c>
      <c r="AM109" s="647" t="str">
        <f t="shared" si="31"/>
        <v/>
      </c>
      <c r="AN109" s="647" t="str">
        <f t="shared" si="25"/>
        <v/>
      </c>
      <c r="AO109" s="647" t="str">
        <f t="shared" si="26"/>
        <v/>
      </c>
      <c r="AP109" s="647" t="str">
        <f t="shared" si="27"/>
        <v/>
      </c>
      <c r="AQ109" s="647" t="str">
        <f t="shared" si="32"/>
        <v/>
      </c>
      <c r="AR109" s="647" t="str">
        <f t="shared" si="28"/>
        <v/>
      </c>
      <c r="AS109" s="647" t="str">
        <f t="shared" si="29"/>
        <v/>
      </c>
      <c r="AT109" s="1323" t="str">
        <f t="shared" si="39"/>
        <v/>
      </c>
      <c r="AU109" s="1323" t="str">
        <f t="shared" si="40"/>
        <v/>
      </c>
    </row>
    <row r="110" spans="3:47" s="5" customFormat="1" ht="28.15" hidden="1" customHeight="1" outlineLevel="1">
      <c r="C110" s="649">
        <v>92</v>
      </c>
      <c r="D110" s="1133"/>
      <c r="E110" s="670"/>
      <c r="F110" s="726"/>
      <c r="G110" s="666"/>
      <c r="H110" s="266"/>
      <c r="I110" s="266"/>
      <c r="J110" s="1049"/>
      <c r="K110" s="727"/>
      <c r="L110" s="727"/>
      <c r="M110" s="727"/>
      <c r="N110" s="727"/>
      <c r="O110" s="727"/>
      <c r="P110" s="1321"/>
      <c r="Q110" s="1329"/>
      <c r="R110" s="254"/>
      <c r="S110" s="703"/>
      <c r="T110" s="728"/>
      <c r="U110" s="431"/>
      <c r="V110" s="499"/>
      <c r="W110" s="741"/>
      <c r="X110" s="51"/>
      <c r="Y110" s="51"/>
      <c r="Z110" s="645" t="str">
        <f t="shared" si="21"/>
        <v/>
      </c>
      <c r="AA110" s="1037" t="str">
        <f t="shared" si="37"/>
        <v/>
      </c>
      <c r="AB110" s="1037" t="str">
        <f t="shared" si="38"/>
        <v/>
      </c>
      <c r="AC110" s="1037" t="str">
        <f>IF(Z110="","",VLOOKUP(Z110,リスト!BN:BO,2,0))</f>
        <v/>
      </c>
      <c r="AD110" s="1037" t="str">
        <f t="shared" si="33"/>
        <v/>
      </c>
      <c r="AE110" s="1037" t="str">
        <f>IF(AD110="","",VLOOKUP(AD110,リスト!BW:BX,2,0))</f>
        <v/>
      </c>
      <c r="AF110" s="1037" t="str">
        <f t="shared" si="30"/>
        <v/>
      </c>
      <c r="AG110" s="685" t="str">
        <f t="shared" si="22"/>
        <v/>
      </c>
      <c r="AH110" s="646" t="str">
        <f t="shared" si="23"/>
        <v/>
      </c>
      <c r="AI110" s="646" t="str">
        <f t="shared" si="34"/>
        <v/>
      </c>
      <c r="AJ110" s="647" t="str">
        <f t="shared" si="35"/>
        <v/>
      </c>
      <c r="AK110" s="647" t="str">
        <f t="shared" si="24"/>
        <v/>
      </c>
      <c r="AL110" s="647" t="str">
        <f t="shared" si="36"/>
        <v/>
      </c>
      <c r="AM110" s="647" t="str">
        <f t="shared" si="31"/>
        <v/>
      </c>
      <c r="AN110" s="647" t="str">
        <f t="shared" si="25"/>
        <v/>
      </c>
      <c r="AO110" s="647" t="str">
        <f t="shared" si="26"/>
        <v/>
      </c>
      <c r="AP110" s="647" t="str">
        <f t="shared" si="27"/>
        <v/>
      </c>
      <c r="AQ110" s="647" t="str">
        <f t="shared" si="32"/>
        <v/>
      </c>
      <c r="AR110" s="647" t="str">
        <f t="shared" si="28"/>
        <v/>
      </c>
      <c r="AS110" s="647" t="str">
        <f t="shared" si="29"/>
        <v/>
      </c>
      <c r="AT110" s="1323" t="str">
        <f t="shared" si="39"/>
        <v/>
      </c>
      <c r="AU110" s="1323" t="str">
        <f t="shared" si="40"/>
        <v/>
      </c>
    </row>
    <row r="111" spans="3:47" s="5" customFormat="1" ht="28.15" hidden="1" customHeight="1" outlineLevel="1">
      <c r="C111" s="649">
        <v>93</v>
      </c>
      <c r="D111" s="1134"/>
      <c r="E111" s="729"/>
      <c r="F111" s="726"/>
      <c r="G111" s="705"/>
      <c r="H111" s="257"/>
      <c r="I111" s="257"/>
      <c r="J111" s="1049"/>
      <c r="K111" s="735"/>
      <c r="L111" s="735"/>
      <c r="M111" s="736"/>
      <c r="N111" s="735"/>
      <c r="O111" s="727"/>
      <c r="P111" s="1321"/>
      <c r="Q111" s="1329"/>
      <c r="R111" s="254"/>
      <c r="S111" s="703"/>
      <c r="T111" s="728"/>
      <c r="U111" s="431"/>
      <c r="V111" s="499"/>
      <c r="W111" s="741"/>
      <c r="X111" s="51"/>
      <c r="Y111" s="51"/>
      <c r="Z111" s="645" t="str">
        <f t="shared" si="21"/>
        <v/>
      </c>
      <c r="AA111" s="1037" t="str">
        <f t="shared" si="37"/>
        <v/>
      </c>
      <c r="AB111" s="1037" t="str">
        <f t="shared" si="38"/>
        <v/>
      </c>
      <c r="AC111" s="1037" t="str">
        <f>IF(Z111="","",VLOOKUP(Z111,リスト!BN:BO,2,0))</f>
        <v/>
      </c>
      <c r="AD111" s="1037" t="str">
        <f t="shared" si="33"/>
        <v/>
      </c>
      <c r="AE111" s="1037" t="str">
        <f>IF(AD111="","",VLOOKUP(AD111,リスト!BW:BX,2,0))</f>
        <v/>
      </c>
      <c r="AF111" s="1037" t="str">
        <f t="shared" si="30"/>
        <v/>
      </c>
      <c r="AG111" s="685" t="str">
        <f t="shared" si="22"/>
        <v/>
      </c>
      <c r="AH111" s="646" t="str">
        <f t="shared" si="23"/>
        <v/>
      </c>
      <c r="AI111" s="646" t="str">
        <f t="shared" si="34"/>
        <v/>
      </c>
      <c r="AJ111" s="647" t="str">
        <f t="shared" si="35"/>
        <v/>
      </c>
      <c r="AK111" s="647" t="str">
        <f t="shared" si="24"/>
        <v/>
      </c>
      <c r="AL111" s="647" t="str">
        <f t="shared" si="36"/>
        <v/>
      </c>
      <c r="AM111" s="647" t="str">
        <f t="shared" si="31"/>
        <v/>
      </c>
      <c r="AN111" s="647" t="str">
        <f t="shared" si="25"/>
        <v/>
      </c>
      <c r="AO111" s="647" t="str">
        <f t="shared" si="26"/>
        <v/>
      </c>
      <c r="AP111" s="647" t="str">
        <f t="shared" si="27"/>
        <v/>
      </c>
      <c r="AQ111" s="647" t="str">
        <f t="shared" si="32"/>
        <v/>
      </c>
      <c r="AR111" s="647" t="str">
        <f t="shared" si="28"/>
        <v/>
      </c>
      <c r="AS111" s="647" t="str">
        <f t="shared" si="29"/>
        <v/>
      </c>
      <c r="AT111" s="1323" t="str">
        <f t="shared" si="39"/>
        <v/>
      </c>
      <c r="AU111" s="1323" t="str">
        <f t="shared" si="40"/>
        <v/>
      </c>
    </row>
    <row r="112" spans="3:47" s="5" customFormat="1" ht="28.15" hidden="1" customHeight="1" outlineLevel="1">
      <c r="C112" s="649">
        <v>94</v>
      </c>
      <c r="D112" s="1133"/>
      <c r="E112" s="670"/>
      <c r="F112" s="726"/>
      <c r="G112" s="705"/>
      <c r="H112" s="255"/>
      <c r="I112" s="255"/>
      <c r="J112" s="1049"/>
      <c r="K112" s="735"/>
      <c r="L112" s="735"/>
      <c r="M112" s="736"/>
      <c r="N112" s="735"/>
      <c r="O112" s="727"/>
      <c r="P112" s="1321"/>
      <c r="Q112" s="1329"/>
      <c r="R112" s="254"/>
      <c r="S112" s="703"/>
      <c r="T112" s="728"/>
      <c r="U112" s="431"/>
      <c r="V112" s="499"/>
      <c r="W112" s="741"/>
      <c r="X112" s="51"/>
      <c r="Y112" s="51"/>
      <c r="Z112" s="645" t="str">
        <f t="shared" si="21"/>
        <v/>
      </c>
      <c r="AA112" s="1037" t="str">
        <f t="shared" si="37"/>
        <v/>
      </c>
      <c r="AB112" s="1037" t="str">
        <f t="shared" si="38"/>
        <v/>
      </c>
      <c r="AC112" s="1037" t="str">
        <f>IF(Z112="","",VLOOKUP(Z112,リスト!BN:BO,2,0))</f>
        <v/>
      </c>
      <c r="AD112" s="1037" t="str">
        <f t="shared" si="33"/>
        <v/>
      </c>
      <c r="AE112" s="1037" t="str">
        <f>IF(AD112="","",VLOOKUP(AD112,リスト!BW:BX,2,0))</f>
        <v/>
      </c>
      <c r="AF112" s="1037" t="str">
        <f t="shared" si="30"/>
        <v/>
      </c>
      <c r="AG112" s="685" t="str">
        <f t="shared" si="22"/>
        <v/>
      </c>
      <c r="AH112" s="646" t="str">
        <f t="shared" si="23"/>
        <v/>
      </c>
      <c r="AI112" s="646" t="str">
        <f t="shared" si="34"/>
        <v/>
      </c>
      <c r="AJ112" s="647" t="str">
        <f t="shared" si="35"/>
        <v/>
      </c>
      <c r="AK112" s="647" t="str">
        <f t="shared" si="24"/>
        <v/>
      </c>
      <c r="AL112" s="647" t="str">
        <f t="shared" si="36"/>
        <v/>
      </c>
      <c r="AM112" s="647" t="str">
        <f t="shared" si="31"/>
        <v/>
      </c>
      <c r="AN112" s="647" t="str">
        <f t="shared" si="25"/>
        <v/>
      </c>
      <c r="AO112" s="647" t="str">
        <f t="shared" si="26"/>
        <v/>
      </c>
      <c r="AP112" s="647" t="str">
        <f t="shared" si="27"/>
        <v/>
      </c>
      <c r="AQ112" s="647" t="str">
        <f t="shared" si="32"/>
        <v/>
      </c>
      <c r="AR112" s="647" t="str">
        <f t="shared" si="28"/>
        <v/>
      </c>
      <c r="AS112" s="647" t="str">
        <f t="shared" si="29"/>
        <v/>
      </c>
      <c r="AT112" s="1323" t="str">
        <f t="shared" si="39"/>
        <v/>
      </c>
      <c r="AU112" s="1323" t="str">
        <f t="shared" si="40"/>
        <v/>
      </c>
    </row>
    <row r="113" spans="3:47" s="5" customFormat="1" ht="28.15" hidden="1" customHeight="1" outlineLevel="1">
      <c r="C113" s="649">
        <v>95</v>
      </c>
      <c r="D113" s="1134"/>
      <c r="E113" s="729"/>
      <c r="F113" s="726"/>
      <c r="G113" s="705"/>
      <c r="H113" s="257"/>
      <c r="I113" s="257"/>
      <c r="J113" s="1049"/>
      <c r="K113" s="735"/>
      <c r="L113" s="735"/>
      <c r="M113" s="736"/>
      <c r="N113" s="735"/>
      <c r="O113" s="727"/>
      <c r="P113" s="1321"/>
      <c r="Q113" s="1329"/>
      <c r="R113" s="254"/>
      <c r="S113" s="703"/>
      <c r="T113" s="728"/>
      <c r="U113" s="431"/>
      <c r="V113" s="499"/>
      <c r="W113" s="741"/>
      <c r="X113" s="51"/>
      <c r="Y113" s="51"/>
      <c r="Z113" s="645" t="str">
        <f t="shared" si="21"/>
        <v/>
      </c>
      <c r="AA113" s="1037" t="str">
        <f t="shared" si="37"/>
        <v/>
      </c>
      <c r="AB113" s="1037" t="str">
        <f t="shared" si="38"/>
        <v/>
      </c>
      <c r="AC113" s="1037" t="str">
        <f>IF(Z113="","",VLOOKUP(Z113,リスト!BN:BO,2,0))</f>
        <v/>
      </c>
      <c r="AD113" s="1037" t="str">
        <f t="shared" si="33"/>
        <v/>
      </c>
      <c r="AE113" s="1037" t="str">
        <f>IF(AD113="","",VLOOKUP(AD113,リスト!BW:BX,2,0))</f>
        <v/>
      </c>
      <c r="AF113" s="1037" t="str">
        <f t="shared" si="30"/>
        <v/>
      </c>
      <c r="AG113" s="685" t="str">
        <f t="shared" si="22"/>
        <v/>
      </c>
      <c r="AH113" s="646" t="str">
        <f t="shared" si="23"/>
        <v/>
      </c>
      <c r="AI113" s="646" t="str">
        <f t="shared" si="34"/>
        <v/>
      </c>
      <c r="AJ113" s="647" t="str">
        <f t="shared" si="35"/>
        <v/>
      </c>
      <c r="AK113" s="647" t="str">
        <f t="shared" si="24"/>
        <v/>
      </c>
      <c r="AL113" s="647" t="str">
        <f t="shared" si="36"/>
        <v/>
      </c>
      <c r="AM113" s="647" t="str">
        <f t="shared" si="31"/>
        <v/>
      </c>
      <c r="AN113" s="647" t="str">
        <f t="shared" si="25"/>
        <v/>
      </c>
      <c r="AO113" s="647" t="str">
        <f t="shared" si="26"/>
        <v/>
      </c>
      <c r="AP113" s="647" t="str">
        <f t="shared" si="27"/>
        <v/>
      </c>
      <c r="AQ113" s="647" t="str">
        <f t="shared" si="32"/>
        <v/>
      </c>
      <c r="AR113" s="647" t="str">
        <f t="shared" si="28"/>
        <v/>
      </c>
      <c r="AS113" s="647" t="str">
        <f t="shared" si="29"/>
        <v/>
      </c>
      <c r="AT113" s="1323" t="str">
        <f t="shared" si="39"/>
        <v/>
      </c>
      <c r="AU113" s="1323" t="str">
        <f t="shared" si="40"/>
        <v/>
      </c>
    </row>
    <row r="114" spans="3:47" s="5" customFormat="1" ht="28.15" hidden="1" customHeight="1" outlineLevel="1">
      <c r="C114" s="649">
        <v>96</v>
      </c>
      <c r="D114" s="1133"/>
      <c r="E114" s="670"/>
      <c r="F114" s="726"/>
      <c r="G114" s="705"/>
      <c r="H114" s="255"/>
      <c r="I114" s="255"/>
      <c r="J114" s="1049"/>
      <c r="K114" s="735"/>
      <c r="L114" s="735"/>
      <c r="M114" s="736"/>
      <c r="N114" s="735"/>
      <c r="O114" s="727"/>
      <c r="P114" s="1321"/>
      <c r="Q114" s="1329"/>
      <c r="R114" s="254"/>
      <c r="S114" s="703"/>
      <c r="T114" s="728"/>
      <c r="U114" s="431"/>
      <c r="V114" s="499"/>
      <c r="W114" s="741"/>
      <c r="X114" s="51"/>
      <c r="Y114" s="51"/>
      <c r="Z114" s="645" t="str">
        <f t="shared" si="21"/>
        <v/>
      </c>
      <c r="AA114" s="1037" t="str">
        <f t="shared" si="37"/>
        <v/>
      </c>
      <c r="AB114" s="1037" t="str">
        <f t="shared" si="38"/>
        <v/>
      </c>
      <c r="AC114" s="1037" t="str">
        <f>IF(Z114="","",VLOOKUP(Z114,リスト!BN:BO,2,0))</f>
        <v/>
      </c>
      <c r="AD114" s="1037" t="str">
        <f t="shared" si="33"/>
        <v/>
      </c>
      <c r="AE114" s="1037" t="str">
        <f>IF(AD114="","",VLOOKUP(AD114,リスト!BW:BX,2,0))</f>
        <v/>
      </c>
      <c r="AF114" s="1037" t="str">
        <f t="shared" si="30"/>
        <v/>
      </c>
      <c r="AG114" s="685" t="str">
        <f t="shared" si="22"/>
        <v/>
      </c>
      <c r="AH114" s="646" t="str">
        <f t="shared" si="23"/>
        <v/>
      </c>
      <c r="AI114" s="646" t="str">
        <f t="shared" si="34"/>
        <v/>
      </c>
      <c r="AJ114" s="647" t="str">
        <f t="shared" si="35"/>
        <v/>
      </c>
      <c r="AK114" s="647" t="str">
        <f t="shared" si="24"/>
        <v/>
      </c>
      <c r="AL114" s="647" t="str">
        <f t="shared" si="36"/>
        <v/>
      </c>
      <c r="AM114" s="647" t="str">
        <f t="shared" si="31"/>
        <v/>
      </c>
      <c r="AN114" s="647" t="str">
        <f t="shared" si="25"/>
        <v/>
      </c>
      <c r="AO114" s="647" t="str">
        <f t="shared" si="26"/>
        <v/>
      </c>
      <c r="AP114" s="647" t="str">
        <f t="shared" si="27"/>
        <v/>
      </c>
      <c r="AQ114" s="647" t="str">
        <f t="shared" si="32"/>
        <v/>
      </c>
      <c r="AR114" s="647" t="str">
        <f t="shared" si="28"/>
        <v/>
      </c>
      <c r="AS114" s="647" t="str">
        <f t="shared" si="29"/>
        <v/>
      </c>
      <c r="AT114" s="1323" t="str">
        <f t="shared" si="39"/>
        <v/>
      </c>
      <c r="AU114" s="1323" t="str">
        <f t="shared" si="40"/>
        <v/>
      </c>
    </row>
    <row r="115" spans="3:47" s="5" customFormat="1" ht="28.15" hidden="1" customHeight="1" outlineLevel="1">
      <c r="C115" s="649">
        <v>97</v>
      </c>
      <c r="D115" s="1134"/>
      <c r="E115" s="729"/>
      <c r="F115" s="726"/>
      <c r="G115" s="705"/>
      <c r="H115" s="257"/>
      <c r="I115" s="257"/>
      <c r="J115" s="1049"/>
      <c r="K115" s="735"/>
      <c r="L115" s="735"/>
      <c r="M115" s="736"/>
      <c r="N115" s="735"/>
      <c r="O115" s="727"/>
      <c r="P115" s="1321"/>
      <c r="Q115" s="1329"/>
      <c r="R115" s="254"/>
      <c r="S115" s="703"/>
      <c r="T115" s="728"/>
      <c r="U115" s="431"/>
      <c r="V115" s="499"/>
      <c r="W115" s="741"/>
      <c r="X115" s="51"/>
      <c r="Y115" s="51"/>
      <c r="Z115" s="645" t="str">
        <f t="shared" si="21"/>
        <v/>
      </c>
      <c r="AA115" s="1037" t="str">
        <f t="shared" si="37"/>
        <v/>
      </c>
      <c r="AB115" s="1037" t="str">
        <f t="shared" si="38"/>
        <v/>
      </c>
      <c r="AC115" s="1037" t="str">
        <f>IF(Z115="","",VLOOKUP(Z115,リスト!BN:BO,2,0))</f>
        <v/>
      </c>
      <c r="AD115" s="1037" t="str">
        <f t="shared" si="33"/>
        <v/>
      </c>
      <c r="AE115" s="1037" t="str">
        <f>IF(AD115="","",VLOOKUP(AD115,リスト!BW:BX,2,0))</f>
        <v/>
      </c>
      <c r="AF115" s="1037" t="str">
        <f t="shared" si="30"/>
        <v/>
      </c>
      <c r="AG115" s="685" t="str">
        <f t="shared" si="22"/>
        <v/>
      </c>
      <c r="AH115" s="646" t="str">
        <f t="shared" si="23"/>
        <v/>
      </c>
      <c r="AI115" s="646" t="str">
        <f t="shared" si="34"/>
        <v/>
      </c>
      <c r="AJ115" s="647" t="str">
        <f t="shared" si="35"/>
        <v/>
      </c>
      <c r="AK115" s="647" t="str">
        <f t="shared" si="24"/>
        <v/>
      </c>
      <c r="AL115" s="647" t="str">
        <f t="shared" si="36"/>
        <v/>
      </c>
      <c r="AM115" s="647" t="str">
        <f t="shared" si="31"/>
        <v/>
      </c>
      <c r="AN115" s="647" t="str">
        <f t="shared" si="25"/>
        <v/>
      </c>
      <c r="AO115" s="647" t="str">
        <f t="shared" si="26"/>
        <v/>
      </c>
      <c r="AP115" s="647" t="str">
        <f t="shared" si="27"/>
        <v/>
      </c>
      <c r="AQ115" s="647" t="str">
        <f t="shared" si="32"/>
        <v/>
      </c>
      <c r="AR115" s="647" t="str">
        <f t="shared" si="28"/>
        <v/>
      </c>
      <c r="AS115" s="647" t="str">
        <f t="shared" si="29"/>
        <v/>
      </c>
      <c r="AT115" s="1323" t="str">
        <f t="shared" si="39"/>
        <v/>
      </c>
      <c r="AU115" s="1323" t="str">
        <f t="shared" si="40"/>
        <v/>
      </c>
    </row>
    <row r="116" spans="3:47" s="5" customFormat="1" ht="28.15" hidden="1" customHeight="1" outlineLevel="1">
      <c r="C116" s="649">
        <v>98</v>
      </c>
      <c r="D116" s="1133"/>
      <c r="E116" s="670"/>
      <c r="F116" s="726"/>
      <c r="G116" s="705"/>
      <c r="H116" s="255"/>
      <c r="I116" s="255"/>
      <c r="J116" s="1049"/>
      <c r="K116" s="735"/>
      <c r="L116" s="735"/>
      <c r="M116" s="736"/>
      <c r="N116" s="735"/>
      <c r="O116" s="727"/>
      <c r="P116" s="1321"/>
      <c r="Q116" s="1329"/>
      <c r="R116" s="254"/>
      <c r="S116" s="703"/>
      <c r="T116" s="728"/>
      <c r="U116" s="431"/>
      <c r="V116" s="499"/>
      <c r="W116" s="741"/>
      <c r="X116" s="51"/>
      <c r="Y116" s="51"/>
      <c r="Z116" s="645" t="str">
        <f t="shared" si="21"/>
        <v/>
      </c>
      <c r="AA116" s="1037" t="str">
        <f t="shared" si="37"/>
        <v/>
      </c>
      <c r="AB116" s="1037" t="str">
        <f t="shared" si="38"/>
        <v/>
      </c>
      <c r="AC116" s="1037" t="str">
        <f>IF(Z116="","",VLOOKUP(Z116,リスト!BN:BO,2,0))</f>
        <v/>
      </c>
      <c r="AD116" s="1037" t="str">
        <f t="shared" si="33"/>
        <v/>
      </c>
      <c r="AE116" s="1037" t="str">
        <f>IF(AD116="","",VLOOKUP(AD116,リスト!BW:BX,2,0))</f>
        <v/>
      </c>
      <c r="AF116" s="1037" t="str">
        <f t="shared" si="30"/>
        <v/>
      </c>
      <c r="AG116" s="685" t="str">
        <f t="shared" si="22"/>
        <v/>
      </c>
      <c r="AH116" s="646" t="str">
        <f t="shared" si="23"/>
        <v/>
      </c>
      <c r="AI116" s="646" t="str">
        <f t="shared" si="34"/>
        <v/>
      </c>
      <c r="AJ116" s="647" t="str">
        <f t="shared" si="35"/>
        <v/>
      </c>
      <c r="AK116" s="647" t="str">
        <f t="shared" si="24"/>
        <v/>
      </c>
      <c r="AL116" s="647" t="str">
        <f t="shared" si="36"/>
        <v/>
      </c>
      <c r="AM116" s="647" t="str">
        <f t="shared" si="31"/>
        <v/>
      </c>
      <c r="AN116" s="647" t="str">
        <f t="shared" si="25"/>
        <v/>
      </c>
      <c r="AO116" s="647" t="str">
        <f t="shared" si="26"/>
        <v/>
      </c>
      <c r="AP116" s="647" t="str">
        <f t="shared" si="27"/>
        <v/>
      </c>
      <c r="AQ116" s="647" t="str">
        <f t="shared" si="32"/>
        <v/>
      </c>
      <c r="AR116" s="647" t="str">
        <f t="shared" si="28"/>
        <v/>
      </c>
      <c r="AS116" s="647" t="str">
        <f t="shared" si="29"/>
        <v/>
      </c>
      <c r="AT116" s="1323" t="str">
        <f t="shared" si="39"/>
        <v/>
      </c>
      <c r="AU116" s="1323" t="str">
        <f t="shared" si="40"/>
        <v/>
      </c>
    </row>
    <row r="117" spans="3:47" s="5" customFormat="1" ht="28.15" hidden="1" customHeight="1" outlineLevel="1">
      <c r="C117" s="649">
        <v>99</v>
      </c>
      <c r="D117" s="1134"/>
      <c r="E117" s="729"/>
      <c r="F117" s="726"/>
      <c r="G117" s="705"/>
      <c r="H117" s="257"/>
      <c r="I117" s="257"/>
      <c r="J117" s="1049"/>
      <c r="K117" s="735"/>
      <c r="L117" s="735"/>
      <c r="M117" s="736"/>
      <c r="N117" s="735"/>
      <c r="O117" s="727"/>
      <c r="P117" s="1321"/>
      <c r="Q117" s="1329"/>
      <c r="R117" s="254"/>
      <c r="S117" s="703"/>
      <c r="T117" s="728"/>
      <c r="U117" s="431"/>
      <c r="V117" s="499"/>
      <c r="W117" s="741"/>
      <c r="X117" s="51"/>
      <c r="Y117" s="51"/>
      <c r="Z117" s="645" t="str">
        <f t="shared" si="21"/>
        <v/>
      </c>
      <c r="AA117" s="1037" t="str">
        <f t="shared" si="37"/>
        <v/>
      </c>
      <c r="AB117" s="1037" t="str">
        <f t="shared" si="38"/>
        <v/>
      </c>
      <c r="AC117" s="1037" t="str">
        <f>IF(Z117="","",VLOOKUP(Z117,リスト!BN:BO,2,0))</f>
        <v/>
      </c>
      <c r="AD117" s="1037" t="str">
        <f t="shared" si="33"/>
        <v/>
      </c>
      <c r="AE117" s="1037" t="str">
        <f>IF(AD117="","",VLOOKUP(AD117,リスト!BW:BX,2,0))</f>
        <v/>
      </c>
      <c r="AF117" s="1037" t="str">
        <f t="shared" si="30"/>
        <v/>
      </c>
      <c r="AG117" s="685" t="str">
        <f t="shared" si="22"/>
        <v/>
      </c>
      <c r="AH117" s="646" t="str">
        <f t="shared" si="23"/>
        <v/>
      </c>
      <c r="AI117" s="646" t="str">
        <f t="shared" si="34"/>
        <v/>
      </c>
      <c r="AJ117" s="647" t="str">
        <f t="shared" si="35"/>
        <v/>
      </c>
      <c r="AK117" s="647" t="str">
        <f t="shared" si="24"/>
        <v/>
      </c>
      <c r="AL117" s="647" t="str">
        <f t="shared" si="36"/>
        <v/>
      </c>
      <c r="AM117" s="647" t="str">
        <f t="shared" si="31"/>
        <v/>
      </c>
      <c r="AN117" s="647" t="str">
        <f t="shared" si="25"/>
        <v/>
      </c>
      <c r="AO117" s="647" t="str">
        <f t="shared" si="26"/>
        <v/>
      </c>
      <c r="AP117" s="647" t="str">
        <f t="shared" si="27"/>
        <v/>
      </c>
      <c r="AQ117" s="647" t="str">
        <f t="shared" si="32"/>
        <v/>
      </c>
      <c r="AR117" s="647" t="str">
        <f t="shared" si="28"/>
        <v/>
      </c>
      <c r="AS117" s="647" t="str">
        <f t="shared" si="29"/>
        <v/>
      </c>
      <c r="AT117" s="1323" t="str">
        <f t="shared" si="39"/>
        <v/>
      </c>
      <c r="AU117" s="1323" t="str">
        <f t="shared" si="40"/>
        <v/>
      </c>
    </row>
    <row r="118" spans="3:47" s="5" customFormat="1" ht="28.15" hidden="1" customHeight="1" outlineLevel="1">
      <c r="C118" s="649">
        <v>100</v>
      </c>
      <c r="D118" s="1133"/>
      <c r="E118" s="670"/>
      <c r="F118" s="726"/>
      <c r="G118" s="705"/>
      <c r="H118" s="255"/>
      <c r="I118" s="255"/>
      <c r="J118" s="1049"/>
      <c r="K118" s="735"/>
      <c r="L118" s="735"/>
      <c r="M118" s="736"/>
      <c r="N118" s="735"/>
      <c r="O118" s="727"/>
      <c r="P118" s="1321"/>
      <c r="Q118" s="1329"/>
      <c r="R118" s="254"/>
      <c r="S118" s="703"/>
      <c r="T118" s="728"/>
      <c r="U118" s="431"/>
      <c r="V118" s="499"/>
      <c r="W118" s="741"/>
      <c r="X118" s="51"/>
      <c r="Y118" s="51"/>
      <c r="Z118" s="645" t="str">
        <f t="shared" si="21"/>
        <v/>
      </c>
      <c r="AA118" s="1037" t="str">
        <f t="shared" si="37"/>
        <v/>
      </c>
      <c r="AB118" s="1037" t="str">
        <f t="shared" si="38"/>
        <v/>
      </c>
      <c r="AC118" s="1037" t="str">
        <f>IF(Z118="","",VLOOKUP(Z118,リスト!BN:BO,2,0))</f>
        <v/>
      </c>
      <c r="AD118" s="1037" t="str">
        <f t="shared" si="33"/>
        <v/>
      </c>
      <c r="AE118" s="1037" t="str">
        <f>IF(AD118="","",VLOOKUP(AD118,リスト!BW:BX,2,0))</f>
        <v/>
      </c>
      <c r="AF118" s="1037" t="str">
        <f t="shared" si="30"/>
        <v/>
      </c>
      <c r="AG118" s="685" t="str">
        <f t="shared" si="22"/>
        <v/>
      </c>
      <c r="AH118" s="646" t="str">
        <f t="shared" si="23"/>
        <v/>
      </c>
      <c r="AI118" s="646" t="str">
        <f t="shared" si="34"/>
        <v/>
      </c>
      <c r="AJ118" s="647" t="str">
        <f t="shared" si="35"/>
        <v/>
      </c>
      <c r="AK118" s="647" t="str">
        <f t="shared" si="24"/>
        <v/>
      </c>
      <c r="AL118" s="647" t="str">
        <f t="shared" si="36"/>
        <v/>
      </c>
      <c r="AM118" s="647" t="str">
        <f t="shared" si="31"/>
        <v/>
      </c>
      <c r="AN118" s="647" t="str">
        <f t="shared" si="25"/>
        <v/>
      </c>
      <c r="AO118" s="647" t="str">
        <f t="shared" si="26"/>
        <v/>
      </c>
      <c r="AP118" s="647" t="str">
        <f t="shared" si="27"/>
        <v/>
      </c>
      <c r="AQ118" s="647" t="str">
        <f t="shared" si="32"/>
        <v/>
      </c>
      <c r="AR118" s="647" t="str">
        <f t="shared" si="28"/>
        <v/>
      </c>
      <c r="AS118" s="647" t="str">
        <f t="shared" si="29"/>
        <v/>
      </c>
      <c r="AT118" s="1323" t="str">
        <f t="shared" si="39"/>
        <v/>
      </c>
      <c r="AU118" s="1323" t="str">
        <f t="shared" si="40"/>
        <v/>
      </c>
    </row>
    <row r="119" spans="3:47" s="5" customFormat="1" ht="28.15" hidden="1" customHeight="1" outlineLevel="1">
      <c r="C119" s="649">
        <v>101</v>
      </c>
      <c r="D119" s="1134"/>
      <c r="E119" s="729"/>
      <c r="F119" s="726"/>
      <c r="G119" s="705"/>
      <c r="H119" s="257"/>
      <c r="I119" s="257"/>
      <c r="J119" s="1049"/>
      <c r="K119" s="735"/>
      <c r="L119" s="735"/>
      <c r="M119" s="736"/>
      <c r="N119" s="735"/>
      <c r="O119" s="727"/>
      <c r="P119" s="1321"/>
      <c r="Q119" s="1329"/>
      <c r="R119" s="254"/>
      <c r="S119" s="703"/>
      <c r="T119" s="728"/>
      <c r="U119" s="431"/>
      <c r="V119" s="499"/>
      <c r="W119" s="741"/>
      <c r="X119" s="51"/>
      <c r="Y119" s="51"/>
      <c r="Z119" s="645" t="str">
        <f t="shared" si="21"/>
        <v/>
      </c>
      <c r="AA119" s="1037" t="str">
        <f t="shared" si="37"/>
        <v/>
      </c>
      <c r="AB119" s="1037" t="str">
        <f t="shared" si="38"/>
        <v/>
      </c>
      <c r="AC119" s="1037" t="str">
        <f>IF(Z119="","",VLOOKUP(Z119,リスト!BN:BO,2,0))</f>
        <v/>
      </c>
      <c r="AD119" s="1037" t="str">
        <f t="shared" si="33"/>
        <v/>
      </c>
      <c r="AE119" s="1037" t="str">
        <f>IF(AD119="","",VLOOKUP(AD119,リスト!BW:BX,2,0))</f>
        <v/>
      </c>
      <c r="AF119" s="1037" t="str">
        <f t="shared" si="30"/>
        <v/>
      </c>
      <c r="AG119" s="685" t="str">
        <f t="shared" si="22"/>
        <v/>
      </c>
      <c r="AH119" s="646" t="str">
        <f t="shared" si="23"/>
        <v/>
      </c>
      <c r="AI119" s="646" t="str">
        <f t="shared" si="34"/>
        <v/>
      </c>
      <c r="AJ119" s="647" t="str">
        <f t="shared" si="35"/>
        <v/>
      </c>
      <c r="AK119" s="647" t="str">
        <f t="shared" si="24"/>
        <v/>
      </c>
      <c r="AL119" s="647" t="str">
        <f t="shared" si="36"/>
        <v/>
      </c>
      <c r="AM119" s="647" t="str">
        <f t="shared" si="31"/>
        <v/>
      </c>
      <c r="AN119" s="647" t="str">
        <f t="shared" si="25"/>
        <v/>
      </c>
      <c r="AO119" s="647" t="str">
        <f t="shared" si="26"/>
        <v/>
      </c>
      <c r="AP119" s="647" t="str">
        <f t="shared" si="27"/>
        <v/>
      </c>
      <c r="AQ119" s="647" t="str">
        <f t="shared" si="32"/>
        <v/>
      </c>
      <c r="AR119" s="647" t="str">
        <f t="shared" si="28"/>
        <v/>
      </c>
      <c r="AS119" s="647" t="str">
        <f t="shared" si="29"/>
        <v/>
      </c>
      <c r="AT119" s="1323" t="str">
        <f t="shared" si="39"/>
        <v/>
      </c>
      <c r="AU119" s="1323" t="str">
        <f t="shared" si="40"/>
        <v/>
      </c>
    </row>
    <row r="120" spans="3:47" s="5" customFormat="1" ht="28.15" hidden="1" customHeight="1" outlineLevel="1">
      <c r="C120" s="649">
        <v>102</v>
      </c>
      <c r="D120" s="1133"/>
      <c r="E120" s="670"/>
      <c r="F120" s="726"/>
      <c r="G120" s="705"/>
      <c r="H120" s="255"/>
      <c r="I120" s="255"/>
      <c r="J120" s="1049"/>
      <c r="K120" s="735"/>
      <c r="L120" s="735"/>
      <c r="M120" s="736"/>
      <c r="N120" s="735"/>
      <c r="O120" s="727"/>
      <c r="P120" s="1321"/>
      <c r="Q120" s="1329"/>
      <c r="R120" s="254"/>
      <c r="S120" s="703"/>
      <c r="T120" s="728"/>
      <c r="U120" s="431"/>
      <c r="V120" s="499"/>
      <c r="W120" s="741"/>
      <c r="X120" s="51"/>
      <c r="Y120" s="51"/>
      <c r="Z120" s="645" t="str">
        <f t="shared" si="21"/>
        <v/>
      </c>
      <c r="AA120" s="1037" t="str">
        <f t="shared" si="37"/>
        <v/>
      </c>
      <c r="AB120" s="1037" t="str">
        <f t="shared" si="38"/>
        <v/>
      </c>
      <c r="AC120" s="1037" t="str">
        <f>IF(Z120="","",VLOOKUP(Z120,リスト!BN:BO,2,0))</f>
        <v/>
      </c>
      <c r="AD120" s="1037" t="str">
        <f t="shared" si="33"/>
        <v/>
      </c>
      <c r="AE120" s="1037" t="str">
        <f>IF(AD120="","",VLOOKUP(AD120,リスト!BW:BX,2,0))</f>
        <v/>
      </c>
      <c r="AF120" s="1037" t="str">
        <f t="shared" si="30"/>
        <v/>
      </c>
      <c r="AG120" s="685" t="str">
        <f t="shared" si="22"/>
        <v/>
      </c>
      <c r="AH120" s="646" t="str">
        <f t="shared" si="23"/>
        <v/>
      </c>
      <c r="AI120" s="646" t="str">
        <f t="shared" si="34"/>
        <v/>
      </c>
      <c r="AJ120" s="647" t="str">
        <f t="shared" si="35"/>
        <v/>
      </c>
      <c r="AK120" s="647" t="str">
        <f t="shared" si="24"/>
        <v/>
      </c>
      <c r="AL120" s="647" t="str">
        <f t="shared" si="36"/>
        <v/>
      </c>
      <c r="AM120" s="647" t="str">
        <f t="shared" si="31"/>
        <v/>
      </c>
      <c r="AN120" s="647" t="str">
        <f t="shared" si="25"/>
        <v/>
      </c>
      <c r="AO120" s="647" t="str">
        <f t="shared" si="26"/>
        <v/>
      </c>
      <c r="AP120" s="647" t="str">
        <f t="shared" si="27"/>
        <v/>
      </c>
      <c r="AQ120" s="647" t="str">
        <f t="shared" si="32"/>
        <v/>
      </c>
      <c r="AR120" s="647" t="str">
        <f t="shared" si="28"/>
        <v/>
      </c>
      <c r="AS120" s="647" t="str">
        <f t="shared" si="29"/>
        <v/>
      </c>
      <c r="AT120" s="1323" t="str">
        <f t="shared" si="39"/>
        <v/>
      </c>
      <c r="AU120" s="1323" t="str">
        <f t="shared" si="40"/>
        <v/>
      </c>
    </row>
    <row r="121" spans="3:47" s="5" customFormat="1" ht="28.15" hidden="1" customHeight="1" outlineLevel="1">
      <c r="C121" s="649">
        <v>103</v>
      </c>
      <c r="D121" s="1134"/>
      <c r="E121" s="729"/>
      <c r="F121" s="726"/>
      <c r="G121" s="705"/>
      <c r="H121" s="257"/>
      <c r="I121" s="257"/>
      <c r="J121" s="1050"/>
      <c r="K121" s="735"/>
      <c r="L121" s="735"/>
      <c r="M121" s="736"/>
      <c r="N121" s="735"/>
      <c r="O121" s="727"/>
      <c r="P121" s="1321"/>
      <c r="Q121" s="1329"/>
      <c r="R121" s="254"/>
      <c r="S121" s="703"/>
      <c r="T121" s="728"/>
      <c r="U121" s="431"/>
      <c r="V121" s="499"/>
      <c r="W121" s="741"/>
      <c r="X121" s="51"/>
      <c r="Y121" s="51"/>
      <c r="Z121" s="645" t="str">
        <f t="shared" si="21"/>
        <v/>
      </c>
      <c r="AA121" s="1037" t="str">
        <f t="shared" si="37"/>
        <v/>
      </c>
      <c r="AB121" s="1037" t="str">
        <f t="shared" si="38"/>
        <v/>
      </c>
      <c r="AC121" s="1037" t="str">
        <f>IF(Z121="","",VLOOKUP(Z121,リスト!BN:BO,2,0))</f>
        <v/>
      </c>
      <c r="AD121" s="1037" t="str">
        <f t="shared" si="33"/>
        <v/>
      </c>
      <c r="AE121" s="1037" t="str">
        <f>IF(AD121="","",VLOOKUP(AD121,リスト!BW:BX,2,0))</f>
        <v/>
      </c>
      <c r="AF121" s="1037" t="str">
        <f t="shared" si="30"/>
        <v/>
      </c>
      <c r="AG121" s="685" t="str">
        <f t="shared" si="22"/>
        <v/>
      </c>
      <c r="AH121" s="646" t="str">
        <f t="shared" si="23"/>
        <v/>
      </c>
      <c r="AI121" s="646" t="str">
        <f t="shared" si="34"/>
        <v/>
      </c>
      <c r="AJ121" s="647" t="str">
        <f t="shared" si="35"/>
        <v/>
      </c>
      <c r="AK121" s="647" t="str">
        <f t="shared" si="24"/>
        <v/>
      </c>
      <c r="AL121" s="647" t="str">
        <f t="shared" si="36"/>
        <v/>
      </c>
      <c r="AM121" s="647" t="str">
        <f t="shared" si="31"/>
        <v/>
      </c>
      <c r="AN121" s="647" t="str">
        <f t="shared" si="25"/>
        <v/>
      </c>
      <c r="AO121" s="647" t="str">
        <f t="shared" si="26"/>
        <v/>
      </c>
      <c r="AP121" s="647" t="str">
        <f t="shared" si="27"/>
        <v/>
      </c>
      <c r="AQ121" s="647" t="str">
        <f t="shared" si="32"/>
        <v/>
      </c>
      <c r="AR121" s="647" t="str">
        <f t="shared" si="28"/>
        <v/>
      </c>
      <c r="AS121" s="647" t="str">
        <f t="shared" si="29"/>
        <v/>
      </c>
      <c r="AT121" s="1323" t="str">
        <f t="shared" si="39"/>
        <v/>
      </c>
      <c r="AU121" s="1323" t="str">
        <f t="shared" si="40"/>
        <v/>
      </c>
    </row>
    <row r="122" spans="3:47" s="5" customFormat="1" ht="28.15" hidden="1" customHeight="1" outlineLevel="1">
      <c r="C122" s="649">
        <v>104</v>
      </c>
      <c r="D122" s="1133"/>
      <c r="E122" s="670"/>
      <c r="F122" s="726"/>
      <c r="G122" s="705"/>
      <c r="H122" s="255"/>
      <c r="I122" s="255"/>
      <c r="J122" s="1051"/>
      <c r="K122" s="735"/>
      <c r="L122" s="735"/>
      <c r="M122" s="736"/>
      <c r="N122" s="735"/>
      <c r="O122" s="727"/>
      <c r="P122" s="1321"/>
      <c r="Q122" s="1329"/>
      <c r="R122" s="254"/>
      <c r="S122" s="703"/>
      <c r="T122" s="728"/>
      <c r="U122" s="431"/>
      <c r="V122" s="499"/>
      <c r="W122" s="741"/>
      <c r="X122" s="51"/>
      <c r="Y122" s="51"/>
      <c r="Z122" s="645" t="str">
        <f t="shared" si="21"/>
        <v/>
      </c>
      <c r="AA122" s="1037" t="str">
        <f t="shared" si="37"/>
        <v/>
      </c>
      <c r="AB122" s="1037" t="str">
        <f t="shared" si="38"/>
        <v/>
      </c>
      <c r="AC122" s="1037" t="str">
        <f>IF(Z122="","",VLOOKUP(Z122,リスト!BN:BO,2,0))</f>
        <v/>
      </c>
      <c r="AD122" s="1037" t="str">
        <f t="shared" si="33"/>
        <v/>
      </c>
      <c r="AE122" s="1037" t="str">
        <f>IF(AD122="","",VLOOKUP(AD122,リスト!BW:BX,2,0))</f>
        <v/>
      </c>
      <c r="AF122" s="1037" t="str">
        <f t="shared" si="30"/>
        <v/>
      </c>
      <c r="AG122" s="685" t="str">
        <f t="shared" si="22"/>
        <v/>
      </c>
      <c r="AH122" s="646" t="str">
        <f t="shared" si="23"/>
        <v/>
      </c>
      <c r="AI122" s="646" t="str">
        <f t="shared" si="34"/>
        <v/>
      </c>
      <c r="AJ122" s="647" t="str">
        <f t="shared" si="35"/>
        <v/>
      </c>
      <c r="AK122" s="647" t="str">
        <f t="shared" si="24"/>
        <v/>
      </c>
      <c r="AL122" s="647" t="str">
        <f t="shared" si="36"/>
        <v/>
      </c>
      <c r="AM122" s="647" t="str">
        <f t="shared" si="31"/>
        <v/>
      </c>
      <c r="AN122" s="647" t="str">
        <f t="shared" si="25"/>
        <v/>
      </c>
      <c r="AO122" s="647" t="str">
        <f t="shared" si="26"/>
        <v/>
      </c>
      <c r="AP122" s="647" t="str">
        <f t="shared" si="27"/>
        <v/>
      </c>
      <c r="AQ122" s="647" t="str">
        <f t="shared" si="32"/>
        <v/>
      </c>
      <c r="AR122" s="647" t="str">
        <f t="shared" si="28"/>
        <v/>
      </c>
      <c r="AS122" s="647" t="str">
        <f t="shared" si="29"/>
        <v/>
      </c>
      <c r="AT122" s="1323" t="str">
        <f t="shared" si="39"/>
        <v/>
      </c>
      <c r="AU122" s="1323" t="str">
        <f t="shared" si="40"/>
        <v/>
      </c>
    </row>
    <row r="123" spans="3:47" s="5" customFormat="1" ht="28.15" hidden="1" customHeight="1" outlineLevel="1">
      <c r="C123" s="649">
        <v>105</v>
      </c>
      <c r="D123" s="1133"/>
      <c r="E123" s="670"/>
      <c r="F123" s="726"/>
      <c r="G123" s="705"/>
      <c r="H123" s="255"/>
      <c r="I123" s="255"/>
      <c r="J123" s="1051"/>
      <c r="K123" s="735"/>
      <c r="L123" s="735"/>
      <c r="M123" s="736"/>
      <c r="N123" s="735"/>
      <c r="O123" s="727"/>
      <c r="P123" s="1321"/>
      <c r="Q123" s="1329"/>
      <c r="R123" s="254"/>
      <c r="S123" s="703"/>
      <c r="T123" s="728"/>
      <c r="U123" s="431"/>
      <c r="V123" s="499"/>
      <c r="W123" s="741"/>
      <c r="X123" s="51"/>
      <c r="Y123" s="51"/>
      <c r="Z123" s="645" t="str">
        <f t="shared" si="21"/>
        <v/>
      </c>
      <c r="AA123" s="1037" t="str">
        <f t="shared" si="37"/>
        <v/>
      </c>
      <c r="AB123" s="1037" t="str">
        <f t="shared" si="38"/>
        <v/>
      </c>
      <c r="AC123" s="1037" t="str">
        <f>IF(Z123="","",VLOOKUP(Z123,リスト!BN:BO,2,0))</f>
        <v/>
      </c>
      <c r="AD123" s="1037" t="str">
        <f t="shared" si="33"/>
        <v/>
      </c>
      <c r="AE123" s="1037" t="str">
        <f>IF(AD123="","",VLOOKUP(AD123,リスト!BW:BX,2,0))</f>
        <v/>
      </c>
      <c r="AF123" s="1037" t="str">
        <f t="shared" si="30"/>
        <v/>
      </c>
      <c r="AG123" s="685" t="str">
        <f t="shared" si="22"/>
        <v/>
      </c>
      <c r="AH123" s="646" t="str">
        <f t="shared" si="23"/>
        <v/>
      </c>
      <c r="AI123" s="646" t="str">
        <f t="shared" si="34"/>
        <v/>
      </c>
      <c r="AJ123" s="647" t="str">
        <f t="shared" si="35"/>
        <v/>
      </c>
      <c r="AK123" s="647" t="str">
        <f t="shared" si="24"/>
        <v/>
      </c>
      <c r="AL123" s="647" t="str">
        <f t="shared" si="36"/>
        <v/>
      </c>
      <c r="AM123" s="647" t="str">
        <f t="shared" si="31"/>
        <v/>
      </c>
      <c r="AN123" s="647" t="str">
        <f t="shared" si="25"/>
        <v/>
      </c>
      <c r="AO123" s="647" t="str">
        <f t="shared" si="26"/>
        <v/>
      </c>
      <c r="AP123" s="647" t="str">
        <f t="shared" si="27"/>
        <v/>
      </c>
      <c r="AQ123" s="647" t="str">
        <f t="shared" si="32"/>
        <v/>
      </c>
      <c r="AR123" s="647" t="str">
        <f t="shared" si="28"/>
        <v/>
      </c>
      <c r="AS123" s="647" t="str">
        <f t="shared" si="29"/>
        <v/>
      </c>
      <c r="AT123" s="1323" t="str">
        <f t="shared" si="39"/>
        <v/>
      </c>
      <c r="AU123" s="1323" t="str">
        <f t="shared" si="40"/>
        <v/>
      </c>
    </row>
    <row r="124" spans="3:47" s="5" customFormat="1" ht="28.15" hidden="1" customHeight="1" outlineLevel="1">
      <c r="C124" s="649">
        <v>106</v>
      </c>
      <c r="D124" s="1133"/>
      <c r="E124" s="670"/>
      <c r="F124" s="726"/>
      <c r="G124" s="705"/>
      <c r="H124" s="255"/>
      <c r="I124" s="255"/>
      <c r="J124" s="1051"/>
      <c r="K124" s="735"/>
      <c r="L124" s="735"/>
      <c r="M124" s="736"/>
      <c r="N124" s="735"/>
      <c r="O124" s="727"/>
      <c r="P124" s="1321"/>
      <c r="Q124" s="1329"/>
      <c r="R124" s="254"/>
      <c r="S124" s="703"/>
      <c r="T124" s="728"/>
      <c r="U124" s="431"/>
      <c r="V124" s="499"/>
      <c r="W124" s="741"/>
      <c r="X124" s="51"/>
      <c r="Y124" s="51"/>
      <c r="Z124" s="645" t="str">
        <f t="shared" si="21"/>
        <v/>
      </c>
      <c r="AA124" s="1037" t="str">
        <f t="shared" si="37"/>
        <v/>
      </c>
      <c r="AB124" s="1037" t="str">
        <f t="shared" si="38"/>
        <v/>
      </c>
      <c r="AC124" s="1037" t="str">
        <f>IF(Z124="","",VLOOKUP(Z124,リスト!BN:BO,2,0))</f>
        <v/>
      </c>
      <c r="AD124" s="1037" t="str">
        <f t="shared" si="33"/>
        <v/>
      </c>
      <c r="AE124" s="1037" t="str">
        <f>IF(AD124="","",VLOOKUP(AD124,リスト!BW:BX,2,0))</f>
        <v/>
      </c>
      <c r="AF124" s="1037" t="str">
        <f t="shared" si="30"/>
        <v/>
      </c>
      <c r="AG124" s="685" t="str">
        <f t="shared" si="22"/>
        <v/>
      </c>
      <c r="AH124" s="646" t="str">
        <f t="shared" si="23"/>
        <v/>
      </c>
      <c r="AI124" s="646" t="str">
        <f t="shared" si="34"/>
        <v/>
      </c>
      <c r="AJ124" s="647" t="str">
        <f t="shared" si="35"/>
        <v/>
      </c>
      <c r="AK124" s="647" t="str">
        <f t="shared" si="24"/>
        <v/>
      </c>
      <c r="AL124" s="647" t="str">
        <f t="shared" si="36"/>
        <v/>
      </c>
      <c r="AM124" s="647" t="str">
        <f t="shared" si="31"/>
        <v/>
      </c>
      <c r="AN124" s="647" t="str">
        <f t="shared" si="25"/>
        <v/>
      </c>
      <c r="AO124" s="647" t="str">
        <f t="shared" si="26"/>
        <v/>
      </c>
      <c r="AP124" s="647" t="str">
        <f t="shared" si="27"/>
        <v/>
      </c>
      <c r="AQ124" s="647" t="str">
        <f t="shared" si="32"/>
        <v/>
      </c>
      <c r="AR124" s="647" t="str">
        <f t="shared" si="28"/>
        <v/>
      </c>
      <c r="AS124" s="647" t="str">
        <f t="shared" si="29"/>
        <v/>
      </c>
      <c r="AT124" s="1323" t="str">
        <f t="shared" si="39"/>
        <v/>
      </c>
      <c r="AU124" s="1323" t="str">
        <f t="shared" si="40"/>
        <v/>
      </c>
    </row>
    <row r="125" spans="3:47" s="5" customFormat="1" ht="28.15" hidden="1" customHeight="1" outlineLevel="1">
      <c r="C125" s="649">
        <v>107</v>
      </c>
      <c r="D125" s="1133"/>
      <c r="E125" s="670"/>
      <c r="F125" s="726"/>
      <c r="G125" s="705"/>
      <c r="H125" s="255"/>
      <c r="I125" s="255"/>
      <c r="J125" s="1051"/>
      <c r="K125" s="735"/>
      <c r="L125" s="735"/>
      <c r="M125" s="736"/>
      <c r="N125" s="735"/>
      <c r="O125" s="727"/>
      <c r="P125" s="1321"/>
      <c r="Q125" s="1329"/>
      <c r="R125" s="254"/>
      <c r="S125" s="703"/>
      <c r="T125" s="728"/>
      <c r="U125" s="431"/>
      <c r="V125" s="499"/>
      <c r="W125" s="741"/>
      <c r="X125" s="51"/>
      <c r="Y125" s="51"/>
      <c r="Z125" s="645" t="str">
        <f t="shared" si="21"/>
        <v/>
      </c>
      <c r="AA125" s="1037" t="str">
        <f t="shared" si="37"/>
        <v/>
      </c>
      <c r="AB125" s="1037" t="str">
        <f t="shared" si="38"/>
        <v/>
      </c>
      <c r="AC125" s="1037" t="str">
        <f>IF(Z125="","",VLOOKUP(Z125,リスト!BN:BO,2,0))</f>
        <v/>
      </c>
      <c r="AD125" s="1037" t="str">
        <f t="shared" si="33"/>
        <v/>
      </c>
      <c r="AE125" s="1037" t="str">
        <f>IF(AD125="","",VLOOKUP(AD125,リスト!BW:BX,2,0))</f>
        <v/>
      </c>
      <c r="AF125" s="1037" t="str">
        <f t="shared" si="30"/>
        <v/>
      </c>
      <c r="AG125" s="685" t="str">
        <f t="shared" si="22"/>
        <v/>
      </c>
      <c r="AH125" s="646" t="str">
        <f t="shared" si="23"/>
        <v/>
      </c>
      <c r="AI125" s="646" t="str">
        <f t="shared" si="34"/>
        <v/>
      </c>
      <c r="AJ125" s="647" t="str">
        <f t="shared" si="35"/>
        <v/>
      </c>
      <c r="AK125" s="647" t="str">
        <f t="shared" si="24"/>
        <v/>
      </c>
      <c r="AL125" s="647" t="str">
        <f t="shared" si="36"/>
        <v/>
      </c>
      <c r="AM125" s="647" t="str">
        <f t="shared" si="31"/>
        <v/>
      </c>
      <c r="AN125" s="647" t="str">
        <f t="shared" si="25"/>
        <v/>
      </c>
      <c r="AO125" s="647" t="str">
        <f t="shared" si="26"/>
        <v/>
      </c>
      <c r="AP125" s="647" t="str">
        <f t="shared" si="27"/>
        <v/>
      </c>
      <c r="AQ125" s="647" t="str">
        <f t="shared" si="32"/>
        <v/>
      </c>
      <c r="AR125" s="647" t="str">
        <f t="shared" si="28"/>
        <v/>
      </c>
      <c r="AS125" s="647" t="str">
        <f t="shared" si="29"/>
        <v/>
      </c>
      <c r="AT125" s="1323" t="str">
        <f t="shared" si="39"/>
        <v/>
      </c>
      <c r="AU125" s="1323" t="str">
        <f t="shared" si="40"/>
        <v/>
      </c>
    </row>
    <row r="126" spans="3:47" s="5" customFormat="1" ht="28.15" hidden="1" customHeight="1" outlineLevel="1">
      <c r="C126" s="649">
        <v>108</v>
      </c>
      <c r="D126" s="1133"/>
      <c r="E126" s="670"/>
      <c r="F126" s="726"/>
      <c r="G126" s="705"/>
      <c r="H126" s="255"/>
      <c r="I126" s="255"/>
      <c r="J126" s="1051"/>
      <c r="K126" s="735"/>
      <c r="L126" s="735"/>
      <c r="M126" s="736"/>
      <c r="N126" s="735"/>
      <c r="O126" s="727"/>
      <c r="P126" s="1321"/>
      <c r="Q126" s="1329"/>
      <c r="R126" s="254"/>
      <c r="S126" s="703"/>
      <c r="T126" s="728"/>
      <c r="U126" s="431"/>
      <c r="V126" s="499"/>
      <c r="W126" s="741"/>
      <c r="X126" s="51"/>
      <c r="Y126" s="51"/>
      <c r="Z126" s="645" t="str">
        <f t="shared" si="21"/>
        <v/>
      </c>
      <c r="AA126" s="1037" t="str">
        <f t="shared" si="37"/>
        <v/>
      </c>
      <c r="AB126" s="1037" t="str">
        <f t="shared" si="38"/>
        <v/>
      </c>
      <c r="AC126" s="1037" t="str">
        <f>IF(Z126="","",VLOOKUP(Z126,リスト!BN:BO,2,0))</f>
        <v/>
      </c>
      <c r="AD126" s="1037" t="str">
        <f t="shared" si="33"/>
        <v/>
      </c>
      <c r="AE126" s="1037" t="str">
        <f>IF(AD126="","",VLOOKUP(AD126,リスト!BW:BX,2,0))</f>
        <v/>
      </c>
      <c r="AF126" s="1037" t="str">
        <f t="shared" si="30"/>
        <v/>
      </c>
      <c r="AG126" s="685" t="str">
        <f t="shared" si="22"/>
        <v/>
      </c>
      <c r="AH126" s="646" t="str">
        <f t="shared" si="23"/>
        <v/>
      </c>
      <c r="AI126" s="646" t="str">
        <f t="shared" si="34"/>
        <v/>
      </c>
      <c r="AJ126" s="647" t="str">
        <f t="shared" si="35"/>
        <v/>
      </c>
      <c r="AK126" s="647" t="str">
        <f t="shared" si="24"/>
        <v/>
      </c>
      <c r="AL126" s="647" t="str">
        <f t="shared" si="36"/>
        <v/>
      </c>
      <c r="AM126" s="647" t="str">
        <f t="shared" si="31"/>
        <v/>
      </c>
      <c r="AN126" s="647" t="str">
        <f t="shared" si="25"/>
        <v/>
      </c>
      <c r="AO126" s="647" t="str">
        <f t="shared" si="26"/>
        <v/>
      </c>
      <c r="AP126" s="647" t="str">
        <f t="shared" si="27"/>
        <v/>
      </c>
      <c r="AQ126" s="647" t="str">
        <f t="shared" si="32"/>
        <v/>
      </c>
      <c r="AR126" s="647" t="str">
        <f t="shared" si="28"/>
        <v/>
      </c>
      <c r="AS126" s="647" t="str">
        <f t="shared" si="29"/>
        <v/>
      </c>
      <c r="AT126" s="1323" t="str">
        <f t="shared" si="39"/>
        <v/>
      </c>
      <c r="AU126" s="1323" t="str">
        <f t="shared" si="40"/>
        <v/>
      </c>
    </row>
    <row r="127" spans="3:47" s="5" customFormat="1" ht="28.15" hidden="1" customHeight="1" outlineLevel="1">
      <c r="C127" s="649">
        <v>109</v>
      </c>
      <c r="D127" s="1133"/>
      <c r="E127" s="670"/>
      <c r="F127" s="726"/>
      <c r="G127" s="705"/>
      <c r="H127" s="255"/>
      <c r="I127" s="255"/>
      <c r="J127" s="1051"/>
      <c r="K127" s="735"/>
      <c r="L127" s="735"/>
      <c r="M127" s="736"/>
      <c r="N127" s="735"/>
      <c r="O127" s="727"/>
      <c r="P127" s="1321"/>
      <c r="Q127" s="1329"/>
      <c r="R127" s="254"/>
      <c r="S127" s="703"/>
      <c r="T127" s="728"/>
      <c r="U127" s="431"/>
      <c r="V127" s="499"/>
      <c r="W127" s="741"/>
      <c r="X127" s="51"/>
      <c r="Y127" s="51"/>
      <c r="Z127" s="645" t="str">
        <f t="shared" si="21"/>
        <v/>
      </c>
      <c r="AA127" s="1037" t="str">
        <f t="shared" si="37"/>
        <v/>
      </c>
      <c r="AB127" s="1037" t="str">
        <f t="shared" si="38"/>
        <v/>
      </c>
      <c r="AC127" s="1037" t="str">
        <f>IF(Z127="","",VLOOKUP(Z127,リスト!BN:BO,2,0))</f>
        <v/>
      </c>
      <c r="AD127" s="1037" t="str">
        <f t="shared" si="33"/>
        <v/>
      </c>
      <c r="AE127" s="1037" t="str">
        <f>IF(AD127="","",VLOOKUP(AD127,リスト!BW:BX,2,0))</f>
        <v/>
      </c>
      <c r="AF127" s="1037" t="str">
        <f t="shared" si="30"/>
        <v/>
      </c>
      <c r="AG127" s="685" t="str">
        <f t="shared" si="22"/>
        <v/>
      </c>
      <c r="AH127" s="646" t="str">
        <f t="shared" si="23"/>
        <v/>
      </c>
      <c r="AI127" s="646" t="str">
        <f t="shared" si="34"/>
        <v/>
      </c>
      <c r="AJ127" s="647" t="str">
        <f t="shared" si="35"/>
        <v/>
      </c>
      <c r="AK127" s="647" t="str">
        <f t="shared" si="24"/>
        <v/>
      </c>
      <c r="AL127" s="647" t="str">
        <f t="shared" si="36"/>
        <v/>
      </c>
      <c r="AM127" s="647" t="str">
        <f t="shared" si="31"/>
        <v/>
      </c>
      <c r="AN127" s="647" t="str">
        <f t="shared" si="25"/>
        <v/>
      </c>
      <c r="AO127" s="647" t="str">
        <f t="shared" si="26"/>
        <v/>
      </c>
      <c r="AP127" s="647" t="str">
        <f t="shared" si="27"/>
        <v/>
      </c>
      <c r="AQ127" s="647" t="str">
        <f t="shared" si="32"/>
        <v/>
      </c>
      <c r="AR127" s="647" t="str">
        <f t="shared" si="28"/>
        <v/>
      </c>
      <c r="AS127" s="647" t="str">
        <f t="shared" si="29"/>
        <v/>
      </c>
      <c r="AT127" s="1323" t="str">
        <f t="shared" si="39"/>
        <v/>
      </c>
      <c r="AU127" s="1323" t="str">
        <f t="shared" si="40"/>
        <v/>
      </c>
    </row>
    <row r="128" spans="3:47" s="5" customFormat="1" ht="28.15" hidden="1" customHeight="1" outlineLevel="1">
      <c r="C128" s="649">
        <v>110</v>
      </c>
      <c r="D128" s="1133"/>
      <c r="E128" s="670"/>
      <c r="F128" s="726"/>
      <c r="G128" s="666"/>
      <c r="H128" s="266"/>
      <c r="I128" s="266"/>
      <c r="J128" s="1049"/>
      <c r="K128" s="727"/>
      <c r="L128" s="727"/>
      <c r="M128" s="727"/>
      <c r="N128" s="727"/>
      <c r="O128" s="727"/>
      <c r="P128" s="1321"/>
      <c r="Q128" s="1329"/>
      <c r="R128" s="254"/>
      <c r="S128" s="703"/>
      <c r="T128" s="728"/>
      <c r="U128" s="431"/>
      <c r="V128" s="499"/>
      <c r="W128" s="741"/>
      <c r="X128" s="51"/>
      <c r="Y128" s="51"/>
      <c r="Z128" s="645" t="str">
        <f t="shared" si="21"/>
        <v/>
      </c>
      <c r="AA128" s="1037" t="str">
        <f t="shared" si="37"/>
        <v/>
      </c>
      <c r="AB128" s="1037" t="str">
        <f t="shared" si="38"/>
        <v/>
      </c>
      <c r="AC128" s="1037" t="str">
        <f>IF(Z128="","",VLOOKUP(Z128,リスト!BN:BO,2,0))</f>
        <v/>
      </c>
      <c r="AD128" s="1037" t="str">
        <f t="shared" si="33"/>
        <v/>
      </c>
      <c r="AE128" s="1037" t="str">
        <f>IF(AD128="","",VLOOKUP(AD128,リスト!BW:BX,2,0))</f>
        <v/>
      </c>
      <c r="AF128" s="1037" t="str">
        <f t="shared" si="30"/>
        <v/>
      </c>
      <c r="AG128" s="685" t="str">
        <f t="shared" si="22"/>
        <v/>
      </c>
      <c r="AH128" s="646" t="str">
        <f t="shared" si="23"/>
        <v/>
      </c>
      <c r="AI128" s="646" t="str">
        <f t="shared" si="34"/>
        <v/>
      </c>
      <c r="AJ128" s="647" t="str">
        <f t="shared" si="35"/>
        <v/>
      </c>
      <c r="AK128" s="647" t="str">
        <f t="shared" si="24"/>
        <v/>
      </c>
      <c r="AL128" s="647" t="str">
        <f t="shared" si="36"/>
        <v/>
      </c>
      <c r="AM128" s="647" t="str">
        <f t="shared" si="31"/>
        <v/>
      </c>
      <c r="AN128" s="647" t="str">
        <f t="shared" si="25"/>
        <v/>
      </c>
      <c r="AO128" s="647" t="str">
        <f t="shared" si="26"/>
        <v/>
      </c>
      <c r="AP128" s="647" t="str">
        <f t="shared" si="27"/>
        <v/>
      </c>
      <c r="AQ128" s="647" t="str">
        <f t="shared" si="32"/>
        <v/>
      </c>
      <c r="AR128" s="647" t="str">
        <f t="shared" si="28"/>
        <v/>
      </c>
      <c r="AS128" s="647" t="str">
        <f t="shared" si="29"/>
        <v/>
      </c>
      <c r="AT128" s="1323" t="str">
        <f t="shared" si="39"/>
        <v/>
      </c>
      <c r="AU128" s="1323" t="str">
        <f t="shared" si="40"/>
        <v/>
      </c>
    </row>
    <row r="129" spans="3:47" s="5" customFormat="1" ht="28.15" hidden="1" customHeight="1" outlineLevel="1">
      <c r="C129" s="649">
        <v>111</v>
      </c>
      <c r="D129" s="1134"/>
      <c r="E129" s="729"/>
      <c r="F129" s="726"/>
      <c r="G129" s="705"/>
      <c r="H129" s="257"/>
      <c r="I129" s="257"/>
      <c r="J129" s="1049"/>
      <c r="K129" s="735"/>
      <c r="L129" s="735"/>
      <c r="M129" s="736"/>
      <c r="N129" s="735"/>
      <c r="O129" s="727"/>
      <c r="P129" s="1321"/>
      <c r="Q129" s="1329"/>
      <c r="R129" s="254"/>
      <c r="S129" s="703"/>
      <c r="T129" s="728"/>
      <c r="U129" s="431"/>
      <c r="V129" s="499"/>
      <c r="W129" s="741"/>
      <c r="X129" s="51"/>
      <c r="Y129" s="51"/>
      <c r="Z129" s="645" t="str">
        <f t="shared" si="21"/>
        <v/>
      </c>
      <c r="AA129" s="1037" t="str">
        <f t="shared" si="37"/>
        <v/>
      </c>
      <c r="AB129" s="1037" t="str">
        <f t="shared" si="38"/>
        <v/>
      </c>
      <c r="AC129" s="1037" t="str">
        <f>IF(Z129="","",VLOOKUP(Z129,リスト!BN:BO,2,0))</f>
        <v/>
      </c>
      <c r="AD129" s="1037" t="str">
        <f t="shared" si="33"/>
        <v/>
      </c>
      <c r="AE129" s="1037" t="str">
        <f>IF(AD129="","",VLOOKUP(AD129,リスト!BW:BX,2,0))</f>
        <v/>
      </c>
      <c r="AF129" s="1037" t="str">
        <f t="shared" si="30"/>
        <v/>
      </c>
      <c r="AG129" s="685" t="str">
        <f t="shared" si="22"/>
        <v/>
      </c>
      <c r="AH129" s="646" t="str">
        <f t="shared" si="23"/>
        <v/>
      </c>
      <c r="AI129" s="646" t="str">
        <f t="shared" si="34"/>
        <v/>
      </c>
      <c r="AJ129" s="647" t="str">
        <f t="shared" si="35"/>
        <v/>
      </c>
      <c r="AK129" s="647" t="str">
        <f t="shared" si="24"/>
        <v/>
      </c>
      <c r="AL129" s="647" t="str">
        <f t="shared" si="36"/>
        <v/>
      </c>
      <c r="AM129" s="647" t="str">
        <f t="shared" si="31"/>
        <v/>
      </c>
      <c r="AN129" s="647" t="str">
        <f t="shared" si="25"/>
        <v/>
      </c>
      <c r="AO129" s="647" t="str">
        <f t="shared" si="26"/>
        <v/>
      </c>
      <c r="AP129" s="647" t="str">
        <f t="shared" si="27"/>
        <v/>
      </c>
      <c r="AQ129" s="647" t="str">
        <f t="shared" si="32"/>
        <v/>
      </c>
      <c r="AR129" s="647" t="str">
        <f t="shared" si="28"/>
        <v/>
      </c>
      <c r="AS129" s="647" t="str">
        <f t="shared" si="29"/>
        <v/>
      </c>
      <c r="AT129" s="1323" t="str">
        <f t="shared" si="39"/>
        <v/>
      </c>
      <c r="AU129" s="1323" t="str">
        <f t="shared" si="40"/>
        <v/>
      </c>
    </row>
    <row r="130" spans="3:47" s="5" customFormat="1" ht="28.15" hidden="1" customHeight="1" outlineLevel="1">
      <c r="C130" s="649">
        <v>112</v>
      </c>
      <c r="D130" s="1133"/>
      <c r="E130" s="670"/>
      <c r="F130" s="726"/>
      <c r="G130" s="705"/>
      <c r="H130" s="255"/>
      <c r="I130" s="255"/>
      <c r="J130" s="1049"/>
      <c r="K130" s="735"/>
      <c r="L130" s="735"/>
      <c r="M130" s="736"/>
      <c r="N130" s="735"/>
      <c r="O130" s="727"/>
      <c r="P130" s="1321"/>
      <c r="Q130" s="1329"/>
      <c r="R130" s="254"/>
      <c r="S130" s="703"/>
      <c r="T130" s="728"/>
      <c r="U130" s="431"/>
      <c r="V130" s="499"/>
      <c r="W130" s="741"/>
      <c r="X130" s="51"/>
      <c r="Y130" s="51"/>
      <c r="Z130" s="645" t="str">
        <f t="shared" si="21"/>
        <v/>
      </c>
      <c r="AA130" s="1037" t="str">
        <f t="shared" si="37"/>
        <v/>
      </c>
      <c r="AB130" s="1037" t="str">
        <f t="shared" si="38"/>
        <v/>
      </c>
      <c r="AC130" s="1037" t="str">
        <f>IF(Z130="","",VLOOKUP(Z130,リスト!BN:BO,2,0))</f>
        <v/>
      </c>
      <c r="AD130" s="1037" t="str">
        <f t="shared" si="33"/>
        <v/>
      </c>
      <c r="AE130" s="1037" t="str">
        <f>IF(AD130="","",VLOOKUP(AD130,リスト!BW:BX,2,0))</f>
        <v/>
      </c>
      <c r="AF130" s="1037" t="str">
        <f t="shared" si="30"/>
        <v/>
      </c>
      <c r="AG130" s="685" t="str">
        <f t="shared" si="22"/>
        <v/>
      </c>
      <c r="AH130" s="646" t="str">
        <f t="shared" si="23"/>
        <v/>
      </c>
      <c r="AI130" s="646" t="str">
        <f t="shared" si="34"/>
        <v/>
      </c>
      <c r="AJ130" s="647" t="str">
        <f t="shared" si="35"/>
        <v/>
      </c>
      <c r="AK130" s="647" t="str">
        <f t="shared" si="24"/>
        <v/>
      </c>
      <c r="AL130" s="647" t="str">
        <f t="shared" si="36"/>
        <v/>
      </c>
      <c r="AM130" s="647" t="str">
        <f t="shared" si="31"/>
        <v/>
      </c>
      <c r="AN130" s="647" t="str">
        <f t="shared" si="25"/>
        <v/>
      </c>
      <c r="AO130" s="647" t="str">
        <f t="shared" si="26"/>
        <v/>
      </c>
      <c r="AP130" s="647" t="str">
        <f t="shared" si="27"/>
        <v/>
      </c>
      <c r="AQ130" s="647" t="str">
        <f t="shared" si="32"/>
        <v/>
      </c>
      <c r="AR130" s="647" t="str">
        <f t="shared" si="28"/>
        <v/>
      </c>
      <c r="AS130" s="647" t="str">
        <f t="shared" si="29"/>
        <v/>
      </c>
      <c r="AT130" s="1323" t="str">
        <f t="shared" si="39"/>
        <v/>
      </c>
      <c r="AU130" s="1323" t="str">
        <f t="shared" si="40"/>
        <v/>
      </c>
    </row>
    <row r="131" spans="3:47" s="5" customFormat="1" ht="28.15" hidden="1" customHeight="1" outlineLevel="1">
      <c r="C131" s="649">
        <v>113</v>
      </c>
      <c r="D131" s="1134"/>
      <c r="E131" s="729"/>
      <c r="F131" s="726"/>
      <c r="G131" s="705"/>
      <c r="H131" s="257"/>
      <c r="I131" s="257"/>
      <c r="J131" s="1049"/>
      <c r="K131" s="735"/>
      <c r="L131" s="735"/>
      <c r="M131" s="736"/>
      <c r="N131" s="735"/>
      <c r="O131" s="727"/>
      <c r="P131" s="1321"/>
      <c r="Q131" s="1329"/>
      <c r="R131" s="254"/>
      <c r="S131" s="703"/>
      <c r="T131" s="728"/>
      <c r="U131" s="431"/>
      <c r="V131" s="499"/>
      <c r="W131" s="741"/>
      <c r="X131" s="51"/>
      <c r="Y131" s="51"/>
      <c r="Z131" s="645" t="str">
        <f t="shared" si="21"/>
        <v/>
      </c>
      <c r="AA131" s="1037" t="str">
        <f t="shared" si="37"/>
        <v/>
      </c>
      <c r="AB131" s="1037" t="str">
        <f t="shared" si="38"/>
        <v/>
      </c>
      <c r="AC131" s="1037" t="str">
        <f>IF(Z131="","",VLOOKUP(Z131,リスト!BN:BO,2,0))</f>
        <v/>
      </c>
      <c r="AD131" s="1037" t="str">
        <f t="shared" si="33"/>
        <v/>
      </c>
      <c r="AE131" s="1037" t="str">
        <f>IF(AD131="","",VLOOKUP(AD131,リスト!BW:BX,2,0))</f>
        <v/>
      </c>
      <c r="AF131" s="1037" t="str">
        <f t="shared" si="30"/>
        <v/>
      </c>
      <c r="AG131" s="685" t="str">
        <f t="shared" si="22"/>
        <v/>
      </c>
      <c r="AH131" s="646" t="str">
        <f t="shared" si="23"/>
        <v/>
      </c>
      <c r="AI131" s="646" t="str">
        <f t="shared" si="34"/>
        <v/>
      </c>
      <c r="AJ131" s="647" t="str">
        <f t="shared" si="35"/>
        <v/>
      </c>
      <c r="AK131" s="647" t="str">
        <f t="shared" si="24"/>
        <v/>
      </c>
      <c r="AL131" s="647" t="str">
        <f t="shared" si="36"/>
        <v/>
      </c>
      <c r="AM131" s="647" t="str">
        <f t="shared" si="31"/>
        <v/>
      </c>
      <c r="AN131" s="647" t="str">
        <f t="shared" si="25"/>
        <v/>
      </c>
      <c r="AO131" s="647" t="str">
        <f t="shared" si="26"/>
        <v/>
      </c>
      <c r="AP131" s="647" t="str">
        <f t="shared" si="27"/>
        <v/>
      </c>
      <c r="AQ131" s="647" t="str">
        <f t="shared" si="32"/>
        <v/>
      </c>
      <c r="AR131" s="647" t="str">
        <f t="shared" si="28"/>
        <v/>
      </c>
      <c r="AS131" s="647" t="str">
        <f t="shared" si="29"/>
        <v/>
      </c>
      <c r="AT131" s="1323" t="str">
        <f t="shared" si="39"/>
        <v/>
      </c>
      <c r="AU131" s="1323" t="str">
        <f t="shared" si="40"/>
        <v/>
      </c>
    </row>
    <row r="132" spans="3:47" s="5" customFormat="1" ht="28.15" hidden="1" customHeight="1" outlineLevel="1">
      <c r="C132" s="649">
        <v>114</v>
      </c>
      <c r="D132" s="1133"/>
      <c r="E132" s="670"/>
      <c r="F132" s="726"/>
      <c r="G132" s="705"/>
      <c r="H132" s="255"/>
      <c r="I132" s="255"/>
      <c r="J132" s="1049"/>
      <c r="K132" s="735"/>
      <c r="L132" s="735"/>
      <c r="M132" s="736"/>
      <c r="N132" s="735"/>
      <c r="O132" s="727"/>
      <c r="P132" s="1321"/>
      <c r="Q132" s="1329"/>
      <c r="R132" s="254"/>
      <c r="S132" s="703"/>
      <c r="T132" s="728"/>
      <c r="U132" s="431"/>
      <c r="V132" s="499"/>
      <c r="W132" s="741"/>
      <c r="X132" s="51"/>
      <c r="Y132" s="51"/>
      <c r="Z132" s="645" t="str">
        <f t="shared" si="21"/>
        <v/>
      </c>
      <c r="AA132" s="1037" t="str">
        <f t="shared" si="37"/>
        <v/>
      </c>
      <c r="AB132" s="1037" t="str">
        <f t="shared" si="38"/>
        <v/>
      </c>
      <c r="AC132" s="1037" t="str">
        <f>IF(Z132="","",VLOOKUP(Z132,リスト!BN:BO,2,0))</f>
        <v/>
      </c>
      <c r="AD132" s="1037" t="str">
        <f t="shared" si="33"/>
        <v/>
      </c>
      <c r="AE132" s="1037" t="str">
        <f>IF(AD132="","",VLOOKUP(AD132,リスト!BW:BX,2,0))</f>
        <v/>
      </c>
      <c r="AF132" s="1037" t="str">
        <f t="shared" si="30"/>
        <v/>
      </c>
      <c r="AG132" s="685" t="str">
        <f t="shared" si="22"/>
        <v/>
      </c>
      <c r="AH132" s="646" t="str">
        <f t="shared" si="23"/>
        <v/>
      </c>
      <c r="AI132" s="646" t="str">
        <f t="shared" si="34"/>
        <v/>
      </c>
      <c r="AJ132" s="647" t="str">
        <f t="shared" si="35"/>
        <v/>
      </c>
      <c r="AK132" s="647" t="str">
        <f t="shared" si="24"/>
        <v/>
      </c>
      <c r="AL132" s="647" t="str">
        <f t="shared" si="36"/>
        <v/>
      </c>
      <c r="AM132" s="647" t="str">
        <f t="shared" si="31"/>
        <v/>
      </c>
      <c r="AN132" s="647" t="str">
        <f t="shared" si="25"/>
        <v/>
      </c>
      <c r="AO132" s="647" t="str">
        <f t="shared" si="26"/>
        <v/>
      </c>
      <c r="AP132" s="647" t="str">
        <f t="shared" si="27"/>
        <v/>
      </c>
      <c r="AQ132" s="647" t="str">
        <f t="shared" si="32"/>
        <v/>
      </c>
      <c r="AR132" s="647" t="str">
        <f t="shared" si="28"/>
        <v/>
      </c>
      <c r="AS132" s="647" t="str">
        <f t="shared" si="29"/>
        <v/>
      </c>
      <c r="AT132" s="1323" t="str">
        <f t="shared" si="39"/>
        <v/>
      </c>
      <c r="AU132" s="1323" t="str">
        <f t="shared" si="40"/>
        <v/>
      </c>
    </row>
    <row r="133" spans="3:47" s="5" customFormat="1" ht="28.15" hidden="1" customHeight="1" outlineLevel="1">
      <c r="C133" s="649">
        <v>115</v>
      </c>
      <c r="D133" s="1134"/>
      <c r="E133" s="729"/>
      <c r="F133" s="726"/>
      <c r="G133" s="705"/>
      <c r="H133" s="257"/>
      <c r="I133" s="257"/>
      <c r="J133" s="1049"/>
      <c r="K133" s="735"/>
      <c r="L133" s="735"/>
      <c r="M133" s="736"/>
      <c r="N133" s="735"/>
      <c r="O133" s="727"/>
      <c r="P133" s="1321"/>
      <c r="Q133" s="1329"/>
      <c r="R133" s="254"/>
      <c r="S133" s="703"/>
      <c r="T133" s="728"/>
      <c r="U133" s="431"/>
      <c r="V133" s="499"/>
      <c r="W133" s="741"/>
      <c r="X133" s="51"/>
      <c r="Y133" s="51"/>
      <c r="Z133" s="645" t="str">
        <f t="shared" si="21"/>
        <v/>
      </c>
      <c r="AA133" s="1037" t="str">
        <f t="shared" si="37"/>
        <v/>
      </c>
      <c r="AB133" s="1037" t="str">
        <f t="shared" si="38"/>
        <v/>
      </c>
      <c r="AC133" s="1037" t="str">
        <f>IF(Z133="","",VLOOKUP(Z133,リスト!BN:BO,2,0))</f>
        <v/>
      </c>
      <c r="AD133" s="1037" t="str">
        <f t="shared" si="33"/>
        <v/>
      </c>
      <c r="AE133" s="1037" t="str">
        <f>IF(AD133="","",VLOOKUP(AD133,リスト!BW:BX,2,0))</f>
        <v/>
      </c>
      <c r="AF133" s="1037" t="str">
        <f t="shared" si="30"/>
        <v/>
      </c>
      <c r="AG133" s="685" t="str">
        <f t="shared" si="22"/>
        <v/>
      </c>
      <c r="AH133" s="646" t="str">
        <f t="shared" si="23"/>
        <v/>
      </c>
      <c r="AI133" s="646" t="str">
        <f t="shared" si="34"/>
        <v/>
      </c>
      <c r="AJ133" s="647" t="str">
        <f t="shared" si="35"/>
        <v/>
      </c>
      <c r="AK133" s="647" t="str">
        <f t="shared" si="24"/>
        <v/>
      </c>
      <c r="AL133" s="647" t="str">
        <f t="shared" si="36"/>
        <v/>
      </c>
      <c r="AM133" s="647" t="str">
        <f t="shared" si="31"/>
        <v/>
      </c>
      <c r="AN133" s="647" t="str">
        <f t="shared" si="25"/>
        <v/>
      </c>
      <c r="AO133" s="647" t="str">
        <f t="shared" si="26"/>
        <v/>
      </c>
      <c r="AP133" s="647" t="str">
        <f t="shared" si="27"/>
        <v/>
      </c>
      <c r="AQ133" s="647" t="str">
        <f t="shared" si="32"/>
        <v/>
      </c>
      <c r="AR133" s="647" t="str">
        <f t="shared" si="28"/>
        <v/>
      </c>
      <c r="AS133" s="647" t="str">
        <f t="shared" si="29"/>
        <v/>
      </c>
      <c r="AT133" s="1323" t="str">
        <f t="shared" si="39"/>
        <v/>
      </c>
      <c r="AU133" s="1323" t="str">
        <f t="shared" si="40"/>
        <v/>
      </c>
    </row>
    <row r="134" spans="3:47" s="5" customFormat="1" ht="28.15" hidden="1" customHeight="1" outlineLevel="1">
      <c r="C134" s="649">
        <v>116</v>
      </c>
      <c r="D134" s="1133"/>
      <c r="E134" s="670"/>
      <c r="F134" s="726"/>
      <c r="G134" s="705"/>
      <c r="H134" s="255"/>
      <c r="I134" s="255"/>
      <c r="J134" s="1049"/>
      <c r="K134" s="735"/>
      <c r="L134" s="735"/>
      <c r="M134" s="736"/>
      <c r="N134" s="735"/>
      <c r="O134" s="727"/>
      <c r="P134" s="1321"/>
      <c r="Q134" s="1329"/>
      <c r="R134" s="254"/>
      <c r="S134" s="703"/>
      <c r="T134" s="728"/>
      <c r="U134" s="431"/>
      <c r="V134" s="499"/>
      <c r="W134" s="741"/>
      <c r="X134" s="51"/>
      <c r="Y134" s="51"/>
      <c r="Z134" s="645" t="str">
        <f t="shared" si="21"/>
        <v/>
      </c>
      <c r="AA134" s="1037" t="str">
        <f t="shared" si="37"/>
        <v/>
      </c>
      <c r="AB134" s="1037" t="str">
        <f t="shared" si="38"/>
        <v/>
      </c>
      <c r="AC134" s="1037" t="str">
        <f>IF(Z134="","",VLOOKUP(Z134,リスト!BN:BO,2,0))</f>
        <v/>
      </c>
      <c r="AD134" s="1037" t="str">
        <f t="shared" si="33"/>
        <v/>
      </c>
      <c r="AE134" s="1037" t="str">
        <f>IF(AD134="","",VLOOKUP(AD134,リスト!BW:BX,2,0))</f>
        <v/>
      </c>
      <c r="AF134" s="1037" t="str">
        <f t="shared" si="30"/>
        <v/>
      </c>
      <c r="AG134" s="685" t="str">
        <f t="shared" si="22"/>
        <v/>
      </c>
      <c r="AH134" s="646" t="str">
        <f t="shared" si="23"/>
        <v/>
      </c>
      <c r="AI134" s="646" t="str">
        <f t="shared" si="34"/>
        <v/>
      </c>
      <c r="AJ134" s="647" t="str">
        <f t="shared" si="35"/>
        <v/>
      </c>
      <c r="AK134" s="647" t="str">
        <f t="shared" si="24"/>
        <v/>
      </c>
      <c r="AL134" s="647" t="str">
        <f t="shared" si="36"/>
        <v/>
      </c>
      <c r="AM134" s="647" t="str">
        <f t="shared" si="31"/>
        <v/>
      </c>
      <c r="AN134" s="647" t="str">
        <f t="shared" si="25"/>
        <v/>
      </c>
      <c r="AO134" s="647" t="str">
        <f t="shared" si="26"/>
        <v/>
      </c>
      <c r="AP134" s="647" t="str">
        <f t="shared" si="27"/>
        <v/>
      </c>
      <c r="AQ134" s="647" t="str">
        <f t="shared" si="32"/>
        <v/>
      </c>
      <c r="AR134" s="647" t="str">
        <f t="shared" si="28"/>
        <v/>
      </c>
      <c r="AS134" s="647" t="str">
        <f t="shared" si="29"/>
        <v/>
      </c>
      <c r="AT134" s="1323" t="str">
        <f t="shared" si="39"/>
        <v/>
      </c>
      <c r="AU134" s="1323" t="str">
        <f t="shared" si="40"/>
        <v/>
      </c>
    </row>
    <row r="135" spans="3:47" s="5" customFormat="1" ht="28.15" hidden="1" customHeight="1" outlineLevel="1">
      <c r="C135" s="649">
        <v>117</v>
      </c>
      <c r="D135" s="1134"/>
      <c r="E135" s="729"/>
      <c r="F135" s="726"/>
      <c r="G135" s="705"/>
      <c r="H135" s="257"/>
      <c r="I135" s="257"/>
      <c r="J135" s="1049"/>
      <c r="K135" s="735"/>
      <c r="L135" s="735"/>
      <c r="M135" s="736"/>
      <c r="N135" s="735"/>
      <c r="O135" s="727"/>
      <c r="P135" s="1321"/>
      <c r="Q135" s="1329"/>
      <c r="R135" s="254"/>
      <c r="S135" s="703"/>
      <c r="T135" s="728"/>
      <c r="U135" s="431"/>
      <c r="V135" s="499"/>
      <c r="W135" s="741"/>
      <c r="X135" s="51"/>
      <c r="Y135" s="51"/>
      <c r="Z135" s="645" t="str">
        <f t="shared" si="21"/>
        <v/>
      </c>
      <c r="AA135" s="1037" t="str">
        <f t="shared" si="37"/>
        <v/>
      </c>
      <c r="AB135" s="1037" t="str">
        <f t="shared" si="38"/>
        <v/>
      </c>
      <c r="AC135" s="1037" t="str">
        <f>IF(Z135="","",VLOOKUP(Z135,リスト!BN:BO,2,0))</f>
        <v/>
      </c>
      <c r="AD135" s="1037" t="str">
        <f t="shared" si="33"/>
        <v/>
      </c>
      <c r="AE135" s="1037" t="str">
        <f>IF(AD135="","",VLOOKUP(AD135,リスト!BW:BX,2,0))</f>
        <v/>
      </c>
      <c r="AF135" s="1037" t="str">
        <f t="shared" si="30"/>
        <v/>
      </c>
      <c r="AG135" s="685" t="str">
        <f t="shared" si="22"/>
        <v/>
      </c>
      <c r="AH135" s="646" t="str">
        <f t="shared" si="23"/>
        <v/>
      </c>
      <c r="AI135" s="646" t="str">
        <f t="shared" si="34"/>
        <v/>
      </c>
      <c r="AJ135" s="647" t="str">
        <f t="shared" si="35"/>
        <v/>
      </c>
      <c r="AK135" s="647" t="str">
        <f t="shared" si="24"/>
        <v/>
      </c>
      <c r="AL135" s="647" t="str">
        <f t="shared" si="36"/>
        <v/>
      </c>
      <c r="AM135" s="647" t="str">
        <f t="shared" si="31"/>
        <v/>
      </c>
      <c r="AN135" s="647" t="str">
        <f t="shared" si="25"/>
        <v/>
      </c>
      <c r="AO135" s="647" t="str">
        <f t="shared" si="26"/>
        <v/>
      </c>
      <c r="AP135" s="647" t="str">
        <f t="shared" si="27"/>
        <v/>
      </c>
      <c r="AQ135" s="647" t="str">
        <f t="shared" si="32"/>
        <v/>
      </c>
      <c r="AR135" s="647" t="str">
        <f t="shared" si="28"/>
        <v/>
      </c>
      <c r="AS135" s="647" t="str">
        <f t="shared" si="29"/>
        <v/>
      </c>
      <c r="AT135" s="1323" t="str">
        <f t="shared" si="39"/>
        <v/>
      </c>
      <c r="AU135" s="1323" t="str">
        <f t="shared" si="40"/>
        <v/>
      </c>
    </row>
    <row r="136" spans="3:47" s="5" customFormat="1" ht="28.15" hidden="1" customHeight="1" outlineLevel="1">
      <c r="C136" s="649">
        <v>118</v>
      </c>
      <c r="D136" s="1133"/>
      <c r="E136" s="670"/>
      <c r="F136" s="726"/>
      <c r="G136" s="705"/>
      <c r="H136" s="255"/>
      <c r="I136" s="255"/>
      <c r="J136" s="1049"/>
      <c r="K136" s="735"/>
      <c r="L136" s="735"/>
      <c r="M136" s="736"/>
      <c r="N136" s="735"/>
      <c r="O136" s="727"/>
      <c r="P136" s="1321"/>
      <c r="Q136" s="1329"/>
      <c r="R136" s="254"/>
      <c r="S136" s="703"/>
      <c r="T136" s="728"/>
      <c r="U136" s="431"/>
      <c r="V136" s="499"/>
      <c r="W136" s="741"/>
      <c r="X136" s="51"/>
      <c r="Y136" s="51"/>
      <c r="Z136" s="645" t="str">
        <f t="shared" si="21"/>
        <v/>
      </c>
      <c r="AA136" s="1037" t="str">
        <f t="shared" si="37"/>
        <v/>
      </c>
      <c r="AB136" s="1037" t="str">
        <f t="shared" si="38"/>
        <v/>
      </c>
      <c r="AC136" s="1037" t="str">
        <f>IF(Z136="","",VLOOKUP(Z136,リスト!BN:BO,2,0))</f>
        <v/>
      </c>
      <c r="AD136" s="1037" t="str">
        <f t="shared" si="33"/>
        <v/>
      </c>
      <c r="AE136" s="1037" t="str">
        <f>IF(AD136="","",VLOOKUP(AD136,リスト!BW:BX,2,0))</f>
        <v/>
      </c>
      <c r="AF136" s="1037" t="str">
        <f t="shared" si="30"/>
        <v/>
      </c>
      <c r="AG136" s="685" t="str">
        <f t="shared" si="22"/>
        <v/>
      </c>
      <c r="AH136" s="646" t="str">
        <f t="shared" si="23"/>
        <v/>
      </c>
      <c r="AI136" s="646" t="str">
        <f t="shared" si="34"/>
        <v/>
      </c>
      <c r="AJ136" s="647" t="str">
        <f t="shared" si="35"/>
        <v/>
      </c>
      <c r="AK136" s="647" t="str">
        <f t="shared" si="24"/>
        <v/>
      </c>
      <c r="AL136" s="647" t="str">
        <f t="shared" si="36"/>
        <v/>
      </c>
      <c r="AM136" s="647" t="str">
        <f t="shared" si="31"/>
        <v/>
      </c>
      <c r="AN136" s="647" t="str">
        <f t="shared" si="25"/>
        <v/>
      </c>
      <c r="AO136" s="647" t="str">
        <f t="shared" si="26"/>
        <v/>
      </c>
      <c r="AP136" s="647" t="str">
        <f t="shared" si="27"/>
        <v/>
      </c>
      <c r="AQ136" s="647" t="str">
        <f t="shared" si="32"/>
        <v/>
      </c>
      <c r="AR136" s="647" t="str">
        <f t="shared" si="28"/>
        <v/>
      </c>
      <c r="AS136" s="647" t="str">
        <f t="shared" si="29"/>
        <v/>
      </c>
      <c r="AT136" s="1323" t="str">
        <f t="shared" si="39"/>
        <v/>
      </c>
      <c r="AU136" s="1323" t="str">
        <f t="shared" si="40"/>
        <v/>
      </c>
    </row>
    <row r="137" spans="3:47" s="5" customFormat="1" ht="28.15" hidden="1" customHeight="1" outlineLevel="1">
      <c r="C137" s="649">
        <v>119</v>
      </c>
      <c r="D137" s="1134"/>
      <c r="E137" s="729"/>
      <c r="F137" s="726"/>
      <c r="G137" s="705"/>
      <c r="H137" s="257"/>
      <c r="I137" s="257"/>
      <c r="J137" s="1049"/>
      <c r="K137" s="735"/>
      <c r="L137" s="735"/>
      <c r="M137" s="736"/>
      <c r="N137" s="735"/>
      <c r="O137" s="727"/>
      <c r="P137" s="1321"/>
      <c r="Q137" s="1329"/>
      <c r="R137" s="254"/>
      <c r="S137" s="703"/>
      <c r="T137" s="728"/>
      <c r="U137" s="431"/>
      <c r="V137" s="499"/>
      <c r="W137" s="741"/>
      <c r="X137" s="51"/>
      <c r="Y137" s="51"/>
      <c r="Z137" s="645" t="str">
        <f t="shared" si="21"/>
        <v/>
      </c>
      <c r="AA137" s="1037" t="str">
        <f t="shared" si="37"/>
        <v/>
      </c>
      <c r="AB137" s="1037" t="str">
        <f t="shared" si="38"/>
        <v/>
      </c>
      <c r="AC137" s="1037" t="str">
        <f>IF(Z137="","",VLOOKUP(Z137,リスト!BN:BO,2,0))</f>
        <v/>
      </c>
      <c r="AD137" s="1037" t="str">
        <f t="shared" si="33"/>
        <v/>
      </c>
      <c r="AE137" s="1037" t="str">
        <f>IF(AD137="","",VLOOKUP(AD137,リスト!BW:BX,2,0))</f>
        <v/>
      </c>
      <c r="AF137" s="1037" t="str">
        <f t="shared" si="30"/>
        <v/>
      </c>
      <c r="AG137" s="685" t="str">
        <f t="shared" si="22"/>
        <v/>
      </c>
      <c r="AH137" s="646" t="str">
        <f t="shared" si="23"/>
        <v/>
      </c>
      <c r="AI137" s="646" t="str">
        <f t="shared" si="34"/>
        <v/>
      </c>
      <c r="AJ137" s="647" t="str">
        <f t="shared" si="35"/>
        <v/>
      </c>
      <c r="AK137" s="647" t="str">
        <f t="shared" si="24"/>
        <v/>
      </c>
      <c r="AL137" s="647" t="str">
        <f t="shared" si="36"/>
        <v/>
      </c>
      <c r="AM137" s="647" t="str">
        <f t="shared" si="31"/>
        <v/>
      </c>
      <c r="AN137" s="647" t="str">
        <f t="shared" si="25"/>
        <v/>
      </c>
      <c r="AO137" s="647" t="str">
        <f t="shared" si="26"/>
        <v/>
      </c>
      <c r="AP137" s="647" t="str">
        <f t="shared" si="27"/>
        <v/>
      </c>
      <c r="AQ137" s="647" t="str">
        <f t="shared" si="32"/>
        <v/>
      </c>
      <c r="AR137" s="647" t="str">
        <f t="shared" si="28"/>
        <v/>
      </c>
      <c r="AS137" s="647" t="str">
        <f t="shared" si="29"/>
        <v/>
      </c>
      <c r="AT137" s="1323" t="str">
        <f t="shared" si="39"/>
        <v/>
      </c>
      <c r="AU137" s="1323" t="str">
        <f t="shared" si="40"/>
        <v/>
      </c>
    </row>
    <row r="138" spans="3:47" s="5" customFormat="1" ht="28.15" hidden="1" customHeight="1" outlineLevel="1">
      <c r="C138" s="649">
        <v>120</v>
      </c>
      <c r="D138" s="1133"/>
      <c r="E138" s="670"/>
      <c r="F138" s="726"/>
      <c r="G138" s="705"/>
      <c r="H138" s="255"/>
      <c r="I138" s="255"/>
      <c r="J138" s="1049"/>
      <c r="K138" s="735"/>
      <c r="L138" s="735"/>
      <c r="M138" s="736"/>
      <c r="N138" s="735"/>
      <c r="O138" s="727"/>
      <c r="P138" s="1321"/>
      <c r="Q138" s="1329"/>
      <c r="R138" s="254"/>
      <c r="S138" s="703"/>
      <c r="T138" s="728"/>
      <c r="U138" s="431"/>
      <c r="V138" s="499"/>
      <c r="W138" s="741"/>
      <c r="X138" s="51"/>
      <c r="Y138" s="51"/>
      <c r="Z138" s="645" t="str">
        <f t="shared" si="21"/>
        <v/>
      </c>
      <c r="AA138" s="1037" t="str">
        <f t="shared" si="37"/>
        <v/>
      </c>
      <c r="AB138" s="1037" t="str">
        <f t="shared" si="38"/>
        <v/>
      </c>
      <c r="AC138" s="1037" t="str">
        <f>IF(Z138="","",VLOOKUP(Z138,リスト!BN:BO,2,0))</f>
        <v/>
      </c>
      <c r="AD138" s="1037" t="str">
        <f t="shared" si="33"/>
        <v/>
      </c>
      <c r="AE138" s="1037" t="str">
        <f>IF(AD138="","",VLOOKUP(AD138,リスト!BW:BX,2,0))</f>
        <v/>
      </c>
      <c r="AF138" s="1037" t="str">
        <f t="shared" si="30"/>
        <v/>
      </c>
      <c r="AG138" s="685" t="str">
        <f t="shared" si="22"/>
        <v/>
      </c>
      <c r="AH138" s="646" t="str">
        <f t="shared" si="23"/>
        <v/>
      </c>
      <c r="AI138" s="646" t="str">
        <f t="shared" si="34"/>
        <v/>
      </c>
      <c r="AJ138" s="647" t="str">
        <f t="shared" si="35"/>
        <v/>
      </c>
      <c r="AK138" s="647" t="str">
        <f t="shared" si="24"/>
        <v/>
      </c>
      <c r="AL138" s="647" t="str">
        <f t="shared" si="36"/>
        <v/>
      </c>
      <c r="AM138" s="647" t="str">
        <f t="shared" si="31"/>
        <v/>
      </c>
      <c r="AN138" s="647" t="str">
        <f t="shared" si="25"/>
        <v/>
      </c>
      <c r="AO138" s="647" t="str">
        <f t="shared" si="26"/>
        <v/>
      </c>
      <c r="AP138" s="647" t="str">
        <f t="shared" si="27"/>
        <v/>
      </c>
      <c r="AQ138" s="647" t="str">
        <f t="shared" si="32"/>
        <v/>
      </c>
      <c r="AR138" s="647" t="str">
        <f t="shared" si="28"/>
        <v/>
      </c>
      <c r="AS138" s="647" t="str">
        <f t="shared" si="29"/>
        <v/>
      </c>
      <c r="AT138" s="1323" t="str">
        <f t="shared" si="39"/>
        <v/>
      </c>
      <c r="AU138" s="1323" t="str">
        <f t="shared" si="40"/>
        <v/>
      </c>
    </row>
    <row r="139" spans="3:47" s="5" customFormat="1" ht="28.15" hidden="1" customHeight="1" outlineLevel="1">
      <c r="C139" s="649">
        <v>121</v>
      </c>
      <c r="D139" s="1134"/>
      <c r="E139" s="729"/>
      <c r="F139" s="726"/>
      <c r="G139" s="705"/>
      <c r="H139" s="257"/>
      <c r="I139" s="257"/>
      <c r="J139" s="1050"/>
      <c r="K139" s="735"/>
      <c r="L139" s="735"/>
      <c r="M139" s="736"/>
      <c r="N139" s="735"/>
      <c r="O139" s="727"/>
      <c r="P139" s="1321"/>
      <c r="Q139" s="1329"/>
      <c r="R139" s="254"/>
      <c r="S139" s="703"/>
      <c r="T139" s="728"/>
      <c r="U139" s="431"/>
      <c r="V139" s="499"/>
      <c r="W139" s="741"/>
      <c r="X139" s="51"/>
      <c r="Y139" s="51"/>
      <c r="Z139" s="645" t="str">
        <f t="shared" si="21"/>
        <v/>
      </c>
      <c r="AA139" s="1037" t="str">
        <f t="shared" si="37"/>
        <v/>
      </c>
      <c r="AB139" s="1037" t="str">
        <f t="shared" si="38"/>
        <v/>
      </c>
      <c r="AC139" s="1037" t="str">
        <f>IF(Z139="","",VLOOKUP(Z139,リスト!BN:BO,2,0))</f>
        <v/>
      </c>
      <c r="AD139" s="1037" t="str">
        <f t="shared" si="33"/>
        <v/>
      </c>
      <c r="AE139" s="1037" t="str">
        <f>IF(AD139="","",VLOOKUP(AD139,リスト!BW:BX,2,0))</f>
        <v/>
      </c>
      <c r="AF139" s="1037" t="str">
        <f t="shared" si="30"/>
        <v/>
      </c>
      <c r="AG139" s="685" t="str">
        <f t="shared" si="22"/>
        <v/>
      </c>
      <c r="AH139" s="646" t="str">
        <f t="shared" si="23"/>
        <v/>
      </c>
      <c r="AI139" s="646" t="str">
        <f t="shared" si="34"/>
        <v/>
      </c>
      <c r="AJ139" s="647" t="str">
        <f t="shared" si="35"/>
        <v/>
      </c>
      <c r="AK139" s="647" t="str">
        <f t="shared" si="24"/>
        <v/>
      </c>
      <c r="AL139" s="647" t="str">
        <f t="shared" si="36"/>
        <v/>
      </c>
      <c r="AM139" s="647" t="str">
        <f t="shared" si="31"/>
        <v/>
      </c>
      <c r="AN139" s="647" t="str">
        <f t="shared" si="25"/>
        <v/>
      </c>
      <c r="AO139" s="647" t="str">
        <f t="shared" si="26"/>
        <v/>
      </c>
      <c r="AP139" s="647" t="str">
        <f t="shared" si="27"/>
        <v/>
      </c>
      <c r="AQ139" s="647" t="str">
        <f t="shared" si="32"/>
        <v/>
      </c>
      <c r="AR139" s="647" t="str">
        <f t="shared" si="28"/>
        <v/>
      </c>
      <c r="AS139" s="647" t="str">
        <f t="shared" si="29"/>
        <v/>
      </c>
      <c r="AT139" s="1323" t="str">
        <f t="shared" si="39"/>
        <v/>
      </c>
      <c r="AU139" s="1323" t="str">
        <f t="shared" si="40"/>
        <v/>
      </c>
    </row>
    <row r="140" spans="3:47" s="5" customFormat="1" ht="28.15" hidden="1" customHeight="1" outlineLevel="1">
      <c r="C140" s="649">
        <v>122</v>
      </c>
      <c r="D140" s="1133"/>
      <c r="E140" s="670"/>
      <c r="F140" s="726"/>
      <c r="G140" s="705"/>
      <c r="H140" s="255"/>
      <c r="I140" s="255"/>
      <c r="J140" s="1051"/>
      <c r="K140" s="735"/>
      <c r="L140" s="735"/>
      <c r="M140" s="736"/>
      <c r="N140" s="735"/>
      <c r="O140" s="727"/>
      <c r="P140" s="1321"/>
      <c r="Q140" s="1329"/>
      <c r="R140" s="254"/>
      <c r="S140" s="703"/>
      <c r="T140" s="728"/>
      <c r="U140" s="431"/>
      <c r="V140" s="499"/>
      <c r="W140" s="741"/>
      <c r="X140" s="51"/>
      <c r="Y140" s="51"/>
      <c r="Z140" s="645" t="str">
        <f t="shared" si="21"/>
        <v/>
      </c>
      <c r="AA140" s="1037" t="str">
        <f t="shared" si="37"/>
        <v/>
      </c>
      <c r="AB140" s="1037" t="str">
        <f t="shared" si="38"/>
        <v/>
      </c>
      <c r="AC140" s="1037" t="str">
        <f>IF(Z140="","",VLOOKUP(Z140,リスト!BN:BO,2,0))</f>
        <v/>
      </c>
      <c r="AD140" s="1037" t="str">
        <f t="shared" si="33"/>
        <v/>
      </c>
      <c r="AE140" s="1037" t="str">
        <f>IF(AD140="","",VLOOKUP(AD140,リスト!BW:BX,2,0))</f>
        <v/>
      </c>
      <c r="AF140" s="1037" t="str">
        <f t="shared" si="30"/>
        <v/>
      </c>
      <c r="AG140" s="685" t="str">
        <f t="shared" si="22"/>
        <v/>
      </c>
      <c r="AH140" s="646" t="str">
        <f t="shared" si="23"/>
        <v/>
      </c>
      <c r="AI140" s="646" t="str">
        <f t="shared" si="34"/>
        <v/>
      </c>
      <c r="AJ140" s="647" t="str">
        <f t="shared" si="35"/>
        <v/>
      </c>
      <c r="AK140" s="647" t="str">
        <f t="shared" si="24"/>
        <v/>
      </c>
      <c r="AL140" s="647" t="str">
        <f t="shared" si="36"/>
        <v/>
      </c>
      <c r="AM140" s="647" t="str">
        <f t="shared" si="31"/>
        <v/>
      </c>
      <c r="AN140" s="647" t="str">
        <f t="shared" si="25"/>
        <v/>
      </c>
      <c r="AO140" s="647" t="str">
        <f t="shared" si="26"/>
        <v/>
      </c>
      <c r="AP140" s="647" t="str">
        <f t="shared" si="27"/>
        <v/>
      </c>
      <c r="AQ140" s="647" t="str">
        <f t="shared" si="32"/>
        <v/>
      </c>
      <c r="AR140" s="647" t="str">
        <f t="shared" si="28"/>
        <v/>
      </c>
      <c r="AS140" s="647" t="str">
        <f t="shared" si="29"/>
        <v/>
      </c>
      <c r="AT140" s="1323" t="str">
        <f t="shared" si="39"/>
        <v/>
      </c>
      <c r="AU140" s="1323" t="str">
        <f t="shared" si="40"/>
        <v/>
      </c>
    </row>
    <row r="141" spans="3:47" s="5" customFormat="1" ht="28.15" hidden="1" customHeight="1" outlineLevel="1">
      <c r="C141" s="649">
        <v>123</v>
      </c>
      <c r="D141" s="1133"/>
      <c r="E141" s="670"/>
      <c r="F141" s="726"/>
      <c r="G141" s="705"/>
      <c r="H141" s="255"/>
      <c r="I141" s="255"/>
      <c r="J141" s="1051"/>
      <c r="K141" s="735"/>
      <c r="L141" s="735"/>
      <c r="M141" s="736"/>
      <c r="N141" s="735"/>
      <c r="O141" s="727"/>
      <c r="P141" s="1321"/>
      <c r="Q141" s="1329"/>
      <c r="R141" s="254"/>
      <c r="S141" s="703"/>
      <c r="T141" s="728"/>
      <c r="U141" s="431"/>
      <c r="V141" s="499"/>
      <c r="W141" s="741"/>
      <c r="X141" s="51"/>
      <c r="Y141" s="51"/>
      <c r="Z141" s="645" t="str">
        <f t="shared" si="21"/>
        <v/>
      </c>
      <c r="AA141" s="1037" t="str">
        <f t="shared" si="37"/>
        <v/>
      </c>
      <c r="AB141" s="1037" t="str">
        <f t="shared" si="38"/>
        <v/>
      </c>
      <c r="AC141" s="1037" t="str">
        <f>IF(Z141="","",VLOOKUP(Z141,リスト!BN:BO,2,0))</f>
        <v/>
      </c>
      <c r="AD141" s="1037" t="str">
        <f t="shared" si="33"/>
        <v/>
      </c>
      <c r="AE141" s="1037" t="str">
        <f>IF(AD141="","",VLOOKUP(AD141,リスト!BW:BX,2,0))</f>
        <v/>
      </c>
      <c r="AF141" s="1037" t="str">
        <f t="shared" si="30"/>
        <v/>
      </c>
      <c r="AG141" s="685" t="str">
        <f t="shared" si="22"/>
        <v/>
      </c>
      <c r="AH141" s="646" t="str">
        <f t="shared" si="23"/>
        <v/>
      </c>
      <c r="AI141" s="646" t="str">
        <f t="shared" si="34"/>
        <v/>
      </c>
      <c r="AJ141" s="647" t="str">
        <f t="shared" si="35"/>
        <v/>
      </c>
      <c r="AK141" s="647" t="str">
        <f t="shared" si="24"/>
        <v/>
      </c>
      <c r="AL141" s="647" t="str">
        <f t="shared" si="36"/>
        <v/>
      </c>
      <c r="AM141" s="647" t="str">
        <f t="shared" si="31"/>
        <v/>
      </c>
      <c r="AN141" s="647" t="str">
        <f t="shared" si="25"/>
        <v/>
      </c>
      <c r="AO141" s="647" t="str">
        <f t="shared" si="26"/>
        <v/>
      </c>
      <c r="AP141" s="647" t="str">
        <f t="shared" si="27"/>
        <v/>
      </c>
      <c r="AQ141" s="647" t="str">
        <f t="shared" si="32"/>
        <v/>
      </c>
      <c r="AR141" s="647" t="str">
        <f t="shared" si="28"/>
        <v/>
      </c>
      <c r="AS141" s="647" t="str">
        <f t="shared" si="29"/>
        <v/>
      </c>
      <c r="AT141" s="1323" t="str">
        <f t="shared" si="39"/>
        <v/>
      </c>
      <c r="AU141" s="1323" t="str">
        <f t="shared" si="40"/>
        <v/>
      </c>
    </row>
    <row r="142" spans="3:47" s="5" customFormat="1" ht="28.15" hidden="1" customHeight="1" outlineLevel="1">
      <c r="C142" s="649">
        <v>124</v>
      </c>
      <c r="D142" s="1133"/>
      <c r="E142" s="670"/>
      <c r="F142" s="726"/>
      <c r="G142" s="705"/>
      <c r="H142" s="255"/>
      <c r="I142" s="255"/>
      <c r="J142" s="1051"/>
      <c r="K142" s="735"/>
      <c r="L142" s="735"/>
      <c r="M142" s="736"/>
      <c r="N142" s="735"/>
      <c r="O142" s="727"/>
      <c r="P142" s="1321"/>
      <c r="Q142" s="1329"/>
      <c r="R142" s="254"/>
      <c r="S142" s="703"/>
      <c r="T142" s="728"/>
      <c r="U142" s="431"/>
      <c r="V142" s="499"/>
      <c r="W142" s="741"/>
      <c r="X142" s="51"/>
      <c r="Y142" s="51"/>
      <c r="Z142" s="645" t="str">
        <f t="shared" si="21"/>
        <v/>
      </c>
      <c r="AA142" s="1037" t="str">
        <f t="shared" si="37"/>
        <v/>
      </c>
      <c r="AB142" s="1037" t="str">
        <f t="shared" si="38"/>
        <v/>
      </c>
      <c r="AC142" s="1037" t="str">
        <f>IF(Z142="","",VLOOKUP(Z142,リスト!BN:BO,2,0))</f>
        <v/>
      </c>
      <c r="AD142" s="1037" t="str">
        <f t="shared" si="33"/>
        <v/>
      </c>
      <c r="AE142" s="1037" t="str">
        <f>IF(AD142="","",VLOOKUP(AD142,リスト!BW:BX,2,0))</f>
        <v/>
      </c>
      <c r="AF142" s="1037" t="str">
        <f t="shared" si="30"/>
        <v/>
      </c>
      <c r="AG142" s="685" t="str">
        <f t="shared" si="22"/>
        <v/>
      </c>
      <c r="AH142" s="646" t="str">
        <f t="shared" si="23"/>
        <v/>
      </c>
      <c r="AI142" s="646" t="str">
        <f t="shared" si="34"/>
        <v/>
      </c>
      <c r="AJ142" s="647" t="str">
        <f t="shared" si="35"/>
        <v/>
      </c>
      <c r="AK142" s="647" t="str">
        <f t="shared" si="24"/>
        <v/>
      </c>
      <c r="AL142" s="647" t="str">
        <f t="shared" si="36"/>
        <v/>
      </c>
      <c r="AM142" s="647" t="str">
        <f t="shared" si="31"/>
        <v/>
      </c>
      <c r="AN142" s="647" t="str">
        <f t="shared" si="25"/>
        <v/>
      </c>
      <c r="AO142" s="647" t="str">
        <f t="shared" si="26"/>
        <v/>
      </c>
      <c r="AP142" s="647" t="str">
        <f t="shared" si="27"/>
        <v/>
      </c>
      <c r="AQ142" s="647" t="str">
        <f t="shared" si="32"/>
        <v/>
      </c>
      <c r="AR142" s="647" t="str">
        <f t="shared" si="28"/>
        <v/>
      </c>
      <c r="AS142" s="647" t="str">
        <f t="shared" si="29"/>
        <v/>
      </c>
      <c r="AT142" s="1323" t="str">
        <f t="shared" si="39"/>
        <v/>
      </c>
      <c r="AU142" s="1323" t="str">
        <f t="shared" si="40"/>
        <v/>
      </c>
    </row>
    <row r="143" spans="3:47" s="5" customFormat="1" ht="28.15" hidden="1" customHeight="1" outlineLevel="1">
      <c r="C143" s="649">
        <v>125</v>
      </c>
      <c r="D143" s="1133"/>
      <c r="E143" s="670"/>
      <c r="F143" s="726"/>
      <c r="G143" s="705"/>
      <c r="H143" s="255"/>
      <c r="I143" s="255"/>
      <c r="J143" s="1051"/>
      <c r="K143" s="735"/>
      <c r="L143" s="735"/>
      <c r="M143" s="736"/>
      <c r="N143" s="735"/>
      <c r="O143" s="727"/>
      <c r="P143" s="1321"/>
      <c r="Q143" s="1329"/>
      <c r="R143" s="254"/>
      <c r="S143" s="703"/>
      <c r="T143" s="728"/>
      <c r="U143" s="431"/>
      <c r="V143" s="499"/>
      <c r="W143" s="741"/>
      <c r="X143" s="51"/>
      <c r="Y143" s="51"/>
      <c r="Z143" s="645" t="str">
        <f t="shared" si="21"/>
        <v/>
      </c>
      <c r="AA143" s="1037" t="str">
        <f t="shared" si="37"/>
        <v/>
      </c>
      <c r="AB143" s="1037" t="str">
        <f t="shared" si="38"/>
        <v/>
      </c>
      <c r="AC143" s="1037" t="str">
        <f>IF(Z143="","",VLOOKUP(Z143,リスト!BN:BO,2,0))</f>
        <v/>
      </c>
      <c r="AD143" s="1037" t="str">
        <f t="shared" si="33"/>
        <v/>
      </c>
      <c r="AE143" s="1037" t="str">
        <f>IF(AD143="","",VLOOKUP(AD143,リスト!BW:BX,2,0))</f>
        <v/>
      </c>
      <c r="AF143" s="1037" t="str">
        <f t="shared" si="30"/>
        <v/>
      </c>
      <c r="AG143" s="685" t="str">
        <f t="shared" si="22"/>
        <v/>
      </c>
      <c r="AH143" s="646" t="str">
        <f t="shared" si="23"/>
        <v/>
      </c>
      <c r="AI143" s="646" t="str">
        <f t="shared" si="34"/>
        <v/>
      </c>
      <c r="AJ143" s="647" t="str">
        <f t="shared" si="35"/>
        <v/>
      </c>
      <c r="AK143" s="647" t="str">
        <f t="shared" si="24"/>
        <v/>
      </c>
      <c r="AL143" s="647" t="str">
        <f t="shared" si="36"/>
        <v/>
      </c>
      <c r="AM143" s="647" t="str">
        <f t="shared" si="31"/>
        <v/>
      </c>
      <c r="AN143" s="647" t="str">
        <f t="shared" si="25"/>
        <v/>
      </c>
      <c r="AO143" s="647" t="str">
        <f t="shared" si="26"/>
        <v/>
      </c>
      <c r="AP143" s="647" t="str">
        <f t="shared" si="27"/>
        <v/>
      </c>
      <c r="AQ143" s="647" t="str">
        <f t="shared" si="32"/>
        <v/>
      </c>
      <c r="AR143" s="647" t="str">
        <f t="shared" si="28"/>
        <v/>
      </c>
      <c r="AS143" s="647" t="str">
        <f t="shared" si="29"/>
        <v/>
      </c>
      <c r="AT143" s="1323" t="str">
        <f t="shared" si="39"/>
        <v/>
      </c>
      <c r="AU143" s="1323" t="str">
        <f t="shared" si="40"/>
        <v/>
      </c>
    </row>
    <row r="144" spans="3:47" s="5" customFormat="1" ht="28.15" hidden="1" customHeight="1" outlineLevel="1">
      <c r="C144" s="649">
        <v>126</v>
      </c>
      <c r="D144" s="1133"/>
      <c r="E144" s="670"/>
      <c r="F144" s="726"/>
      <c r="G144" s="705"/>
      <c r="H144" s="255"/>
      <c r="I144" s="255"/>
      <c r="J144" s="1051"/>
      <c r="K144" s="735"/>
      <c r="L144" s="735"/>
      <c r="M144" s="736"/>
      <c r="N144" s="735"/>
      <c r="O144" s="727"/>
      <c r="P144" s="1321"/>
      <c r="Q144" s="1329"/>
      <c r="R144" s="254"/>
      <c r="S144" s="703"/>
      <c r="T144" s="728"/>
      <c r="U144" s="431"/>
      <c r="V144" s="499"/>
      <c r="W144" s="741"/>
      <c r="X144" s="51"/>
      <c r="Y144" s="51"/>
      <c r="Z144" s="645" t="str">
        <f t="shared" si="21"/>
        <v/>
      </c>
      <c r="AA144" s="1037" t="str">
        <f t="shared" si="37"/>
        <v/>
      </c>
      <c r="AB144" s="1037" t="str">
        <f t="shared" si="38"/>
        <v/>
      </c>
      <c r="AC144" s="1037" t="str">
        <f>IF(Z144="","",VLOOKUP(Z144,リスト!BN:BO,2,0))</f>
        <v/>
      </c>
      <c r="AD144" s="1037" t="str">
        <f t="shared" si="33"/>
        <v/>
      </c>
      <c r="AE144" s="1037" t="str">
        <f>IF(AD144="","",VLOOKUP(AD144,リスト!BW:BX,2,0))</f>
        <v/>
      </c>
      <c r="AF144" s="1037" t="str">
        <f t="shared" si="30"/>
        <v/>
      </c>
      <c r="AG144" s="685" t="str">
        <f t="shared" si="22"/>
        <v/>
      </c>
      <c r="AH144" s="646" t="str">
        <f t="shared" si="23"/>
        <v/>
      </c>
      <c r="AI144" s="646" t="str">
        <f t="shared" si="34"/>
        <v/>
      </c>
      <c r="AJ144" s="647" t="str">
        <f t="shared" si="35"/>
        <v/>
      </c>
      <c r="AK144" s="647" t="str">
        <f t="shared" si="24"/>
        <v/>
      </c>
      <c r="AL144" s="647" t="str">
        <f t="shared" si="36"/>
        <v/>
      </c>
      <c r="AM144" s="647" t="str">
        <f t="shared" si="31"/>
        <v/>
      </c>
      <c r="AN144" s="647" t="str">
        <f t="shared" si="25"/>
        <v/>
      </c>
      <c r="AO144" s="647" t="str">
        <f t="shared" si="26"/>
        <v/>
      </c>
      <c r="AP144" s="647" t="str">
        <f t="shared" si="27"/>
        <v/>
      </c>
      <c r="AQ144" s="647" t="str">
        <f t="shared" si="32"/>
        <v/>
      </c>
      <c r="AR144" s="647" t="str">
        <f t="shared" si="28"/>
        <v/>
      </c>
      <c r="AS144" s="647" t="str">
        <f t="shared" si="29"/>
        <v/>
      </c>
      <c r="AT144" s="1323" t="str">
        <f t="shared" si="39"/>
        <v/>
      </c>
      <c r="AU144" s="1323" t="str">
        <f t="shared" si="40"/>
        <v/>
      </c>
    </row>
    <row r="145" spans="3:47" s="5" customFormat="1" ht="28.15" hidden="1" customHeight="1" outlineLevel="1">
      <c r="C145" s="649">
        <v>127</v>
      </c>
      <c r="D145" s="1133"/>
      <c r="E145" s="670"/>
      <c r="F145" s="726"/>
      <c r="G145" s="705"/>
      <c r="H145" s="255"/>
      <c r="I145" s="255"/>
      <c r="J145" s="1051"/>
      <c r="K145" s="735"/>
      <c r="L145" s="735"/>
      <c r="M145" s="736"/>
      <c r="N145" s="735"/>
      <c r="O145" s="727"/>
      <c r="P145" s="1321"/>
      <c r="Q145" s="1329"/>
      <c r="R145" s="254"/>
      <c r="S145" s="703"/>
      <c r="T145" s="728"/>
      <c r="U145" s="431"/>
      <c r="V145" s="499"/>
      <c r="W145" s="741"/>
      <c r="X145" s="51"/>
      <c r="Y145" s="51"/>
      <c r="Z145" s="645" t="str">
        <f t="shared" si="21"/>
        <v/>
      </c>
      <c r="AA145" s="1037" t="str">
        <f t="shared" si="37"/>
        <v/>
      </c>
      <c r="AB145" s="1037" t="str">
        <f t="shared" si="38"/>
        <v/>
      </c>
      <c r="AC145" s="1037" t="str">
        <f>IF(Z145="","",VLOOKUP(Z145,リスト!BN:BO,2,0))</f>
        <v/>
      </c>
      <c r="AD145" s="1037" t="str">
        <f t="shared" si="33"/>
        <v/>
      </c>
      <c r="AE145" s="1037" t="str">
        <f>IF(AD145="","",VLOOKUP(AD145,リスト!BW:BX,2,0))</f>
        <v/>
      </c>
      <c r="AF145" s="1037" t="str">
        <f t="shared" si="30"/>
        <v/>
      </c>
      <c r="AG145" s="685" t="str">
        <f t="shared" si="22"/>
        <v/>
      </c>
      <c r="AH145" s="646" t="str">
        <f t="shared" si="23"/>
        <v/>
      </c>
      <c r="AI145" s="646" t="str">
        <f t="shared" si="34"/>
        <v/>
      </c>
      <c r="AJ145" s="647" t="str">
        <f t="shared" si="35"/>
        <v/>
      </c>
      <c r="AK145" s="647" t="str">
        <f t="shared" si="24"/>
        <v/>
      </c>
      <c r="AL145" s="647" t="str">
        <f t="shared" si="36"/>
        <v/>
      </c>
      <c r="AM145" s="647" t="str">
        <f t="shared" si="31"/>
        <v/>
      </c>
      <c r="AN145" s="647" t="str">
        <f t="shared" si="25"/>
        <v/>
      </c>
      <c r="AO145" s="647" t="str">
        <f t="shared" si="26"/>
        <v/>
      </c>
      <c r="AP145" s="647" t="str">
        <f t="shared" si="27"/>
        <v/>
      </c>
      <c r="AQ145" s="647" t="str">
        <f t="shared" si="32"/>
        <v/>
      </c>
      <c r="AR145" s="647" t="str">
        <f t="shared" si="28"/>
        <v/>
      </c>
      <c r="AS145" s="647" t="str">
        <f t="shared" si="29"/>
        <v/>
      </c>
      <c r="AT145" s="1323" t="str">
        <f t="shared" si="39"/>
        <v/>
      </c>
      <c r="AU145" s="1323" t="str">
        <f t="shared" si="40"/>
        <v/>
      </c>
    </row>
    <row r="146" spans="3:47" s="5" customFormat="1" ht="28.15" hidden="1" customHeight="1" outlineLevel="1">
      <c r="C146" s="649">
        <v>128</v>
      </c>
      <c r="D146" s="1133"/>
      <c r="E146" s="670"/>
      <c r="F146" s="726"/>
      <c r="G146" s="666"/>
      <c r="H146" s="266"/>
      <c r="I146" s="266"/>
      <c r="J146" s="1049"/>
      <c r="K146" s="727"/>
      <c r="L146" s="727"/>
      <c r="M146" s="727"/>
      <c r="N146" s="727"/>
      <c r="O146" s="727"/>
      <c r="P146" s="1321"/>
      <c r="Q146" s="1329"/>
      <c r="R146" s="254"/>
      <c r="S146" s="703"/>
      <c r="T146" s="728"/>
      <c r="U146" s="431"/>
      <c r="V146" s="499"/>
      <c r="W146" s="741"/>
      <c r="X146" s="51"/>
      <c r="Y146" s="51"/>
      <c r="Z146" s="645" t="str">
        <f t="shared" si="21"/>
        <v/>
      </c>
      <c r="AA146" s="1037" t="str">
        <f t="shared" si="37"/>
        <v/>
      </c>
      <c r="AB146" s="1037" t="str">
        <f t="shared" si="38"/>
        <v/>
      </c>
      <c r="AC146" s="1037" t="str">
        <f>IF(Z146="","",VLOOKUP(Z146,リスト!BN:BO,2,0))</f>
        <v/>
      </c>
      <c r="AD146" s="1037" t="str">
        <f t="shared" si="33"/>
        <v/>
      </c>
      <c r="AE146" s="1037" t="str">
        <f>IF(AD146="","",VLOOKUP(AD146,リスト!BW:BX,2,0))</f>
        <v/>
      </c>
      <c r="AF146" s="1037" t="str">
        <f t="shared" si="30"/>
        <v/>
      </c>
      <c r="AG146" s="685" t="str">
        <f t="shared" si="22"/>
        <v/>
      </c>
      <c r="AH146" s="646" t="str">
        <f t="shared" si="23"/>
        <v/>
      </c>
      <c r="AI146" s="646" t="str">
        <f t="shared" si="34"/>
        <v/>
      </c>
      <c r="AJ146" s="647" t="str">
        <f t="shared" si="35"/>
        <v/>
      </c>
      <c r="AK146" s="647" t="str">
        <f t="shared" si="24"/>
        <v/>
      </c>
      <c r="AL146" s="647" t="str">
        <f t="shared" si="36"/>
        <v/>
      </c>
      <c r="AM146" s="647" t="str">
        <f t="shared" si="31"/>
        <v/>
      </c>
      <c r="AN146" s="647" t="str">
        <f t="shared" si="25"/>
        <v/>
      </c>
      <c r="AO146" s="647" t="str">
        <f t="shared" si="26"/>
        <v/>
      </c>
      <c r="AP146" s="647" t="str">
        <f t="shared" si="27"/>
        <v/>
      </c>
      <c r="AQ146" s="647" t="str">
        <f t="shared" si="32"/>
        <v/>
      </c>
      <c r="AR146" s="647" t="str">
        <f t="shared" si="28"/>
        <v/>
      </c>
      <c r="AS146" s="647" t="str">
        <f t="shared" si="29"/>
        <v/>
      </c>
      <c r="AT146" s="1323" t="str">
        <f t="shared" si="39"/>
        <v/>
      </c>
      <c r="AU146" s="1323" t="str">
        <f t="shared" si="40"/>
        <v/>
      </c>
    </row>
    <row r="147" spans="3:47" s="5" customFormat="1" ht="28.15" hidden="1" customHeight="1" outlineLevel="1">
      <c r="C147" s="649">
        <v>129</v>
      </c>
      <c r="D147" s="1134"/>
      <c r="E147" s="729"/>
      <c r="F147" s="726"/>
      <c r="G147" s="705"/>
      <c r="H147" s="257"/>
      <c r="I147" s="257"/>
      <c r="J147" s="1049"/>
      <c r="K147" s="735"/>
      <c r="L147" s="735"/>
      <c r="M147" s="736"/>
      <c r="N147" s="735"/>
      <c r="O147" s="727"/>
      <c r="P147" s="1321"/>
      <c r="Q147" s="1329"/>
      <c r="R147" s="254"/>
      <c r="S147" s="703"/>
      <c r="T147" s="728"/>
      <c r="U147" s="431"/>
      <c r="V147" s="499"/>
      <c r="W147" s="741"/>
      <c r="X147" s="51"/>
      <c r="Y147" s="51"/>
      <c r="Z147" s="645" t="str">
        <f t="shared" si="21"/>
        <v/>
      </c>
      <c r="AA147" s="1037" t="str">
        <f t="shared" si="37"/>
        <v/>
      </c>
      <c r="AB147" s="1037" t="str">
        <f t="shared" si="38"/>
        <v/>
      </c>
      <c r="AC147" s="1037" t="str">
        <f>IF(Z147="","",VLOOKUP(Z147,リスト!BN:BO,2,0))</f>
        <v/>
      </c>
      <c r="AD147" s="1037" t="str">
        <f t="shared" si="33"/>
        <v/>
      </c>
      <c r="AE147" s="1037" t="str">
        <f>IF(AD147="","",VLOOKUP(AD147,リスト!BW:BX,2,0))</f>
        <v/>
      </c>
      <c r="AF147" s="1037" t="str">
        <f t="shared" ref="AF147:AF210" si="41">IF(Z147="","",調査年-I147)</f>
        <v/>
      </c>
      <c r="AG147" s="685" t="str">
        <f t="shared" si="22"/>
        <v/>
      </c>
      <c r="AH147" s="646" t="str">
        <f t="shared" si="23"/>
        <v/>
      </c>
      <c r="AI147" s="646" t="str">
        <f t="shared" si="34"/>
        <v/>
      </c>
      <c r="AJ147" s="647" t="str">
        <f t="shared" si="35"/>
        <v/>
      </c>
      <c r="AK147" s="647" t="str">
        <f t="shared" si="24"/>
        <v/>
      </c>
      <c r="AL147" s="647" t="str">
        <f t="shared" si="36"/>
        <v/>
      </c>
      <c r="AM147" s="647" t="str">
        <f t="shared" ref="AM147:AM210" si="42">IF(R147="","",IF(OR(I147=調査年,AH147=""),"",ROUND(AH147*R147%,0)))</f>
        <v/>
      </c>
      <c r="AN147" s="647" t="str">
        <f t="shared" si="25"/>
        <v/>
      </c>
      <c r="AO147" s="647" t="str">
        <f t="shared" si="26"/>
        <v/>
      </c>
      <c r="AP147" s="647" t="str">
        <f t="shared" si="27"/>
        <v/>
      </c>
      <c r="AQ147" s="647" t="str">
        <f t="shared" ref="AQ147:AQ210" si="43">IF(OR(R147="",AND(OR(I147&lt;&gt;調査年,AA147=0),M147="",AL147="")),"",
SUM(
IF(AND(I147=調査年,AA147=1),ROUND(K147*R147%,0),),
ROUND(M147*R147%,0),
ROUND(SUM(AL147)*R147%,0),
))</f>
        <v/>
      </c>
      <c r="AR147" s="647" t="str">
        <f t="shared" si="28"/>
        <v/>
      </c>
      <c r="AS147" s="647" t="str">
        <f t="shared" si="29"/>
        <v/>
      </c>
      <c r="AT147" s="1323" t="str">
        <f t="shared" si="39"/>
        <v/>
      </c>
      <c r="AU147" s="1323" t="str">
        <f t="shared" si="40"/>
        <v/>
      </c>
    </row>
    <row r="148" spans="3:47" s="5" customFormat="1" ht="28.15" hidden="1" customHeight="1" outlineLevel="1">
      <c r="C148" s="649">
        <v>130</v>
      </c>
      <c r="D148" s="1133"/>
      <c r="E148" s="670"/>
      <c r="F148" s="726"/>
      <c r="G148" s="705"/>
      <c r="H148" s="255"/>
      <c r="I148" s="255"/>
      <c r="J148" s="1049"/>
      <c r="K148" s="735"/>
      <c r="L148" s="735"/>
      <c r="M148" s="736"/>
      <c r="N148" s="735"/>
      <c r="O148" s="727"/>
      <c r="P148" s="1321"/>
      <c r="Q148" s="1329"/>
      <c r="R148" s="254"/>
      <c r="S148" s="703"/>
      <c r="T148" s="728"/>
      <c r="U148" s="431"/>
      <c r="V148" s="499"/>
      <c r="W148" s="741"/>
      <c r="X148" s="51"/>
      <c r="Y148" s="51"/>
      <c r="Z148" s="645" t="str">
        <f t="shared" si="21"/>
        <v/>
      </c>
      <c r="AA148" s="1037" t="str">
        <f t="shared" si="37"/>
        <v/>
      </c>
      <c r="AB148" s="1037" t="str">
        <f t="shared" si="38"/>
        <v/>
      </c>
      <c r="AC148" s="1037" t="str">
        <f>IF(Z148="","",VLOOKUP(Z148,リスト!BN:BO,2,0))</f>
        <v/>
      </c>
      <c r="AD148" s="1037" t="str">
        <f t="shared" ref="AD148:AD211" si="44">IF(AB148=1,3,IF(G148="2：中古",MIN(AC148,H148),AC148))</f>
        <v/>
      </c>
      <c r="AE148" s="1037" t="str">
        <f>IF(AD148="","",VLOOKUP(AD148,リスト!BW:BX,2,0))</f>
        <v/>
      </c>
      <c r="AF148" s="1037" t="str">
        <f t="shared" si="41"/>
        <v/>
      </c>
      <c r="AG148" s="685" t="str">
        <f t="shared" si="22"/>
        <v/>
      </c>
      <c r="AH148" s="646" t="str">
        <f t="shared" si="23"/>
        <v/>
      </c>
      <c r="AI148" s="646" t="str">
        <f t="shared" ref="AI148:AI163" si="45">IF(OR(Z148="",AA148=1),"",
IF(S148="",AG148,
IF(S148="2：廃棄等",SUM(AH148,T148),
IF(S148="1：売却",AH148-T148,
IF(AND(T148="",AG148=""),"",SUM(T148,AG148))))))</f>
        <v/>
      </c>
      <c r="AJ148" s="647" t="str">
        <f t="shared" ref="AJ148:AJ163" si="46">IF(AND(AI148="",AG148=""),"",
IF(OR(S148="1：売却",S148="2：廃棄等"),SUM(AI148)-SUM(AG148),""))</f>
        <v/>
      </c>
      <c r="AK148" s="647" t="str">
        <f t="shared" si="24"/>
        <v/>
      </c>
      <c r="AL148" s="647" t="str">
        <f t="shared" ref="AL148:AL211" si="47">IF(OR(Z148="",AA148=1),IF(AND(AA148=1,AF148=0),L148,""),
IF(AND(AD148&gt;0,AF148&lt;AD148,SUM(AK148)&gt;0,AK148&lt;=ROUND(L148*AE148,0)),ROUND(AK148,0),
IF(AND(AD148&gt;0,AF148&lt;AD148,SUM(L148)&gt;0),ROUND(L148*AE148,0),"")))</f>
        <v/>
      </c>
      <c r="AM148" s="647" t="str">
        <f t="shared" si="42"/>
        <v/>
      </c>
      <c r="AN148" s="647" t="str">
        <f t="shared" si="25"/>
        <v/>
      </c>
      <c r="AO148" s="647" t="str">
        <f t="shared" si="26"/>
        <v/>
      </c>
      <c r="AP148" s="647" t="str">
        <f t="shared" si="27"/>
        <v/>
      </c>
      <c r="AQ148" s="647" t="str">
        <f t="shared" si="43"/>
        <v/>
      </c>
      <c r="AR148" s="647" t="str">
        <f t="shared" si="28"/>
        <v/>
      </c>
      <c r="AS148" s="647" t="str">
        <f t="shared" si="29"/>
        <v/>
      </c>
      <c r="AT148" s="1323" t="str">
        <f t="shared" si="39"/>
        <v/>
      </c>
      <c r="AU148" s="1323" t="str">
        <f t="shared" si="40"/>
        <v/>
      </c>
    </row>
    <row r="149" spans="3:47" s="5" customFormat="1" ht="28.15" hidden="1" customHeight="1" outlineLevel="1">
      <c r="C149" s="649">
        <v>131</v>
      </c>
      <c r="D149" s="1134"/>
      <c r="E149" s="729"/>
      <c r="F149" s="726"/>
      <c r="G149" s="705"/>
      <c r="H149" s="257"/>
      <c r="I149" s="257"/>
      <c r="J149" s="1049"/>
      <c r="K149" s="735"/>
      <c r="L149" s="735"/>
      <c r="M149" s="736"/>
      <c r="N149" s="735"/>
      <c r="O149" s="727"/>
      <c r="P149" s="1321"/>
      <c r="Q149" s="1329"/>
      <c r="R149" s="254"/>
      <c r="S149" s="703"/>
      <c r="T149" s="728"/>
      <c r="U149" s="431"/>
      <c r="V149" s="499"/>
      <c r="W149" s="741"/>
      <c r="X149" s="51"/>
      <c r="Y149" s="51"/>
      <c r="Z149" s="645" t="str">
        <f t="shared" si="21"/>
        <v/>
      </c>
      <c r="AA149" s="1037" t="str">
        <f t="shared" ref="AA149:AA212" si="48">IF(Z149="","",IF(K149+L149&lt;100000,1,0))</f>
        <v/>
      </c>
      <c r="AB149" s="1037" t="str">
        <f t="shared" ref="AB149:AB212" si="49">IF(Z149="","",IF(AND(AA149=0,K149+L149&lt;200000),1,))</f>
        <v/>
      </c>
      <c r="AC149" s="1037" t="str">
        <f>IF(Z149="","",VLOOKUP(Z149,リスト!BN:BO,2,0))</f>
        <v/>
      </c>
      <c r="AD149" s="1037" t="str">
        <f t="shared" si="44"/>
        <v/>
      </c>
      <c r="AE149" s="1037" t="str">
        <f>IF(AD149="","",VLOOKUP(AD149,リスト!BW:BX,2,0))</f>
        <v/>
      </c>
      <c r="AF149" s="1037" t="str">
        <f t="shared" si="41"/>
        <v/>
      </c>
      <c r="AG149" s="685" t="str">
        <f t="shared" si="22"/>
        <v/>
      </c>
      <c r="AH149" s="646" t="str">
        <f t="shared" si="23"/>
        <v/>
      </c>
      <c r="AI149" s="646" t="str">
        <f t="shared" si="45"/>
        <v/>
      </c>
      <c r="AJ149" s="647" t="str">
        <f t="shared" si="46"/>
        <v/>
      </c>
      <c r="AK149" s="647" t="str">
        <f t="shared" si="24"/>
        <v/>
      </c>
      <c r="AL149" s="647" t="str">
        <f t="shared" si="47"/>
        <v/>
      </c>
      <c r="AM149" s="647" t="str">
        <f t="shared" si="42"/>
        <v/>
      </c>
      <c r="AN149" s="647" t="str">
        <f t="shared" si="25"/>
        <v/>
      </c>
      <c r="AO149" s="647" t="str">
        <f t="shared" si="26"/>
        <v/>
      </c>
      <c r="AP149" s="647" t="str">
        <f t="shared" si="27"/>
        <v/>
      </c>
      <c r="AQ149" s="647" t="str">
        <f t="shared" si="43"/>
        <v/>
      </c>
      <c r="AR149" s="647" t="str">
        <f t="shared" si="28"/>
        <v/>
      </c>
      <c r="AS149" s="647" t="str">
        <f t="shared" si="29"/>
        <v/>
      </c>
      <c r="AT149" s="1323" t="str">
        <f t="shared" ref="AT149:AT212" si="50">IF(R149="","",IF(P149="","",ROUND(P149*R149%,0)))</f>
        <v/>
      </c>
      <c r="AU149" s="1323" t="str">
        <f t="shared" ref="AU149:AU212" si="51">IF(R149="","",IF(Q149="","",ROUND(Q149*R149%,0)))</f>
        <v/>
      </c>
    </row>
    <row r="150" spans="3:47" s="5" customFormat="1" ht="28.15" hidden="1" customHeight="1" outlineLevel="1">
      <c r="C150" s="649">
        <v>132</v>
      </c>
      <c r="D150" s="1133"/>
      <c r="E150" s="670"/>
      <c r="F150" s="726"/>
      <c r="G150" s="705"/>
      <c r="H150" s="255"/>
      <c r="I150" s="255"/>
      <c r="J150" s="1049"/>
      <c r="K150" s="735"/>
      <c r="L150" s="735"/>
      <c r="M150" s="736"/>
      <c r="N150" s="735"/>
      <c r="O150" s="727"/>
      <c r="P150" s="1321"/>
      <c r="Q150" s="1329"/>
      <c r="R150" s="254"/>
      <c r="S150" s="703"/>
      <c r="T150" s="728"/>
      <c r="U150" s="431"/>
      <c r="V150" s="499"/>
      <c r="W150" s="741"/>
      <c r="X150" s="51"/>
      <c r="Y150" s="51"/>
      <c r="Z150" s="645" t="str">
        <f t="shared" si="21"/>
        <v/>
      </c>
      <c r="AA150" s="1037" t="str">
        <f t="shared" si="48"/>
        <v/>
      </c>
      <c r="AB150" s="1037" t="str">
        <f t="shared" si="49"/>
        <v/>
      </c>
      <c r="AC150" s="1037" t="str">
        <f>IF(Z150="","",VLOOKUP(Z150,リスト!BN:BO,2,0))</f>
        <v/>
      </c>
      <c r="AD150" s="1037" t="str">
        <f t="shared" si="44"/>
        <v/>
      </c>
      <c r="AE150" s="1037" t="str">
        <f>IF(AD150="","",VLOOKUP(AD150,リスト!BW:BX,2,0))</f>
        <v/>
      </c>
      <c r="AF150" s="1037" t="str">
        <f t="shared" si="41"/>
        <v/>
      </c>
      <c r="AG150" s="685" t="str">
        <f t="shared" si="22"/>
        <v/>
      </c>
      <c r="AH150" s="646" t="str">
        <f t="shared" si="23"/>
        <v/>
      </c>
      <c r="AI150" s="646" t="str">
        <f t="shared" si="45"/>
        <v/>
      </c>
      <c r="AJ150" s="647" t="str">
        <f t="shared" si="46"/>
        <v/>
      </c>
      <c r="AK150" s="647" t="str">
        <f t="shared" si="24"/>
        <v/>
      </c>
      <c r="AL150" s="647" t="str">
        <f t="shared" si="47"/>
        <v/>
      </c>
      <c r="AM150" s="647" t="str">
        <f t="shared" si="42"/>
        <v/>
      </c>
      <c r="AN150" s="647" t="str">
        <f t="shared" si="25"/>
        <v/>
      </c>
      <c r="AO150" s="647" t="str">
        <f t="shared" si="26"/>
        <v/>
      </c>
      <c r="AP150" s="647" t="str">
        <f t="shared" si="27"/>
        <v/>
      </c>
      <c r="AQ150" s="647" t="str">
        <f t="shared" si="43"/>
        <v/>
      </c>
      <c r="AR150" s="647" t="str">
        <f t="shared" si="28"/>
        <v/>
      </c>
      <c r="AS150" s="647" t="str">
        <f t="shared" si="29"/>
        <v/>
      </c>
      <c r="AT150" s="1323" t="str">
        <f t="shared" si="50"/>
        <v/>
      </c>
      <c r="AU150" s="1323" t="str">
        <f t="shared" si="51"/>
        <v/>
      </c>
    </row>
    <row r="151" spans="3:47" s="5" customFormat="1" ht="28.15" hidden="1" customHeight="1" outlineLevel="1">
      <c r="C151" s="649">
        <v>133</v>
      </c>
      <c r="D151" s="1134"/>
      <c r="E151" s="729"/>
      <c r="F151" s="726"/>
      <c r="G151" s="705"/>
      <c r="H151" s="257"/>
      <c r="I151" s="257"/>
      <c r="J151" s="1049"/>
      <c r="K151" s="735"/>
      <c r="L151" s="735"/>
      <c r="M151" s="736"/>
      <c r="N151" s="735"/>
      <c r="O151" s="727"/>
      <c r="P151" s="1321"/>
      <c r="Q151" s="1329"/>
      <c r="R151" s="254"/>
      <c r="S151" s="703"/>
      <c r="T151" s="728"/>
      <c r="U151" s="431"/>
      <c r="V151" s="499"/>
      <c r="W151" s="741"/>
      <c r="X151" s="51"/>
      <c r="Y151" s="51"/>
      <c r="Z151" s="645" t="str">
        <f t="shared" si="21"/>
        <v/>
      </c>
      <c r="AA151" s="1037" t="str">
        <f t="shared" si="48"/>
        <v/>
      </c>
      <c r="AB151" s="1037" t="str">
        <f t="shared" si="49"/>
        <v/>
      </c>
      <c r="AC151" s="1037" t="str">
        <f>IF(Z151="","",VLOOKUP(Z151,リスト!BN:BO,2,0))</f>
        <v/>
      </c>
      <c r="AD151" s="1037" t="str">
        <f t="shared" si="44"/>
        <v/>
      </c>
      <c r="AE151" s="1037" t="str">
        <f>IF(AD151="","",VLOOKUP(AD151,リスト!BW:BX,2,0))</f>
        <v/>
      </c>
      <c r="AF151" s="1037" t="str">
        <f t="shared" si="41"/>
        <v/>
      </c>
      <c r="AG151" s="685" t="str">
        <f t="shared" si="22"/>
        <v/>
      </c>
      <c r="AH151" s="646" t="str">
        <f t="shared" si="23"/>
        <v/>
      </c>
      <c r="AI151" s="646" t="str">
        <f t="shared" si="45"/>
        <v/>
      </c>
      <c r="AJ151" s="647" t="str">
        <f t="shared" si="46"/>
        <v/>
      </c>
      <c r="AK151" s="647" t="str">
        <f t="shared" si="24"/>
        <v/>
      </c>
      <c r="AL151" s="647" t="str">
        <f t="shared" si="47"/>
        <v/>
      </c>
      <c r="AM151" s="647" t="str">
        <f t="shared" si="42"/>
        <v/>
      </c>
      <c r="AN151" s="647" t="str">
        <f t="shared" si="25"/>
        <v/>
      </c>
      <c r="AO151" s="647" t="str">
        <f t="shared" si="26"/>
        <v/>
      </c>
      <c r="AP151" s="647" t="str">
        <f t="shared" si="27"/>
        <v/>
      </c>
      <c r="AQ151" s="647" t="str">
        <f t="shared" si="43"/>
        <v/>
      </c>
      <c r="AR151" s="647" t="str">
        <f t="shared" si="28"/>
        <v/>
      </c>
      <c r="AS151" s="647" t="str">
        <f t="shared" si="29"/>
        <v/>
      </c>
      <c r="AT151" s="1323" t="str">
        <f t="shared" si="50"/>
        <v/>
      </c>
      <c r="AU151" s="1323" t="str">
        <f t="shared" si="51"/>
        <v/>
      </c>
    </row>
    <row r="152" spans="3:47" s="5" customFormat="1" ht="28.15" hidden="1" customHeight="1" outlineLevel="1">
      <c r="C152" s="649">
        <v>134</v>
      </c>
      <c r="D152" s="1133"/>
      <c r="E152" s="670"/>
      <c r="F152" s="726"/>
      <c r="G152" s="705"/>
      <c r="H152" s="255"/>
      <c r="I152" s="255"/>
      <c r="J152" s="1049"/>
      <c r="K152" s="735"/>
      <c r="L152" s="735"/>
      <c r="M152" s="736"/>
      <c r="N152" s="735"/>
      <c r="O152" s="727"/>
      <c r="P152" s="1321"/>
      <c r="Q152" s="1329"/>
      <c r="R152" s="254"/>
      <c r="S152" s="703"/>
      <c r="T152" s="728"/>
      <c r="U152" s="431"/>
      <c r="V152" s="499"/>
      <c r="W152" s="741"/>
      <c r="X152" s="51"/>
      <c r="Y152" s="51"/>
      <c r="Z152" s="645" t="str">
        <f t="shared" si="21"/>
        <v/>
      </c>
      <c r="AA152" s="1037" t="str">
        <f t="shared" si="48"/>
        <v/>
      </c>
      <c r="AB152" s="1037" t="str">
        <f t="shared" si="49"/>
        <v/>
      </c>
      <c r="AC152" s="1037" t="str">
        <f>IF(Z152="","",VLOOKUP(Z152,リスト!BN:BO,2,0))</f>
        <v/>
      </c>
      <c r="AD152" s="1037" t="str">
        <f t="shared" si="44"/>
        <v/>
      </c>
      <c r="AE152" s="1037" t="str">
        <f>IF(AD152="","",VLOOKUP(AD152,リスト!BW:BX,2,0))</f>
        <v/>
      </c>
      <c r="AF152" s="1037" t="str">
        <f t="shared" si="41"/>
        <v/>
      </c>
      <c r="AG152" s="685" t="str">
        <f t="shared" si="22"/>
        <v/>
      </c>
      <c r="AH152" s="646" t="str">
        <f t="shared" si="23"/>
        <v/>
      </c>
      <c r="AI152" s="646" t="str">
        <f t="shared" si="45"/>
        <v/>
      </c>
      <c r="AJ152" s="647" t="str">
        <f t="shared" si="46"/>
        <v/>
      </c>
      <c r="AK152" s="647" t="str">
        <f t="shared" si="24"/>
        <v/>
      </c>
      <c r="AL152" s="647" t="str">
        <f t="shared" si="47"/>
        <v/>
      </c>
      <c r="AM152" s="647" t="str">
        <f t="shared" si="42"/>
        <v/>
      </c>
      <c r="AN152" s="647" t="str">
        <f t="shared" si="25"/>
        <v/>
      </c>
      <c r="AO152" s="647" t="str">
        <f t="shared" si="26"/>
        <v/>
      </c>
      <c r="AP152" s="647" t="str">
        <f t="shared" si="27"/>
        <v/>
      </c>
      <c r="AQ152" s="647" t="str">
        <f t="shared" si="43"/>
        <v/>
      </c>
      <c r="AR152" s="647" t="str">
        <f t="shared" si="28"/>
        <v/>
      </c>
      <c r="AS152" s="647" t="str">
        <f t="shared" si="29"/>
        <v/>
      </c>
      <c r="AT152" s="1323" t="str">
        <f t="shared" si="50"/>
        <v/>
      </c>
      <c r="AU152" s="1323" t="str">
        <f t="shared" si="51"/>
        <v/>
      </c>
    </row>
    <row r="153" spans="3:47" s="5" customFormat="1" ht="28.15" hidden="1" customHeight="1" outlineLevel="1">
      <c r="C153" s="649">
        <v>135</v>
      </c>
      <c r="D153" s="1134"/>
      <c r="E153" s="729"/>
      <c r="F153" s="726"/>
      <c r="G153" s="705"/>
      <c r="H153" s="257"/>
      <c r="I153" s="257"/>
      <c r="J153" s="1049"/>
      <c r="K153" s="735"/>
      <c r="L153" s="735"/>
      <c r="M153" s="736"/>
      <c r="N153" s="735"/>
      <c r="O153" s="727"/>
      <c r="P153" s="1321"/>
      <c r="Q153" s="1329"/>
      <c r="R153" s="254"/>
      <c r="S153" s="703"/>
      <c r="T153" s="728"/>
      <c r="U153" s="431"/>
      <c r="V153" s="499"/>
      <c r="W153" s="741"/>
      <c r="X153" s="51"/>
      <c r="Y153" s="51"/>
      <c r="Z153" s="645" t="str">
        <f t="shared" si="21"/>
        <v/>
      </c>
      <c r="AA153" s="1037" t="str">
        <f t="shared" si="48"/>
        <v/>
      </c>
      <c r="AB153" s="1037" t="str">
        <f t="shared" si="49"/>
        <v/>
      </c>
      <c r="AC153" s="1037" t="str">
        <f>IF(Z153="","",VLOOKUP(Z153,リスト!BN:BO,2,0))</f>
        <v/>
      </c>
      <c r="AD153" s="1037" t="str">
        <f t="shared" si="44"/>
        <v/>
      </c>
      <c r="AE153" s="1037" t="str">
        <f>IF(AD153="","",VLOOKUP(AD153,リスト!BW:BX,2,0))</f>
        <v/>
      </c>
      <c r="AF153" s="1037" t="str">
        <f t="shared" si="41"/>
        <v/>
      </c>
      <c r="AG153" s="685" t="str">
        <f t="shared" si="22"/>
        <v/>
      </c>
      <c r="AH153" s="646" t="str">
        <f t="shared" si="23"/>
        <v/>
      </c>
      <c r="AI153" s="646" t="str">
        <f t="shared" si="45"/>
        <v/>
      </c>
      <c r="AJ153" s="647" t="str">
        <f t="shared" si="46"/>
        <v/>
      </c>
      <c r="AK153" s="647" t="str">
        <f t="shared" si="24"/>
        <v/>
      </c>
      <c r="AL153" s="647" t="str">
        <f t="shared" si="47"/>
        <v/>
      </c>
      <c r="AM153" s="647" t="str">
        <f t="shared" si="42"/>
        <v/>
      </c>
      <c r="AN153" s="647" t="str">
        <f t="shared" si="25"/>
        <v/>
      </c>
      <c r="AO153" s="647" t="str">
        <f t="shared" si="26"/>
        <v/>
      </c>
      <c r="AP153" s="647" t="str">
        <f t="shared" si="27"/>
        <v/>
      </c>
      <c r="AQ153" s="647" t="str">
        <f t="shared" si="43"/>
        <v/>
      </c>
      <c r="AR153" s="647" t="str">
        <f t="shared" si="28"/>
        <v/>
      </c>
      <c r="AS153" s="647" t="str">
        <f t="shared" si="29"/>
        <v/>
      </c>
      <c r="AT153" s="1323" t="str">
        <f t="shared" si="50"/>
        <v/>
      </c>
      <c r="AU153" s="1323" t="str">
        <f t="shared" si="51"/>
        <v/>
      </c>
    </row>
    <row r="154" spans="3:47" s="5" customFormat="1" ht="28.15" hidden="1" customHeight="1" outlineLevel="1">
      <c r="C154" s="649">
        <v>136</v>
      </c>
      <c r="D154" s="1133"/>
      <c r="E154" s="670"/>
      <c r="F154" s="726"/>
      <c r="G154" s="705"/>
      <c r="H154" s="255"/>
      <c r="I154" s="255"/>
      <c r="J154" s="1049"/>
      <c r="K154" s="735"/>
      <c r="L154" s="735"/>
      <c r="M154" s="736"/>
      <c r="N154" s="735"/>
      <c r="O154" s="727"/>
      <c r="P154" s="1321"/>
      <c r="Q154" s="1329"/>
      <c r="R154" s="254"/>
      <c r="S154" s="703"/>
      <c r="T154" s="728"/>
      <c r="U154" s="431"/>
      <c r="V154" s="499"/>
      <c r="W154" s="741"/>
      <c r="X154" s="51"/>
      <c r="Y154" s="51"/>
      <c r="Z154" s="645" t="str">
        <f t="shared" si="21"/>
        <v/>
      </c>
      <c r="AA154" s="1037" t="str">
        <f t="shared" si="48"/>
        <v/>
      </c>
      <c r="AB154" s="1037" t="str">
        <f t="shared" si="49"/>
        <v/>
      </c>
      <c r="AC154" s="1037" t="str">
        <f>IF(Z154="","",VLOOKUP(Z154,リスト!BN:BO,2,0))</f>
        <v/>
      </c>
      <c r="AD154" s="1037" t="str">
        <f t="shared" si="44"/>
        <v/>
      </c>
      <c r="AE154" s="1037" t="str">
        <f>IF(AD154="","",VLOOKUP(AD154,リスト!BW:BX,2,0))</f>
        <v/>
      </c>
      <c r="AF154" s="1037" t="str">
        <f t="shared" si="41"/>
        <v/>
      </c>
      <c r="AG154" s="685" t="str">
        <f t="shared" si="22"/>
        <v/>
      </c>
      <c r="AH154" s="646" t="str">
        <f t="shared" si="23"/>
        <v/>
      </c>
      <c r="AI154" s="646" t="str">
        <f t="shared" si="45"/>
        <v/>
      </c>
      <c r="AJ154" s="647" t="str">
        <f t="shared" si="46"/>
        <v/>
      </c>
      <c r="AK154" s="647" t="str">
        <f t="shared" si="24"/>
        <v/>
      </c>
      <c r="AL154" s="647" t="str">
        <f t="shared" si="47"/>
        <v/>
      </c>
      <c r="AM154" s="647" t="str">
        <f t="shared" si="42"/>
        <v/>
      </c>
      <c r="AN154" s="647" t="str">
        <f t="shared" si="25"/>
        <v/>
      </c>
      <c r="AO154" s="647" t="str">
        <f t="shared" si="26"/>
        <v/>
      </c>
      <c r="AP154" s="647" t="str">
        <f t="shared" si="27"/>
        <v/>
      </c>
      <c r="AQ154" s="647" t="str">
        <f t="shared" si="43"/>
        <v/>
      </c>
      <c r="AR154" s="647" t="str">
        <f t="shared" si="28"/>
        <v/>
      </c>
      <c r="AS154" s="647" t="str">
        <f t="shared" si="29"/>
        <v/>
      </c>
      <c r="AT154" s="1323" t="str">
        <f t="shared" si="50"/>
        <v/>
      </c>
      <c r="AU154" s="1323" t="str">
        <f t="shared" si="51"/>
        <v/>
      </c>
    </row>
    <row r="155" spans="3:47" s="5" customFormat="1" ht="28.15" hidden="1" customHeight="1" outlineLevel="1">
      <c r="C155" s="649">
        <v>137</v>
      </c>
      <c r="D155" s="1134"/>
      <c r="E155" s="729"/>
      <c r="F155" s="726"/>
      <c r="G155" s="705"/>
      <c r="H155" s="257"/>
      <c r="I155" s="257"/>
      <c r="J155" s="1049"/>
      <c r="K155" s="735"/>
      <c r="L155" s="735"/>
      <c r="M155" s="736"/>
      <c r="N155" s="735"/>
      <c r="O155" s="727"/>
      <c r="P155" s="1321"/>
      <c r="Q155" s="1329"/>
      <c r="R155" s="254"/>
      <c r="S155" s="703"/>
      <c r="T155" s="728"/>
      <c r="U155" s="431"/>
      <c r="V155" s="499"/>
      <c r="W155" s="741"/>
      <c r="X155" s="51"/>
      <c r="Y155" s="51"/>
      <c r="Z155" s="645" t="str">
        <f t="shared" si="21"/>
        <v/>
      </c>
      <c r="AA155" s="1037" t="str">
        <f t="shared" si="48"/>
        <v/>
      </c>
      <c r="AB155" s="1037" t="str">
        <f t="shared" si="49"/>
        <v/>
      </c>
      <c r="AC155" s="1037" t="str">
        <f>IF(Z155="","",VLOOKUP(Z155,リスト!BN:BO,2,0))</f>
        <v/>
      </c>
      <c r="AD155" s="1037" t="str">
        <f t="shared" si="44"/>
        <v/>
      </c>
      <c r="AE155" s="1037" t="str">
        <f>IF(AD155="","",VLOOKUP(AD155,リスト!BW:BX,2,0))</f>
        <v/>
      </c>
      <c r="AF155" s="1037" t="str">
        <f t="shared" si="41"/>
        <v/>
      </c>
      <c r="AG155" s="685" t="str">
        <f t="shared" si="22"/>
        <v/>
      </c>
      <c r="AH155" s="646" t="str">
        <f t="shared" si="23"/>
        <v/>
      </c>
      <c r="AI155" s="646" t="str">
        <f t="shared" si="45"/>
        <v/>
      </c>
      <c r="AJ155" s="647" t="str">
        <f t="shared" si="46"/>
        <v/>
      </c>
      <c r="AK155" s="647" t="str">
        <f t="shared" si="24"/>
        <v/>
      </c>
      <c r="AL155" s="647" t="str">
        <f t="shared" si="47"/>
        <v/>
      </c>
      <c r="AM155" s="647" t="str">
        <f t="shared" si="42"/>
        <v/>
      </c>
      <c r="AN155" s="647" t="str">
        <f t="shared" si="25"/>
        <v/>
      </c>
      <c r="AO155" s="647" t="str">
        <f t="shared" si="26"/>
        <v/>
      </c>
      <c r="AP155" s="647" t="str">
        <f t="shared" si="27"/>
        <v/>
      </c>
      <c r="AQ155" s="647" t="str">
        <f t="shared" si="43"/>
        <v/>
      </c>
      <c r="AR155" s="647" t="str">
        <f t="shared" si="28"/>
        <v/>
      </c>
      <c r="AS155" s="647" t="str">
        <f t="shared" si="29"/>
        <v/>
      </c>
      <c r="AT155" s="1323" t="str">
        <f t="shared" si="50"/>
        <v/>
      </c>
      <c r="AU155" s="1323" t="str">
        <f t="shared" si="51"/>
        <v/>
      </c>
    </row>
    <row r="156" spans="3:47" s="5" customFormat="1" ht="28.15" hidden="1" customHeight="1" outlineLevel="1">
      <c r="C156" s="649">
        <v>138</v>
      </c>
      <c r="D156" s="1133"/>
      <c r="E156" s="670"/>
      <c r="F156" s="726"/>
      <c r="G156" s="705"/>
      <c r="H156" s="255"/>
      <c r="I156" s="255"/>
      <c r="J156" s="1049"/>
      <c r="K156" s="735"/>
      <c r="L156" s="735"/>
      <c r="M156" s="736"/>
      <c r="N156" s="735"/>
      <c r="O156" s="727"/>
      <c r="P156" s="1321"/>
      <c r="Q156" s="1329"/>
      <c r="R156" s="254"/>
      <c r="S156" s="703"/>
      <c r="T156" s="728"/>
      <c r="U156" s="431"/>
      <c r="V156" s="499"/>
      <c r="W156" s="741"/>
      <c r="X156" s="51"/>
      <c r="Y156" s="51"/>
      <c r="Z156" s="645" t="str">
        <f t="shared" si="21"/>
        <v/>
      </c>
      <c r="AA156" s="1037" t="str">
        <f t="shared" si="48"/>
        <v/>
      </c>
      <c r="AB156" s="1037" t="str">
        <f t="shared" si="49"/>
        <v/>
      </c>
      <c r="AC156" s="1037" t="str">
        <f>IF(Z156="","",VLOOKUP(Z156,リスト!BN:BO,2,0))</f>
        <v/>
      </c>
      <c r="AD156" s="1037" t="str">
        <f t="shared" si="44"/>
        <v/>
      </c>
      <c r="AE156" s="1037" t="str">
        <f>IF(AD156="","",VLOOKUP(AD156,リスト!BW:BX,2,0))</f>
        <v/>
      </c>
      <c r="AF156" s="1037" t="str">
        <f t="shared" si="41"/>
        <v/>
      </c>
      <c r="AG156" s="685" t="str">
        <f t="shared" si="22"/>
        <v/>
      </c>
      <c r="AH156" s="646" t="str">
        <f t="shared" si="23"/>
        <v/>
      </c>
      <c r="AI156" s="646" t="str">
        <f t="shared" si="45"/>
        <v/>
      </c>
      <c r="AJ156" s="647" t="str">
        <f t="shared" si="46"/>
        <v/>
      </c>
      <c r="AK156" s="647" t="str">
        <f t="shared" si="24"/>
        <v/>
      </c>
      <c r="AL156" s="647" t="str">
        <f t="shared" si="47"/>
        <v/>
      </c>
      <c r="AM156" s="647" t="str">
        <f t="shared" si="42"/>
        <v/>
      </c>
      <c r="AN156" s="647" t="str">
        <f t="shared" si="25"/>
        <v/>
      </c>
      <c r="AO156" s="647" t="str">
        <f t="shared" si="26"/>
        <v/>
      </c>
      <c r="AP156" s="647" t="str">
        <f t="shared" si="27"/>
        <v/>
      </c>
      <c r="AQ156" s="647" t="str">
        <f t="shared" si="43"/>
        <v/>
      </c>
      <c r="AR156" s="647" t="str">
        <f t="shared" si="28"/>
        <v/>
      </c>
      <c r="AS156" s="647" t="str">
        <f t="shared" si="29"/>
        <v/>
      </c>
      <c r="AT156" s="1323" t="str">
        <f t="shared" si="50"/>
        <v/>
      </c>
      <c r="AU156" s="1323" t="str">
        <f t="shared" si="51"/>
        <v/>
      </c>
    </row>
    <row r="157" spans="3:47" s="5" customFormat="1" ht="28.15" hidden="1" customHeight="1" outlineLevel="1">
      <c r="C157" s="649">
        <v>139</v>
      </c>
      <c r="D157" s="1134"/>
      <c r="E157" s="729"/>
      <c r="F157" s="726"/>
      <c r="G157" s="705"/>
      <c r="H157" s="257"/>
      <c r="I157" s="257"/>
      <c r="J157" s="1050"/>
      <c r="K157" s="735"/>
      <c r="L157" s="735"/>
      <c r="M157" s="736"/>
      <c r="N157" s="735"/>
      <c r="O157" s="727"/>
      <c r="P157" s="1321"/>
      <c r="Q157" s="1329"/>
      <c r="R157" s="254"/>
      <c r="S157" s="703"/>
      <c r="T157" s="728"/>
      <c r="U157" s="431"/>
      <c r="V157" s="499"/>
      <c r="W157" s="741"/>
      <c r="X157" s="51"/>
      <c r="Y157" s="51"/>
      <c r="Z157" s="645" t="str">
        <f t="shared" si="21"/>
        <v/>
      </c>
      <c r="AA157" s="1037" t="str">
        <f t="shared" si="48"/>
        <v/>
      </c>
      <c r="AB157" s="1037" t="str">
        <f t="shared" si="49"/>
        <v/>
      </c>
      <c r="AC157" s="1037" t="str">
        <f>IF(Z157="","",VLOOKUP(Z157,リスト!BN:BO,2,0))</f>
        <v/>
      </c>
      <c r="AD157" s="1037" t="str">
        <f t="shared" si="44"/>
        <v/>
      </c>
      <c r="AE157" s="1037" t="str">
        <f>IF(AD157="","",VLOOKUP(AD157,リスト!BW:BX,2,0))</f>
        <v/>
      </c>
      <c r="AF157" s="1037" t="str">
        <f t="shared" si="41"/>
        <v/>
      </c>
      <c r="AG157" s="685" t="str">
        <f t="shared" si="22"/>
        <v/>
      </c>
      <c r="AH157" s="646" t="str">
        <f t="shared" si="23"/>
        <v/>
      </c>
      <c r="AI157" s="646" t="str">
        <f t="shared" si="45"/>
        <v/>
      </c>
      <c r="AJ157" s="647" t="str">
        <f t="shared" si="46"/>
        <v/>
      </c>
      <c r="AK157" s="647" t="str">
        <f t="shared" si="24"/>
        <v/>
      </c>
      <c r="AL157" s="647" t="str">
        <f t="shared" si="47"/>
        <v/>
      </c>
      <c r="AM157" s="647" t="str">
        <f t="shared" si="42"/>
        <v/>
      </c>
      <c r="AN157" s="647" t="str">
        <f t="shared" si="25"/>
        <v/>
      </c>
      <c r="AO157" s="647" t="str">
        <f t="shared" si="26"/>
        <v/>
      </c>
      <c r="AP157" s="647" t="str">
        <f t="shared" si="27"/>
        <v/>
      </c>
      <c r="AQ157" s="647" t="str">
        <f t="shared" si="43"/>
        <v/>
      </c>
      <c r="AR157" s="647" t="str">
        <f t="shared" si="28"/>
        <v/>
      </c>
      <c r="AS157" s="647" t="str">
        <f t="shared" si="29"/>
        <v/>
      </c>
      <c r="AT157" s="1323" t="str">
        <f t="shared" si="50"/>
        <v/>
      </c>
      <c r="AU157" s="1323" t="str">
        <f t="shared" si="51"/>
        <v/>
      </c>
    </row>
    <row r="158" spans="3:47" s="5" customFormat="1" ht="28.15" hidden="1" customHeight="1" outlineLevel="1">
      <c r="C158" s="649">
        <v>140</v>
      </c>
      <c r="D158" s="1133"/>
      <c r="E158" s="670"/>
      <c r="F158" s="726"/>
      <c r="G158" s="705"/>
      <c r="H158" s="255"/>
      <c r="I158" s="255"/>
      <c r="J158" s="1051"/>
      <c r="K158" s="735"/>
      <c r="L158" s="735"/>
      <c r="M158" s="736"/>
      <c r="N158" s="735"/>
      <c r="O158" s="727"/>
      <c r="P158" s="1321"/>
      <c r="Q158" s="1329"/>
      <c r="R158" s="254"/>
      <c r="S158" s="703"/>
      <c r="T158" s="728"/>
      <c r="U158" s="431"/>
      <c r="V158" s="499"/>
      <c r="W158" s="741"/>
      <c r="X158" s="51"/>
      <c r="Y158" s="51"/>
      <c r="Z158" s="645" t="str">
        <f t="shared" si="21"/>
        <v/>
      </c>
      <c r="AA158" s="1037" t="str">
        <f t="shared" si="48"/>
        <v/>
      </c>
      <c r="AB158" s="1037" t="str">
        <f t="shared" si="49"/>
        <v/>
      </c>
      <c r="AC158" s="1037" t="str">
        <f>IF(Z158="","",VLOOKUP(Z158,リスト!BN:BO,2,0))</f>
        <v/>
      </c>
      <c r="AD158" s="1037" t="str">
        <f t="shared" si="44"/>
        <v/>
      </c>
      <c r="AE158" s="1037" t="str">
        <f>IF(AD158="","",VLOOKUP(AD158,リスト!BW:BX,2,0))</f>
        <v/>
      </c>
      <c r="AF158" s="1037" t="str">
        <f t="shared" si="41"/>
        <v/>
      </c>
      <c r="AG158" s="685" t="str">
        <f t="shared" si="22"/>
        <v/>
      </c>
      <c r="AH158" s="646" t="str">
        <f t="shared" si="23"/>
        <v/>
      </c>
      <c r="AI158" s="646" t="str">
        <f t="shared" si="45"/>
        <v/>
      </c>
      <c r="AJ158" s="647" t="str">
        <f t="shared" si="46"/>
        <v/>
      </c>
      <c r="AK158" s="647" t="str">
        <f t="shared" si="24"/>
        <v/>
      </c>
      <c r="AL158" s="647" t="str">
        <f t="shared" si="47"/>
        <v/>
      </c>
      <c r="AM158" s="647" t="str">
        <f t="shared" si="42"/>
        <v/>
      </c>
      <c r="AN158" s="647" t="str">
        <f t="shared" si="25"/>
        <v/>
      </c>
      <c r="AO158" s="647" t="str">
        <f t="shared" si="26"/>
        <v/>
      </c>
      <c r="AP158" s="647" t="str">
        <f t="shared" si="27"/>
        <v/>
      </c>
      <c r="AQ158" s="647" t="str">
        <f t="shared" si="43"/>
        <v/>
      </c>
      <c r="AR158" s="647" t="str">
        <f t="shared" si="28"/>
        <v/>
      </c>
      <c r="AS158" s="647" t="str">
        <f t="shared" si="29"/>
        <v/>
      </c>
      <c r="AT158" s="1323" t="str">
        <f t="shared" si="50"/>
        <v/>
      </c>
      <c r="AU158" s="1323" t="str">
        <f t="shared" si="51"/>
        <v/>
      </c>
    </row>
    <row r="159" spans="3:47" s="5" customFormat="1" ht="28.15" hidden="1" customHeight="1" outlineLevel="1">
      <c r="C159" s="649">
        <v>141</v>
      </c>
      <c r="D159" s="1133"/>
      <c r="E159" s="670"/>
      <c r="F159" s="726"/>
      <c r="G159" s="705"/>
      <c r="H159" s="255"/>
      <c r="I159" s="255"/>
      <c r="J159" s="1051"/>
      <c r="K159" s="735"/>
      <c r="L159" s="735"/>
      <c r="M159" s="736"/>
      <c r="N159" s="735"/>
      <c r="O159" s="727"/>
      <c r="P159" s="1321"/>
      <c r="Q159" s="1329"/>
      <c r="R159" s="254"/>
      <c r="S159" s="703"/>
      <c r="T159" s="728"/>
      <c r="U159" s="431"/>
      <c r="V159" s="499"/>
      <c r="W159" s="741"/>
      <c r="X159" s="51"/>
      <c r="Y159" s="51"/>
      <c r="Z159" s="645" t="str">
        <f t="shared" si="21"/>
        <v/>
      </c>
      <c r="AA159" s="1037" t="str">
        <f t="shared" si="48"/>
        <v/>
      </c>
      <c r="AB159" s="1037" t="str">
        <f t="shared" si="49"/>
        <v/>
      </c>
      <c r="AC159" s="1037" t="str">
        <f>IF(Z159="","",VLOOKUP(Z159,リスト!BN:BO,2,0))</f>
        <v/>
      </c>
      <c r="AD159" s="1037" t="str">
        <f t="shared" si="44"/>
        <v/>
      </c>
      <c r="AE159" s="1037" t="str">
        <f>IF(AD159="","",VLOOKUP(AD159,リスト!BW:BX,2,0))</f>
        <v/>
      </c>
      <c r="AF159" s="1037" t="str">
        <f t="shared" si="41"/>
        <v/>
      </c>
      <c r="AG159" s="685" t="str">
        <f t="shared" si="22"/>
        <v/>
      </c>
      <c r="AH159" s="646" t="str">
        <f t="shared" si="23"/>
        <v/>
      </c>
      <c r="AI159" s="646" t="str">
        <f t="shared" si="45"/>
        <v/>
      </c>
      <c r="AJ159" s="647" t="str">
        <f t="shared" si="46"/>
        <v/>
      </c>
      <c r="AK159" s="647" t="str">
        <f t="shared" si="24"/>
        <v/>
      </c>
      <c r="AL159" s="647" t="str">
        <f t="shared" si="47"/>
        <v/>
      </c>
      <c r="AM159" s="647" t="str">
        <f t="shared" si="42"/>
        <v/>
      </c>
      <c r="AN159" s="647" t="str">
        <f t="shared" si="25"/>
        <v/>
      </c>
      <c r="AO159" s="647" t="str">
        <f t="shared" si="26"/>
        <v/>
      </c>
      <c r="AP159" s="647" t="str">
        <f t="shared" si="27"/>
        <v/>
      </c>
      <c r="AQ159" s="647" t="str">
        <f t="shared" si="43"/>
        <v/>
      </c>
      <c r="AR159" s="647" t="str">
        <f t="shared" si="28"/>
        <v/>
      </c>
      <c r="AS159" s="647" t="str">
        <f t="shared" si="29"/>
        <v/>
      </c>
      <c r="AT159" s="1323" t="str">
        <f t="shared" si="50"/>
        <v/>
      </c>
      <c r="AU159" s="1323" t="str">
        <f t="shared" si="51"/>
        <v/>
      </c>
    </row>
    <row r="160" spans="3:47" s="5" customFormat="1" ht="28.15" hidden="1" customHeight="1" outlineLevel="1">
      <c r="C160" s="649">
        <v>142</v>
      </c>
      <c r="D160" s="1133"/>
      <c r="E160" s="670"/>
      <c r="F160" s="726"/>
      <c r="G160" s="705"/>
      <c r="H160" s="255"/>
      <c r="I160" s="255"/>
      <c r="J160" s="1051"/>
      <c r="K160" s="735"/>
      <c r="L160" s="735"/>
      <c r="M160" s="736"/>
      <c r="N160" s="735"/>
      <c r="O160" s="727"/>
      <c r="P160" s="1321"/>
      <c r="Q160" s="1329"/>
      <c r="R160" s="254"/>
      <c r="S160" s="703"/>
      <c r="T160" s="728"/>
      <c r="U160" s="431"/>
      <c r="V160" s="499"/>
      <c r="W160" s="741"/>
      <c r="X160" s="51"/>
      <c r="Y160" s="51"/>
      <c r="Z160" s="645" t="str">
        <f t="shared" si="21"/>
        <v/>
      </c>
      <c r="AA160" s="1037" t="str">
        <f t="shared" si="48"/>
        <v/>
      </c>
      <c r="AB160" s="1037" t="str">
        <f t="shared" si="49"/>
        <v/>
      </c>
      <c r="AC160" s="1037" t="str">
        <f>IF(Z160="","",VLOOKUP(Z160,リスト!BN:BO,2,0))</f>
        <v/>
      </c>
      <c r="AD160" s="1037" t="str">
        <f t="shared" si="44"/>
        <v/>
      </c>
      <c r="AE160" s="1037" t="str">
        <f>IF(AD160="","",VLOOKUP(AD160,リスト!BW:BX,2,0))</f>
        <v/>
      </c>
      <c r="AF160" s="1037" t="str">
        <f t="shared" si="41"/>
        <v/>
      </c>
      <c r="AG160" s="685" t="str">
        <f t="shared" si="22"/>
        <v/>
      </c>
      <c r="AH160" s="646" t="str">
        <f t="shared" si="23"/>
        <v/>
      </c>
      <c r="AI160" s="646" t="str">
        <f t="shared" si="45"/>
        <v/>
      </c>
      <c r="AJ160" s="647" t="str">
        <f t="shared" si="46"/>
        <v/>
      </c>
      <c r="AK160" s="647" t="str">
        <f t="shared" si="24"/>
        <v/>
      </c>
      <c r="AL160" s="647" t="str">
        <f t="shared" si="47"/>
        <v/>
      </c>
      <c r="AM160" s="647" t="str">
        <f t="shared" si="42"/>
        <v/>
      </c>
      <c r="AN160" s="647" t="str">
        <f t="shared" si="25"/>
        <v/>
      </c>
      <c r="AO160" s="647" t="str">
        <f t="shared" si="26"/>
        <v/>
      </c>
      <c r="AP160" s="647" t="str">
        <f t="shared" si="27"/>
        <v/>
      </c>
      <c r="AQ160" s="647" t="str">
        <f t="shared" si="43"/>
        <v/>
      </c>
      <c r="AR160" s="647" t="str">
        <f t="shared" si="28"/>
        <v/>
      </c>
      <c r="AS160" s="647" t="str">
        <f t="shared" si="29"/>
        <v/>
      </c>
      <c r="AT160" s="1323" t="str">
        <f t="shared" si="50"/>
        <v/>
      </c>
      <c r="AU160" s="1323" t="str">
        <f t="shared" si="51"/>
        <v/>
      </c>
    </row>
    <row r="161" spans="3:47" s="5" customFormat="1" ht="28.15" hidden="1" customHeight="1" outlineLevel="1">
      <c r="C161" s="649">
        <v>143</v>
      </c>
      <c r="D161" s="1133"/>
      <c r="E161" s="670"/>
      <c r="F161" s="726"/>
      <c r="G161" s="705"/>
      <c r="H161" s="255"/>
      <c r="I161" s="255"/>
      <c r="J161" s="1051"/>
      <c r="K161" s="735"/>
      <c r="L161" s="735"/>
      <c r="M161" s="736"/>
      <c r="N161" s="735"/>
      <c r="O161" s="727"/>
      <c r="P161" s="1321"/>
      <c r="Q161" s="1329"/>
      <c r="R161" s="254"/>
      <c r="S161" s="703"/>
      <c r="T161" s="728"/>
      <c r="U161" s="431"/>
      <c r="V161" s="499"/>
      <c r="W161" s="741"/>
      <c r="X161" s="51"/>
      <c r="Y161" s="51"/>
      <c r="Z161" s="645" t="str">
        <f t="shared" si="21"/>
        <v/>
      </c>
      <c r="AA161" s="1037" t="str">
        <f t="shared" si="48"/>
        <v/>
      </c>
      <c r="AB161" s="1037" t="str">
        <f t="shared" si="49"/>
        <v/>
      </c>
      <c r="AC161" s="1037" t="str">
        <f>IF(Z161="","",VLOOKUP(Z161,リスト!BN:BO,2,0))</f>
        <v/>
      </c>
      <c r="AD161" s="1037" t="str">
        <f t="shared" si="44"/>
        <v/>
      </c>
      <c r="AE161" s="1037" t="str">
        <f>IF(AD161="","",VLOOKUP(AD161,リスト!BW:BX,2,0))</f>
        <v/>
      </c>
      <c r="AF161" s="1037" t="str">
        <f t="shared" si="41"/>
        <v/>
      </c>
      <c r="AG161" s="685" t="str">
        <f t="shared" si="22"/>
        <v/>
      </c>
      <c r="AH161" s="646" t="str">
        <f t="shared" si="23"/>
        <v/>
      </c>
      <c r="AI161" s="646" t="str">
        <f t="shared" si="45"/>
        <v/>
      </c>
      <c r="AJ161" s="647" t="str">
        <f t="shared" si="46"/>
        <v/>
      </c>
      <c r="AK161" s="647" t="str">
        <f t="shared" si="24"/>
        <v/>
      </c>
      <c r="AL161" s="647" t="str">
        <f t="shared" si="47"/>
        <v/>
      </c>
      <c r="AM161" s="647" t="str">
        <f t="shared" si="42"/>
        <v/>
      </c>
      <c r="AN161" s="647" t="str">
        <f t="shared" si="25"/>
        <v/>
      </c>
      <c r="AO161" s="647" t="str">
        <f t="shared" si="26"/>
        <v/>
      </c>
      <c r="AP161" s="647" t="str">
        <f t="shared" si="27"/>
        <v/>
      </c>
      <c r="AQ161" s="647" t="str">
        <f t="shared" si="43"/>
        <v/>
      </c>
      <c r="AR161" s="647" t="str">
        <f t="shared" si="28"/>
        <v/>
      </c>
      <c r="AS161" s="647" t="str">
        <f t="shared" si="29"/>
        <v/>
      </c>
      <c r="AT161" s="1323" t="str">
        <f t="shared" si="50"/>
        <v/>
      </c>
      <c r="AU161" s="1323" t="str">
        <f t="shared" si="51"/>
        <v/>
      </c>
    </row>
    <row r="162" spans="3:47" s="5" customFormat="1" ht="28.15" hidden="1" customHeight="1" outlineLevel="1">
      <c r="C162" s="649">
        <v>144</v>
      </c>
      <c r="D162" s="1133"/>
      <c r="E162" s="670"/>
      <c r="F162" s="726"/>
      <c r="G162" s="705"/>
      <c r="H162" s="255"/>
      <c r="I162" s="255"/>
      <c r="J162" s="1051"/>
      <c r="K162" s="735"/>
      <c r="L162" s="735"/>
      <c r="M162" s="736"/>
      <c r="N162" s="735"/>
      <c r="O162" s="727"/>
      <c r="P162" s="1321"/>
      <c r="Q162" s="1329"/>
      <c r="R162" s="254"/>
      <c r="S162" s="703"/>
      <c r="T162" s="728"/>
      <c r="U162" s="431"/>
      <c r="V162" s="499"/>
      <c r="W162" s="741"/>
      <c r="X162" s="51"/>
      <c r="Y162" s="51"/>
      <c r="Z162" s="645" t="str">
        <f t="shared" si="21"/>
        <v/>
      </c>
      <c r="AA162" s="1037" t="str">
        <f t="shared" si="48"/>
        <v/>
      </c>
      <c r="AB162" s="1037" t="str">
        <f t="shared" si="49"/>
        <v/>
      </c>
      <c r="AC162" s="1037" t="str">
        <f>IF(Z162="","",VLOOKUP(Z162,リスト!BN:BO,2,0))</f>
        <v/>
      </c>
      <c r="AD162" s="1037" t="str">
        <f t="shared" si="44"/>
        <v/>
      </c>
      <c r="AE162" s="1037" t="str">
        <f>IF(AD162="","",VLOOKUP(AD162,リスト!BW:BX,2,0))</f>
        <v/>
      </c>
      <c r="AF162" s="1037" t="str">
        <f t="shared" si="41"/>
        <v/>
      </c>
      <c r="AG162" s="685" t="str">
        <f t="shared" si="22"/>
        <v/>
      </c>
      <c r="AH162" s="646" t="str">
        <f t="shared" si="23"/>
        <v/>
      </c>
      <c r="AI162" s="646" t="str">
        <f t="shared" si="45"/>
        <v/>
      </c>
      <c r="AJ162" s="647" t="str">
        <f t="shared" si="46"/>
        <v/>
      </c>
      <c r="AK162" s="647" t="str">
        <f t="shared" si="24"/>
        <v/>
      </c>
      <c r="AL162" s="647" t="str">
        <f t="shared" si="47"/>
        <v/>
      </c>
      <c r="AM162" s="647" t="str">
        <f t="shared" si="42"/>
        <v/>
      </c>
      <c r="AN162" s="647" t="str">
        <f t="shared" si="25"/>
        <v/>
      </c>
      <c r="AO162" s="647" t="str">
        <f t="shared" si="26"/>
        <v/>
      </c>
      <c r="AP162" s="647" t="str">
        <f t="shared" si="27"/>
        <v/>
      </c>
      <c r="AQ162" s="647" t="str">
        <f t="shared" si="43"/>
        <v/>
      </c>
      <c r="AR162" s="647" t="str">
        <f t="shared" si="28"/>
        <v/>
      </c>
      <c r="AS162" s="647" t="str">
        <f t="shared" si="29"/>
        <v/>
      </c>
      <c r="AT162" s="1323" t="str">
        <f t="shared" si="50"/>
        <v/>
      </c>
      <c r="AU162" s="1323" t="str">
        <f t="shared" si="51"/>
        <v/>
      </c>
    </row>
    <row r="163" spans="3:47" s="5" customFormat="1" ht="28.15" hidden="1" customHeight="1" outlineLevel="1">
      <c r="C163" s="649">
        <v>145</v>
      </c>
      <c r="D163" s="1133"/>
      <c r="E163" s="670"/>
      <c r="F163" s="726"/>
      <c r="G163" s="705"/>
      <c r="H163" s="255"/>
      <c r="I163" s="255"/>
      <c r="J163" s="1051"/>
      <c r="K163" s="735"/>
      <c r="L163" s="735"/>
      <c r="M163" s="736"/>
      <c r="N163" s="735"/>
      <c r="O163" s="727"/>
      <c r="P163" s="1321"/>
      <c r="Q163" s="1329"/>
      <c r="R163" s="254"/>
      <c r="S163" s="703"/>
      <c r="T163" s="728"/>
      <c r="U163" s="431"/>
      <c r="V163" s="499"/>
      <c r="W163" s="741"/>
      <c r="X163" s="51"/>
      <c r="Y163" s="51"/>
      <c r="Z163" s="645" t="str">
        <f t="shared" si="21"/>
        <v/>
      </c>
      <c r="AA163" s="1037" t="str">
        <f t="shared" si="48"/>
        <v/>
      </c>
      <c r="AB163" s="1037" t="str">
        <f t="shared" si="49"/>
        <v/>
      </c>
      <c r="AC163" s="1037" t="str">
        <f>IF(Z163="","",VLOOKUP(Z163,リスト!BN:BO,2,0))</f>
        <v/>
      </c>
      <c r="AD163" s="1037" t="str">
        <f t="shared" si="44"/>
        <v/>
      </c>
      <c r="AE163" s="1037" t="str">
        <f>IF(AD163="","",VLOOKUP(AD163,リスト!BW:BX,2,0))</f>
        <v/>
      </c>
      <c r="AF163" s="1037" t="str">
        <f t="shared" si="41"/>
        <v/>
      </c>
      <c r="AG163" s="685" t="str">
        <f t="shared" si="22"/>
        <v/>
      </c>
      <c r="AH163" s="646" t="str">
        <f t="shared" si="23"/>
        <v/>
      </c>
      <c r="AI163" s="646" t="str">
        <f t="shared" si="45"/>
        <v/>
      </c>
      <c r="AJ163" s="647" t="str">
        <f t="shared" si="46"/>
        <v/>
      </c>
      <c r="AK163" s="647" t="str">
        <f t="shared" si="24"/>
        <v/>
      </c>
      <c r="AL163" s="647" t="str">
        <f t="shared" si="47"/>
        <v/>
      </c>
      <c r="AM163" s="647" t="str">
        <f t="shared" si="42"/>
        <v/>
      </c>
      <c r="AN163" s="647" t="str">
        <f t="shared" si="25"/>
        <v/>
      </c>
      <c r="AO163" s="647" t="str">
        <f t="shared" si="26"/>
        <v/>
      </c>
      <c r="AP163" s="647" t="str">
        <f t="shared" si="27"/>
        <v/>
      </c>
      <c r="AQ163" s="647" t="str">
        <f t="shared" si="43"/>
        <v/>
      </c>
      <c r="AR163" s="647" t="str">
        <f t="shared" si="28"/>
        <v/>
      </c>
      <c r="AS163" s="647" t="str">
        <f t="shared" si="29"/>
        <v/>
      </c>
      <c r="AT163" s="1323" t="str">
        <f t="shared" si="50"/>
        <v/>
      </c>
      <c r="AU163" s="1323" t="str">
        <f t="shared" si="51"/>
        <v/>
      </c>
    </row>
    <row r="164" spans="3:47" s="5" customFormat="1" ht="28.15" hidden="1" customHeight="1" outlineLevel="1">
      <c r="C164" s="649">
        <v>146</v>
      </c>
      <c r="D164" s="1133"/>
      <c r="E164" s="670"/>
      <c r="F164" s="726"/>
      <c r="G164" s="666"/>
      <c r="H164" s="266"/>
      <c r="I164" s="266"/>
      <c r="J164" s="1049"/>
      <c r="K164" s="727"/>
      <c r="L164" s="727"/>
      <c r="M164" s="727"/>
      <c r="N164" s="727"/>
      <c r="O164" s="727"/>
      <c r="P164" s="1321"/>
      <c r="Q164" s="1329"/>
      <c r="R164" s="254"/>
      <c r="S164" s="703"/>
      <c r="T164" s="728"/>
      <c r="U164" s="431"/>
      <c r="V164" s="499"/>
      <c r="W164" s="741"/>
      <c r="X164" s="51"/>
      <c r="Y164" s="51"/>
      <c r="Z164" s="645" t="str">
        <f t="shared" ref="Z164:Z181" si="52">IF(AND(E164="",F164=""),"","["&amp;RIGHT(LEFT(E164,3),2)&amp;RIGHT(LEFT(F164,2),1)&amp;"]")</f>
        <v/>
      </c>
      <c r="AA164" s="1037" t="str">
        <f t="shared" si="48"/>
        <v/>
      </c>
      <c r="AB164" s="1037" t="str">
        <f t="shared" si="49"/>
        <v/>
      </c>
      <c r="AC164" s="1037" t="str">
        <f>IF(Z164="","",VLOOKUP(Z164,リスト!BN:BO,2,0))</f>
        <v/>
      </c>
      <c r="AD164" s="1037" t="str">
        <f t="shared" si="44"/>
        <v/>
      </c>
      <c r="AE164" s="1037" t="str">
        <f>IF(AD164="","",VLOOKUP(AD164,リスト!BW:BX,2,0))</f>
        <v/>
      </c>
      <c r="AF164" s="1037" t="str">
        <f t="shared" si="41"/>
        <v/>
      </c>
      <c r="AG164" s="685" t="str">
        <f t="shared" ref="AG164:AG181" si="53">IF(OR(Z164="",AA164=1),"",
IF(AND(AD164&gt;0,AF164&lt;AD164,AH164&lt;=ROUND((K164-1)*AE164,0)),ROUND(AH164,0),
IF(AND(AD164&gt;0,AF164&lt;AD164),ROUND((K164-1)*AE164,0),
"")))</f>
        <v/>
      </c>
      <c r="AH164" s="646" t="str">
        <f t="shared" ref="AH164:AH181" si="54">IF(OR(Z164="",AA164=1),"",
IF(AND(AD164&gt;0,AF164&lt;AD164),K164-ROUND((K164-1)*AE164*AF164,0),1
))</f>
        <v/>
      </c>
      <c r="AI164" s="646" t="str">
        <f t="shared" ref="AI164:AI181" si="55">IF(OR(Z164="",AA164=1),"",
IF(S164="",AG164,
IF(S164="2：廃棄等",SUM(AH164,T164),
IF(S164="1：売却",AH164-T164,
IF(AND(T164="",AG164=""),"",SUM(T164,AG164))))))</f>
        <v/>
      </c>
      <c r="AJ164" s="647" t="str">
        <f t="shared" ref="AJ164:AJ181" si="56">IF(AND(AI164="",AG164=""),"",
IF(OR(S164="1：売却",S164="2：廃棄等"),SUM(AI164)-SUM(AG164),""))</f>
        <v/>
      </c>
      <c r="AK164" s="647" t="str">
        <f t="shared" ref="AK164:AK181" si="57">IF(OR(AA164=1,L164=""),"",
IF(AND(AD164&gt;0,L164&gt;0,AF164&lt;AD164),L164-ROUND(L164*AE164*AF164,0),""
))</f>
        <v/>
      </c>
      <c r="AL164" s="647" t="str">
        <f t="shared" si="47"/>
        <v/>
      </c>
      <c r="AM164" s="647" t="str">
        <f t="shared" si="42"/>
        <v/>
      </c>
      <c r="AN164" s="647" t="str">
        <f t="shared" ref="AN164:AN181" si="58">IF(R164="","",IF(AI164="","",ROUND(AI164*R164%,0)))</f>
        <v/>
      </c>
      <c r="AO164" s="647" t="str">
        <f t="shared" ref="AO164:AO181" si="59">IF(R164="","",IF(AJ164="","",ROUND(AJ164*R164%,0)))</f>
        <v/>
      </c>
      <c r="AP164" s="647" t="str">
        <f t="shared" ref="AP164:AP181" si="60">IF(R164="","",IF(AH164="","",ROUND(AH164*R164%,0)))</f>
        <v/>
      </c>
      <c r="AQ164" s="647" t="str">
        <f t="shared" si="43"/>
        <v/>
      </c>
      <c r="AR164" s="647" t="str">
        <f t="shared" ref="AR164:AR181" si="61">IF(R164="","",IF(N164="","",ROUND(N164*R164%,0)))</f>
        <v/>
      </c>
      <c r="AS164" s="647" t="str">
        <f t="shared" ref="AS164:AS181" si="62">IF(R164="","",IF(O164="","",ROUND(O164*R164%,0)))</f>
        <v/>
      </c>
      <c r="AT164" s="1323" t="str">
        <f t="shared" si="50"/>
        <v/>
      </c>
      <c r="AU164" s="1323" t="str">
        <f t="shared" si="51"/>
        <v/>
      </c>
    </row>
    <row r="165" spans="3:47" s="5" customFormat="1" ht="28.15" hidden="1" customHeight="1" outlineLevel="1">
      <c r="C165" s="649">
        <v>147</v>
      </c>
      <c r="D165" s="1134"/>
      <c r="E165" s="729"/>
      <c r="F165" s="726"/>
      <c r="G165" s="705"/>
      <c r="H165" s="257"/>
      <c r="I165" s="257"/>
      <c r="J165" s="1049"/>
      <c r="K165" s="735"/>
      <c r="L165" s="735"/>
      <c r="M165" s="736"/>
      <c r="N165" s="735"/>
      <c r="O165" s="727"/>
      <c r="P165" s="1321"/>
      <c r="Q165" s="1329"/>
      <c r="R165" s="254"/>
      <c r="S165" s="703"/>
      <c r="T165" s="728"/>
      <c r="U165" s="431"/>
      <c r="V165" s="499"/>
      <c r="W165" s="741"/>
      <c r="X165" s="51"/>
      <c r="Y165" s="51"/>
      <c r="Z165" s="645" t="str">
        <f t="shared" si="52"/>
        <v/>
      </c>
      <c r="AA165" s="1037" t="str">
        <f t="shared" si="48"/>
        <v/>
      </c>
      <c r="AB165" s="1037" t="str">
        <f t="shared" si="49"/>
        <v/>
      </c>
      <c r="AC165" s="1037" t="str">
        <f>IF(Z165="","",VLOOKUP(Z165,リスト!BN:BO,2,0))</f>
        <v/>
      </c>
      <c r="AD165" s="1037" t="str">
        <f t="shared" si="44"/>
        <v/>
      </c>
      <c r="AE165" s="1037" t="str">
        <f>IF(AD165="","",VLOOKUP(AD165,リスト!BW:BX,2,0))</f>
        <v/>
      </c>
      <c r="AF165" s="1037" t="str">
        <f t="shared" si="41"/>
        <v/>
      </c>
      <c r="AG165" s="685" t="str">
        <f t="shared" si="53"/>
        <v/>
      </c>
      <c r="AH165" s="646" t="str">
        <f t="shared" si="54"/>
        <v/>
      </c>
      <c r="AI165" s="646" t="str">
        <f t="shared" si="55"/>
        <v/>
      </c>
      <c r="AJ165" s="647" t="str">
        <f t="shared" si="56"/>
        <v/>
      </c>
      <c r="AK165" s="647" t="str">
        <f t="shared" si="57"/>
        <v/>
      </c>
      <c r="AL165" s="647" t="str">
        <f t="shared" si="47"/>
        <v/>
      </c>
      <c r="AM165" s="647" t="str">
        <f t="shared" si="42"/>
        <v/>
      </c>
      <c r="AN165" s="647" t="str">
        <f t="shared" si="58"/>
        <v/>
      </c>
      <c r="AO165" s="647" t="str">
        <f t="shared" si="59"/>
        <v/>
      </c>
      <c r="AP165" s="647" t="str">
        <f t="shared" si="60"/>
        <v/>
      </c>
      <c r="AQ165" s="647" t="str">
        <f t="shared" si="43"/>
        <v/>
      </c>
      <c r="AR165" s="647" t="str">
        <f t="shared" si="61"/>
        <v/>
      </c>
      <c r="AS165" s="647" t="str">
        <f t="shared" si="62"/>
        <v/>
      </c>
      <c r="AT165" s="1323" t="str">
        <f t="shared" si="50"/>
        <v/>
      </c>
      <c r="AU165" s="1323" t="str">
        <f t="shared" si="51"/>
        <v/>
      </c>
    </row>
    <row r="166" spans="3:47" s="5" customFormat="1" ht="28.15" hidden="1" customHeight="1" outlineLevel="1">
      <c r="C166" s="649">
        <v>148</v>
      </c>
      <c r="D166" s="1133"/>
      <c r="E166" s="670"/>
      <c r="F166" s="726"/>
      <c r="G166" s="705"/>
      <c r="H166" s="255"/>
      <c r="I166" s="255"/>
      <c r="J166" s="1049"/>
      <c r="K166" s="735"/>
      <c r="L166" s="735"/>
      <c r="M166" s="736"/>
      <c r="N166" s="735"/>
      <c r="O166" s="727"/>
      <c r="P166" s="1321"/>
      <c r="Q166" s="1329"/>
      <c r="R166" s="254"/>
      <c r="S166" s="703"/>
      <c r="T166" s="728"/>
      <c r="U166" s="431"/>
      <c r="V166" s="499"/>
      <c r="W166" s="741"/>
      <c r="X166" s="51"/>
      <c r="Y166" s="51"/>
      <c r="Z166" s="645" t="str">
        <f t="shared" si="52"/>
        <v/>
      </c>
      <c r="AA166" s="1037" t="str">
        <f t="shared" si="48"/>
        <v/>
      </c>
      <c r="AB166" s="1037" t="str">
        <f t="shared" si="49"/>
        <v/>
      </c>
      <c r="AC166" s="1037" t="str">
        <f>IF(Z166="","",VLOOKUP(Z166,リスト!BN:BO,2,0))</f>
        <v/>
      </c>
      <c r="AD166" s="1037" t="str">
        <f t="shared" si="44"/>
        <v/>
      </c>
      <c r="AE166" s="1037" t="str">
        <f>IF(AD166="","",VLOOKUP(AD166,リスト!BW:BX,2,0))</f>
        <v/>
      </c>
      <c r="AF166" s="1037" t="str">
        <f t="shared" si="41"/>
        <v/>
      </c>
      <c r="AG166" s="685" t="str">
        <f t="shared" si="53"/>
        <v/>
      </c>
      <c r="AH166" s="646" t="str">
        <f t="shared" si="54"/>
        <v/>
      </c>
      <c r="AI166" s="646" t="str">
        <f t="shared" si="55"/>
        <v/>
      </c>
      <c r="AJ166" s="647" t="str">
        <f t="shared" si="56"/>
        <v/>
      </c>
      <c r="AK166" s="647" t="str">
        <f t="shared" si="57"/>
        <v/>
      </c>
      <c r="AL166" s="647" t="str">
        <f t="shared" si="47"/>
        <v/>
      </c>
      <c r="AM166" s="647" t="str">
        <f t="shared" si="42"/>
        <v/>
      </c>
      <c r="AN166" s="647" t="str">
        <f t="shared" si="58"/>
        <v/>
      </c>
      <c r="AO166" s="647" t="str">
        <f t="shared" si="59"/>
        <v/>
      </c>
      <c r="AP166" s="647" t="str">
        <f t="shared" si="60"/>
        <v/>
      </c>
      <c r="AQ166" s="647" t="str">
        <f t="shared" si="43"/>
        <v/>
      </c>
      <c r="AR166" s="647" t="str">
        <f t="shared" si="61"/>
        <v/>
      </c>
      <c r="AS166" s="647" t="str">
        <f t="shared" si="62"/>
        <v/>
      </c>
      <c r="AT166" s="1323" t="str">
        <f t="shared" si="50"/>
        <v/>
      </c>
      <c r="AU166" s="1323" t="str">
        <f t="shared" si="51"/>
        <v/>
      </c>
    </row>
    <row r="167" spans="3:47" s="5" customFormat="1" ht="28.15" hidden="1" customHeight="1" outlineLevel="1">
      <c r="C167" s="649">
        <v>149</v>
      </c>
      <c r="D167" s="1134"/>
      <c r="E167" s="729"/>
      <c r="F167" s="726"/>
      <c r="G167" s="705"/>
      <c r="H167" s="257"/>
      <c r="I167" s="257"/>
      <c r="J167" s="1049"/>
      <c r="K167" s="735"/>
      <c r="L167" s="735"/>
      <c r="M167" s="736"/>
      <c r="N167" s="735"/>
      <c r="O167" s="727"/>
      <c r="P167" s="1321"/>
      <c r="Q167" s="1329"/>
      <c r="R167" s="254"/>
      <c r="S167" s="703"/>
      <c r="T167" s="728"/>
      <c r="U167" s="431"/>
      <c r="V167" s="499"/>
      <c r="W167" s="741"/>
      <c r="X167" s="51"/>
      <c r="Y167" s="51"/>
      <c r="Z167" s="645" t="str">
        <f t="shared" si="52"/>
        <v/>
      </c>
      <c r="AA167" s="1037" t="str">
        <f t="shared" si="48"/>
        <v/>
      </c>
      <c r="AB167" s="1037" t="str">
        <f t="shared" si="49"/>
        <v/>
      </c>
      <c r="AC167" s="1037" t="str">
        <f>IF(Z167="","",VLOOKUP(Z167,リスト!BN:BO,2,0))</f>
        <v/>
      </c>
      <c r="AD167" s="1037" t="str">
        <f t="shared" si="44"/>
        <v/>
      </c>
      <c r="AE167" s="1037" t="str">
        <f>IF(AD167="","",VLOOKUP(AD167,リスト!BW:BX,2,0))</f>
        <v/>
      </c>
      <c r="AF167" s="1037" t="str">
        <f t="shared" si="41"/>
        <v/>
      </c>
      <c r="AG167" s="685" t="str">
        <f t="shared" si="53"/>
        <v/>
      </c>
      <c r="AH167" s="646" t="str">
        <f t="shared" si="54"/>
        <v/>
      </c>
      <c r="AI167" s="646" t="str">
        <f t="shared" si="55"/>
        <v/>
      </c>
      <c r="AJ167" s="647" t="str">
        <f t="shared" si="56"/>
        <v/>
      </c>
      <c r="AK167" s="647" t="str">
        <f t="shared" si="57"/>
        <v/>
      </c>
      <c r="AL167" s="647" t="str">
        <f t="shared" si="47"/>
        <v/>
      </c>
      <c r="AM167" s="647" t="str">
        <f t="shared" si="42"/>
        <v/>
      </c>
      <c r="AN167" s="647" t="str">
        <f t="shared" si="58"/>
        <v/>
      </c>
      <c r="AO167" s="647" t="str">
        <f t="shared" si="59"/>
        <v/>
      </c>
      <c r="AP167" s="647" t="str">
        <f t="shared" si="60"/>
        <v/>
      </c>
      <c r="AQ167" s="647" t="str">
        <f t="shared" si="43"/>
        <v/>
      </c>
      <c r="AR167" s="647" t="str">
        <f t="shared" si="61"/>
        <v/>
      </c>
      <c r="AS167" s="647" t="str">
        <f t="shared" si="62"/>
        <v/>
      </c>
      <c r="AT167" s="1323" t="str">
        <f t="shared" si="50"/>
        <v/>
      </c>
      <c r="AU167" s="1323" t="str">
        <f t="shared" si="51"/>
        <v/>
      </c>
    </row>
    <row r="168" spans="3:47" s="5" customFormat="1" ht="28.15" hidden="1" customHeight="1" outlineLevel="1">
      <c r="C168" s="649">
        <v>150</v>
      </c>
      <c r="D168" s="1133"/>
      <c r="E168" s="670"/>
      <c r="F168" s="726"/>
      <c r="G168" s="705"/>
      <c r="H168" s="255"/>
      <c r="I168" s="255"/>
      <c r="J168" s="1049"/>
      <c r="K168" s="735"/>
      <c r="L168" s="735"/>
      <c r="M168" s="736"/>
      <c r="N168" s="735"/>
      <c r="O168" s="727"/>
      <c r="P168" s="1321"/>
      <c r="Q168" s="1329"/>
      <c r="R168" s="254"/>
      <c r="S168" s="703"/>
      <c r="T168" s="728"/>
      <c r="U168" s="431"/>
      <c r="V168" s="499"/>
      <c r="W168" s="741"/>
      <c r="X168" s="51"/>
      <c r="Y168" s="51"/>
      <c r="Z168" s="645" t="str">
        <f t="shared" si="52"/>
        <v/>
      </c>
      <c r="AA168" s="1037" t="str">
        <f t="shared" si="48"/>
        <v/>
      </c>
      <c r="AB168" s="1037" t="str">
        <f t="shared" si="49"/>
        <v/>
      </c>
      <c r="AC168" s="1037" t="str">
        <f>IF(Z168="","",VLOOKUP(Z168,リスト!BN:BO,2,0))</f>
        <v/>
      </c>
      <c r="AD168" s="1037" t="str">
        <f t="shared" si="44"/>
        <v/>
      </c>
      <c r="AE168" s="1037" t="str">
        <f>IF(AD168="","",VLOOKUP(AD168,リスト!BW:BX,2,0))</f>
        <v/>
      </c>
      <c r="AF168" s="1037" t="str">
        <f t="shared" si="41"/>
        <v/>
      </c>
      <c r="AG168" s="685" t="str">
        <f t="shared" si="53"/>
        <v/>
      </c>
      <c r="AH168" s="646" t="str">
        <f t="shared" si="54"/>
        <v/>
      </c>
      <c r="AI168" s="646" t="str">
        <f t="shared" si="55"/>
        <v/>
      </c>
      <c r="AJ168" s="647" t="str">
        <f t="shared" si="56"/>
        <v/>
      </c>
      <c r="AK168" s="647" t="str">
        <f t="shared" si="57"/>
        <v/>
      </c>
      <c r="AL168" s="647" t="str">
        <f t="shared" si="47"/>
        <v/>
      </c>
      <c r="AM168" s="647" t="str">
        <f t="shared" si="42"/>
        <v/>
      </c>
      <c r="AN168" s="647" t="str">
        <f t="shared" si="58"/>
        <v/>
      </c>
      <c r="AO168" s="647" t="str">
        <f t="shared" si="59"/>
        <v/>
      </c>
      <c r="AP168" s="647" t="str">
        <f t="shared" si="60"/>
        <v/>
      </c>
      <c r="AQ168" s="647" t="str">
        <f t="shared" si="43"/>
        <v/>
      </c>
      <c r="AR168" s="647" t="str">
        <f t="shared" si="61"/>
        <v/>
      </c>
      <c r="AS168" s="647" t="str">
        <f t="shared" si="62"/>
        <v/>
      </c>
      <c r="AT168" s="1323" t="str">
        <f t="shared" si="50"/>
        <v/>
      </c>
      <c r="AU168" s="1323" t="str">
        <f t="shared" si="51"/>
        <v/>
      </c>
    </row>
    <row r="169" spans="3:47" s="5" customFormat="1" ht="28.15" hidden="1" customHeight="1" outlineLevel="1">
      <c r="C169" s="649">
        <v>151</v>
      </c>
      <c r="D169" s="1134"/>
      <c r="E169" s="729"/>
      <c r="F169" s="726"/>
      <c r="G169" s="705"/>
      <c r="H169" s="257"/>
      <c r="I169" s="257"/>
      <c r="J169" s="1049"/>
      <c r="K169" s="735"/>
      <c r="L169" s="735"/>
      <c r="M169" s="736"/>
      <c r="N169" s="735"/>
      <c r="O169" s="727"/>
      <c r="P169" s="1321"/>
      <c r="Q169" s="1329"/>
      <c r="R169" s="254"/>
      <c r="S169" s="703"/>
      <c r="T169" s="728"/>
      <c r="U169" s="431"/>
      <c r="V169" s="499"/>
      <c r="W169" s="741"/>
      <c r="X169" s="51"/>
      <c r="Y169" s="51"/>
      <c r="Z169" s="645" t="str">
        <f t="shared" si="52"/>
        <v/>
      </c>
      <c r="AA169" s="1037" t="str">
        <f t="shared" si="48"/>
        <v/>
      </c>
      <c r="AB169" s="1037" t="str">
        <f t="shared" si="49"/>
        <v/>
      </c>
      <c r="AC169" s="1037" t="str">
        <f>IF(Z169="","",VLOOKUP(Z169,リスト!BN:BO,2,0))</f>
        <v/>
      </c>
      <c r="AD169" s="1037" t="str">
        <f t="shared" si="44"/>
        <v/>
      </c>
      <c r="AE169" s="1037" t="str">
        <f>IF(AD169="","",VLOOKUP(AD169,リスト!BW:BX,2,0))</f>
        <v/>
      </c>
      <c r="AF169" s="1037" t="str">
        <f t="shared" si="41"/>
        <v/>
      </c>
      <c r="AG169" s="685" t="str">
        <f t="shared" si="53"/>
        <v/>
      </c>
      <c r="AH169" s="646" t="str">
        <f t="shared" si="54"/>
        <v/>
      </c>
      <c r="AI169" s="646" t="str">
        <f t="shared" si="55"/>
        <v/>
      </c>
      <c r="AJ169" s="647" t="str">
        <f t="shared" si="56"/>
        <v/>
      </c>
      <c r="AK169" s="647" t="str">
        <f t="shared" si="57"/>
        <v/>
      </c>
      <c r="AL169" s="647" t="str">
        <f t="shared" si="47"/>
        <v/>
      </c>
      <c r="AM169" s="647" t="str">
        <f t="shared" si="42"/>
        <v/>
      </c>
      <c r="AN169" s="647" t="str">
        <f t="shared" si="58"/>
        <v/>
      </c>
      <c r="AO169" s="647" t="str">
        <f t="shared" si="59"/>
        <v/>
      </c>
      <c r="AP169" s="647" t="str">
        <f t="shared" si="60"/>
        <v/>
      </c>
      <c r="AQ169" s="647" t="str">
        <f t="shared" si="43"/>
        <v/>
      </c>
      <c r="AR169" s="647" t="str">
        <f t="shared" si="61"/>
        <v/>
      </c>
      <c r="AS169" s="647" t="str">
        <f t="shared" si="62"/>
        <v/>
      </c>
      <c r="AT169" s="1323" t="str">
        <f t="shared" si="50"/>
        <v/>
      </c>
      <c r="AU169" s="1323" t="str">
        <f t="shared" si="51"/>
        <v/>
      </c>
    </row>
    <row r="170" spans="3:47" s="5" customFormat="1" ht="28.15" hidden="1" customHeight="1" outlineLevel="1">
      <c r="C170" s="649">
        <v>152</v>
      </c>
      <c r="D170" s="1133"/>
      <c r="E170" s="670"/>
      <c r="F170" s="726"/>
      <c r="G170" s="705"/>
      <c r="H170" s="255"/>
      <c r="I170" s="255"/>
      <c r="J170" s="1049"/>
      <c r="K170" s="735"/>
      <c r="L170" s="735"/>
      <c r="M170" s="736"/>
      <c r="N170" s="735"/>
      <c r="O170" s="727"/>
      <c r="P170" s="1321"/>
      <c r="Q170" s="1329"/>
      <c r="R170" s="254"/>
      <c r="S170" s="703"/>
      <c r="T170" s="728"/>
      <c r="U170" s="431"/>
      <c r="V170" s="499"/>
      <c r="W170" s="741"/>
      <c r="X170" s="51"/>
      <c r="Y170" s="51"/>
      <c r="Z170" s="645" t="str">
        <f t="shared" si="52"/>
        <v/>
      </c>
      <c r="AA170" s="1037" t="str">
        <f t="shared" si="48"/>
        <v/>
      </c>
      <c r="AB170" s="1037" t="str">
        <f t="shared" si="49"/>
        <v/>
      </c>
      <c r="AC170" s="1037" t="str">
        <f>IF(Z170="","",VLOOKUP(Z170,リスト!BN:BO,2,0))</f>
        <v/>
      </c>
      <c r="AD170" s="1037" t="str">
        <f t="shared" si="44"/>
        <v/>
      </c>
      <c r="AE170" s="1037" t="str">
        <f>IF(AD170="","",VLOOKUP(AD170,リスト!BW:BX,2,0))</f>
        <v/>
      </c>
      <c r="AF170" s="1037" t="str">
        <f t="shared" si="41"/>
        <v/>
      </c>
      <c r="AG170" s="685" t="str">
        <f t="shared" si="53"/>
        <v/>
      </c>
      <c r="AH170" s="646" t="str">
        <f t="shared" si="54"/>
        <v/>
      </c>
      <c r="AI170" s="646" t="str">
        <f t="shared" si="55"/>
        <v/>
      </c>
      <c r="AJ170" s="647" t="str">
        <f t="shared" si="56"/>
        <v/>
      </c>
      <c r="AK170" s="647" t="str">
        <f t="shared" si="57"/>
        <v/>
      </c>
      <c r="AL170" s="647" t="str">
        <f t="shared" si="47"/>
        <v/>
      </c>
      <c r="AM170" s="647" t="str">
        <f t="shared" si="42"/>
        <v/>
      </c>
      <c r="AN170" s="647" t="str">
        <f t="shared" si="58"/>
        <v/>
      </c>
      <c r="AO170" s="647" t="str">
        <f t="shared" si="59"/>
        <v/>
      </c>
      <c r="AP170" s="647" t="str">
        <f t="shared" si="60"/>
        <v/>
      </c>
      <c r="AQ170" s="647" t="str">
        <f t="shared" si="43"/>
        <v/>
      </c>
      <c r="AR170" s="647" t="str">
        <f t="shared" si="61"/>
        <v/>
      </c>
      <c r="AS170" s="647" t="str">
        <f t="shared" si="62"/>
        <v/>
      </c>
      <c r="AT170" s="1323" t="str">
        <f t="shared" si="50"/>
        <v/>
      </c>
      <c r="AU170" s="1323" t="str">
        <f t="shared" si="51"/>
        <v/>
      </c>
    </row>
    <row r="171" spans="3:47" s="5" customFormat="1" ht="28.15" hidden="1" customHeight="1" outlineLevel="1">
      <c r="C171" s="649">
        <v>153</v>
      </c>
      <c r="D171" s="1134"/>
      <c r="E171" s="729"/>
      <c r="F171" s="726"/>
      <c r="G171" s="705"/>
      <c r="H171" s="257"/>
      <c r="I171" s="257"/>
      <c r="J171" s="1049"/>
      <c r="K171" s="735"/>
      <c r="L171" s="735"/>
      <c r="M171" s="736"/>
      <c r="N171" s="735"/>
      <c r="O171" s="727"/>
      <c r="P171" s="1321"/>
      <c r="Q171" s="1329"/>
      <c r="R171" s="254"/>
      <c r="S171" s="703"/>
      <c r="T171" s="728"/>
      <c r="U171" s="431"/>
      <c r="V171" s="499"/>
      <c r="W171" s="741"/>
      <c r="X171" s="51"/>
      <c r="Y171" s="51"/>
      <c r="Z171" s="645" t="str">
        <f t="shared" si="52"/>
        <v/>
      </c>
      <c r="AA171" s="1037" t="str">
        <f t="shared" si="48"/>
        <v/>
      </c>
      <c r="AB171" s="1037" t="str">
        <f t="shared" si="49"/>
        <v/>
      </c>
      <c r="AC171" s="1037" t="str">
        <f>IF(Z171="","",VLOOKUP(Z171,リスト!BN:BO,2,0))</f>
        <v/>
      </c>
      <c r="AD171" s="1037" t="str">
        <f t="shared" si="44"/>
        <v/>
      </c>
      <c r="AE171" s="1037" t="str">
        <f>IF(AD171="","",VLOOKUP(AD171,リスト!BW:BX,2,0))</f>
        <v/>
      </c>
      <c r="AF171" s="1037" t="str">
        <f t="shared" si="41"/>
        <v/>
      </c>
      <c r="AG171" s="685" t="str">
        <f t="shared" si="53"/>
        <v/>
      </c>
      <c r="AH171" s="646" t="str">
        <f t="shared" si="54"/>
        <v/>
      </c>
      <c r="AI171" s="646" t="str">
        <f t="shared" si="55"/>
        <v/>
      </c>
      <c r="AJ171" s="647" t="str">
        <f t="shared" si="56"/>
        <v/>
      </c>
      <c r="AK171" s="647" t="str">
        <f t="shared" si="57"/>
        <v/>
      </c>
      <c r="AL171" s="647" t="str">
        <f t="shared" si="47"/>
        <v/>
      </c>
      <c r="AM171" s="647" t="str">
        <f t="shared" si="42"/>
        <v/>
      </c>
      <c r="AN171" s="647" t="str">
        <f t="shared" si="58"/>
        <v/>
      </c>
      <c r="AO171" s="647" t="str">
        <f t="shared" si="59"/>
        <v/>
      </c>
      <c r="AP171" s="647" t="str">
        <f t="shared" si="60"/>
        <v/>
      </c>
      <c r="AQ171" s="647" t="str">
        <f t="shared" si="43"/>
        <v/>
      </c>
      <c r="AR171" s="647" t="str">
        <f t="shared" si="61"/>
        <v/>
      </c>
      <c r="AS171" s="647" t="str">
        <f t="shared" si="62"/>
        <v/>
      </c>
      <c r="AT171" s="1323" t="str">
        <f t="shared" si="50"/>
        <v/>
      </c>
      <c r="AU171" s="1323" t="str">
        <f t="shared" si="51"/>
        <v/>
      </c>
    </row>
    <row r="172" spans="3:47" s="5" customFormat="1" ht="28.15" hidden="1" customHeight="1" outlineLevel="1">
      <c r="C172" s="649">
        <v>154</v>
      </c>
      <c r="D172" s="1133"/>
      <c r="E172" s="670"/>
      <c r="F172" s="726"/>
      <c r="G172" s="705"/>
      <c r="H172" s="255"/>
      <c r="I172" s="255"/>
      <c r="J172" s="1049"/>
      <c r="K172" s="735"/>
      <c r="L172" s="735"/>
      <c r="M172" s="736"/>
      <c r="N172" s="735"/>
      <c r="O172" s="727"/>
      <c r="P172" s="1321"/>
      <c r="Q172" s="1329"/>
      <c r="R172" s="254"/>
      <c r="S172" s="703"/>
      <c r="T172" s="728"/>
      <c r="U172" s="431"/>
      <c r="V172" s="499"/>
      <c r="W172" s="741"/>
      <c r="X172" s="51"/>
      <c r="Y172" s="51"/>
      <c r="Z172" s="645" t="str">
        <f t="shared" si="52"/>
        <v/>
      </c>
      <c r="AA172" s="1037" t="str">
        <f t="shared" si="48"/>
        <v/>
      </c>
      <c r="AB172" s="1037" t="str">
        <f t="shared" si="49"/>
        <v/>
      </c>
      <c r="AC172" s="1037" t="str">
        <f>IF(Z172="","",VLOOKUP(Z172,リスト!BN:BO,2,0))</f>
        <v/>
      </c>
      <c r="AD172" s="1037" t="str">
        <f t="shared" si="44"/>
        <v/>
      </c>
      <c r="AE172" s="1037" t="str">
        <f>IF(AD172="","",VLOOKUP(AD172,リスト!BW:BX,2,0))</f>
        <v/>
      </c>
      <c r="AF172" s="1037" t="str">
        <f t="shared" si="41"/>
        <v/>
      </c>
      <c r="AG172" s="685" t="str">
        <f t="shared" si="53"/>
        <v/>
      </c>
      <c r="AH172" s="646" t="str">
        <f t="shared" si="54"/>
        <v/>
      </c>
      <c r="AI172" s="646" t="str">
        <f t="shared" si="55"/>
        <v/>
      </c>
      <c r="AJ172" s="647" t="str">
        <f t="shared" si="56"/>
        <v/>
      </c>
      <c r="AK172" s="647" t="str">
        <f t="shared" si="57"/>
        <v/>
      </c>
      <c r="AL172" s="647" t="str">
        <f t="shared" si="47"/>
        <v/>
      </c>
      <c r="AM172" s="647" t="str">
        <f t="shared" si="42"/>
        <v/>
      </c>
      <c r="AN172" s="647" t="str">
        <f t="shared" si="58"/>
        <v/>
      </c>
      <c r="AO172" s="647" t="str">
        <f t="shared" si="59"/>
        <v/>
      </c>
      <c r="AP172" s="647" t="str">
        <f t="shared" si="60"/>
        <v/>
      </c>
      <c r="AQ172" s="647" t="str">
        <f t="shared" si="43"/>
        <v/>
      </c>
      <c r="AR172" s="647" t="str">
        <f t="shared" si="61"/>
        <v/>
      </c>
      <c r="AS172" s="647" t="str">
        <f t="shared" si="62"/>
        <v/>
      </c>
      <c r="AT172" s="1323" t="str">
        <f t="shared" si="50"/>
        <v/>
      </c>
      <c r="AU172" s="1323" t="str">
        <f t="shared" si="51"/>
        <v/>
      </c>
    </row>
    <row r="173" spans="3:47" s="5" customFormat="1" ht="28.15" hidden="1" customHeight="1" outlineLevel="1">
      <c r="C173" s="649">
        <v>155</v>
      </c>
      <c r="D173" s="1134"/>
      <c r="E173" s="729"/>
      <c r="F173" s="726"/>
      <c r="G173" s="705"/>
      <c r="H173" s="257"/>
      <c r="I173" s="257"/>
      <c r="J173" s="1049"/>
      <c r="K173" s="735"/>
      <c r="L173" s="735"/>
      <c r="M173" s="736"/>
      <c r="N173" s="735"/>
      <c r="O173" s="727"/>
      <c r="P173" s="1321"/>
      <c r="Q173" s="1329"/>
      <c r="R173" s="254"/>
      <c r="S173" s="703"/>
      <c r="T173" s="728"/>
      <c r="U173" s="431"/>
      <c r="V173" s="499"/>
      <c r="W173" s="741"/>
      <c r="X173" s="51"/>
      <c r="Y173" s="51"/>
      <c r="Z173" s="645" t="str">
        <f t="shared" si="52"/>
        <v/>
      </c>
      <c r="AA173" s="1037" t="str">
        <f t="shared" si="48"/>
        <v/>
      </c>
      <c r="AB173" s="1037" t="str">
        <f t="shared" si="49"/>
        <v/>
      </c>
      <c r="AC173" s="1037" t="str">
        <f>IF(Z173="","",VLOOKUP(Z173,リスト!BN:BO,2,0))</f>
        <v/>
      </c>
      <c r="AD173" s="1037" t="str">
        <f t="shared" si="44"/>
        <v/>
      </c>
      <c r="AE173" s="1037" t="str">
        <f>IF(AD173="","",VLOOKUP(AD173,リスト!BW:BX,2,0))</f>
        <v/>
      </c>
      <c r="AF173" s="1037" t="str">
        <f t="shared" si="41"/>
        <v/>
      </c>
      <c r="AG173" s="685" t="str">
        <f t="shared" si="53"/>
        <v/>
      </c>
      <c r="AH173" s="646" t="str">
        <f t="shared" si="54"/>
        <v/>
      </c>
      <c r="AI173" s="646" t="str">
        <f t="shared" si="55"/>
        <v/>
      </c>
      <c r="AJ173" s="647" t="str">
        <f t="shared" si="56"/>
        <v/>
      </c>
      <c r="AK173" s="647" t="str">
        <f t="shared" si="57"/>
        <v/>
      </c>
      <c r="AL173" s="647" t="str">
        <f t="shared" si="47"/>
        <v/>
      </c>
      <c r="AM173" s="647" t="str">
        <f t="shared" si="42"/>
        <v/>
      </c>
      <c r="AN173" s="647" t="str">
        <f t="shared" si="58"/>
        <v/>
      </c>
      <c r="AO173" s="647" t="str">
        <f t="shared" si="59"/>
        <v/>
      </c>
      <c r="AP173" s="647" t="str">
        <f t="shared" si="60"/>
        <v/>
      </c>
      <c r="AQ173" s="647" t="str">
        <f t="shared" si="43"/>
        <v/>
      </c>
      <c r="AR173" s="647" t="str">
        <f t="shared" si="61"/>
        <v/>
      </c>
      <c r="AS173" s="647" t="str">
        <f t="shared" si="62"/>
        <v/>
      </c>
      <c r="AT173" s="1323" t="str">
        <f t="shared" si="50"/>
        <v/>
      </c>
      <c r="AU173" s="1323" t="str">
        <f t="shared" si="51"/>
        <v/>
      </c>
    </row>
    <row r="174" spans="3:47" s="5" customFormat="1" ht="28.15" hidden="1" customHeight="1" outlineLevel="1">
      <c r="C174" s="649">
        <v>156</v>
      </c>
      <c r="D174" s="1133"/>
      <c r="E174" s="670"/>
      <c r="F174" s="726"/>
      <c r="G174" s="705"/>
      <c r="H174" s="255"/>
      <c r="I174" s="255"/>
      <c r="J174" s="1049"/>
      <c r="K174" s="735"/>
      <c r="L174" s="735"/>
      <c r="M174" s="736"/>
      <c r="N174" s="735"/>
      <c r="O174" s="727"/>
      <c r="P174" s="1321"/>
      <c r="Q174" s="1329"/>
      <c r="R174" s="254"/>
      <c r="S174" s="703"/>
      <c r="T174" s="728"/>
      <c r="U174" s="431"/>
      <c r="V174" s="499"/>
      <c r="W174" s="741"/>
      <c r="X174" s="51"/>
      <c r="Y174" s="51"/>
      <c r="Z174" s="645" t="str">
        <f t="shared" si="52"/>
        <v/>
      </c>
      <c r="AA174" s="1037" t="str">
        <f t="shared" si="48"/>
        <v/>
      </c>
      <c r="AB174" s="1037" t="str">
        <f t="shared" si="49"/>
        <v/>
      </c>
      <c r="AC174" s="1037" t="str">
        <f>IF(Z174="","",VLOOKUP(Z174,リスト!BN:BO,2,0))</f>
        <v/>
      </c>
      <c r="AD174" s="1037" t="str">
        <f t="shared" si="44"/>
        <v/>
      </c>
      <c r="AE174" s="1037" t="str">
        <f>IF(AD174="","",VLOOKUP(AD174,リスト!BW:BX,2,0))</f>
        <v/>
      </c>
      <c r="AF174" s="1037" t="str">
        <f t="shared" si="41"/>
        <v/>
      </c>
      <c r="AG174" s="685" t="str">
        <f t="shared" si="53"/>
        <v/>
      </c>
      <c r="AH174" s="646" t="str">
        <f t="shared" si="54"/>
        <v/>
      </c>
      <c r="AI174" s="646" t="str">
        <f t="shared" si="55"/>
        <v/>
      </c>
      <c r="AJ174" s="647" t="str">
        <f t="shared" si="56"/>
        <v/>
      </c>
      <c r="AK174" s="647" t="str">
        <f t="shared" si="57"/>
        <v/>
      </c>
      <c r="AL174" s="647" t="str">
        <f t="shared" si="47"/>
        <v/>
      </c>
      <c r="AM174" s="647" t="str">
        <f t="shared" si="42"/>
        <v/>
      </c>
      <c r="AN174" s="647" t="str">
        <f t="shared" si="58"/>
        <v/>
      </c>
      <c r="AO174" s="647" t="str">
        <f t="shared" si="59"/>
        <v/>
      </c>
      <c r="AP174" s="647" t="str">
        <f t="shared" si="60"/>
        <v/>
      </c>
      <c r="AQ174" s="647" t="str">
        <f t="shared" si="43"/>
        <v/>
      </c>
      <c r="AR174" s="647" t="str">
        <f t="shared" si="61"/>
        <v/>
      </c>
      <c r="AS174" s="647" t="str">
        <f t="shared" si="62"/>
        <v/>
      </c>
      <c r="AT174" s="1323" t="str">
        <f t="shared" si="50"/>
        <v/>
      </c>
      <c r="AU174" s="1323" t="str">
        <f t="shared" si="51"/>
        <v/>
      </c>
    </row>
    <row r="175" spans="3:47" s="5" customFormat="1" ht="28.15" hidden="1" customHeight="1" outlineLevel="1">
      <c r="C175" s="649">
        <v>157</v>
      </c>
      <c r="D175" s="1134"/>
      <c r="E175" s="729"/>
      <c r="F175" s="726"/>
      <c r="G175" s="705"/>
      <c r="H175" s="257"/>
      <c r="I175" s="257"/>
      <c r="J175" s="1050"/>
      <c r="K175" s="735"/>
      <c r="L175" s="735"/>
      <c r="M175" s="736"/>
      <c r="N175" s="735"/>
      <c r="O175" s="727"/>
      <c r="P175" s="1321"/>
      <c r="Q175" s="1329"/>
      <c r="R175" s="254"/>
      <c r="S175" s="703"/>
      <c r="T175" s="728"/>
      <c r="U175" s="431"/>
      <c r="V175" s="499"/>
      <c r="W175" s="741"/>
      <c r="X175" s="51"/>
      <c r="Y175" s="51"/>
      <c r="Z175" s="645" t="str">
        <f t="shared" si="52"/>
        <v/>
      </c>
      <c r="AA175" s="1037" t="str">
        <f t="shared" si="48"/>
        <v/>
      </c>
      <c r="AB175" s="1037" t="str">
        <f t="shared" si="49"/>
        <v/>
      </c>
      <c r="AC175" s="1037" t="str">
        <f>IF(Z175="","",VLOOKUP(Z175,リスト!BN:BO,2,0))</f>
        <v/>
      </c>
      <c r="AD175" s="1037" t="str">
        <f t="shared" si="44"/>
        <v/>
      </c>
      <c r="AE175" s="1037" t="str">
        <f>IF(AD175="","",VLOOKUP(AD175,リスト!BW:BX,2,0))</f>
        <v/>
      </c>
      <c r="AF175" s="1037" t="str">
        <f t="shared" si="41"/>
        <v/>
      </c>
      <c r="AG175" s="685" t="str">
        <f t="shared" si="53"/>
        <v/>
      </c>
      <c r="AH175" s="646" t="str">
        <f t="shared" si="54"/>
        <v/>
      </c>
      <c r="AI175" s="646" t="str">
        <f t="shared" si="55"/>
        <v/>
      </c>
      <c r="AJ175" s="647" t="str">
        <f t="shared" si="56"/>
        <v/>
      </c>
      <c r="AK175" s="647" t="str">
        <f t="shared" si="57"/>
        <v/>
      </c>
      <c r="AL175" s="647" t="str">
        <f t="shared" si="47"/>
        <v/>
      </c>
      <c r="AM175" s="647" t="str">
        <f t="shared" si="42"/>
        <v/>
      </c>
      <c r="AN175" s="647" t="str">
        <f t="shared" si="58"/>
        <v/>
      </c>
      <c r="AO175" s="647" t="str">
        <f t="shared" si="59"/>
        <v/>
      </c>
      <c r="AP175" s="647" t="str">
        <f t="shared" si="60"/>
        <v/>
      </c>
      <c r="AQ175" s="647" t="str">
        <f t="shared" si="43"/>
        <v/>
      </c>
      <c r="AR175" s="647" t="str">
        <f t="shared" si="61"/>
        <v/>
      </c>
      <c r="AS175" s="647" t="str">
        <f t="shared" si="62"/>
        <v/>
      </c>
      <c r="AT175" s="1323" t="str">
        <f t="shared" si="50"/>
        <v/>
      </c>
      <c r="AU175" s="1323" t="str">
        <f t="shared" si="51"/>
        <v/>
      </c>
    </row>
    <row r="176" spans="3:47" s="5" customFormat="1" ht="28.15" hidden="1" customHeight="1" outlineLevel="1">
      <c r="C176" s="649">
        <v>158</v>
      </c>
      <c r="D176" s="1133"/>
      <c r="E176" s="670"/>
      <c r="F176" s="726"/>
      <c r="G176" s="705"/>
      <c r="H176" s="255"/>
      <c r="I176" s="255"/>
      <c r="J176" s="1051"/>
      <c r="K176" s="735"/>
      <c r="L176" s="735"/>
      <c r="M176" s="736"/>
      <c r="N176" s="735"/>
      <c r="O176" s="727"/>
      <c r="P176" s="1321"/>
      <c r="Q176" s="1329"/>
      <c r="R176" s="254"/>
      <c r="S176" s="703"/>
      <c r="T176" s="728"/>
      <c r="U176" s="431"/>
      <c r="V176" s="499"/>
      <c r="W176" s="741"/>
      <c r="X176" s="51"/>
      <c r="Y176" s="51"/>
      <c r="Z176" s="645" t="str">
        <f t="shared" si="52"/>
        <v/>
      </c>
      <c r="AA176" s="1037" t="str">
        <f t="shared" si="48"/>
        <v/>
      </c>
      <c r="AB176" s="1037" t="str">
        <f t="shared" si="49"/>
        <v/>
      </c>
      <c r="AC176" s="1037" t="str">
        <f>IF(Z176="","",VLOOKUP(Z176,リスト!BN:BO,2,0))</f>
        <v/>
      </c>
      <c r="AD176" s="1037" t="str">
        <f t="shared" si="44"/>
        <v/>
      </c>
      <c r="AE176" s="1037" t="str">
        <f>IF(AD176="","",VLOOKUP(AD176,リスト!BW:BX,2,0))</f>
        <v/>
      </c>
      <c r="AF176" s="1037" t="str">
        <f t="shared" si="41"/>
        <v/>
      </c>
      <c r="AG176" s="685" t="str">
        <f t="shared" si="53"/>
        <v/>
      </c>
      <c r="AH176" s="646" t="str">
        <f t="shared" si="54"/>
        <v/>
      </c>
      <c r="AI176" s="646" t="str">
        <f t="shared" si="55"/>
        <v/>
      </c>
      <c r="AJ176" s="647" t="str">
        <f t="shared" si="56"/>
        <v/>
      </c>
      <c r="AK176" s="647" t="str">
        <f t="shared" si="57"/>
        <v/>
      </c>
      <c r="AL176" s="647" t="str">
        <f t="shared" si="47"/>
        <v/>
      </c>
      <c r="AM176" s="647" t="str">
        <f t="shared" si="42"/>
        <v/>
      </c>
      <c r="AN176" s="647" t="str">
        <f t="shared" si="58"/>
        <v/>
      </c>
      <c r="AO176" s="647" t="str">
        <f t="shared" si="59"/>
        <v/>
      </c>
      <c r="AP176" s="647" t="str">
        <f t="shared" si="60"/>
        <v/>
      </c>
      <c r="AQ176" s="647" t="str">
        <f t="shared" si="43"/>
        <v/>
      </c>
      <c r="AR176" s="647" t="str">
        <f t="shared" si="61"/>
        <v/>
      </c>
      <c r="AS176" s="647" t="str">
        <f t="shared" si="62"/>
        <v/>
      </c>
      <c r="AT176" s="1323" t="str">
        <f t="shared" si="50"/>
        <v/>
      </c>
      <c r="AU176" s="1323" t="str">
        <f t="shared" si="51"/>
        <v/>
      </c>
    </row>
    <row r="177" spans="3:47" s="5" customFormat="1" ht="28.15" hidden="1" customHeight="1" outlineLevel="1">
      <c r="C177" s="649">
        <v>159</v>
      </c>
      <c r="D177" s="1133"/>
      <c r="E177" s="670"/>
      <c r="F177" s="726"/>
      <c r="G177" s="705"/>
      <c r="H177" s="255"/>
      <c r="I177" s="255"/>
      <c r="J177" s="1051"/>
      <c r="K177" s="735"/>
      <c r="L177" s="735"/>
      <c r="M177" s="736"/>
      <c r="N177" s="735"/>
      <c r="O177" s="727"/>
      <c r="P177" s="1321"/>
      <c r="Q177" s="1329"/>
      <c r="R177" s="254"/>
      <c r="S177" s="703"/>
      <c r="T177" s="728"/>
      <c r="U177" s="431"/>
      <c r="V177" s="499"/>
      <c r="W177" s="741"/>
      <c r="X177" s="51"/>
      <c r="Y177" s="51"/>
      <c r="Z177" s="645" t="str">
        <f t="shared" si="52"/>
        <v/>
      </c>
      <c r="AA177" s="1037" t="str">
        <f t="shared" si="48"/>
        <v/>
      </c>
      <c r="AB177" s="1037" t="str">
        <f t="shared" si="49"/>
        <v/>
      </c>
      <c r="AC177" s="1037" t="str">
        <f>IF(Z177="","",VLOOKUP(Z177,リスト!BN:BO,2,0))</f>
        <v/>
      </c>
      <c r="AD177" s="1037" t="str">
        <f t="shared" si="44"/>
        <v/>
      </c>
      <c r="AE177" s="1037" t="str">
        <f>IF(AD177="","",VLOOKUP(AD177,リスト!BW:BX,2,0))</f>
        <v/>
      </c>
      <c r="AF177" s="1037" t="str">
        <f t="shared" si="41"/>
        <v/>
      </c>
      <c r="AG177" s="685" t="str">
        <f t="shared" si="53"/>
        <v/>
      </c>
      <c r="AH177" s="646" t="str">
        <f t="shared" si="54"/>
        <v/>
      </c>
      <c r="AI177" s="646" t="str">
        <f t="shared" si="55"/>
        <v/>
      </c>
      <c r="AJ177" s="647" t="str">
        <f t="shared" si="56"/>
        <v/>
      </c>
      <c r="AK177" s="647" t="str">
        <f t="shared" si="57"/>
        <v/>
      </c>
      <c r="AL177" s="647" t="str">
        <f t="shared" si="47"/>
        <v/>
      </c>
      <c r="AM177" s="647" t="str">
        <f t="shared" si="42"/>
        <v/>
      </c>
      <c r="AN177" s="647" t="str">
        <f t="shared" si="58"/>
        <v/>
      </c>
      <c r="AO177" s="647" t="str">
        <f t="shared" si="59"/>
        <v/>
      </c>
      <c r="AP177" s="647" t="str">
        <f t="shared" si="60"/>
        <v/>
      </c>
      <c r="AQ177" s="647" t="str">
        <f t="shared" si="43"/>
        <v/>
      </c>
      <c r="AR177" s="647" t="str">
        <f t="shared" si="61"/>
        <v/>
      </c>
      <c r="AS177" s="647" t="str">
        <f t="shared" si="62"/>
        <v/>
      </c>
      <c r="AT177" s="1323" t="str">
        <f t="shared" si="50"/>
        <v/>
      </c>
      <c r="AU177" s="1323" t="str">
        <f t="shared" si="51"/>
        <v/>
      </c>
    </row>
    <row r="178" spans="3:47" s="5" customFormat="1" ht="28.15" hidden="1" customHeight="1" outlineLevel="1">
      <c r="C178" s="649">
        <v>160</v>
      </c>
      <c r="D178" s="1133"/>
      <c r="E178" s="670"/>
      <c r="F178" s="726"/>
      <c r="G178" s="705"/>
      <c r="H178" s="255"/>
      <c r="I178" s="255"/>
      <c r="J178" s="1051"/>
      <c r="K178" s="735"/>
      <c r="L178" s="735"/>
      <c r="M178" s="736"/>
      <c r="N178" s="735"/>
      <c r="O178" s="727"/>
      <c r="P178" s="1321"/>
      <c r="Q178" s="1329"/>
      <c r="R178" s="254"/>
      <c r="S178" s="703"/>
      <c r="T178" s="728"/>
      <c r="U178" s="431"/>
      <c r="V178" s="499"/>
      <c r="W178" s="741"/>
      <c r="X178" s="51"/>
      <c r="Y178" s="51"/>
      <c r="Z178" s="645" t="str">
        <f t="shared" si="52"/>
        <v/>
      </c>
      <c r="AA178" s="1037" t="str">
        <f t="shared" si="48"/>
        <v/>
      </c>
      <c r="AB178" s="1037" t="str">
        <f t="shared" si="49"/>
        <v/>
      </c>
      <c r="AC178" s="1037" t="str">
        <f>IF(Z178="","",VLOOKUP(Z178,リスト!BN:BO,2,0))</f>
        <v/>
      </c>
      <c r="AD178" s="1037" t="str">
        <f t="shared" si="44"/>
        <v/>
      </c>
      <c r="AE178" s="1037" t="str">
        <f>IF(AD178="","",VLOOKUP(AD178,リスト!BW:BX,2,0))</f>
        <v/>
      </c>
      <c r="AF178" s="1037" t="str">
        <f t="shared" si="41"/>
        <v/>
      </c>
      <c r="AG178" s="685" t="str">
        <f t="shared" si="53"/>
        <v/>
      </c>
      <c r="AH178" s="646" t="str">
        <f t="shared" si="54"/>
        <v/>
      </c>
      <c r="AI178" s="646" t="str">
        <f t="shared" si="55"/>
        <v/>
      </c>
      <c r="AJ178" s="647" t="str">
        <f t="shared" si="56"/>
        <v/>
      </c>
      <c r="AK178" s="647" t="str">
        <f t="shared" si="57"/>
        <v/>
      </c>
      <c r="AL178" s="647" t="str">
        <f t="shared" si="47"/>
        <v/>
      </c>
      <c r="AM178" s="647" t="str">
        <f t="shared" si="42"/>
        <v/>
      </c>
      <c r="AN178" s="647" t="str">
        <f t="shared" si="58"/>
        <v/>
      </c>
      <c r="AO178" s="647" t="str">
        <f t="shared" si="59"/>
        <v/>
      </c>
      <c r="AP178" s="647" t="str">
        <f t="shared" si="60"/>
        <v/>
      </c>
      <c r="AQ178" s="647" t="str">
        <f t="shared" si="43"/>
        <v/>
      </c>
      <c r="AR178" s="647" t="str">
        <f t="shared" si="61"/>
        <v/>
      </c>
      <c r="AS178" s="647" t="str">
        <f t="shared" si="62"/>
        <v/>
      </c>
      <c r="AT178" s="1323" t="str">
        <f t="shared" si="50"/>
        <v/>
      </c>
      <c r="AU178" s="1323" t="str">
        <f t="shared" si="51"/>
        <v/>
      </c>
    </row>
    <row r="179" spans="3:47" s="5" customFormat="1" ht="28.15" hidden="1" customHeight="1" outlineLevel="1">
      <c r="C179" s="649">
        <v>161</v>
      </c>
      <c r="D179" s="1133"/>
      <c r="E179" s="670"/>
      <c r="F179" s="726"/>
      <c r="G179" s="705"/>
      <c r="H179" s="255"/>
      <c r="I179" s="255"/>
      <c r="J179" s="1051"/>
      <c r="K179" s="735"/>
      <c r="L179" s="735"/>
      <c r="M179" s="736"/>
      <c r="N179" s="735"/>
      <c r="O179" s="727"/>
      <c r="P179" s="1321"/>
      <c r="Q179" s="1329"/>
      <c r="R179" s="254"/>
      <c r="S179" s="703"/>
      <c r="T179" s="728"/>
      <c r="U179" s="431"/>
      <c r="V179" s="499"/>
      <c r="W179" s="741"/>
      <c r="X179" s="51"/>
      <c r="Y179" s="51"/>
      <c r="Z179" s="645" t="str">
        <f t="shared" si="52"/>
        <v/>
      </c>
      <c r="AA179" s="1037" t="str">
        <f t="shared" si="48"/>
        <v/>
      </c>
      <c r="AB179" s="1037" t="str">
        <f t="shared" si="49"/>
        <v/>
      </c>
      <c r="AC179" s="1037" t="str">
        <f>IF(Z179="","",VLOOKUP(Z179,リスト!BN:BO,2,0))</f>
        <v/>
      </c>
      <c r="AD179" s="1037" t="str">
        <f t="shared" si="44"/>
        <v/>
      </c>
      <c r="AE179" s="1037" t="str">
        <f>IF(AD179="","",VLOOKUP(AD179,リスト!BW:BX,2,0))</f>
        <v/>
      </c>
      <c r="AF179" s="1037" t="str">
        <f t="shared" si="41"/>
        <v/>
      </c>
      <c r="AG179" s="685" t="str">
        <f t="shared" si="53"/>
        <v/>
      </c>
      <c r="AH179" s="646" t="str">
        <f t="shared" si="54"/>
        <v/>
      </c>
      <c r="AI179" s="646" t="str">
        <f t="shared" si="55"/>
        <v/>
      </c>
      <c r="AJ179" s="647" t="str">
        <f t="shared" si="56"/>
        <v/>
      </c>
      <c r="AK179" s="647" t="str">
        <f t="shared" si="57"/>
        <v/>
      </c>
      <c r="AL179" s="647" t="str">
        <f t="shared" si="47"/>
        <v/>
      </c>
      <c r="AM179" s="647" t="str">
        <f t="shared" si="42"/>
        <v/>
      </c>
      <c r="AN179" s="647" t="str">
        <f t="shared" si="58"/>
        <v/>
      </c>
      <c r="AO179" s="647" t="str">
        <f t="shared" si="59"/>
        <v/>
      </c>
      <c r="AP179" s="647" t="str">
        <f t="shared" si="60"/>
        <v/>
      </c>
      <c r="AQ179" s="647" t="str">
        <f t="shared" si="43"/>
        <v/>
      </c>
      <c r="AR179" s="647" t="str">
        <f t="shared" si="61"/>
        <v/>
      </c>
      <c r="AS179" s="647" t="str">
        <f t="shared" si="62"/>
        <v/>
      </c>
      <c r="AT179" s="1323" t="str">
        <f t="shared" si="50"/>
        <v/>
      </c>
      <c r="AU179" s="1323" t="str">
        <f t="shared" si="51"/>
        <v/>
      </c>
    </row>
    <row r="180" spans="3:47" s="5" customFormat="1" ht="28.15" hidden="1" customHeight="1" outlineLevel="1">
      <c r="C180" s="649">
        <v>162</v>
      </c>
      <c r="D180" s="1133"/>
      <c r="E180" s="670"/>
      <c r="F180" s="726"/>
      <c r="G180" s="705"/>
      <c r="H180" s="255"/>
      <c r="I180" s="255"/>
      <c r="J180" s="1051"/>
      <c r="K180" s="735"/>
      <c r="L180" s="735"/>
      <c r="M180" s="736"/>
      <c r="N180" s="735"/>
      <c r="O180" s="727"/>
      <c r="P180" s="1321"/>
      <c r="Q180" s="1329"/>
      <c r="R180" s="254"/>
      <c r="S180" s="703"/>
      <c r="T180" s="728"/>
      <c r="U180" s="431"/>
      <c r="V180" s="499"/>
      <c r="W180" s="741"/>
      <c r="X180" s="51"/>
      <c r="Y180" s="51"/>
      <c r="Z180" s="645" t="str">
        <f t="shared" si="52"/>
        <v/>
      </c>
      <c r="AA180" s="1037" t="str">
        <f t="shared" si="48"/>
        <v/>
      </c>
      <c r="AB180" s="1037" t="str">
        <f t="shared" si="49"/>
        <v/>
      </c>
      <c r="AC180" s="1037" t="str">
        <f>IF(Z180="","",VLOOKUP(Z180,リスト!BN:BO,2,0))</f>
        <v/>
      </c>
      <c r="AD180" s="1037" t="str">
        <f t="shared" si="44"/>
        <v/>
      </c>
      <c r="AE180" s="1037" t="str">
        <f>IF(AD180="","",VLOOKUP(AD180,リスト!BW:BX,2,0))</f>
        <v/>
      </c>
      <c r="AF180" s="1037" t="str">
        <f t="shared" si="41"/>
        <v/>
      </c>
      <c r="AG180" s="685" t="str">
        <f t="shared" si="53"/>
        <v/>
      </c>
      <c r="AH180" s="646" t="str">
        <f t="shared" si="54"/>
        <v/>
      </c>
      <c r="AI180" s="646" t="str">
        <f t="shared" si="55"/>
        <v/>
      </c>
      <c r="AJ180" s="647" t="str">
        <f t="shared" si="56"/>
        <v/>
      </c>
      <c r="AK180" s="647" t="str">
        <f t="shared" si="57"/>
        <v/>
      </c>
      <c r="AL180" s="647" t="str">
        <f t="shared" si="47"/>
        <v/>
      </c>
      <c r="AM180" s="647" t="str">
        <f t="shared" si="42"/>
        <v/>
      </c>
      <c r="AN180" s="647" t="str">
        <f t="shared" si="58"/>
        <v/>
      </c>
      <c r="AO180" s="647" t="str">
        <f t="shared" si="59"/>
        <v/>
      </c>
      <c r="AP180" s="647" t="str">
        <f t="shared" si="60"/>
        <v/>
      </c>
      <c r="AQ180" s="647" t="str">
        <f t="shared" si="43"/>
        <v/>
      </c>
      <c r="AR180" s="647" t="str">
        <f t="shared" si="61"/>
        <v/>
      </c>
      <c r="AS180" s="647" t="str">
        <f t="shared" si="62"/>
        <v/>
      </c>
      <c r="AT180" s="1323" t="str">
        <f t="shared" si="50"/>
        <v/>
      </c>
      <c r="AU180" s="1323" t="str">
        <f t="shared" si="51"/>
        <v/>
      </c>
    </row>
    <row r="181" spans="3:47" s="5" customFormat="1" ht="28.15" hidden="1" customHeight="1" outlineLevel="1">
      <c r="C181" s="649">
        <v>163</v>
      </c>
      <c r="D181" s="1133"/>
      <c r="E181" s="670"/>
      <c r="F181" s="726"/>
      <c r="G181" s="705"/>
      <c r="H181" s="255"/>
      <c r="I181" s="255"/>
      <c r="J181" s="1051"/>
      <c r="K181" s="735"/>
      <c r="L181" s="735"/>
      <c r="M181" s="736"/>
      <c r="N181" s="735"/>
      <c r="O181" s="727"/>
      <c r="P181" s="1321"/>
      <c r="Q181" s="1329"/>
      <c r="R181" s="254"/>
      <c r="S181" s="703"/>
      <c r="T181" s="728"/>
      <c r="U181" s="431"/>
      <c r="V181" s="499"/>
      <c r="W181" s="741"/>
      <c r="X181" s="51"/>
      <c r="Y181" s="51"/>
      <c r="Z181" s="645" t="str">
        <f t="shared" si="52"/>
        <v/>
      </c>
      <c r="AA181" s="1037" t="str">
        <f t="shared" si="48"/>
        <v/>
      </c>
      <c r="AB181" s="1037" t="str">
        <f t="shared" si="49"/>
        <v/>
      </c>
      <c r="AC181" s="1037" t="str">
        <f>IF(Z181="","",VLOOKUP(Z181,リスト!BN:BO,2,0))</f>
        <v/>
      </c>
      <c r="AD181" s="1037" t="str">
        <f t="shared" si="44"/>
        <v/>
      </c>
      <c r="AE181" s="1037" t="str">
        <f>IF(AD181="","",VLOOKUP(AD181,リスト!BW:BX,2,0))</f>
        <v/>
      </c>
      <c r="AF181" s="1037" t="str">
        <f t="shared" si="41"/>
        <v/>
      </c>
      <c r="AG181" s="685" t="str">
        <f t="shared" si="53"/>
        <v/>
      </c>
      <c r="AH181" s="646" t="str">
        <f t="shared" si="54"/>
        <v/>
      </c>
      <c r="AI181" s="646" t="str">
        <f t="shared" si="55"/>
        <v/>
      </c>
      <c r="AJ181" s="647" t="str">
        <f t="shared" si="56"/>
        <v/>
      </c>
      <c r="AK181" s="647" t="str">
        <f t="shared" si="57"/>
        <v/>
      </c>
      <c r="AL181" s="647" t="str">
        <f t="shared" si="47"/>
        <v/>
      </c>
      <c r="AM181" s="647" t="str">
        <f t="shared" si="42"/>
        <v/>
      </c>
      <c r="AN181" s="647" t="str">
        <f t="shared" si="58"/>
        <v/>
      </c>
      <c r="AO181" s="647" t="str">
        <f t="shared" si="59"/>
        <v/>
      </c>
      <c r="AP181" s="647" t="str">
        <f t="shared" si="60"/>
        <v/>
      </c>
      <c r="AQ181" s="647" t="str">
        <f t="shared" si="43"/>
        <v/>
      </c>
      <c r="AR181" s="647" t="str">
        <f t="shared" si="61"/>
        <v/>
      </c>
      <c r="AS181" s="647" t="str">
        <f t="shared" si="62"/>
        <v/>
      </c>
      <c r="AT181" s="1323" t="str">
        <f t="shared" si="50"/>
        <v/>
      </c>
      <c r="AU181" s="1323" t="str">
        <f t="shared" si="51"/>
        <v/>
      </c>
    </row>
    <row r="182" spans="3:47" s="5" customFormat="1" ht="28.15" hidden="1" customHeight="1" outlineLevel="1">
      <c r="C182" s="649">
        <v>164</v>
      </c>
      <c r="D182" s="1133"/>
      <c r="E182" s="670"/>
      <c r="F182" s="726"/>
      <c r="G182" s="666"/>
      <c r="H182" s="266"/>
      <c r="I182" s="266"/>
      <c r="J182" s="1049"/>
      <c r="K182" s="727"/>
      <c r="L182" s="727"/>
      <c r="M182" s="727"/>
      <c r="N182" s="727"/>
      <c r="O182" s="727"/>
      <c r="P182" s="1321"/>
      <c r="Q182" s="1329"/>
      <c r="R182" s="254"/>
      <c r="S182" s="703"/>
      <c r="T182" s="728"/>
      <c r="U182" s="431"/>
      <c r="V182" s="499"/>
      <c r="W182" s="741"/>
      <c r="X182" s="51"/>
      <c r="Y182" s="51"/>
      <c r="Z182" s="645" t="str">
        <f t="shared" si="1"/>
        <v/>
      </c>
      <c r="AA182" s="1037" t="str">
        <f t="shared" si="48"/>
        <v/>
      </c>
      <c r="AB182" s="1037" t="str">
        <f t="shared" si="49"/>
        <v/>
      </c>
      <c r="AC182" s="1037" t="str">
        <f>IF(Z182="","",VLOOKUP(Z182,リスト!BN:BO,2,0))</f>
        <v/>
      </c>
      <c r="AD182" s="1037" t="str">
        <f t="shared" si="44"/>
        <v/>
      </c>
      <c r="AE182" s="1037" t="str">
        <f>IF(AD182="","",VLOOKUP(AD182,リスト!BW:BX,2,0))</f>
        <v/>
      </c>
      <c r="AF182" s="1037" t="str">
        <f t="shared" si="41"/>
        <v/>
      </c>
      <c r="AG182" s="685" t="str">
        <f t="shared" si="3"/>
        <v/>
      </c>
      <c r="AH182" s="646" t="str">
        <f t="shared" si="4"/>
        <v/>
      </c>
      <c r="AI182" s="646" t="str">
        <f t="shared" ref="AI182:AI199" si="63">IF(OR(Z182="",AA182=1),"",
IF(S182="",AG182,
IF(S182="2：廃棄等",SUM(AH182,T182),
IF(S182="1：売却",AH182-T182,
IF(AND(T182="",AG182=""),"",SUM(T182,AG182))))))</f>
        <v/>
      </c>
      <c r="AJ182" s="647" t="str">
        <f t="shared" ref="AJ182:AJ199" si="64">IF(AND(AI182="",AG182=""),"",
IF(OR(S182="1：売却",S182="2：廃棄等"),SUM(AI182)-SUM(AG182),""))</f>
        <v/>
      </c>
      <c r="AK182" s="647" t="str">
        <f t="shared" si="5"/>
        <v/>
      </c>
      <c r="AL182" s="647" t="str">
        <f t="shared" si="47"/>
        <v/>
      </c>
      <c r="AM182" s="647" t="str">
        <f t="shared" si="42"/>
        <v/>
      </c>
      <c r="AN182" s="647" t="str">
        <f t="shared" si="7"/>
        <v/>
      </c>
      <c r="AO182" s="647" t="str">
        <f t="shared" si="8"/>
        <v/>
      </c>
      <c r="AP182" s="647" t="str">
        <f t="shared" si="9"/>
        <v/>
      </c>
      <c r="AQ182" s="647" t="str">
        <f t="shared" si="43"/>
        <v/>
      </c>
      <c r="AR182" s="647" t="str">
        <f t="shared" si="10"/>
        <v/>
      </c>
      <c r="AS182" s="647" t="str">
        <f t="shared" si="16"/>
        <v/>
      </c>
      <c r="AT182" s="1323" t="str">
        <f t="shared" si="50"/>
        <v/>
      </c>
      <c r="AU182" s="1323" t="str">
        <f t="shared" si="51"/>
        <v/>
      </c>
    </row>
    <row r="183" spans="3:47" s="5" customFormat="1" ht="28.15" hidden="1" customHeight="1" outlineLevel="1">
      <c r="C183" s="649">
        <v>165</v>
      </c>
      <c r="D183" s="1134"/>
      <c r="E183" s="729"/>
      <c r="F183" s="726"/>
      <c r="G183" s="705"/>
      <c r="H183" s="257"/>
      <c r="I183" s="257"/>
      <c r="J183" s="1049"/>
      <c r="K183" s="735"/>
      <c r="L183" s="735"/>
      <c r="M183" s="736"/>
      <c r="N183" s="735"/>
      <c r="O183" s="727"/>
      <c r="P183" s="1321"/>
      <c r="Q183" s="1329"/>
      <c r="R183" s="254"/>
      <c r="S183" s="703"/>
      <c r="T183" s="728"/>
      <c r="U183" s="431"/>
      <c r="V183" s="499"/>
      <c r="W183" s="741"/>
      <c r="X183" s="51"/>
      <c r="Y183" s="51"/>
      <c r="Z183" s="645" t="str">
        <f t="shared" si="1"/>
        <v/>
      </c>
      <c r="AA183" s="1037" t="str">
        <f t="shared" si="48"/>
        <v/>
      </c>
      <c r="AB183" s="1037" t="str">
        <f t="shared" si="49"/>
        <v/>
      </c>
      <c r="AC183" s="1037" t="str">
        <f>IF(Z183="","",VLOOKUP(Z183,リスト!BN:BO,2,0))</f>
        <v/>
      </c>
      <c r="AD183" s="1037" t="str">
        <f t="shared" si="44"/>
        <v/>
      </c>
      <c r="AE183" s="1037" t="str">
        <f>IF(AD183="","",VLOOKUP(AD183,リスト!BW:BX,2,0))</f>
        <v/>
      </c>
      <c r="AF183" s="1037" t="str">
        <f t="shared" si="41"/>
        <v/>
      </c>
      <c r="AG183" s="685" t="str">
        <f t="shared" si="3"/>
        <v/>
      </c>
      <c r="AH183" s="646" t="str">
        <f t="shared" si="4"/>
        <v/>
      </c>
      <c r="AI183" s="646" t="str">
        <f t="shared" si="63"/>
        <v/>
      </c>
      <c r="AJ183" s="647" t="str">
        <f t="shared" si="64"/>
        <v/>
      </c>
      <c r="AK183" s="647" t="str">
        <f t="shared" si="5"/>
        <v/>
      </c>
      <c r="AL183" s="647" t="str">
        <f t="shared" si="47"/>
        <v/>
      </c>
      <c r="AM183" s="647" t="str">
        <f t="shared" si="42"/>
        <v/>
      </c>
      <c r="AN183" s="647" t="str">
        <f t="shared" si="7"/>
        <v/>
      </c>
      <c r="AO183" s="647" t="str">
        <f t="shared" si="8"/>
        <v/>
      </c>
      <c r="AP183" s="647" t="str">
        <f t="shared" si="9"/>
        <v/>
      </c>
      <c r="AQ183" s="647" t="str">
        <f t="shared" si="43"/>
        <v/>
      </c>
      <c r="AR183" s="647" t="str">
        <f t="shared" si="10"/>
        <v/>
      </c>
      <c r="AS183" s="647" t="str">
        <f t="shared" si="16"/>
        <v/>
      </c>
      <c r="AT183" s="1323" t="str">
        <f t="shared" si="50"/>
        <v/>
      </c>
      <c r="AU183" s="1323" t="str">
        <f t="shared" si="51"/>
        <v/>
      </c>
    </row>
    <row r="184" spans="3:47" s="5" customFormat="1" ht="28.15" hidden="1" customHeight="1" outlineLevel="1">
      <c r="C184" s="649">
        <v>166</v>
      </c>
      <c r="D184" s="1133"/>
      <c r="E184" s="670"/>
      <c r="F184" s="726"/>
      <c r="G184" s="705"/>
      <c r="H184" s="255"/>
      <c r="I184" s="255"/>
      <c r="J184" s="1049"/>
      <c r="K184" s="735"/>
      <c r="L184" s="735"/>
      <c r="M184" s="736"/>
      <c r="N184" s="735"/>
      <c r="O184" s="727"/>
      <c r="P184" s="1321"/>
      <c r="Q184" s="1329"/>
      <c r="R184" s="254"/>
      <c r="S184" s="703"/>
      <c r="T184" s="728"/>
      <c r="U184" s="431"/>
      <c r="V184" s="499"/>
      <c r="W184" s="741"/>
      <c r="X184" s="51"/>
      <c r="Y184" s="51"/>
      <c r="Z184" s="645" t="str">
        <f t="shared" si="1"/>
        <v/>
      </c>
      <c r="AA184" s="1037" t="str">
        <f t="shared" si="48"/>
        <v/>
      </c>
      <c r="AB184" s="1037" t="str">
        <f t="shared" si="49"/>
        <v/>
      </c>
      <c r="AC184" s="1037" t="str">
        <f>IF(Z184="","",VLOOKUP(Z184,リスト!BN:BO,2,0))</f>
        <v/>
      </c>
      <c r="AD184" s="1037" t="str">
        <f t="shared" si="44"/>
        <v/>
      </c>
      <c r="AE184" s="1037" t="str">
        <f>IF(AD184="","",VLOOKUP(AD184,リスト!BW:BX,2,0))</f>
        <v/>
      </c>
      <c r="AF184" s="1037" t="str">
        <f t="shared" si="41"/>
        <v/>
      </c>
      <c r="AG184" s="685" t="str">
        <f t="shared" si="3"/>
        <v/>
      </c>
      <c r="AH184" s="646" t="str">
        <f t="shared" si="4"/>
        <v/>
      </c>
      <c r="AI184" s="646" t="str">
        <f t="shared" si="63"/>
        <v/>
      </c>
      <c r="AJ184" s="647" t="str">
        <f t="shared" si="64"/>
        <v/>
      </c>
      <c r="AK184" s="647" t="str">
        <f t="shared" si="5"/>
        <v/>
      </c>
      <c r="AL184" s="647" t="str">
        <f t="shared" si="47"/>
        <v/>
      </c>
      <c r="AM184" s="647" t="str">
        <f t="shared" si="42"/>
        <v/>
      </c>
      <c r="AN184" s="647" t="str">
        <f t="shared" si="7"/>
        <v/>
      </c>
      <c r="AO184" s="647" t="str">
        <f t="shared" si="8"/>
        <v/>
      </c>
      <c r="AP184" s="647" t="str">
        <f t="shared" si="9"/>
        <v/>
      </c>
      <c r="AQ184" s="647" t="str">
        <f t="shared" si="43"/>
        <v/>
      </c>
      <c r="AR184" s="647" t="str">
        <f t="shared" si="10"/>
        <v/>
      </c>
      <c r="AS184" s="647" t="str">
        <f t="shared" si="16"/>
        <v/>
      </c>
      <c r="AT184" s="1323" t="str">
        <f t="shared" si="50"/>
        <v/>
      </c>
      <c r="AU184" s="1323" t="str">
        <f t="shared" si="51"/>
        <v/>
      </c>
    </row>
    <row r="185" spans="3:47" s="5" customFormat="1" ht="28.15" hidden="1" customHeight="1" outlineLevel="1">
      <c r="C185" s="649">
        <v>167</v>
      </c>
      <c r="D185" s="1134"/>
      <c r="E185" s="729"/>
      <c r="F185" s="726"/>
      <c r="G185" s="705"/>
      <c r="H185" s="257"/>
      <c r="I185" s="257"/>
      <c r="J185" s="1049"/>
      <c r="K185" s="735"/>
      <c r="L185" s="735"/>
      <c r="M185" s="736"/>
      <c r="N185" s="735"/>
      <c r="O185" s="727"/>
      <c r="P185" s="1321"/>
      <c r="Q185" s="1329"/>
      <c r="R185" s="254"/>
      <c r="S185" s="703"/>
      <c r="T185" s="728"/>
      <c r="U185" s="431"/>
      <c r="V185" s="499"/>
      <c r="W185" s="741"/>
      <c r="X185" s="51"/>
      <c r="Y185" s="51"/>
      <c r="Z185" s="645" t="str">
        <f t="shared" si="1"/>
        <v/>
      </c>
      <c r="AA185" s="1037" t="str">
        <f t="shared" si="48"/>
        <v/>
      </c>
      <c r="AB185" s="1037" t="str">
        <f t="shared" si="49"/>
        <v/>
      </c>
      <c r="AC185" s="1037" t="str">
        <f>IF(Z185="","",VLOOKUP(Z185,リスト!BN:BO,2,0))</f>
        <v/>
      </c>
      <c r="AD185" s="1037" t="str">
        <f t="shared" si="44"/>
        <v/>
      </c>
      <c r="AE185" s="1037" t="str">
        <f>IF(AD185="","",VLOOKUP(AD185,リスト!BW:BX,2,0))</f>
        <v/>
      </c>
      <c r="AF185" s="1037" t="str">
        <f t="shared" si="41"/>
        <v/>
      </c>
      <c r="AG185" s="685" t="str">
        <f t="shared" si="3"/>
        <v/>
      </c>
      <c r="AH185" s="646" t="str">
        <f t="shared" si="4"/>
        <v/>
      </c>
      <c r="AI185" s="646" t="str">
        <f t="shared" si="63"/>
        <v/>
      </c>
      <c r="AJ185" s="647" t="str">
        <f t="shared" si="64"/>
        <v/>
      </c>
      <c r="AK185" s="647" t="str">
        <f t="shared" si="5"/>
        <v/>
      </c>
      <c r="AL185" s="647" t="str">
        <f t="shared" si="47"/>
        <v/>
      </c>
      <c r="AM185" s="647" t="str">
        <f t="shared" si="42"/>
        <v/>
      </c>
      <c r="AN185" s="647" t="str">
        <f t="shared" si="7"/>
        <v/>
      </c>
      <c r="AO185" s="647" t="str">
        <f t="shared" si="8"/>
        <v/>
      </c>
      <c r="AP185" s="647" t="str">
        <f t="shared" si="9"/>
        <v/>
      </c>
      <c r="AQ185" s="647" t="str">
        <f t="shared" si="43"/>
        <v/>
      </c>
      <c r="AR185" s="647" t="str">
        <f t="shared" si="10"/>
        <v/>
      </c>
      <c r="AS185" s="647" t="str">
        <f t="shared" si="16"/>
        <v/>
      </c>
      <c r="AT185" s="1323" t="str">
        <f t="shared" si="50"/>
        <v/>
      </c>
      <c r="AU185" s="1323" t="str">
        <f t="shared" si="51"/>
        <v/>
      </c>
    </row>
    <row r="186" spans="3:47" s="5" customFormat="1" ht="28.15" hidden="1" customHeight="1" outlineLevel="1">
      <c r="C186" s="649">
        <v>168</v>
      </c>
      <c r="D186" s="1133"/>
      <c r="E186" s="670"/>
      <c r="F186" s="726"/>
      <c r="G186" s="705"/>
      <c r="H186" s="255"/>
      <c r="I186" s="255"/>
      <c r="J186" s="1049"/>
      <c r="K186" s="735"/>
      <c r="L186" s="735"/>
      <c r="M186" s="736"/>
      <c r="N186" s="735"/>
      <c r="O186" s="727"/>
      <c r="P186" s="1321"/>
      <c r="Q186" s="1329"/>
      <c r="R186" s="254"/>
      <c r="S186" s="703"/>
      <c r="T186" s="728"/>
      <c r="U186" s="431"/>
      <c r="V186" s="499"/>
      <c r="W186" s="741"/>
      <c r="X186" s="51"/>
      <c r="Y186" s="51"/>
      <c r="Z186" s="645" t="str">
        <f t="shared" si="1"/>
        <v/>
      </c>
      <c r="AA186" s="1037" t="str">
        <f t="shared" si="48"/>
        <v/>
      </c>
      <c r="AB186" s="1037" t="str">
        <f t="shared" si="49"/>
        <v/>
      </c>
      <c r="AC186" s="1037" t="str">
        <f>IF(Z186="","",VLOOKUP(Z186,リスト!BN:BO,2,0))</f>
        <v/>
      </c>
      <c r="AD186" s="1037" t="str">
        <f t="shared" si="44"/>
        <v/>
      </c>
      <c r="AE186" s="1037" t="str">
        <f>IF(AD186="","",VLOOKUP(AD186,リスト!BW:BX,2,0))</f>
        <v/>
      </c>
      <c r="AF186" s="1037" t="str">
        <f t="shared" si="41"/>
        <v/>
      </c>
      <c r="AG186" s="685" t="str">
        <f t="shared" si="3"/>
        <v/>
      </c>
      <c r="AH186" s="646" t="str">
        <f t="shared" si="4"/>
        <v/>
      </c>
      <c r="AI186" s="646" t="str">
        <f t="shared" si="63"/>
        <v/>
      </c>
      <c r="AJ186" s="647" t="str">
        <f t="shared" si="64"/>
        <v/>
      </c>
      <c r="AK186" s="647" t="str">
        <f t="shared" si="5"/>
        <v/>
      </c>
      <c r="AL186" s="647" t="str">
        <f t="shared" si="47"/>
        <v/>
      </c>
      <c r="AM186" s="647" t="str">
        <f t="shared" si="42"/>
        <v/>
      </c>
      <c r="AN186" s="647" t="str">
        <f t="shared" si="7"/>
        <v/>
      </c>
      <c r="AO186" s="647" t="str">
        <f t="shared" si="8"/>
        <v/>
      </c>
      <c r="AP186" s="647" t="str">
        <f t="shared" si="9"/>
        <v/>
      </c>
      <c r="AQ186" s="647" t="str">
        <f t="shared" si="43"/>
        <v/>
      </c>
      <c r="AR186" s="647" t="str">
        <f t="shared" si="10"/>
        <v/>
      </c>
      <c r="AS186" s="647" t="str">
        <f t="shared" si="16"/>
        <v/>
      </c>
      <c r="AT186" s="1323" t="str">
        <f t="shared" si="50"/>
        <v/>
      </c>
      <c r="AU186" s="1323" t="str">
        <f t="shared" si="51"/>
        <v/>
      </c>
    </row>
    <row r="187" spans="3:47" s="5" customFormat="1" ht="28.15" hidden="1" customHeight="1" outlineLevel="1">
      <c r="C187" s="649">
        <v>169</v>
      </c>
      <c r="D187" s="1134"/>
      <c r="E187" s="729"/>
      <c r="F187" s="726"/>
      <c r="G187" s="705"/>
      <c r="H187" s="257"/>
      <c r="I187" s="257"/>
      <c r="J187" s="1049"/>
      <c r="K187" s="735"/>
      <c r="L187" s="735"/>
      <c r="M187" s="736"/>
      <c r="N187" s="735"/>
      <c r="O187" s="727"/>
      <c r="P187" s="1321"/>
      <c r="Q187" s="1329"/>
      <c r="R187" s="254"/>
      <c r="S187" s="703"/>
      <c r="T187" s="728"/>
      <c r="U187" s="431"/>
      <c r="V187" s="499"/>
      <c r="W187" s="741"/>
      <c r="X187" s="51"/>
      <c r="Y187" s="51"/>
      <c r="Z187" s="645" t="str">
        <f t="shared" si="1"/>
        <v/>
      </c>
      <c r="AA187" s="1037" t="str">
        <f t="shared" si="48"/>
        <v/>
      </c>
      <c r="AB187" s="1037" t="str">
        <f t="shared" si="49"/>
        <v/>
      </c>
      <c r="AC187" s="1037" t="str">
        <f>IF(Z187="","",VLOOKUP(Z187,リスト!BN:BO,2,0))</f>
        <v/>
      </c>
      <c r="AD187" s="1037" t="str">
        <f t="shared" si="44"/>
        <v/>
      </c>
      <c r="AE187" s="1037" t="str">
        <f>IF(AD187="","",VLOOKUP(AD187,リスト!BW:BX,2,0))</f>
        <v/>
      </c>
      <c r="AF187" s="1037" t="str">
        <f t="shared" si="41"/>
        <v/>
      </c>
      <c r="AG187" s="685" t="str">
        <f t="shared" si="3"/>
        <v/>
      </c>
      <c r="AH187" s="646" t="str">
        <f t="shared" si="4"/>
        <v/>
      </c>
      <c r="AI187" s="646" t="str">
        <f t="shared" si="63"/>
        <v/>
      </c>
      <c r="AJ187" s="647" t="str">
        <f t="shared" si="64"/>
        <v/>
      </c>
      <c r="AK187" s="647" t="str">
        <f t="shared" si="5"/>
        <v/>
      </c>
      <c r="AL187" s="647" t="str">
        <f t="shared" si="47"/>
        <v/>
      </c>
      <c r="AM187" s="647" t="str">
        <f t="shared" si="42"/>
        <v/>
      </c>
      <c r="AN187" s="647" t="str">
        <f t="shared" si="7"/>
        <v/>
      </c>
      <c r="AO187" s="647" t="str">
        <f t="shared" si="8"/>
        <v/>
      </c>
      <c r="AP187" s="647" t="str">
        <f t="shared" si="9"/>
        <v/>
      </c>
      <c r="AQ187" s="647" t="str">
        <f t="shared" si="43"/>
        <v/>
      </c>
      <c r="AR187" s="647" t="str">
        <f t="shared" si="10"/>
        <v/>
      </c>
      <c r="AS187" s="647" t="str">
        <f t="shared" si="16"/>
        <v/>
      </c>
      <c r="AT187" s="1323" t="str">
        <f t="shared" si="50"/>
        <v/>
      </c>
      <c r="AU187" s="1323" t="str">
        <f t="shared" si="51"/>
        <v/>
      </c>
    </row>
    <row r="188" spans="3:47" s="5" customFormat="1" ht="28.15" hidden="1" customHeight="1" outlineLevel="1">
      <c r="C188" s="649">
        <v>170</v>
      </c>
      <c r="D188" s="1133"/>
      <c r="E188" s="670"/>
      <c r="F188" s="726"/>
      <c r="G188" s="705"/>
      <c r="H188" s="255"/>
      <c r="I188" s="255"/>
      <c r="J188" s="1049"/>
      <c r="K188" s="735"/>
      <c r="L188" s="735"/>
      <c r="M188" s="736"/>
      <c r="N188" s="735"/>
      <c r="O188" s="727"/>
      <c r="P188" s="1321"/>
      <c r="Q188" s="1329"/>
      <c r="R188" s="254"/>
      <c r="S188" s="703"/>
      <c r="T188" s="728"/>
      <c r="U188" s="431"/>
      <c r="V188" s="499"/>
      <c r="W188" s="741"/>
      <c r="X188" s="51"/>
      <c r="Y188" s="51"/>
      <c r="Z188" s="645" t="str">
        <f t="shared" si="1"/>
        <v/>
      </c>
      <c r="AA188" s="1037" t="str">
        <f t="shared" si="48"/>
        <v/>
      </c>
      <c r="AB188" s="1037" t="str">
        <f t="shared" si="49"/>
        <v/>
      </c>
      <c r="AC188" s="1037" t="str">
        <f>IF(Z188="","",VLOOKUP(Z188,リスト!BN:BO,2,0))</f>
        <v/>
      </c>
      <c r="AD188" s="1037" t="str">
        <f t="shared" si="44"/>
        <v/>
      </c>
      <c r="AE188" s="1037" t="str">
        <f>IF(AD188="","",VLOOKUP(AD188,リスト!BW:BX,2,0))</f>
        <v/>
      </c>
      <c r="AF188" s="1037" t="str">
        <f t="shared" si="41"/>
        <v/>
      </c>
      <c r="AG188" s="685" t="str">
        <f t="shared" si="3"/>
        <v/>
      </c>
      <c r="AH188" s="646" t="str">
        <f t="shared" si="4"/>
        <v/>
      </c>
      <c r="AI188" s="646" t="str">
        <f t="shared" si="63"/>
        <v/>
      </c>
      <c r="AJ188" s="647" t="str">
        <f t="shared" si="64"/>
        <v/>
      </c>
      <c r="AK188" s="647" t="str">
        <f t="shared" si="5"/>
        <v/>
      </c>
      <c r="AL188" s="647" t="str">
        <f t="shared" si="47"/>
        <v/>
      </c>
      <c r="AM188" s="647" t="str">
        <f t="shared" si="42"/>
        <v/>
      </c>
      <c r="AN188" s="647" t="str">
        <f t="shared" si="7"/>
        <v/>
      </c>
      <c r="AO188" s="647" t="str">
        <f t="shared" si="8"/>
        <v/>
      </c>
      <c r="AP188" s="647" t="str">
        <f t="shared" si="9"/>
        <v/>
      </c>
      <c r="AQ188" s="647" t="str">
        <f t="shared" si="43"/>
        <v/>
      </c>
      <c r="AR188" s="647" t="str">
        <f t="shared" si="10"/>
        <v/>
      </c>
      <c r="AS188" s="647" t="str">
        <f t="shared" si="16"/>
        <v/>
      </c>
      <c r="AT188" s="1323" t="str">
        <f t="shared" si="50"/>
        <v/>
      </c>
      <c r="AU188" s="1323" t="str">
        <f t="shared" si="51"/>
        <v/>
      </c>
    </row>
    <row r="189" spans="3:47" s="5" customFormat="1" ht="28.15" hidden="1" customHeight="1" outlineLevel="1">
      <c r="C189" s="649">
        <v>171</v>
      </c>
      <c r="D189" s="1134"/>
      <c r="E189" s="729"/>
      <c r="F189" s="726"/>
      <c r="G189" s="705"/>
      <c r="H189" s="257"/>
      <c r="I189" s="257"/>
      <c r="J189" s="1049"/>
      <c r="K189" s="735"/>
      <c r="L189" s="735"/>
      <c r="M189" s="736"/>
      <c r="N189" s="735"/>
      <c r="O189" s="727"/>
      <c r="P189" s="1321"/>
      <c r="Q189" s="1329"/>
      <c r="R189" s="254"/>
      <c r="S189" s="703"/>
      <c r="T189" s="728"/>
      <c r="U189" s="431"/>
      <c r="V189" s="499"/>
      <c r="W189" s="741"/>
      <c r="X189" s="51"/>
      <c r="Y189" s="51"/>
      <c r="Z189" s="645" t="str">
        <f t="shared" si="1"/>
        <v/>
      </c>
      <c r="AA189" s="1037" t="str">
        <f t="shared" si="48"/>
        <v/>
      </c>
      <c r="AB189" s="1037" t="str">
        <f t="shared" si="49"/>
        <v/>
      </c>
      <c r="AC189" s="1037" t="str">
        <f>IF(Z189="","",VLOOKUP(Z189,リスト!BN:BO,2,0))</f>
        <v/>
      </c>
      <c r="AD189" s="1037" t="str">
        <f t="shared" si="44"/>
        <v/>
      </c>
      <c r="AE189" s="1037" t="str">
        <f>IF(AD189="","",VLOOKUP(AD189,リスト!BW:BX,2,0))</f>
        <v/>
      </c>
      <c r="AF189" s="1037" t="str">
        <f t="shared" si="41"/>
        <v/>
      </c>
      <c r="AG189" s="685" t="str">
        <f t="shared" si="3"/>
        <v/>
      </c>
      <c r="AH189" s="646" t="str">
        <f t="shared" si="4"/>
        <v/>
      </c>
      <c r="AI189" s="646" t="str">
        <f t="shared" si="63"/>
        <v/>
      </c>
      <c r="AJ189" s="647" t="str">
        <f t="shared" si="64"/>
        <v/>
      </c>
      <c r="AK189" s="647" t="str">
        <f t="shared" si="5"/>
        <v/>
      </c>
      <c r="AL189" s="647" t="str">
        <f t="shared" si="47"/>
        <v/>
      </c>
      <c r="AM189" s="647" t="str">
        <f t="shared" si="42"/>
        <v/>
      </c>
      <c r="AN189" s="647" t="str">
        <f t="shared" si="7"/>
        <v/>
      </c>
      <c r="AO189" s="647" t="str">
        <f t="shared" si="8"/>
        <v/>
      </c>
      <c r="AP189" s="647" t="str">
        <f t="shared" si="9"/>
        <v/>
      </c>
      <c r="AQ189" s="647" t="str">
        <f t="shared" si="43"/>
        <v/>
      </c>
      <c r="AR189" s="647" t="str">
        <f t="shared" si="10"/>
        <v/>
      </c>
      <c r="AS189" s="647" t="str">
        <f t="shared" si="16"/>
        <v/>
      </c>
      <c r="AT189" s="1323" t="str">
        <f t="shared" si="50"/>
        <v/>
      </c>
      <c r="AU189" s="1323" t="str">
        <f t="shared" si="51"/>
        <v/>
      </c>
    </row>
    <row r="190" spans="3:47" s="5" customFormat="1" ht="28.15" hidden="1" customHeight="1" outlineLevel="1">
      <c r="C190" s="649">
        <v>172</v>
      </c>
      <c r="D190" s="1133"/>
      <c r="E190" s="670"/>
      <c r="F190" s="726"/>
      <c r="G190" s="705"/>
      <c r="H190" s="255"/>
      <c r="I190" s="255"/>
      <c r="J190" s="1049"/>
      <c r="K190" s="735"/>
      <c r="L190" s="735"/>
      <c r="M190" s="736"/>
      <c r="N190" s="735"/>
      <c r="O190" s="727"/>
      <c r="P190" s="1321"/>
      <c r="Q190" s="1329"/>
      <c r="R190" s="254"/>
      <c r="S190" s="703"/>
      <c r="T190" s="728"/>
      <c r="U190" s="431"/>
      <c r="V190" s="499"/>
      <c r="W190" s="741"/>
      <c r="X190" s="51"/>
      <c r="Y190" s="51"/>
      <c r="Z190" s="645" t="str">
        <f t="shared" si="1"/>
        <v/>
      </c>
      <c r="AA190" s="1037" t="str">
        <f t="shared" si="48"/>
        <v/>
      </c>
      <c r="AB190" s="1037" t="str">
        <f t="shared" si="49"/>
        <v/>
      </c>
      <c r="AC190" s="1037" t="str">
        <f>IF(Z190="","",VLOOKUP(Z190,リスト!BN:BO,2,0))</f>
        <v/>
      </c>
      <c r="AD190" s="1037" t="str">
        <f t="shared" si="44"/>
        <v/>
      </c>
      <c r="AE190" s="1037" t="str">
        <f>IF(AD190="","",VLOOKUP(AD190,リスト!BW:BX,2,0))</f>
        <v/>
      </c>
      <c r="AF190" s="1037" t="str">
        <f t="shared" si="41"/>
        <v/>
      </c>
      <c r="AG190" s="685" t="str">
        <f t="shared" si="3"/>
        <v/>
      </c>
      <c r="AH190" s="646" t="str">
        <f t="shared" si="4"/>
        <v/>
      </c>
      <c r="AI190" s="646" t="str">
        <f t="shared" si="63"/>
        <v/>
      </c>
      <c r="AJ190" s="647" t="str">
        <f t="shared" si="64"/>
        <v/>
      </c>
      <c r="AK190" s="647" t="str">
        <f t="shared" si="5"/>
        <v/>
      </c>
      <c r="AL190" s="647" t="str">
        <f t="shared" si="47"/>
        <v/>
      </c>
      <c r="AM190" s="647" t="str">
        <f t="shared" si="42"/>
        <v/>
      </c>
      <c r="AN190" s="647" t="str">
        <f t="shared" si="7"/>
        <v/>
      </c>
      <c r="AO190" s="647" t="str">
        <f t="shared" si="8"/>
        <v/>
      </c>
      <c r="AP190" s="647" t="str">
        <f t="shared" si="9"/>
        <v/>
      </c>
      <c r="AQ190" s="647" t="str">
        <f t="shared" si="43"/>
        <v/>
      </c>
      <c r="AR190" s="647" t="str">
        <f t="shared" si="10"/>
        <v/>
      </c>
      <c r="AS190" s="647" t="str">
        <f t="shared" si="16"/>
        <v/>
      </c>
      <c r="AT190" s="1323" t="str">
        <f t="shared" si="50"/>
        <v/>
      </c>
      <c r="AU190" s="1323" t="str">
        <f t="shared" si="51"/>
        <v/>
      </c>
    </row>
    <row r="191" spans="3:47" s="5" customFormat="1" ht="28.15" hidden="1" customHeight="1" outlineLevel="1">
      <c r="C191" s="649">
        <v>173</v>
      </c>
      <c r="D191" s="1134"/>
      <c r="E191" s="729"/>
      <c r="F191" s="726"/>
      <c r="G191" s="705"/>
      <c r="H191" s="257"/>
      <c r="I191" s="257"/>
      <c r="J191" s="1049"/>
      <c r="K191" s="735"/>
      <c r="L191" s="735"/>
      <c r="M191" s="736"/>
      <c r="N191" s="735"/>
      <c r="O191" s="727"/>
      <c r="P191" s="1321"/>
      <c r="Q191" s="1329"/>
      <c r="R191" s="254"/>
      <c r="S191" s="703"/>
      <c r="T191" s="728"/>
      <c r="U191" s="431"/>
      <c r="V191" s="499"/>
      <c r="W191" s="741"/>
      <c r="X191" s="51"/>
      <c r="Y191" s="51"/>
      <c r="Z191" s="645" t="str">
        <f t="shared" si="1"/>
        <v/>
      </c>
      <c r="AA191" s="1037" t="str">
        <f t="shared" si="48"/>
        <v/>
      </c>
      <c r="AB191" s="1037" t="str">
        <f t="shared" si="49"/>
        <v/>
      </c>
      <c r="AC191" s="1037" t="str">
        <f>IF(Z191="","",VLOOKUP(Z191,リスト!BN:BO,2,0))</f>
        <v/>
      </c>
      <c r="AD191" s="1037" t="str">
        <f t="shared" si="44"/>
        <v/>
      </c>
      <c r="AE191" s="1037" t="str">
        <f>IF(AD191="","",VLOOKUP(AD191,リスト!BW:BX,2,0))</f>
        <v/>
      </c>
      <c r="AF191" s="1037" t="str">
        <f t="shared" si="41"/>
        <v/>
      </c>
      <c r="AG191" s="685" t="str">
        <f t="shared" si="3"/>
        <v/>
      </c>
      <c r="AH191" s="646" t="str">
        <f t="shared" si="4"/>
        <v/>
      </c>
      <c r="AI191" s="646" t="str">
        <f t="shared" si="63"/>
        <v/>
      </c>
      <c r="AJ191" s="647" t="str">
        <f t="shared" si="64"/>
        <v/>
      </c>
      <c r="AK191" s="647" t="str">
        <f t="shared" si="5"/>
        <v/>
      </c>
      <c r="AL191" s="647" t="str">
        <f t="shared" si="47"/>
        <v/>
      </c>
      <c r="AM191" s="647" t="str">
        <f t="shared" si="42"/>
        <v/>
      </c>
      <c r="AN191" s="647" t="str">
        <f t="shared" si="7"/>
        <v/>
      </c>
      <c r="AO191" s="647" t="str">
        <f t="shared" si="8"/>
        <v/>
      </c>
      <c r="AP191" s="647" t="str">
        <f t="shared" si="9"/>
        <v/>
      </c>
      <c r="AQ191" s="647" t="str">
        <f t="shared" si="43"/>
        <v/>
      </c>
      <c r="AR191" s="647" t="str">
        <f t="shared" si="10"/>
        <v/>
      </c>
      <c r="AS191" s="647" t="str">
        <f t="shared" si="16"/>
        <v/>
      </c>
      <c r="AT191" s="1323" t="str">
        <f t="shared" si="50"/>
        <v/>
      </c>
      <c r="AU191" s="1323" t="str">
        <f t="shared" si="51"/>
        <v/>
      </c>
    </row>
    <row r="192" spans="3:47" s="5" customFormat="1" ht="28.15" hidden="1" customHeight="1" outlineLevel="1">
      <c r="C192" s="649">
        <v>174</v>
      </c>
      <c r="D192" s="1133"/>
      <c r="E192" s="670"/>
      <c r="F192" s="726"/>
      <c r="G192" s="705"/>
      <c r="H192" s="255"/>
      <c r="I192" s="255"/>
      <c r="J192" s="1049"/>
      <c r="K192" s="735"/>
      <c r="L192" s="735"/>
      <c r="M192" s="736"/>
      <c r="N192" s="735"/>
      <c r="O192" s="727"/>
      <c r="P192" s="1321"/>
      <c r="Q192" s="1329"/>
      <c r="R192" s="254"/>
      <c r="S192" s="703"/>
      <c r="T192" s="728"/>
      <c r="U192" s="431"/>
      <c r="V192" s="499"/>
      <c r="W192" s="741"/>
      <c r="X192" s="51"/>
      <c r="Y192" s="51"/>
      <c r="Z192" s="645" t="str">
        <f t="shared" si="1"/>
        <v/>
      </c>
      <c r="AA192" s="1037" t="str">
        <f t="shared" si="48"/>
        <v/>
      </c>
      <c r="AB192" s="1037" t="str">
        <f t="shared" si="49"/>
        <v/>
      </c>
      <c r="AC192" s="1037" t="str">
        <f>IF(Z192="","",VLOOKUP(Z192,リスト!BN:BO,2,0))</f>
        <v/>
      </c>
      <c r="AD192" s="1037" t="str">
        <f t="shared" si="44"/>
        <v/>
      </c>
      <c r="AE192" s="1037" t="str">
        <f>IF(AD192="","",VLOOKUP(AD192,リスト!BW:BX,2,0))</f>
        <v/>
      </c>
      <c r="AF192" s="1037" t="str">
        <f t="shared" si="41"/>
        <v/>
      </c>
      <c r="AG192" s="685" t="str">
        <f t="shared" si="3"/>
        <v/>
      </c>
      <c r="AH192" s="646" t="str">
        <f t="shared" si="4"/>
        <v/>
      </c>
      <c r="AI192" s="646" t="str">
        <f t="shared" si="63"/>
        <v/>
      </c>
      <c r="AJ192" s="647" t="str">
        <f t="shared" si="64"/>
        <v/>
      </c>
      <c r="AK192" s="647" t="str">
        <f t="shared" si="5"/>
        <v/>
      </c>
      <c r="AL192" s="647" t="str">
        <f t="shared" si="47"/>
        <v/>
      </c>
      <c r="AM192" s="647" t="str">
        <f t="shared" si="42"/>
        <v/>
      </c>
      <c r="AN192" s="647" t="str">
        <f t="shared" si="7"/>
        <v/>
      </c>
      <c r="AO192" s="647" t="str">
        <f t="shared" si="8"/>
        <v/>
      </c>
      <c r="AP192" s="647" t="str">
        <f t="shared" si="9"/>
        <v/>
      </c>
      <c r="AQ192" s="647" t="str">
        <f t="shared" si="43"/>
        <v/>
      </c>
      <c r="AR192" s="647" t="str">
        <f t="shared" si="10"/>
        <v/>
      </c>
      <c r="AS192" s="647" t="str">
        <f t="shared" si="16"/>
        <v/>
      </c>
      <c r="AT192" s="1323" t="str">
        <f t="shared" si="50"/>
        <v/>
      </c>
      <c r="AU192" s="1323" t="str">
        <f t="shared" si="51"/>
        <v/>
      </c>
    </row>
    <row r="193" spans="3:47" s="5" customFormat="1" ht="28.15" hidden="1" customHeight="1" outlineLevel="1">
      <c r="C193" s="649">
        <v>175</v>
      </c>
      <c r="D193" s="1134"/>
      <c r="E193" s="729"/>
      <c r="F193" s="726"/>
      <c r="G193" s="705"/>
      <c r="H193" s="257"/>
      <c r="I193" s="257"/>
      <c r="J193" s="1050"/>
      <c r="K193" s="735"/>
      <c r="L193" s="735"/>
      <c r="M193" s="736"/>
      <c r="N193" s="735"/>
      <c r="O193" s="727"/>
      <c r="P193" s="1321"/>
      <c r="Q193" s="1329"/>
      <c r="R193" s="254"/>
      <c r="S193" s="703"/>
      <c r="T193" s="728"/>
      <c r="U193" s="431"/>
      <c r="V193" s="499"/>
      <c r="W193" s="741"/>
      <c r="X193" s="51"/>
      <c r="Y193" s="51"/>
      <c r="Z193" s="645" t="str">
        <f t="shared" si="1"/>
        <v/>
      </c>
      <c r="AA193" s="1037" t="str">
        <f t="shared" si="48"/>
        <v/>
      </c>
      <c r="AB193" s="1037" t="str">
        <f t="shared" si="49"/>
        <v/>
      </c>
      <c r="AC193" s="1037" t="str">
        <f>IF(Z193="","",VLOOKUP(Z193,リスト!BN:BO,2,0))</f>
        <v/>
      </c>
      <c r="AD193" s="1037" t="str">
        <f t="shared" si="44"/>
        <v/>
      </c>
      <c r="AE193" s="1037" t="str">
        <f>IF(AD193="","",VLOOKUP(AD193,リスト!BW:BX,2,0))</f>
        <v/>
      </c>
      <c r="AF193" s="1037" t="str">
        <f t="shared" si="41"/>
        <v/>
      </c>
      <c r="AG193" s="685" t="str">
        <f t="shared" si="3"/>
        <v/>
      </c>
      <c r="AH193" s="646" t="str">
        <f t="shared" si="4"/>
        <v/>
      </c>
      <c r="AI193" s="646" t="str">
        <f t="shared" si="63"/>
        <v/>
      </c>
      <c r="AJ193" s="647" t="str">
        <f t="shared" si="64"/>
        <v/>
      </c>
      <c r="AK193" s="647" t="str">
        <f t="shared" si="5"/>
        <v/>
      </c>
      <c r="AL193" s="647" t="str">
        <f t="shared" si="47"/>
        <v/>
      </c>
      <c r="AM193" s="647" t="str">
        <f t="shared" si="42"/>
        <v/>
      </c>
      <c r="AN193" s="647" t="str">
        <f t="shared" si="7"/>
        <v/>
      </c>
      <c r="AO193" s="647" t="str">
        <f t="shared" si="8"/>
        <v/>
      </c>
      <c r="AP193" s="647" t="str">
        <f t="shared" si="9"/>
        <v/>
      </c>
      <c r="AQ193" s="647" t="str">
        <f t="shared" si="43"/>
        <v/>
      </c>
      <c r="AR193" s="647" t="str">
        <f t="shared" si="10"/>
        <v/>
      </c>
      <c r="AS193" s="647" t="str">
        <f t="shared" si="16"/>
        <v/>
      </c>
      <c r="AT193" s="1323" t="str">
        <f t="shared" si="50"/>
        <v/>
      </c>
      <c r="AU193" s="1323" t="str">
        <f t="shared" si="51"/>
        <v/>
      </c>
    </row>
    <row r="194" spans="3:47" s="5" customFormat="1" ht="28.15" hidden="1" customHeight="1" outlineLevel="1">
      <c r="C194" s="649">
        <v>176</v>
      </c>
      <c r="D194" s="1133"/>
      <c r="E194" s="670"/>
      <c r="F194" s="726"/>
      <c r="G194" s="705"/>
      <c r="H194" s="255"/>
      <c r="I194" s="255"/>
      <c r="J194" s="1051"/>
      <c r="K194" s="735"/>
      <c r="L194" s="735"/>
      <c r="M194" s="736"/>
      <c r="N194" s="735"/>
      <c r="O194" s="727"/>
      <c r="P194" s="1321"/>
      <c r="Q194" s="1329"/>
      <c r="R194" s="254"/>
      <c r="S194" s="703"/>
      <c r="T194" s="728"/>
      <c r="U194" s="431"/>
      <c r="V194" s="499"/>
      <c r="W194" s="741"/>
      <c r="X194" s="51"/>
      <c r="Y194" s="51"/>
      <c r="Z194" s="645" t="str">
        <f t="shared" si="1"/>
        <v/>
      </c>
      <c r="AA194" s="1037" t="str">
        <f t="shared" si="48"/>
        <v/>
      </c>
      <c r="AB194" s="1037" t="str">
        <f t="shared" si="49"/>
        <v/>
      </c>
      <c r="AC194" s="1037" t="str">
        <f>IF(Z194="","",VLOOKUP(Z194,リスト!BN:BO,2,0))</f>
        <v/>
      </c>
      <c r="AD194" s="1037" t="str">
        <f t="shared" si="44"/>
        <v/>
      </c>
      <c r="AE194" s="1037" t="str">
        <f>IF(AD194="","",VLOOKUP(AD194,リスト!BW:BX,2,0))</f>
        <v/>
      </c>
      <c r="AF194" s="1037" t="str">
        <f t="shared" si="41"/>
        <v/>
      </c>
      <c r="AG194" s="685" t="str">
        <f t="shared" si="3"/>
        <v/>
      </c>
      <c r="AH194" s="646" t="str">
        <f t="shared" si="4"/>
        <v/>
      </c>
      <c r="AI194" s="646" t="str">
        <f t="shared" si="63"/>
        <v/>
      </c>
      <c r="AJ194" s="647" t="str">
        <f t="shared" si="64"/>
        <v/>
      </c>
      <c r="AK194" s="647" t="str">
        <f t="shared" si="5"/>
        <v/>
      </c>
      <c r="AL194" s="647" t="str">
        <f t="shared" si="47"/>
        <v/>
      </c>
      <c r="AM194" s="647" t="str">
        <f t="shared" si="42"/>
        <v/>
      </c>
      <c r="AN194" s="647" t="str">
        <f t="shared" si="7"/>
        <v/>
      </c>
      <c r="AO194" s="647" t="str">
        <f t="shared" si="8"/>
        <v/>
      </c>
      <c r="AP194" s="647" t="str">
        <f t="shared" si="9"/>
        <v/>
      </c>
      <c r="AQ194" s="647" t="str">
        <f t="shared" si="43"/>
        <v/>
      </c>
      <c r="AR194" s="647" t="str">
        <f t="shared" si="10"/>
        <v/>
      </c>
      <c r="AS194" s="647" t="str">
        <f t="shared" si="16"/>
        <v/>
      </c>
      <c r="AT194" s="1323" t="str">
        <f t="shared" si="50"/>
        <v/>
      </c>
      <c r="AU194" s="1323" t="str">
        <f t="shared" si="51"/>
        <v/>
      </c>
    </row>
    <row r="195" spans="3:47" s="5" customFormat="1" ht="28.15" hidden="1" customHeight="1" outlineLevel="1">
      <c r="C195" s="649">
        <v>177</v>
      </c>
      <c r="D195" s="1133"/>
      <c r="E195" s="670"/>
      <c r="F195" s="726"/>
      <c r="G195" s="705"/>
      <c r="H195" s="255"/>
      <c r="I195" s="255"/>
      <c r="J195" s="1051"/>
      <c r="K195" s="735"/>
      <c r="L195" s="735"/>
      <c r="M195" s="736"/>
      <c r="N195" s="735"/>
      <c r="O195" s="727"/>
      <c r="P195" s="1321"/>
      <c r="Q195" s="1329"/>
      <c r="R195" s="254"/>
      <c r="S195" s="703"/>
      <c r="T195" s="728"/>
      <c r="U195" s="431"/>
      <c r="V195" s="499"/>
      <c r="W195" s="741"/>
      <c r="X195" s="51"/>
      <c r="Y195" s="51"/>
      <c r="Z195" s="645" t="str">
        <f t="shared" si="1"/>
        <v/>
      </c>
      <c r="AA195" s="1037" t="str">
        <f t="shared" si="48"/>
        <v/>
      </c>
      <c r="AB195" s="1037" t="str">
        <f t="shared" si="49"/>
        <v/>
      </c>
      <c r="AC195" s="1037" t="str">
        <f>IF(Z195="","",VLOOKUP(Z195,リスト!BN:BO,2,0))</f>
        <v/>
      </c>
      <c r="AD195" s="1037" t="str">
        <f t="shared" si="44"/>
        <v/>
      </c>
      <c r="AE195" s="1037" t="str">
        <f>IF(AD195="","",VLOOKUP(AD195,リスト!BW:BX,2,0))</f>
        <v/>
      </c>
      <c r="AF195" s="1037" t="str">
        <f t="shared" si="41"/>
        <v/>
      </c>
      <c r="AG195" s="685" t="str">
        <f t="shared" si="3"/>
        <v/>
      </c>
      <c r="AH195" s="646" t="str">
        <f t="shared" si="4"/>
        <v/>
      </c>
      <c r="AI195" s="646" t="str">
        <f t="shared" si="63"/>
        <v/>
      </c>
      <c r="AJ195" s="647" t="str">
        <f t="shared" si="64"/>
        <v/>
      </c>
      <c r="AK195" s="647" t="str">
        <f t="shared" si="5"/>
        <v/>
      </c>
      <c r="AL195" s="647" t="str">
        <f t="shared" si="47"/>
        <v/>
      </c>
      <c r="AM195" s="647" t="str">
        <f t="shared" si="42"/>
        <v/>
      </c>
      <c r="AN195" s="647" t="str">
        <f t="shared" si="7"/>
        <v/>
      </c>
      <c r="AO195" s="647" t="str">
        <f t="shared" si="8"/>
        <v/>
      </c>
      <c r="AP195" s="647" t="str">
        <f t="shared" si="9"/>
        <v/>
      </c>
      <c r="AQ195" s="647" t="str">
        <f t="shared" si="43"/>
        <v/>
      </c>
      <c r="AR195" s="647" t="str">
        <f t="shared" si="10"/>
        <v/>
      </c>
      <c r="AS195" s="647" t="str">
        <f t="shared" si="16"/>
        <v/>
      </c>
      <c r="AT195" s="1323" t="str">
        <f t="shared" si="50"/>
        <v/>
      </c>
      <c r="AU195" s="1323" t="str">
        <f t="shared" si="51"/>
        <v/>
      </c>
    </row>
    <row r="196" spans="3:47" s="5" customFormat="1" ht="28.15" hidden="1" customHeight="1" outlineLevel="1">
      <c r="C196" s="649">
        <v>178</v>
      </c>
      <c r="D196" s="1133"/>
      <c r="E196" s="670"/>
      <c r="F196" s="726"/>
      <c r="G196" s="705"/>
      <c r="H196" s="255"/>
      <c r="I196" s="255"/>
      <c r="J196" s="1051"/>
      <c r="K196" s="735"/>
      <c r="L196" s="735"/>
      <c r="M196" s="736"/>
      <c r="N196" s="735"/>
      <c r="O196" s="727"/>
      <c r="P196" s="1321"/>
      <c r="Q196" s="1329"/>
      <c r="R196" s="254"/>
      <c r="S196" s="703"/>
      <c r="T196" s="728"/>
      <c r="U196" s="431"/>
      <c r="V196" s="499"/>
      <c r="W196" s="741"/>
      <c r="X196" s="51"/>
      <c r="Y196" s="51"/>
      <c r="Z196" s="645" t="str">
        <f t="shared" si="1"/>
        <v/>
      </c>
      <c r="AA196" s="1037" t="str">
        <f t="shared" si="48"/>
        <v/>
      </c>
      <c r="AB196" s="1037" t="str">
        <f t="shared" si="49"/>
        <v/>
      </c>
      <c r="AC196" s="1037" t="str">
        <f>IF(Z196="","",VLOOKUP(Z196,リスト!BN:BO,2,0))</f>
        <v/>
      </c>
      <c r="AD196" s="1037" t="str">
        <f t="shared" si="44"/>
        <v/>
      </c>
      <c r="AE196" s="1037" t="str">
        <f>IF(AD196="","",VLOOKUP(AD196,リスト!BW:BX,2,0))</f>
        <v/>
      </c>
      <c r="AF196" s="1037" t="str">
        <f t="shared" si="41"/>
        <v/>
      </c>
      <c r="AG196" s="685" t="str">
        <f t="shared" si="3"/>
        <v/>
      </c>
      <c r="AH196" s="646" t="str">
        <f t="shared" si="4"/>
        <v/>
      </c>
      <c r="AI196" s="646" t="str">
        <f t="shared" si="63"/>
        <v/>
      </c>
      <c r="AJ196" s="647" t="str">
        <f t="shared" si="64"/>
        <v/>
      </c>
      <c r="AK196" s="647" t="str">
        <f t="shared" si="5"/>
        <v/>
      </c>
      <c r="AL196" s="647" t="str">
        <f t="shared" si="47"/>
        <v/>
      </c>
      <c r="AM196" s="647" t="str">
        <f t="shared" si="42"/>
        <v/>
      </c>
      <c r="AN196" s="647" t="str">
        <f t="shared" si="7"/>
        <v/>
      </c>
      <c r="AO196" s="647" t="str">
        <f t="shared" si="8"/>
        <v/>
      </c>
      <c r="AP196" s="647" t="str">
        <f t="shared" si="9"/>
        <v/>
      </c>
      <c r="AQ196" s="647" t="str">
        <f t="shared" si="43"/>
        <v/>
      </c>
      <c r="AR196" s="647" t="str">
        <f t="shared" si="10"/>
        <v/>
      </c>
      <c r="AS196" s="647" t="str">
        <f t="shared" si="16"/>
        <v/>
      </c>
      <c r="AT196" s="1323" t="str">
        <f t="shared" si="50"/>
        <v/>
      </c>
      <c r="AU196" s="1323" t="str">
        <f t="shared" si="51"/>
        <v/>
      </c>
    </row>
    <row r="197" spans="3:47" s="5" customFormat="1" ht="28.15" hidden="1" customHeight="1" outlineLevel="1">
      <c r="C197" s="649">
        <v>179</v>
      </c>
      <c r="D197" s="1133"/>
      <c r="E197" s="670"/>
      <c r="F197" s="726"/>
      <c r="G197" s="705"/>
      <c r="H197" s="255"/>
      <c r="I197" s="255"/>
      <c r="J197" s="1051"/>
      <c r="K197" s="735"/>
      <c r="L197" s="735"/>
      <c r="M197" s="736"/>
      <c r="N197" s="735"/>
      <c r="O197" s="727"/>
      <c r="P197" s="1321"/>
      <c r="Q197" s="1329"/>
      <c r="R197" s="254"/>
      <c r="S197" s="703"/>
      <c r="T197" s="728"/>
      <c r="U197" s="431"/>
      <c r="V197" s="499"/>
      <c r="W197" s="741"/>
      <c r="X197" s="51"/>
      <c r="Y197" s="51"/>
      <c r="Z197" s="645" t="str">
        <f t="shared" si="1"/>
        <v/>
      </c>
      <c r="AA197" s="1037" t="str">
        <f t="shared" si="48"/>
        <v/>
      </c>
      <c r="AB197" s="1037" t="str">
        <f t="shared" si="49"/>
        <v/>
      </c>
      <c r="AC197" s="1037" t="str">
        <f>IF(Z197="","",VLOOKUP(Z197,リスト!BN:BO,2,0))</f>
        <v/>
      </c>
      <c r="AD197" s="1037" t="str">
        <f t="shared" si="44"/>
        <v/>
      </c>
      <c r="AE197" s="1037" t="str">
        <f>IF(AD197="","",VLOOKUP(AD197,リスト!BW:BX,2,0))</f>
        <v/>
      </c>
      <c r="AF197" s="1037" t="str">
        <f t="shared" si="41"/>
        <v/>
      </c>
      <c r="AG197" s="685" t="str">
        <f t="shared" si="3"/>
        <v/>
      </c>
      <c r="AH197" s="646" t="str">
        <f t="shared" si="4"/>
        <v/>
      </c>
      <c r="AI197" s="646" t="str">
        <f t="shared" si="63"/>
        <v/>
      </c>
      <c r="AJ197" s="647" t="str">
        <f t="shared" si="64"/>
        <v/>
      </c>
      <c r="AK197" s="647" t="str">
        <f t="shared" si="5"/>
        <v/>
      </c>
      <c r="AL197" s="647" t="str">
        <f t="shared" si="47"/>
        <v/>
      </c>
      <c r="AM197" s="647" t="str">
        <f t="shared" si="42"/>
        <v/>
      </c>
      <c r="AN197" s="647" t="str">
        <f t="shared" si="7"/>
        <v/>
      </c>
      <c r="AO197" s="647" t="str">
        <f t="shared" si="8"/>
        <v/>
      </c>
      <c r="AP197" s="647" t="str">
        <f t="shared" si="9"/>
        <v/>
      </c>
      <c r="AQ197" s="647" t="str">
        <f t="shared" si="43"/>
        <v/>
      </c>
      <c r="AR197" s="647" t="str">
        <f t="shared" si="10"/>
        <v/>
      </c>
      <c r="AS197" s="647" t="str">
        <f t="shared" si="16"/>
        <v/>
      </c>
      <c r="AT197" s="1323" t="str">
        <f t="shared" si="50"/>
        <v/>
      </c>
      <c r="AU197" s="1323" t="str">
        <f t="shared" si="51"/>
        <v/>
      </c>
    </row>
    <row r="198" spans="3:47" s="5" customFormat="1" ht="28.15" hidden="1" customHeight="1" outlineLevel="1">
      <c r="C198" s="649">
        <v>180</v>
      </c>
      <c r="D198" s="1133"/>
      <c r="E198" s="670"/>
      <c r="F198" s="726"/>
      <c r="G198" s="705"/>
      <c r="H198" s="255"/>
      <c r="I198" s="255"/>
      <c r="J198" s="1051"/>
      <c r="K198" s="735"/>
      <c r="L198" s="735"/>
      <c r="M198" s="736"/>
      <c r="N198" s="735"/>
      <c r="O198" s="727"/>
      <c r="P198" s="1321"/>
      <c r="Q198" s="1329"/>
      <c r="R198" s="254"/>
      <c r="S198" s="703"/>
      <c r="T198" s="728"/>
      <c r="U198" s="431"/>
      <c r="V198" s="499"/>
      <c r="W198" s="741"/>
      <c r="X198" s="51"/>
      <c r="Y198" s="51"/>
      <c r="Z198" s="645" t="str">
        <f t="shared" si="1"/>
        <v/>
      </c>
      <c r="AA198" s="1037" t="str">
        <f t="shared" si="48"/>
        <v/>
      </c>
      <c r="AB198" s="1037" t="str">
        <f t="shared" si="49"/>
        <v/>
      </c>
      <c r="AC198" s="1037" t="str">
        <f>IF(Z198="","",VLOOKUP(Z198,リスト!BN:BO,2,0))</f>
        <v/>
      </c>
      <c r="AD198" s="1037" t="str">
        <f t="shared" si="44"/>
        <v/>
      </c>
      <c r="AE198" s="1037" t="str">
        <f>IF(AD198="","",VLOOKUP(AD198,リスト!BW:BX,2,0))</f>
        <v/>
      </c>
      <c r="AF198" s="1037" t="str">
        <f t="shared" si="41"/>
        <v/>
      </c>
      <c r="AG198" s="685" t="str">
        <f t="shared" si="3"/>
        <v/>
      </c>
      <c r="AH198" s="646" t="str">
        <f t="shared" si="4"/>
        <v/>
      </c>
      <c r="AI198" s="646" t="str">
        <f t="shared" si="63"/>
        <v/>
      </c>
      <c r="AJ198" s="647" t="str">
        <f t="shared" si="64"/>
        <v/>
      </c>
      <c r="AK198" s="647" t="str">
        <f t="shared" si="5"/>
        <v/>
      </c>
      <c r="AL198" s="647" t="str">
        <f t="shared" si="47"/>
        <v/>
      </c>
      <c r="AM198" s="647" t="str">
        <f t="shared" si="42"/>
        <v/>
      </c>
      <c r="AN198" s="647" t="str">
        <f t="shared" si="7"/>
        <v/>
      </c>
      <c r="AO198" s="647" t="str">
        <f t="shared" si="8"/>
        <v/>
      </c>
      <c r="AP198" s="647" t="str">
        <f t="shared" si="9"/>
        <v/>
      </c>
      <c r="AQ198" s="647" t="str">
        <f t="shared" si="43"/>
        <v/>
      </c>
      <c r="AR198" s="647" t="str">
        <f t="shared" si="10"/>
        <v/>
      </c>
      <c r="AS198" s="647" t="str">
        <f t="shared" si="16"/>
        <v/>
      </c>
      <c r="AT198" s="1323" t="str">
        <f t="shared" si="50"/>
        <v/>
      </c>
      <c r="AU198" s="1323" t="str">
        <f t="shared" si="51"/>
        <v/>
      </c>
    </row>
    <row r="199" spans="3:47" s="5" customFormat="1" ht="28.15" hidden="1" customHeight="1" outlineLevel="1">
      <c r="C199" s="649">
        <v>181</v>
      </c>
      <c r="D199" s="1133"/>
      <c r="E199" s="670"/>
      <c r="F199" s="726"/>
      <c r="G199" s="705"/>
      <c r="H199" s="255"/>
      <c r="I199" s="255"/>
      <c r="J199" s="1051"/>
      <c r="K199" s="735"/>
      <c r="L199" s="735"/>
      <c r="M199" s="736"/>
      <c r="N199" s="735"/>
      <c r="O199" s="727"/>
      <c r="P199" s="1321"/>
      <c r="Q199" s="1329"/>
      <c r="R199" s="254"/>
      <c r="S199" s="703"/>
      <c r="T199" s="728"/>
      <c r="U199" s="431"/>
      <c r="V199" s="499"/>
      <c r="W199" s="741"/>
      <c r="X199" s="51"/>
      <c r="Y199" s="51"/>
      <c r="Z199" s="645" t="str">
        <f t="shared" si="1"/>
        <v/>
      </c>
      <c r="AA199" s="1037" t="str">
        <f t="shared" si="48"/>
        <v/>
      </c>
      <c r="AB199" s="1037" t="str">
        <f t="shared" si="49"/>
        <v/>
      </c>
      <c r="AC199" s="1037" t="str">
        <f>IF(Z199="","",VLOOKUP(Z199,リスト!BN:BO,2,0))</f>
        <v/>
      </c>
      <c r="AD199" s="1037" t="str">
        <f t="shared" si="44"/>
        <v/>
      </c>
      <c r="AE199" s="1037" t="str">
        <f>IF(AD199="","",VLOOKUP(AD199,リスト!BW:BX,2,0))</f>
        <v/>
      </c>
      <c r="AF199" s="1037" t="str">
        <f t="shared" si="41"/>
        <v/>
      </c>
      <c r="AG199" s="685" t="str">
        <f t="shared" si="3"/>
        <v/>
      </c>
      <c r="AH199" s="646" t="str">
        <f t="shared" si="4"/>
        <v/>
      </c>
      <c r="AI199" s="646" t="str">
        <f t="shared" si="63"/>
        <v/>
      </c>
      <c r="AJ199" s="647" t="str">
        <f t="shared" si="64"/>
        <v/>
      </c>
      <c r="AK199" s="647" t="str">
        <f t="shared" si="5"/>
        <v/>
      </c>
      <c r="AL199" s="647" t="str">
        <f t="shared" si="47"/>
        <v/>
      </c>
      <c r="AM199" s="647" t="str">
        <f t="shared" si="42"/>
        <v/>
      </c>
      <c r="AN199" s="647" t="str">
        <f t="shared" si="7"/>
        <v/>
      </c>
      <c r="AO199" s="647" t="str">
        <f t="shared" si="8"/>
        <v/>
      </c>
      <c r="AP199" s="647" t="str">
        <f t="shared" si="9"/>
        <v/>
      </c>
      <c r="AQ199" s="647" t="str">
        <f t="shared" si="43"/>
        <v/>
      </c>
      <c r="AR199" s="647" t="str">
        <f t="shared" si="10"/>
        <v/>
      </c>
      <c r="AS199" s="647" t="str">
        <f t="shared" si="16"/>
        <v/>
      </c>
      <c r="AT199" s="1323" t="str">
        <f t="shared" si="50"/>
        <v/>
      </c>
      <c r="AU199" s="1323" t="str">
        <f t="shared" si="51"/>
        <v/>
      </c>
    </row>
    <row r="200" spans="3:47" s="5" customFormat="1" ht="28.15" hidden="1" customHeight="1" outlineLevel="1">
      <c r="C200" s="649">
        <v>182</v>
      </c>
      <c r="D200" s="1133"/>
      <c r="E200" s="670"/>
      <c r="F200" s="726"/>
      <c r="G200" s="666"/>
      <c r="H200" s="266"/>
      <c r="I200" s="266"/>
      <c r="J200" s="1049"/>
      <c r="K200" s="727"/>
      <c r="L200" s="727"/>
      <c r="M200" s="727"/>
      <c r="N200" s="727"/>
      <c r="O200" s="727"/>
      <c r="P200" s="1321"/>
      <c r="Q200" s="1329"/>
      <c r="R200" s="254"/>
      <c r="S200" s="703"/>
      <c r="T200" s="728"/>
      <c r="U200" s="431"/>
      <c r="V200" s="499"/>
      <c r="W200" s="741"/>
      <c r="X200" s="51"/>
      <c r="Y200" s="51"/>
      <c r="Z200" s="645" t="str">
        <f t="shared" ref="Z200:Z217" si="65">IF(AND(E200="",F200=""),"","["&amp;RIGHT(LEFT(E200,3),2)&amp;RIGHT(LEFT(F200,2),1)&amp;"]")</f>
        <v/>
      </c>
      <c r="AA200" s="1037" t="str">
        <f t="shared" si="48"/>
        <v/>
      </c>
      <c r="AB200" s="1037" t="str">
        <f t="shared" si="49"/>
        <v/>
      </c>
      <c r="AC200" s="1037" t="str">
        <f>IF(Z200="","",VLOOKUP(Z200,リスト!BN:BO,2,0))</f>
        <v/>
      </c>
      <c r="AD200" s="1037" t="str">
        <f t="shared" si="44"/>
        <v/>
      </c>
      <c r="AE200" s="1037" t="str">
        <f>IF(AD200="","",VLOOKUP(AD200,リスト!BW:BX,2,0))</f>
        <v/>
      </c>
      <c r="AF200" s="1037" t="str">
        <f t="shared" si="41"/>
        <v/>
      </c>
      <c r="AG200" s="685" t="str">
        <f t="shared" ref="AG200:AG217" si="66">IF(OR(Z200="",AA200=1),"",
IF(AND(AD200&gt;0,AF200&lt;AD200,AH200&lt;=ROUND((K200-1)*AE200,0)),ROUND(AH200,0),
IF(AND(AD200&gt;0,AF200&lt;AD200),ROUND((K200-1)*AE200,0),
"")))</f>
        <v/>
      </c>
      <c r="AH200" s="646" t="str">
        <f t="shared" ref="AH200:AH217" si="67">IF(OR(Z200="",AA200=1),"",
IF(AND(AD200&gt;0,AF200&lt;AD200),K200-ROUND((K200-1)*AE200*AF200,0),1
))</f>
        <v/>
      </c>
      <c r="AI200" s="646" t="str">
        <f t="shared" ref="AI200:AI217" si="68">IF(OR(Z200="",AA200=1),"",
IF(S200="",AG200,
IF(S200="2：廃棄等",SUM(AH200,T200),
IF(S200="1：売却",AH200-T200,
IF(AND(T200="",AG200=""),"",SUM(T200,AG200))))))</f>
        <v/>
      </c>
      <c r="AJ200" s="647" t="str">
        <f t="shared" ref="AJ200:AJ217" si="69">IF(AND(AI200="",AG200=""),"",
IF(OR(S200="1：売却",S200="2：廃棄等"),SUM(AI200)-SUM(AG200),""))</f>
        <v/>
      </c>
      <c r="AK200" s="647" t="str">
        <f t="shared" ref="AK200:AK217" si="70">IF(OR(AA200=1,L200=""),"",
IF(AND(AD200&gt;0,L200&gt;0,AF200&lt;AD200),L200-ROUND(L200*AE200*AF200,0),""
))</f>
        <v/>
      </c>
      <c r="AL200" s="647" t="str">
        <f t="shared" si="47"/>
        <v/>
      </c>
      <c r="AM200" s="647" t="str">
        <f t="shared" si="42"/>
        <v/>
      </c>
      <c r="AN200" s="647" t="str">
        <f t="shared" ref="AN200:AN217" si="71">IF(R200="","",IF(AI200="","",ROUND(AI200*R200%,0)))</f>
        <v/>
      </c>
      <c r="AO200" s="647" t="str">
        <f t="shared" ref="AO200:AO217" si="72">IF(R200="","",IF(AJ200="","",ROUND(AJ200*R200%,0)))</f>
        <v/>
      </c>
      <c r="AP200" s="647" t="str">
        <f t="shared" ref="AP200:AP217" si="73">IF(R200="","",IF(AH200="","",ROUND(AH200*R200%,0)))</f>
        <v/>
      </c>
      <c r="AQ200" s="647" t="str">
        <f t="shared" si="43"/>
        <v/>
      </c>
      <c r="AR200" s="647" t="str">
        <f t="shared" ref="AR200:AR217" si="74">IF(R200="","",IF(N200="","",ROUND(N200*R200%,0)))</f>
        <v/>
      </c>
      <c r="AS200" s="647" t="str">
        <f t="shared" ref="AS200:AS217" si="75">IF(R200="","",IF(O200="","",ROUND(O200*R200%,0)))</f>
        <v/>
      </c>
      <c r="AT200" s="1323" t="str">
        <f t="shared" si="50"/>
        <v/>
      </c>
      <c r="AU200" s="1323" t="str">
        <f t="shared" si="51"/>
        <v/>
      </c>
    </row>
    <row r="201" spans="3:47" s="5" customFormat="1" ht="28.15" hidden="1" customHeight="1" outlineLevel="1">
      <c r="C201" s="649">
        <v>183</v>
      </c>
      <c r="D201" s="1134"/>
      <c r="E201" s="729"/>
      <c r="F201" s="726"/>
      <c r="G201" s="705"/>
      <c r="H201" s="257"/>
      <c r="I201" s="257"/>
      <c r="J201" s="1049"/>
      <c r="K201" s="735"/>
      <c r="L201" s="735"/>
      <c r="M201" s="736"/>
      <c r="N201" s="735"/>
      <c r="O201" s="727"/>
      <c r="P201" s="1321"/>
      <c r="Q201" s="1329"/>
      <c r="R201" s="254"/>
      <c r="S201" s="703"/>
      <c r="T201" s="728"/>
      <c r="U201" s="431"/>
      <c r="V201" s="499"/>
      <c r="W201" s="741"/>
      <c r="X201" s="51"/>
      <c r="Y201" s="51"/>
      <c r="Z201" s="645" t="str">
        <f t="shared" si="65"/>
        <v/>
      </c>
      <c r="AA201" s="1037" t="str">
        <f t="shared" si="48"/>
        <v/>
      </c>
      <c r="AB201" s="1037" t="str">
        <f t="shared" si="49"/>
        <v/>
      </c>
      <c r="AC201" s="1037" t="str">
        <f>IF(Z201="","",VLOOKUP(Z201,リスト!BN:BO,2,0))</f>
        <v/>
      </c>
      <c r="AD201" s="1037" t="str">
        <f t="shared" si="44"/>
        <v/>
      </c>
      <c r="AE201" s="1037" t="str">
        <f>IF(AD201="","",VLOOKUP(AD201,リスト!BW:BX,2,0))</f>
        <v/>
      </c>
      <c r="AF201" s="1037" t="str">
        <f t="shared" si="41"/>
        <v/>
      </c>
      <c r="AG201" s="685" t="str">
        <f t="shared" si="66"/>
        <v/>
      </c>
      <c r="AH201" s="646" t="str">
        <f t="shared" si="67"/>
        <v/>
      </c>
      <c r="AI201" s="646" t="str">
        <f t="shared" si="68"/>
        <v/>
      </c>
      <c r="AJ201" s="647" t="str">
        <f t="shared" si="69"/>
        <v/>
      </c>
      <c r="AK201" s="647" t="str">
        <f t="shared" si="70"/>
        <v/>
      </c>
      <c r="AL201" s="647" t="str">
        <f t="shared" si="47"/>
        <v/>
      </c>
      <c r="AM201" s="647" t="str">
        <f t="shared" si="42"/>
        <v/>
      </c>
      <c r="AN201" s="647" t="str">
        <f t="shared" si="71"/>
        <v/>
      </c>
      <c r="AO201" s="647" t="str">
        <f t="shared" si="72"/>
        <v/>
      </c>
      <c r="AP201" s="647" t="str">
        <f t="shared" si="73"/>
        <v/>
      </c>
      <c r="AQ201" s="647" t="str">
        <f t="shared" si="43"/>
        <v/>
      </c>
      <c r="AR201" s="647" t="str">
        <f t="shared" si="74"/>
        <v/>
      </c>
      <c r="AS201" s="647" t="str">
        <f t="shared" si="75"/>
        <v/>
      </c>
      <c r="AT201" s="1323" t="str">
        <f t="shared" si="50"/>
        <v/>
      </c>
      <c r="AU201" s="1323" t="str">
        <f t="shared" si="51"/>
        <v/>
      </c>
    </row>
    <row r="202" spans="3:47" s="5" customFormat="1" ht="28.15" hidden="1" customHeight="1" outlineLevel="1">
      <c r="C202" s="649">
        <v>184</v>
      </c>
      <c r="D202" s="1133"/>
      <c r="E202" s="670"/>
      <c r="F202" s="726"/>
      <c r="G202" s="705"/>
      <c r="H202" s="255"/>
      <c r="I202" s="255"/>
      <c r="J202" s="1049"/>
      <c r="K202" s="735"/>
      <c r="L202" s="735"/>
      <c r="M202" s="736"/>
      <c r="N202" s="735"/>
      <c r="O202" s="727"/>
      <c r="P202" s="1321"/>
      <c r="Q202" s="1329"/>
      <c r="R202" s="254"/>
      <c r="S202" s="703"/>
      <c r="T202" s="728"/>
      <c r="U202" s="431"/>
      <c r="V202" s="499"/>
      <c r="W202" s="741"/>
      <c r="X202" s="51"/>
      <c r="Y202" s="51"/>
      <c r="Z202" s="645" t="str">
        <f t="shared" si="65"/>
        <v/>
      </c>
      <c r="AA202" s="1037" t="str">
        <f t="shared" si="48"/>
        <v/>
      </c>
      <c r="AB202" s="1037" t="str">
        <f t="shared" si="49"/>
        <v/>
      </c>
      <c r="AC202" s="1037" t="str">
        <f>IF(Z202="","",VLOOKUP(Z202,リスト!BN:BO,2,0))</f>
        <v/>
      </c>
      <c r="AD202" s="1037" t="str">
        <f t="shared" si="44"/>
        <v/>
      </c>
      <c r="AE202" s="1037" t="str">
        <f>IF(AD202="","",VLOOKUP(AD202,リスト!BW:BX,2,0))</f>
        <v/>
      </c>
      <c r="AF202" s="1037" t="str">
        <f t="shared" si="41"/>
        <v/>
      </c>
      <c r="AG202" s="685" t="str">
        <f t="shared" si="66"/>
        <v/>
      </c>
      <c r="AH202" s="646" t="str">
        <f t="shared" si="67"/>
        <v/>
      </c>
      <c r="AI202" s="646" t="str">
        <f t="shared" si="68"/>
        <v/>
      </c>
      <c r="AJ202" s="647" t="str">
        <f t="shared" si="69"/>
        <v/>
      </c>
      <c r="AK202" s="647" t="str">
        <f t="shared" si="70"/>
        <v/>
      </c>
      <c r="AL202" s="647" t="str">
        <f t="shared" si="47"/>
        <v/>
      </c>
      <c r="AM202" s="647" t="str">
        <f t="shared" si="42"/>
        <v/>
      </c>
      <c r="AN202" s="647" t="str">
        <f t="shared" si="71"/>
        <v/>
      </c>
      <c r="AO202" s="647" t="str">
        <f t="shared" si="72"/>
        <v/>
      </c>
      <c r="AP202" s="647" t="str">
        <f t="shared" si="73"/>
        <v/>
      </c>
      <c r="AQ202" s="647" t="str">
        <f t="shared" si="43"/>
        <v/>
      </c>
      <c r="AR202" s="647" t="str">
        <f t="shared" si="74"/>
        <v/>
      </c>
      <c r="AS202" s="647" t="str">
        <f t="shared" si="75"/>
        <v/>
      </c>
      <c r="AT202" s="1323" t="str">
        <f t="shared" si="50"/>
        <v/>
      </c>
      <c r="AU202" s="1323" t="str">
        <f t="shared" si="51"/>
        <v/>
      </c>
    </row>
    <row r="203" spans="3:47" s="5" customFormat="1" ht="28.15" hidden="1" customHeight="1" outlineLevel="1">
      <c r="C203" s="649">
        <v>185</v>
      </c>
      <c r="D203" s="1134"/>
      <c r="E203" s="729"/>
      <c r="F203" s="726"/>
      <c r="G203" s="705"/>
      <c r="H203" s="257"/>
      <c r="I203" s="257"/>
      <c r="J203" s="1049"/>
      <c r="K203" s="735"/>
      <c r="L203" s="735"/>
      <c r="M203" s="736"/>
      <c r="N203" s="735"/>
      <c r="O203" s="727"/>
      <c r="P203" s="1321"/>
      <c r="Q203" s="1329"/>
      <c r="R203" s="254"/>
      <c r="S203" s="703"/>
      <c r="T203" s="728"/>
      <c r="U203" s="431"/>
      <c r="V203" s="499"/>
      <c r="W203" s="741"/>
      <c r="X203" s="51"/>
      <c r="Y203" s="51"/>
      <c r="Z203" s="645" t="str">
        <f t="shared" si="65"/>
        <v/>
      </c>
      <c r="AA203" s="1037" t="str">
        <f t="shared" si="48"/>
        <v/>
      </c>
      <c r="AB203" s="1037" t="str">
        <f t="shared" si="49"/>
        <v/>
      </c>
      <c r="AC203" s="1037" t="str">
        <f>IF(Z203="","",VLOOKUP(Z203,リスト!BN:BO,2,0))</f>
        <v/>
      </c>
      <c r="AD203" s="1037" t="str">
        <f t="shared" si="44"/>
        <v/>
      </c>
      <c r="AE203" s="1037" t="str">
        <f>IF(AD203="","",VLOOKUP(AD203,リスト!BW:BX,2,0))</f>
        <v/>
      </c>
      <c r="AF203" s="1037" t="str">
        <f t="shared" si="41"/>
        <v/>
      </c>
      <c r="AG203" s="685" t="str">
        <f t="shared" si="66"/>
        <v/>
      </c>
      <c r="AH203" s="646" t="str">
        <f t="shared" si="67"/>
        <v/>
      </c>
      <c r="AI203" s="646" t="str">
        <f t="shared" si="68"/>
        <v/>
      </c>
      <c r="AJ203" s="647" t="str">
        <f t="shared" si="69"/>
        <v/>
      </c>
      <c r="AK203" s="647" t="str">
        <f t="shared" si="70"/>
        <v/>
      </c>
      <c r="AL203" s="647" t="str">
        <f t="shared" si="47"/>
        <v/>
      </c>
      <c r="AM203" s="647" t="str">
        <f t="shared" si="42"/>
        <v/>
      </c>
      <c r="AN203" s="647" t="str">
        <f t="shared" si="71"/>
        <v/>
      </c>
      <c r="AO203" s="647" t="str">
        <f t="shared" si="72"/>
        <v/>
      </c>
      <c r="AP203" s="647" t="str">
        <f t="shared" si="73"/>
        <v/>
      </c>
      <c r="AQ203" s="647" t="str">
        <f t="shared" si="43"/>
        <v/>
      </c>
      <c r="AR203" s="647" t="str">
        <f t="shared" si="74"/>
        <v/>
      </c>
      <c r="AS203" s="647" t="str">
        <f t="shared" si="75"/>
        <v/>
      </c>
      <c r="AT203" s="1323" t="str">
        <f t="shared" si="50"/>
        <v/>
      </c>
      <c r="AU203" s="1323" t="str">
        <f t="shared" si="51"/>
        <v/>
      </c>
    </row>
    <row r="204" spans="3:47" s="5" customFormat="1" ht="28.15" hidden="1" customHeight="1" outlineLevel="1">
      <c r="C204" s="649">
        <v>186</v>
      </c>
      <c r="D204" s="1133"/>
      <c r="E204" s="670"/>
      <c r="F204" s="726"/>
      <c r="G204" s="705"/>
      <c r="H204" s="255"/>
      <c r="I204" s="255"/>
      <c r="J204" s="1049"/>
      <c r="K204" s="735"/>
      <c r="L204" s="735"/>
      <c r="M204" s="736"/>
      <c r="N204" s="735"/>
      <c r="O204" s="727"/>
      <c r="P204" s="1321"/>
      <c r="Q204" s="1329"/>
      <c r="R204" s="254"/>
      <c r="S204" s="703"/>
      <c r="T204" s="728"/>
      <c r="U204" s="431"/>
      <c r="V204" s="499"/>
      <c r="W204" s="741"/>
      <c r="X204" s="51"/>
      <c r="Y204" s="51"/>
      <c r="Z204" s="645" t="str">
        <f t="shared" si="65"/>
        <v/>
      </c>
      <c r="AA204" s="1037" t="str">
        <f t="shared" si="48"/>
        <v/>
      </c>
      <c r="AB204" s="1037" t="str">
        <f t="shared" si="49"/>
        <v/>
      </c>
      <c r="AC204" s="1037" t="str">
        <f>IF(Z204="","",VLOOKUP(Z204,リスト!BN:BO,2,0))</f>
        <v/>
      </c>
      <c r="AD204" s="1037" t="str">
        <f t="shared" si="44"/>
        <v/>
      </c>
      <c r="AE204" s="1037" t="str">
        <f>IF(AD204="","",VLOOKUP(AD204,リスト!BW:BX,2,0))</f>
        <v/>
      </c>
      <c r="AF204" s="1037" t="str">
        <f t="shared" si="41"/>
        <v/>
      </c>
      <c r="AG204" s="685" t="str">
        <f t="shared" si="66"/>
        <v/>
      </c>
      <c r="AH204" s="646" t="str">
        <f t="shared" si="67"/>
        <v/>
      </c>
      <c r="AI204" s="646" t="str">
        <f t="shared" si="68"/>
        <v/>
      </c>
      <c r="AJ204" s="647" t="str">
        <f t="shared" si="69"/>
        <v/>
      </c>
      <c r="AK204" s="647" t="str">
        <f t="shared" si="70"/>
        <v/>
      </c>
      <c r="AL204" s="647" t="str">
        <f t="shared" si="47"/>
        <v/>
      </c>
      <c r="AM204" s="647" t="str">
        <f t="shared" si="42"/>
        <v/>
      </c>
      <c r="AN204" s="647" t="str">
        <f t="shared" si="71"/>
        <v/>
      </c>
      <c r="AO204" s="647" t="str">
        <f t="shared" si="72"/>
        <v/>
      </c>
      <c r="AP204" s="647" t="str">
        <f t="shared" si="73"/>
        <v/>
      </c>
      <c r="AQ204" s="647" t="str">
        <f t="shared" si="43"/>
        <v/>
      </c>
      <c r="AR204" s="647" t="str">
        <f t="shared" si="74"/>
        <v/>
      </c>
      <c r="AS204" s="647" t="str">
        <f t="shared" si="75"/>
        <v/>
      </c>
      <c r="AT204" s="1323" t="str">
        <f t="shared" si="50"/>
        <v/>
      </c>
      <c r="AU204" s="1323" t="str">
        <f t="shared" si="51"/>
        <v/>
      </c>
    </row>
    <row r="205" spans="3:47" s="5" customFormat="1" ht="28.15" hidden="1" customHeight="1" outlineLevel="1">
      <c r="C205" s="649">
        <v>187</v>
      </c>
      <c r="D205" s="1134"/>
      <c r="E205" s="729"/>
      <c r="F205" s="726"/>
      <c r="G205" s="705"/>
      <c r="H205" s="257"/>
      <c r="I205" s="257"/>
      <c r="J205" s="1049"/>
      <c r="K205" s="735"/>
      <c r="L205" s="735"/>
      <c r="M205" s="736"/>
      <c r="N205" s="735"/>
      <c r="O205" s="727"/>
      <c r="P205" s="1321"/>
      <c r="Q205" s="1329"/>
      <c r="R205" s="254"/>
      <c r="S205" s="703"/>
      <c r="T205" s="728"/>
      <c r="U205" s="431"/>
      <c r="V205" s="499"/>
      <c r="W205" s="741"/>
      <c r="X205" s="51"/>
      <c r="Y205" s="51"/>
      <c r="Z205" s="645" t="str">
        <f t="shared" si="65"/>
        <v/>
      </c>
      <c r="AA205" s="1037" t="str">
        <f t="shared" si="48"/>
        <v/>
      </c>
      <c r="AB205" s="1037" t="str">
        <f t="shared" si="49"/>
        <v/>
      </c>
      <c r="AC205" s="1037" t="str">
        <f>IF(Z205="","",VLOOKUP(Z205,リスト!BN:BO,2,0))</f>
        <v/>
      </c>
      <c r="AD205" s="1037" t="str">
        <f t="shared" si="44"/>
        <v/>
      </c>
      <c r="AE205" s="1037" t="str">
        <f>IF(AD205="","",VLOOKUP(AD205,リスト!BW:BX,2,0))</f>
        <v/>
      </c>
      <c r="AF205" s="1037" t="str">
        <f t="shared" si="41"/>
        <v/>
      </c>
      <c r="AG205" s="685" t="str">
        <f t="shared" si="66"/>
        <v/>
      </c>
      <c r="AH205" s="646" t="str">
        <f t="shared" si="67"/>
        <v/>
      </c>
      <c r="AI205" s="646" t="str">
        <f t="shared" si="68"/>
        <v/>
      </c>
      <c r="AJ205" s="647" t="str">
        <f t="shared" si="69"/>
        <v/>
      </c>
      <c r="AK205" s="647" t="str">
        <f t="shared" si="70"/>
        <v/>
      </c>
      <c r="AL205" s="647" t="str">
        <f t="shared" si="47"/>
        <v/>
      </c>
      <c r="AM205" s="647" t="str">
        <f t="shared" si="42"/>
        <v/>
      </c>
      <c r="AN205" s="647" t="str">
        <f t="shared" si="71"/>
        <v/>
      </c>
      <c r="AO205" s="647" t="str">
        <f t="shared" si="72"/>
        <v/>
      </c>
      <c r="AP205" s="647" t="str">
        <f t="shared" si="73"/>
        <v/>
      </c>
      <c r="AQ205" s="647" t="str">
        <f t="shared" si="43"/>
        <v/>
      </c>
      <c r="AR205" s="647" t="str">
        <f t="shared" si="74"/>
        <v/>
      </c>
      <c r="AS205" s="647" t="str">
        <f t="shared" si="75"/>
        <v/>
      </c>
      <c r="AT205" s="1323" t="str">
        <f t="shared" si="50"/>
        <v/>
      </c>
      <c r="AU205" s="1323" t="str">
        <f t="shared" si="51"/>
        <v/>
      </c>
    </row>
    <row r="206" spans="3:47" s="5" customFormat="1" ht="28.15" hidden="1" customHeight="1" outlineLevel="1">
      <c r="C206" s="649">
        <v>188</v>
      </c>
      <c r="D206" s="1133"/>
      <c r="E206" s="670"/>
      <c r="F206" s="726"/>
      <c r="G206" s="705"/>
      <c r="H206" s="255"/>
      <c r="I206" s="255"/>
      <c r="J206" s="1049"/>
      <c r="K206" s="735"/>
      <c r="L206" s="735"/>
      <c r="M206" s="736"/>
      <c r="N206" s="735"/>
      <c r="O206" s="727"/>
      <c r="P206" s="1321"/>
      <c r="Q206" s="1329"/>
      <c r="R206" s="254"/>
      <c r="S206" s="703"/>
      <c r="T206" s="728"/>
      <c r="U206" s="431"/>
      <c r="V206" s="499"/>
      <c r="W206" s="741"/>
      <c r="X206" s="51"/>
      <c r="Y206" s="51"/>
      <c r="Z206" s="645" t="str">
        <f t="shared" si="65"/>
        <v/>
      </c>
      <c r="AA206" s="1037" t="str">
        <f t="shared" si="48"/>
        <v/>
      </c>
      <c r="AB206" s="1037" t="str">
        <f t="shared" si="49"/>
        <v/>
      </c>
      <c r="AC206" s="1037" t="str">
        <f>IF(Z206="","",VLOOKUP(Z206,リスト!BN:BO,2,0))</f>
        <v/>
      </c>
      <c r="AD206" s="1037" t="str">
        <f t="shared" si="44"/>
        <v/>
      </c>
      <c r="AE206" s="1037" t="str">
        <f>IF(AD206="","",VLOOKUP(AD206,リスト!BW:BX,2,0))</f>
        <v/>
      </c>
      <c r="AF206" s="1037" t="str">
        <f t="shared" si="41"/>
        <v/>
      </c>
      <c r="AG206" s="685" t="str">
        <f t="shared" si="66"/>
        <v/>
      </c>
      <c r="AH206" s="646" t="str">
        <f t="shared" si="67"/>
        <v/>
      </c>
      <c r="AI206" s="646" t="str">
        <f t="shared" si="68"/>
        <v/>
      </c>
      <c r="AJ206" s="647" t="str">
        <f t="shared" si="69"/>
        <v/>
      </c>
      <c r="AK206" s="647" t="str">
        <f t="shared" si="70"/>
        <v/>
      </c>
      <c r="AL206" s="647" t="str">
        <f t="shared" si="47"/>
        <v/>
      </c>
      <c r="AM206" s="647" t="str">
        <f t="shared" si="42"/>
        <v/>
      </c>
      <c r="AN206" s="647" t="str">
        <f t="shared" si="71"/>
        <v/>
      </c>
      <c r="AO206" s="647" t="str">
        <f t="shared" si="72"/>
        <v/>
      </c>
      <c r="AP206" s="647" t="str">
        <f t="shared" si="73"/>
        <v/>
      </c>
      <c r="AQ206" s="647" t="str">
        <f t="shared" si="43"/>
        <v/>
      </c>
      <c r="AR206" s="647" t="str">
        <f t="shared" si="74"/>
        <v/>
      </c>
      <c r="AS206" s="647" t="str">
        <f t="shared" si="75"/>
        <v/>
      </c>
      <c r="AT206" s="1323" t="str">
        <f t="shared" si="50"/>
        <v/>
      </c>
      <c r="AU206" s="1323" t="str">
        <f t="shared" si="51"/>
        <v/>
      </c>
    </row>
    <row r="207" spans="3:47" s="5" customFormat="1" ht="28.15" hidden="1" customHeight="1" outlineLevel="1">
      <c r="C207" s="649">
        <v>189</v>
      </c>
      <c r="D207" s="1134"/>
      <c r="E207" s="729"/>
      <c r="F207" s="726"/>
      <c r="G207" s="705"/>
      <c r="H207" s="257"/>
      <c r="I207" s="257"/>
      <c r="J207" s="1049"/>
      <c r="K207" s="735"/>
      <c r="L207" s="735"/>
      <c r="M207" s="736"/>
      <c r="N207" s="735"/>
      <c r="O207" s="727"/>
      <c r="P207" s="1321"/>
      <c r="Q207" s="1329"/>
      <c r="R207" s="254"/>
      <c r="S207" s="703"/>
      <c r="T207" s="728"/>
      <c r="U207" s="431"/>
      <c r="V207" s="499"/>
      <c r="W207" s="741"/>
      <c r="X207" s="51"/>
      <c r="Y207" s="51"/>
      <c r="Z207" s="645" t="str">
        <f t="shared" si="65"/>
        <v/>
      </c>
      <c r="AA207" s="1037" t="str">
        <f t="shared" si="48"/>
        <v/>
      </c>
      <c r="AB207" s="1037" t="str">
        <f t="shared" si="49"/>
        <v/>
      </c>
      <c r="AC207" s="1037" t="str">
        <f>IF(Z207="","",VLOOKUP(Z207,リスト!BN:BO,2,0))</f>
        <v/>
      </c>
      <c r="AD207" s="1037" t="str">
        <f t="shared" si="44"/>
        <v/>
      </c>
      <c r="AE207" s="1037" t="str">
        <f>IF(AD207="","",VLOOKUP(AD207,リスト!BW:BX,2,0))</f>
        <v/>
      </c>
      <c r="AF207" s="1037" t="str">
        <f t="shared" si="41"/>
        <v/>
      </c>
      <c r="AG207" s="685" t="str">
        <f t="shared" si="66"/>
        <v/>
      </c>
      <c r="AH207" s="646" t="str">
        <f t="shared" si="67"/>
        <v/>
      </c>
      <c r="AI207" s="646" t="str">
        <f t="shared" si="68"/>
        <v/>
      </c>
      <c r="AJ207" s="647" t="str">
        <f t="shared" si="69"/>
        <v/>
      </c>
      <c r="AK207" s="647" t="str">
        <f t="shared" si="70"/>
        <v/>
      </c>
      <c r="AL207" s="647" t="str">
        <f t="shared" si="47"/>
        <v/>
      </c>
      <c r="AM207" s="647" t="str">
        <f t="shared" si="42"/>
        <v/>
      </c>
      <c r="AN207" s="647" t="str">
        <f t="shared" si="71"/>
        <v/>
      </c>
      <c r="AO207" s="647" t="str">
        <f t="shared" si="72"/>
        <v/>
      </c>
      <c r="AP207" s="647" t="str">
        <f t="shared" si="73"/>
        <v/>
      </c>
      <c r="AQ207" s="647" t="str">
        <f t="shared" si="43"/>
        <v/>
      </c>
      <c r="AR207" s="647" t="str">
        <f t="shared" si="74"/>
        <v/>
      </c>
      <c r="AS207" s="647" t="str">
        <f t="shared" si="75"/>
        <v/>
      </c>
      <c r="AT207" s="1323" t="str">
        <f t="shared" si="50"/>
        <v/>
      </c>
      <c r="AU207" s="1323" t="str">
        <f t="shared" si="51"/>
        <v/>
      </c>
    </row>
    <row r="208" spans="3:47" s="5" customFormat="1" ht="28.15" hidden="1" customHeight="1" outlineLevel="1">
      <c r="C208" s="649">
        <v>190</v>
      </c>
      <c r="D208" s="1133"/>
      <c r="E208" s="670"/>
      <c r="F208" s="726"/>
      <c r="G208" s="705"/>
      <c r="H208" s="255"/>
      <c r="I208" s="255"/>
      <c r="J208" s="1049"/>
      <c r="K208" s="735"/>
      <c r="L208" s="735"/>
      <c r="M208" s="736"/>
      <c r="N208" s="735"/>
      <c r="O208" s="727"/>
      <c r="P208" s="1321"/>
      <c r="Q208" s="1329"/>
      <c r="R208" s="254"/>
      <c r="S208" s="703"/>
      <c r="T208" s="728"/>
      <c r="U208" s="431"/>
      <c r="V208" s="499"/>
      <c r="W208" s="741"/>
      <c r="X208" s="51"/>
      <c r="Y208" s="51"/>
      <c r="Z208" s="645" t="str">
        <f t="shared" si="65"/>
        <v/>
      </c>
      <c r="AA208" s="1037" t="str">
        <f t="shared" si="48"/>
        <v/>
      </c>
      <c r="AB208" s="1037" t="str">
        <f t="shared" si="49"/>
        <v/>
      </c>
      <c r="AC208" s="1037" t="str">
        <f>IF(Z208="","",VLOOKUP(Z208,リスト!BN:BO,2,0))</f>
        <v/>
      </c>
      <c r="AD208" s="1037" t="str">
        <f t="shared" si="44"/>
        <v/>
      </c>
      <c r="AE208" s="1037" t="str">
        <f>IF(AD208="","",VLOOKUP(AD208,リスト!BW:BX,2,0))</f>
        <v/>
      </c>
      <c r="AF208" s="1037" t="str">
        <f t="shared" si="41"/>
        <v/>
      </c>
      <c r="AG208" s="685" t="str">
        <f t="shared" si="66"/>
        <v/>
      </c>
      <c r="AH208" s="646" t="str">
        <f t="shared" si="67"/>
        <v/>
      </c>
      <c r="AI208" s="646" t="str">
        <f t="shared" si="68"/>
        <v/>
      </c>
      <c r="AJ208" s="647" t="str">
        <f t="shared" si="69"/>
        <v/>
      </c>
      <c r="AK208" s="647" t="str">
        <f t="shared" si="70"/>
        <v/>
      </c>
      <c r="AL208" s="647" t="str">
        <f t="shared" si="47"/>
        <v/>
      </c>
      <c r="AM208" s="647" t="str">
        <f t="shared" si="42"/>
        <v/>
      </c>
      <c r="AN208" s="647" t="str">
        <f t="shared" si="71"/>
        <v/>
      </c>
      <c r="AO208" s="647" t="str">
        <f t="shared" si="72"/>
        <v/>
      </c>
      <c r="AP208" s="647" t="str">
        <f t="shared" si="73"/>
        <v/>
      </c>
      <c r="AQ208" s="647" t="str">
        <f t="shared" si="43"/>
        <v/>
      </c>
      <c r="AR208" s="647" t="str">
        <f t="shared" si="74"/>
        <v/>
      </c>
      <c r="AS208" s="647" t="str">
        <f t="shared" si="75"/>
        <v/>
      </c>
      <c r="AT208" s="1323" t="str">
        <f t="shared" si="50"/>
        <v/>
      </c>
      <c r="AU208" s="1323" t="str">
        <f t="shared" si="51"/>
        <v/>
      </c>
    </row>
    <row r="209" spans="3:47" s="5" customFormat="1" ht="28.15" hidden="1" customHeight="1" outlineLevel="1">
      <c r="C209" s="649">
        <v>191</v>
      </c>
      <c r="D209" s="1134"/>
      <c r="E209" s="729"/>
      <c r="F209" s="726"/>
      <c r="G209" s="705"/>
      <c r="H209" s="257"/>
      <c r="I209" s="257"/>
      <c r="J209" s="1049"/>
      <c r="K209" s="735"/>
      <c r="L209" s="735"/>
      <c r="M209" s="736"/>
      <c r="N209" s="735"/>
      <c r="O209" s="727"/>
      <c r="P209" s="1321"/>
      <c r="Q209" s="1329"/>
      <c r="R209" s="254"/>
      <c r="S209" s="703"/>
      <c r="T209" s="728"/>
      <c r="U209" s="431"/>
      <c r="V209" s="499"/>
      <c r="W209" s="741"/>
      <c r="X209" s="51"/>
      <c r="Y209" s="51"/>
      <c r="Z209" s="645" t="str">
        <f t="shared" si="65"/>
        <v/>
      </c>
      <c r="AA209" s="1037" t="str">
        <f t="shared" si="48"/>
        <v/>
      </c>
      <c r="AB209" s="1037" t="str">
        <f t="shared" si="49"/>
        <v/>
      </c>
      <c r="AC209" s="1037" t="str">
        <f>IF(Z209="","",VLOOKUP(Z209,リスト!BN:BO,2,0))</f>
        <v/>
      </c>
      <c r="AD209" s="1037" t="str">
        <f t="shared" si="44"/>
        <v/>
      </c>
      <c r="AE209" s="1037" t="str">
        <f>IF(AD209="","",VLOOKUP(AD209,リスト!BW:BX,2,0))</f>
        <v/>
      </c>
      <c r="AF209" s="1037" t="str">
        <f t="shared" si="41"/>
        <v/>
      </c>
      <c r="AG209" s="685" t="str">
        <f t="shared" si="66"/>
        <v/>
      </c>
      <c r="AH209" s="646" t="str">
        <f t="shared" si="67"/>
        <v/>
      </c>
      <c r="AI209" s="646" t="str">
        <f t="shared" si="68"/>
        <v/>
      </c>
      <c r="AJ209" s="647" t="str">
        <f t="shared" si="69"/>
        <v/>
      </c>
      <c r="AK209" s="647" t="str">
        <f t="shared" si="70"/>
        <v/>
      </c>
      <c r="AL209" s="647" t="str">
        <f t="shared" si="47"/>
        <v/>
      </c>
      <c r="AM209" s="647" t="str">
        <f t="shared" si="42"/>
        <v/>
      </c>
      <c r="AN209" s="647" t="str">
        <f t="shared" si="71"/>
        <v/>
      </c>
      <c r="AO209" s="647" t="str">
        <f t="shared" si="72"/>
        <v/>
      </c>
      <c r="AP209" s="647" t="str">
        <f t="shared" si="73"/>
        <v/>
      </c>
      <c r="AQ209" s="647" t="str">
        <f t="shared" si="43"/>
        <v/>
      </c>
      <c r="AR209" s="647" t="str">
        <f t="shared" si="74"/>
        <v/>
      </c>
      <c r="AS209" s="647" t="str">
        <f t="shared" si="75"/>
        <v/>
      </c>
      <c r="AT209" s="1323" t="str">
        <f t="shared" si="50"/>
        <v/>
      </c>
      <c r="AU209" s="1323" t="str">
        <f t="shared" si="51"/>
        <v/>
      </c>
    </row>
    <row r="210" spans="3:47" s="5" customFormat="1" ht="28.15" hidden="1" customHeight="1" outlineLevel="1">
      <c r="C210" s="649">
        <v>192</v>
      </c>
      <c r="D210" s="1133"/>
      <c r="E210" s="670"/>
      <c r="F210" s="726"/>
      <c r="G210" s="705"/>
      <c r="H210" s="255"/>
      <c r="I210" s="255"/>
      <c r="J210" s="1049"/>
      <c r="K210" s="735"/>
      <c r="L210" s="735"/>
      <c r="M210" s="736"/>
      <c r="N210" s="735"/>
      <c r="O210" s="727"/>
      <c r="P210" s="1321"/>
      <c r="Q210" s="1329"/>
      <c r="R210" s="254"/>
      <c r="S210" s="703"/>
      <c r="T210" s="728"/>
      <c r="U210" s="431"/>
      <c r="V210" s="499"/>
      <c r="W210" s="741"/>
      <c r="X210" s="51"/>
      <c r="Y210" s="51"/>
      <c r="Z210" s="645" t="str">
        <f t="shared" si="65"/>
        <v/>
      </c>
      <c r="AA210" s="1037" t="str">
        <f t="shared" si="48"/>
        <v/>
      </c>
      <c r="AB210" s="1037" t="str">
        <f t="shared" si="49"/>
        <v/>
      </c>
      <c r="AC210" s="1037" t="str">
        <f>IF(Z210="","",VLOOKUP(Z210,リスト!BN:BO,2,0))</f>
        <v/>
      </c>
      <c r="AD210" s="1037" t="str">
        <f t="shared" si="44"/>
        <v/>
      </c>
      <c r="AE210" s="1037" t="str">
        <f>IF(AD210="","",VLOOKUP(AD210,リスト!BW:BX,2,0))</f>
        <v/>
      </c>
      <c r="AF210" s="1037" t="str">
        <f t="shared" si="41"/>
        <v/>
      </c>
      <c r="AG210" s="685" t="str">
        <f t="shared" si="66"/>
        <v/>
      </c>
      <c r="AH210" s="646" t="str">
        <f t="shared" si="67"/>
        <v/>
      </c>
      <c r="AI210" s="646" t="str">
        <f t="shared" si="68"/>
        <v/>
      </c>
      <c r="AJ210" s="647" t="str">
        <f t="shared" si="69"/>
        <v/>
      </c>
      <c r="AK210" s="647" t="str">
        <f t="shared" si="70"/>
        <v/>
      </c>
      <c r="AL210" s="647" t="str">
        <f t="shared" si="47"/>
        <v/>
      </c>
      <c r="AM210" s="647" t="str">
        <f t="shared" si="42"/>
        <v/>
      </c>
      <c r="AN210" s="647" t="str">
        <f t="shared" si="71"/>
        <v/>
      </c>
      <c r="AO210" s="647" t="str">
        <f t="shared" si="72"/>
        <v/>
      </c>
      <c r="AP210" s="647" t="str">
        <f t="shared" si="73"/>
        <v/>
      </c>
      <c r="AQ210" s="647" t="str">
        <f t="shared" si="43"/>
        <v/>
      </c>
      <c r="AR210" s="647" t="str">
        <f t="shared" si="74"/>
        <v/>
      </c>
      <c r="AS210" s="647" t="str">
        <f t="shared" si="75"/>
        <v/>
      </c>
      <c r="AT210" s="1323" t="str">
        <f t="shared" si="50"/>
        <v/>
      </c>
      <c r="AU210" s="1323" t="str">
        <f t="shared" si="51"/>
        <v/>
      </c>
    </row>
    <row r="211" spans="3:47" s="5" customFormat="1" ht="28.15" hidden="1" customHeight="1" outlineLevel="1">
      <c r="C211" s="649">
        <v>193</v>
      </c>
      <c r="D211" s="1134"/>
      <c r="E211" s="729"/>
      <c r="F211" s="726"/>
      <c r="G211" s="705"/>
      <c r="H211" s="257"/>
      <c r="I211" s="257"/>
      <c r="J211" s="1050"/>
      <c r="K211" s="735"/>
      <c r="L211" s="735"/>
      <c r="M211" s="736"/>
      <c r="N211" s="735"/>
      <c r="O211" s="727"/>
      <c r="P211" s="1321"/>
      <c r="Q211" s="1329"/>
      <c r="R211" s="254"/>
      <c r="S211" s="703"/>
      <c r="T211" s="728"/>
      <c r="U211" s="431"/>
      <c r="V211" s="499"/>
      <c r="W211" s="741"/>
      <c r="X211" s="51"/>
      <c r="Y211" s="51"/>
      <c r="Z211" s="645" t="str">
        <f t="shared" si="65"/>
        <v/>
      </c>
      <c r="AA211" s="1037" t="str">
        <f t="shared" si="48"/>
        <v/>
      </c>
      <c r="AB211" s="1037" t="str">
        <f t="shared" si="49"/>
        <v/>
      </c>
      <c r="AC211" s="1037" t="str">
        <f>IF(Z211="","",VLOOKUP(Z211,リスト!BN:BO,2,0))</f>
        <v/>
      </c>
      <c r="AD211" s="1037" t="str">
        <f t="shared" si="44"/>
        <v/>
      </c>
      <c r="AE211" s="1037" t="str">
        <f>IF(AD211="","",VLOOKUP(AD211,リスト!BW:BX,2,0))</f>
        <v/>
      </c>
      <c r="AF211" s="1037" t="str">
        <f t="shared" ref="AF211:AF274" si="76">IF(Z211="","",調査年-I211)</f>
        <v/>
      </c>
      <c r="AG211" s="685" t="str">
        <f t="shared" si="66"/>
        <v/>
      </c>
      <c r="AH211" s="646" t="str">
        <f t="shared" si="67"/>
        <v/>
      </c>
      <c r="AI211" s="646" t="str">
        <f t="shared" si="68"/>
        <v/>
      </c>
      <c r="AJ211" s="647" t="str">
        <f t="shared" si="69"/>
        <v/>
      </c>
      <c r="AK211" s="647" t="str">
        <f t="shared" si="70"/>
        <v/>
      </c>
      <c r="AL211" s="647" t="str">
        <f t="shared" si="47"/>
        <v/>
      </c>
      <c r="AM211" s="647" t="str">
        <f t="shared" ref="AM211:AM274" si="77">IF(R211="","",IF(OR(I211=調査年,AH211=""),"",ROUND(AH211*R211%,0)))</f>
        <v/>
      </c>
      <c r="AN211" s="647" t="str">
        <f t="shared" si="71"/>
        <v/>
      </c>
      <c r="AO211" s="647" t="str">
        <f t="shared" si="72"/>
        <v/>
      </c>
      <c r="AP211" s="647" t="str">
        <f t="shared" si="73"/>
        <v/>
      </c>
      <c r="AQ211" s="647" t="str">
        <f t="shared" ref="AQ211:AQ274" si="78">IF(OR(R211="",AND(OR(I211&lt;&gt;調査年,AA211=0),M211="",AL211="")),"",
SUM(
IF(AND(I211=調査年,AA211=1),ROUND(K211*R211%,0),),
ROUND(M211*R211%,0),
ROUND(SUM(AL211)*R211%,0),
))</f>
        <v/>
      </c>
      <c r="AR211" s="647" t="str">
        <f t="shared" si="74"/>
        <v/>
      </c>
      <c r="AS211" s="647" t="str">
        <f t="shared" si="75"/>
        <v/>
      </c>
      <c r="AT211" s="1323" t="str">
        <f t="shared" si="50"/>
        <v/>
      </c>
      <c r="AU211" s="1323" t="str">
        <f t="shared" si="51"/>
        <v/>
      </c>
    </row>
    <row r="212" spans="3:47" s="5" customFormat="1" ht="28.15" hidden="1" customHeight="1" outlineLevel="1">
      <c r="C212" s="649">
        <v>194</v>
      </c>
      <c r="D212" s="1133"/>
      <c r="E212" s="670"/>
      <c r="F212" s="726"/>
      <c r="G212" s="705"/>
      <c r="H212" s="255"/>
      <c r="I212" s="255"/>
      <c r="J212" s="1051"/>
      <c r="K212" s="735"/>
      <c r="L212" s="735"/>
      <c r="M212" s="736"/>
      <c r="N212" s="735"/>
      <c r="O212" s="727"/>
      <c r="P212" s="1321"/>
      <c r="Q212" s="1329"/>
      <c r="R212" s="254"/>
      <c r="S212" s="703"/>
      <c r="T212" s="728"/>
      <c r="U212" s="431"/>
      <c r="V212" s="499"/>
      <c r="W212" s="741"/>
      <c r="X212" s="51"/>
      <c r="Y212" s="51"/>
      <c r="Z212" s="645" t="str">
        <f t="shared" si="65"/>
        <v/>
      </c>
      <c r="AA212" s="1037" t="str">
        <f t="shared" si="48"/>
        <v/>
      </c>
      <c r="AB212" s="1037" t="str">
        <f t="shared" si="49"/>
        <v/>
      </c>
      <c r="AC212" s="1037" t="str">
        <f>IF(Z212="","",VLOOKUP(Z212,リスト!BN:BO,2,0))</f>
        <v/>
      </c>
      <c r="AD212" s="1037" t="str">
        <f t="shared" ref="AD212:AD275" si="79">IF(AB212=1,3,IF(G212="2：中古",MIN(AC212,H212),AC212))</f>
        <v/>
      </c>
      <c r="AE212" s="1037" t="str">
        <f>IF(AD212="","",VLOOKUP(AD212,リスト!BW:BX,2,0))</f>
        <v/>
      </c>
      <c r="AF212" s="1037" t="str">
        <f t="shared" si="76"/>
        <v/>
      </c>
      <c r="AG212" s="685" t="str">
        <f t="shared" si="66"/>
        <v/>
      </c>
      <c r="AH212" s="646" t="str">
        <f t="shared" si="67"/>
        <v/>
      </c>
      <c r="AI212" s="646" t="str">
        <f t="shared" si="68"/>
        <v/>
      </c>
      <c r="AJ212" s="647" t="str">
        <f t="shared" si="69"/>
        <v/>
      </c>
      <c r="AK212" s="647" t="str">
        <f t="shared" si="70"/>
        <v/>
      </c>
      <c r="AL212" s="647" t="str">
        <f t="shared" ref="AL212:AL275" si="80">IF(OR(Z212="",AA212=1),IF(AND(AA212=1,AF212=0),L212,""),
IF(AND(AD212&gt;0,AF212&lt;AD212,SUM(AK212)&gt;0,AK212&lt;=ROUND(L212*AE212,0)),ROUND(AK212,0),
IF(AND(AD212&gt;0,AF212&lt;AD212,SUM(L212)&gt;0),ROUND(L212*AE212,0),"")))</f>
        <v/>
      </c>
      <c r="AM212" s="647" t="str">
        <f t="shared" si="77"/>
        <v/>
      </c>
      <c r="AN212" s="647" t="str">
        <f t="shared" si="71"/>
        <v/>
      </c>
      <c r="AO212" s="647" t="str">
        <f t="shared" si="72"/>
        <v/>
      </c>
      <c r="AP212" s="647" t="str">
        <f t="shared" si="73"/>
        <v/>
      </c>
      <c r="AQ212" s="647" t="str">
        <f t="shared" si="78"/>
        <v/>
      </c>
      <c r="AR212" s="647" t="str">
        <f t="shared" si="74"/>
        <v/>
      </c>
      <c r="AS212" s="647" t="str">
        <f t="shared" si="75"/>
        <v/>
      </c>
      <c r="AT212" s="1323" t="str">
        <f t="shared" si="50"/>
        <v/>
      </c>
      <c r="AU212" s="1323" t="str">
        <f t="shared" si="51"/>
        <v/>
      </c>
    </row>
    <row r="213" spans="3:47" s="5" customFormat="1" ht="28.15" hidden="1" customHeight="1" outlineLevel="1">
      <c r="C213" s="649">
        <v>195</v>
      </c>
      <c r="D213" s="1133"/>
      <c r="E213" s="670"/>
      <c r="F213" s="726"/>
      <c r="G213" s="705"/>
      <c r="H213" s="255"/>
      <c r="I213" s="255"/>
      <c r="J213" s="1051"/>
      <c r="K213" s="735"/>
      <c r="L213" s="735"/>
      <c r="M213" s="736"/>
      <c r="N213" s="735"/>
      <c r="O213" s="727"/>
      <c r="P213" s="1321"/>
      <c r="Q213" s="1329"/>
      <c r="R213" s="254"/>
      <c r="S213" s="703"/>
      <c r="T213" s="728"/>
      <c r="U213" s="431"/>
      <c r="V213" s="499"/>
      <c r="W213" s="741"/>
      <c r="X213" s="51"/>
      <c r="Y213" s="51"/>
      <c r="Z213" s="645" t="str">
        <f t="shared" si="65"/>
        <v/>
      </c>
      <c r="AA213" s="1037" t="str">
        <f t="shared" ref="AA213:AA276" si="81">IF(Z213="","",IF(K213+L213&lt;100000,1,0))</f>
        <v/>
      </c>
      <c r="AB213" s="1037" t="str">
        <f t="shared" ref="AB213:AB276" si="82">IF(Z213="","",IF(AND(AA213=0,K213+L213&lt;200000),1,))</f>
        <v/>
      </c>
      <c r="AC213" s="1037" t="str">
        <f>IF(Z213="","",VLOOKUP(Z213,リスト!BN:BO,2,0))</f>
        <v/>
      </c>
      <c r="AD213" s="1037" t="str">
        <f t="shared" si="79"/>
        <v/>
      </c>
      <c r="AE213" s="1037" t="str">
        <f>IF(AD213="","",VLOOKUP(AD213,リスト!BW:BX,2,0))</f>
        <v/>
      </c>
      <c r="AF213" s="1037" t="str">
        <f t="shared" si="76"/>
        <v/>
      </c>
      <c r="AG213" s="685" t="str">
        <f t="shared" si="66"/>
        <v/>
      </c>
      <c r="AH213" s="646" t="str">
        <f t="shared" si="67"/>
        <v/>
      </c>
      <c r="AI213" s="646" t="str">
        <f t="shared" si="68"/>
        <v/>
      </c>
      <c r="AJ213" s="647" t="str">
        <f t="shared" si="69"/>
        <v/>
      </c>
      <c r="AK213" s="647" t="str">
        <f t="shared" si="70"/>
        <v/>
      </c>
      <c r="AL213" s="647" t="str">
        <f t="shared" si="80"/>
        <v/>
      </c>
      <c r="AM213" s="647" t="str">
        <f t="shared" si="77"/>
        <v/>
      </c>
      <c r="AN213" s="647" t="str">
        <f t="shared" si="71"/>
        <v/>
      </c>
      <c r="AO213" s="647" t="str">
        <f t="shared" si="72"/>
        <v/>
      </c>
      <c r="AP213" s="647" t="str">
        <f t="shared" si="73"/>
        <v/>
      </c>
      <c r="AQ213" s="647" t="str">
        <f t="shared" si="78"/>
        <v/>
      </c>
      <c r="AR213" s="647" t="str">
        <f t="shared" si="74"/>
        <v/>
      </c>
      <c r="AS213" s="647" t="str">
        <f t="shared" si="75"/>
        <v/>
      </c>
      <c r="AT213" s="1323" t="str">
        <f t="shared" ref="AT213:AT276" si="83">IF(R213="","",IF(P213="","",ROUND(P213*R213%,0)))</f>
        <v/>
      </c>
      <c r="AU213" s="1323" t="str">
        <f t="shared" ref="AU213:AU276" si="84">IF(R213="","",IF(Q213="","",ROUND(Q213*R213%,0)))</f>
        <v/>
      </c>
    </row>
    <row r="214" spans="3:47" s="5" customFormat="1" ht="28.15" hidden="1" customHeight="1" outlineLevel="1">
      <c r="C214" s="649">
        <v>196</v>
      </c>
      <c r="D214" s="1133"/>
      <c r="E214" s="670"/>
      <c r="F214" s="726"/>
      <c r="G214" s="705"/>
      <c r="H214" s="255"/>
      <c r="I214" s="255"/>
      <c r="J214" s="1051"/>
      <c r="K214" s="735"/>
      <c r="L214" s="735"/>
      <c r="M214" s="736"/>
      <c r="N214" s="735"/>
      <c r="O214" s="727"/>
      <c r="P214" s="1321"/>
      <c r="Q214" s="1329"/>
      <c r="R214" s="254"/>
      <c r="S214" s="703"/>
      <c r="T214" s="728"/>
      <c r="U214" s="431"/>
      <c r="V214" s="499"/>
      <c r="W214" s="741"/>
      <c r="X214" s="51"/>
      <c r="Y214" s="51"/>
      <c r="Z214" s="645" t="str">
        <f t="shared" si="65"/>
        <v/>
      </c>
      <c r="AA214" s="1037" t="str">
        <f t="shared" si="81"/>
        <v/>
      </c>
      <c r="AB214" s="1037" t="str">
        <f t="shared" si="82"/>
        <v/>
      </c>
      <c r="AC214" s="1037" t="str">
        <f>IF(Z214="","",VLOOKUP(Z214,リスト!BN:BO,2,0))</f>
        <v/>
      </c>
      <c r="AD214" s="1037" t="str">
        <f t="shared" si="79"/>
        <v/>
      </c>
      <c r="AE214" s="1037" t="str">
        <f>IF(AD214="","",VLOOKUP(AD214,リスト!BW:BX,2,0))</f>
        <v/>
      </c>
      <c r="AF214" s="1037" t="str">
        <f t="shared" si="76"/>
        <v/>
      </c>
      <c r="AG214" s="685" t="str">
        <f t="shared" si="66"/>
        <v/>
      </c>
      <c r="AH214" s="646" t="str">
        <f t="shared" si="67"/>
        <v/>
      </c>
      <c r="AI214" s="646" t="str">
        <f t="shared" si="68"/>
        <v/>
      </c>
      <c r="AJ214" s="647" t="str">
        <f t="shared" si="69"/>
        <v/>
      </c>
      <c r="AK214" s="647" t="str">
        <f t="shared" si="70"/>
        <v/>
      </c>
      <c r="AL214" s="647" t="str">
        <f t="shared" si="80"/>
        <v/>
      </c>
      <c r="AM214" s="647" t="str">
        <f t="shared" si="77"/>
        <v/>
      </c>
      <c r="AN214" s="647" t="str">
        <f t="shared" si="71"/>
        <v/>
      </c>
      <c r="AO214" s="647" t="str">
        <f t="shared" si="72"/>
        <v/>
      </c>
      <c r="AP214" s="647" t="str">
        <f t="shared" si="73"/>
        <v/>
      </c>
      <c r="AQ214" s="647" t="str">
        <f t="shared" si="78"/>
        <v/>
      </c>
      <c r="AR214" s="647" t="str">
        <f t="shared" si="74"/>
        <v/>
      </c>
      <c r="AS214" s="647" t="str">
        <f t="shared" si="75"/>
        <v/>
      </c>
      <c r="AT214" s="1323" t="str">
        <f t="shared" si="83"/>
        <v/>
      </c>
      <c r="AU214" s="1323" t="str">
        <f t="shared" si="84"/>
        <v/>
      </c>
    </row>
    <row r="215" spans="3:47" s="5" customFormat="1" ht="28.15" hidden="1" customHeight="1" outlineLevel="1">
      <c r="C215" s="649">
        <v>197</v>
      </c>
      <c r="D215" s="1133"/>
      <c r="E215" s="670"/>
      <c r="F215" s="726"/>
      <c r="G215" s="705"/>
      <c r="H215" s="255"/>
      <c r="I215" s="255"/>
      <c r="J215" s="1051"/>
      <c r="K215" s="735"/>
      <c r="L215" s="735"/>
      <c r="M215" s="736"/>
      <c r="N215" s="735"/>
      <c r="O215" s="727"/>
      <c r="P215" s="1321"/>
      <c r="Q215" s="1329"/>
      <c r="R215" s="254"/>
      <c r="S215" s="703"/>
      <c r="T215" s="728"/>
      <c r="U215" s="431"/>
      <c r="V215" s="499"/>
      <c r="W215" s="741"/>
      <c r="X215" s="51"/>
      <c r="Y215" s="51"/>
      <c r="Z215" s="645" t="str">
        <f t="shared" si="65"/>
        <v/>
      </c>
      <c r="AA215" s="1037" t="str">
        <f t="shared" si="81"/>
        <v/>
      </c>
      <c r="AB215" s="1037" t="str">
        <f t="shared" si="82"/>
        <v/>
      </c>
      <c r="AC215" s="1037" t="str">
        <f>IF(Z215="","",VLOOKUP(Z215,リスト!BN:BO,2,0))</f>
        <v/>
      </c>
      <c r="AD215" s="1037" t="str">
        <f t="shared" si="79"/>
        <v/>
      </c>
      <c r="AE215" s="1037" t="str">
        <f>IF(AD215="","",VLOOKUP(AD215,リスト!BW:BX,2,0))</f>
        <v/>
      </c>
      <c r="AF215" s="1037" t="str">
        <f t="shared" si="76"/>
        <v/>
      </c>
      <c r="AG215" s="685" t="str">
        <f t="shared" si="66"/>
        <v/>
      </c>
      <c r="AH215" s="646" t="str">
        <f t="shared" si="67"/>
        <v/>
      </c>
      <c r="AI215" s="646" t="str">
        <f t="shared" si="68"/>
        <v/>
      </c>
      <c r="AJ215" s="647" t="str">
        <f t="shared" si="69"/>
        <v/>
      </c>
      <c r="AK215" s="647" t="str">
        <f t="shared" si="70"/>
        <v/>
      </c>
      <c r="AL215" s="647" t="str">
        <f t="shared" si="80"/>
        <v/>
      </c>
      <c r="AM215" s="647" t="str">
        <f t="shared" si="77"/>
        <v/>
      </c>
      <c r="AN215" s="647" t="str">
        <f t="shared" si="71"/>
        <v/>
      </c>
      <c r="AO215" s="647" t="str">
        <f t="shared" si="72"/>
        <v/>
      </c>
      <c r="AP215" s="647" t="str">
        <f t="shared" si="73"/>
        <v/>
      </c>
      <c r="AQ215" s="647" t="str">
        <f t="shared" si="78"/>
        <v/>
      </c>
      <c r="AR215" s="647" t="str">
        <f t="shared" si="74"/>
        <v/>
      </c>
      <c r="AS215" s="647" t="str">
        <f t="shared" si="75"/>
        <v/>
      </c>
      <c r="AT215" s="1323" t="str">
        <f t="shared" si="83"/>
        <v/>
      </c>
      <c r="AU215" s="1323" t="str">
        <f t="shared" si="84"/>
        <v/>
      </c>
    </row>
    <row r="216" spans="3:47" s="5" customFormat="1" ht="28.15" hidden="1" customHeight="1" outlineLevel="1">
      <c r="C216" s="649">
        <v>198</v>
      </c>
      <c r="D216" s="1133"/>
      <c r="E216" s="670"/>
      <c r="F216" s="726"/>
      <c r="G216" s="705"/>
      <c r="H216" s="255"/>
      <c r="I216" s="255"/>
      <c r="J216" s="1051"/>
      <c r="K216" s="735"/>
      <c r="L216" s="735"/>
      <c r="M216" s="736"/>
      <c r="N216" s="735"/>
      <c r="O216" s="727"/>
      <c r="P216" s="1321"/>
      <c r="Q216" s="1329"/>
      <c r="R216" s="254"/>
      <c r="S216" s="703"/>
      <c r="T216" s="728"/>
      <c r="U216" s="431"/>
      <c r="V216" s="499"/>
      <c r="W216" s="741"/>
      <c r="X216" s="51"/>
      <c r="Y216" s="51"/>
      <c r="Z216" s="645" t="str">
        <f t="shared" si="65"/>
        <v/>
      </c>
      <c r="AA216" s="1037" t="str">
        <f t="shared" si="81"/>
        <v/>
      </c>
      <c r="AB216" s="1037" t="str">
        <f t="shared" si="82"/>
        <v/>
      </c>
      <c r="AC216" s="1037" t="str">
        <f>IF(Z216="","",VLOOKUP(Z216,リスト!BN:BO,2,0))</f>
        <v/>
      </c>
      <c r="AD216" s="1037" t="str">
        <f t="shared" si="79"/>
        <v/>
      </c>
      <c r="AE216" s="1037" t="str">
        <f>IF(AD216="","",VLOOKUP(AD216,リスト!BW:BX,2,0))</f>
        <v/>
      </c>
      <c r="AF216" s="1037" t="str">
        <f t="shared" si="76"/>
        <v/>
      </c>
      <c r="AG216" s="685" t="str">
        <f t="shared" si="66"/>
        <v/>
      </c>
      <c r="AH216" s="646" t="str">
        <f t="shared" si="67"/>
        <v/>
      </c>
      <c r="AI216" s="646" t="str">
        <f t="shared" si="68"/>
        <v/>
      </c>
      <c r="AJ216" s="647" t="str">
        <f t="shared" si="69"/>
        <v/>
      </c>
      <c r="AK216" s="647" t="str">
        <f t="shared" si="70"/>
        <v/>
      </c>
      <c r="AL216" s="647" t="str">
        <f t="shared" si="80"/>
        <v/>
      </c>
      <c r="AM216" s="647" t="str">
        <f t="shared" si="77"/>
        <v/>
      </c>
      <c r="AN216" s="647" t="str">
        <f t="shared" si="71"/>
        <v/>
      </c>
      <c r="AO216" s="647" t="str">
        <f t="shared" si="72"/>
        <v/>
      </c>
      <c r="AP216" s="647" t="str">
        <f t="shared" si="73"/>
        <v/>
      </c>
      <c r="AQ216" s="647" t="str">
        <f t="shared" si="78"/>
        <v/>
      </c>
      <c r="AR216" s="647" t="str">
        <f t="shared" si="74"/>
        <v/>
      </c>
      <c r="AS216" s="647" t="str">
        <f t="shared" si="75"/>
        <v/>
      </c>
      <c r="AT216" s="1323" t="str">
        <f t="shared" si="83"/>
        <v/>
      </c>
      <c r="AU216" s="1323" t="str">
        <f t="shared" si="84"/>
        <v/>
      </c>
    </row>
    <row r="217" spans="3:47" s="5" customFormat="1" ht="28.15" hidden="1" customHeight="1" outlineLevel="1">
      <c r="C217" s="649">
        <v>199</v>
      </c>
      <c r="D217" s="1133"/>
      <c r="E217" s="670"/>
      <c r="F217" s="726"/>
      <c r="G217" s="705"/>
      <c r="H217" s="255"/>
      <c r="I217" s="255"/>
      <c r="J217" s="1051"/>
      <c r="K217" s="735"/>
      <c r="L217" s="735"/>
      <c r="M217" s="736"/>
      <c r="N217" s="735"/>
      <c r="O217" s="727"/>
      <c r="P217" s="1321"/>
      <c r="Q217" s="1329"/>
      <c r="R217" s="254"/>
      <c r="S217" s="703"/>
      <c r="T217" s="728"/>
      <c r="U217" s="431"/>
      <c r="V217" s="499"/>
      <c r="W217" s="741"/>
      <c r="X217" s="51"/>
      <c r="Y217" s="51"/>
      <c r="Z217" s="645" t="str">
        <f t="shared" si="65"/>
        <v/>
      </c>
      <c r="AA217" s="1037" t="str">
        <f t="shared" si="81"/>
        <v/>
      </c>
      <c r="AB217" s="1037" t="str">
        <f t="shared" si="82"/>
        <v/>
      </c>
      <c r="AC217" s="1037" t="str">
        <f>IF(Z217="","",VLOOKUP(Z217,リスト!BN:BO,2,0))</f>
        <v/>
      </c>
      <c r="AD217" s="1037" t="str">
        <f t="shared" si="79"/>
        <v/>
      </c>
      <c r="AE217" s="1037" t="str">
        <f>IF(AD217="","",VLOOKUP(AD217,リスト!BW:BX,2,0))</f>
        <v/>
      </c>
      <c r="AF217" s="1037" t="str">
        <f t="shared" si="76"/>
        <v/>
      </c>
      <c r="AG217" s="685" t="str">
        <f t="shared" si="66"/>
        <v/>
      </c>
      <c r="AH217" s="646" t="str">
        <f t="shared" si="67"/>
        <v/>
      </c>
      <c r="AI217" s="646" t="str">
        <f t="shared" si="68"/>
        <v/>
      </c>
      <c r="AJ217" s="647" t="str">
        <f t="shared" si="69"/>
        <v/>
      </c>
      <c r="AK217" s="647" t="str">
        <f t="shared" si="70"/>
        <v/>
      </c>
      <c r="AL217" s="647" t="str">
        <f t="shared" si="80"/>
        <v/>
      </c>
      <c r="AM217" s="647" t="str">
        <f t="shared" si="77"/>
        <v/>
      </c>
      <c r="AN217" s="647" t="str">
        <f t="shared" si="71"/>
        <v/>
      </c>
      <c r="AO217" s="647" t="str">
        <f t="shared" si="72"/>
        <v/>
      </c>
      <c r="AP217" s="647" t="str">
        <f t="shared" si="73"/>
        <v/>
      </c>
      <c r="AQ217" s="647" t="str">
        <f t="shared" si="78"/>
        <v/>
      </c>
      <c r="AR217" s="647" t="str">
        <f t="shared" si="74"/>
        <v/>
      </c>
      <c r="AS217" s="647" t="str">
        <f t="shared" si="75"/>
        <v/>
      </c>
      <c r="AT217" s="1323" t="str">
        <f t="shared" si="83"/>
        <v/>
      </c>
      <c r="AU217" s="1323" t="str">
        <f t="shared" si="84"/>
        <v/>
      </c>
    </row>
    <row r="218" spans="3:47" s="5" customFormat="1" ht="28.15" hidden="1" customHeight="1" outlineLevel="1">
      <c r="C218" s="649">
        <v>200</v>
      </c>
      <c r="D218" s="1133"/>
      <c r="E218" s="670"/>
      <c r="F218" s="726"/>
      <c r="G218" s="666"/>
      <c r="H218" s="266"/>
      <c r="I218" s="266"/>
      <c r="J218" s="1049"/>
      <c r="K218" s="727"/>
      <c r="L218" s="727"/>
      <c r="M218" s="727"/>
      <c r="N218" s="727"/>
      <c r="O218" s="727"/>
      <c r="P218" s="1321"/>
      <c r="Q218" s="1329"/>
      <c r="R218" s="254"/>
      <c r="S218" s="703"/>
      <c r="T218" s="728"/>
      <c r="U218" s="431"/>
      <c r="V218" s="499"/>
      <c r="W218" s="741"/>
      <c r="X218" s="51"/>
      <c r="Y218" s="51"/>
      <c r="Z218" s="645" t="str">
        <f t="shared" si="1"/>
        <v/>
      </c>
      <c r="AA218" s="1037" t="str">
        <f t="shared" si="81"/>
        <v/>
      </c>
      <c r="AB218" s="1037" t="str">
        <f t="shared" si="82"/>
        <v/>
      </c>
      <c r="AC218" s="1037" t="str">
        <f>IF(Z218="","",VLOOKUP(Z218,リスト!BN:BO,2,0))</f>
        <v/>
      </c>
      <c r="AD218" s="1037" t="str">
        <f t="shared" si="79"/>
        <v/>
      </c>
      <c r="AE218" s="1037" t="str">
        <f>IF(AD218="","",VLOOKUP(AD218,リスト!BW:BX,2,0))</f>
        <v/>
      </c>
      <c r="AF218" s="1037" t="str">
        <f t="shared" si="76"/>
        <v/>
      </c>
      <c r="AG218" s="685" t="str">
        <f t="shared" si="3"/>
        <v/>
      </c>
      <c r="AH218" s="646" t="str">
        <f t="shared" si="4"/>
        <v/>
      </c>
      <c r="AI218" s="646" t="str">
        <f t="shared" ref="AI218:AI235" si="85">IF(OR(Z218="",AA218=1),"",
IF(S218="",AG218,
IF(S218="2：廃棄等",SUM(AH218,T218),
IF(S218="1：売却",AH218-T218,
IF(AND(T218="",AG218=""),"",SUM(T218,AG218))))))</f>
        <v/>
      </c>
      <c r="AJ218" s="647" t="str">
        <f t="shared" ref="AJ218:AJ235" si="86">IF(AND(AI218="",AG218=""),"",
IF(OR(S218="1：売却",S218="2：廃棄等"),SUM(AI218)-SUM(AG218),""))</f>
        <v/>
      </c>
      <c r="AK218" s="647" t="str">
        <f t="shared" si="5"/>
        <v/>
      </c>
      <c r="AL218" s="647" t="str">
        <f t="shared" si="80"/>
        <v/>
      </c>
      <c r="AM218" s="647" t="str">
        <f t="shared" si="77"/>
        <v/>
      </c>
      <c r="AN218" s="647" t="str">
        <f t="shared" si="7"/>
        <v/>
      </c>
      <c r="AO218" s="647" t="str">
        <f t="shared" si="8"/>
        <v/>
      </c>
      <c r="AP218" s="647" t="str">
        <f t="shared" si="9"/>
        <v/>
      </c>
      <c r="AQ218" s="647" t="str">
        <f t="shared" si="78"/>
        <v/>
      </c>
      <c r="AR218" s="647" t="str">
        <f t="shared" si="10"/>
        <v/>
      </c>
      <c r="AS218" s="647" t="str">
        <f t="shared" si="16"/>
        <v/>
      </c>
      <c r="AT218" s="1323" t="str">
        <f t="shared" si="83"/>
        <v/>
      </c>
      <c r="AU218" s="1323" t="str">
        <f t="shared" si="84"/>
        <v/>
      </c>
    </row>
    <row r="219" spans="3:47" s="5" customFormat="1" ht="28.15" hidden="1" customHeight="1" outlineLevel="1">
      <c r="C219" s="649">
        <v>201</v>
      </c>
      <c r="D219" s="1134"/>
      <c r="E219" s="729"/>
      <c r="F219" s="726"/>
      <c r="G219" s="705"/>
      <c r="H219" s="257"/>
      <c r="I219" s="257"/>
      <c r="J219" s="1049"/>
      <c r="K219" s="735"/>
      <c r="L219" s="735"/>
      <c r="M219" s="736"/>
      <c r="N219" s="735"/>
      <c r="O219" s="727"/>
      <c r="P219" s="1321"/>
      <c r="Q219" s="1329"/>
      <c r="R219" s="254"/>
      <c r="S219" s="703"/>
      <c r="T219" s="728"/>
      <c r="U219" s="431"/>
      <c r="V219" s="499"/>
      <c r="W219" s="741"/>
      <c r="X219" s="51"/>
      <c r="Y219" s="51"/>
      <c r="Z219" s="645" t="str">
        <f t="shared" si="1"/>
        <v/>
      </c>
      <c r="AA219" s="1037" t="str">
        <f t="shared" si="81"/>
        <v/>
      </c>
      <c r="AB219" s="1037" t="str">
        <f t="shared" si="82"/>
        <v/>
      </c>
      <c r="AC219" s="1037" t="str">
        <f>IF(Z219="","",VLOOKUP(Z219,リスト!BN:BO,2,0))</f>
        <v/>
      </c>
      <c r="AD219" s="1037" t="str">
        <f t="shared" si="79"/>
        <v/>
      </c>
      <c r="AE219" s="1037" t="str">
        <f>IF(AD219="","",VLOOKUP(AD219,リスト!BW:BX,2,0))</f>
        <v/>
      </c>
      <c r="AF219" s="1037" t="str">
        <f t="shared" si="76"/>
        <v/>
      </c>
      <c r="AG219" s="685" t="str">
        <f t="shared" si="3"/>
        <v/>
      </c>
      <c r="AH219" s="646" t="str">
        <f t="shared" si="4"/>
        <v/>
      </c>
      <c r="AI219" s="646" t="str">
        <f t="shared" si="85"/>
        <v/>
      </c>
      <c r="AJ219" s="647" t="str">
        <f t="shared" si="86"/>
        <v/>
      </c>
      <c r="AK219" s="647" t="str">
        <f t="shared" si="5"/>
        <v/>
      </c>
      <c r="AL219" s="647" t="str">
        <f t="shared" si="80"/>
        <v/>
      </c>
      <c r="AM219" s="647" t="str">
        <f t="shared" si="77"/>
        <v/>
      </c>
      <c r="AN219" s="647" t="str">
        <f t="shared" si="7"/>
        <v/>
      </c>
      <c r="AO219" s="647" t="str">
        <f t="shared" si="8"/>
        <v/>
      </c>
      <c r="AP219" s="647" t="str">
        <f t="shared" si="9"/>
        <v/>
      </c>
      <c r="AQ219" s="647" t="str">
        <f t="shared" si="78"/>
        <v/>
      </c>
      <c r="AR219" s="647" t="str">
        <f t="shared" si="10"/>
        <v/>
      </c>
      <c r="AS219" s="647" t="str">
        <f t="shared" si="16"/>
        <v/>
      </c>
      <c r="AT219" s="1323" t="str">
        <f t="shared" si="83"/>
        <v/>
      </c>
      <c r="AU219" s="1323" t="str">
        <f t="shared" si="84"/>
        <v/>
      </c>
    </row>
    <row r="220" spans="3:47" s="5" customFormat="1" ht="28.15" hidden="1" customHeight="1" outlineLevel="1">
      <c r="C220" s="649">
        <v>202</v>
      </c>
      <c r="D220" s="1133"/>
      <c r="E220" s="670"/>
      <c r="F220" s="726"/>
      <c r="G220" s="705"/>
      <c r="H220" s="255"/>
      <c r="I220" s="255"/>
      <c r="J220" s="1049"/>
      <c r="K220" s="735"/>
      <c r="L220" s="735"/>
      <c r="M220" s="736"/>
      <c r="N220" s="735"/>
      <c r="O220" s="727"/>
      <c r="P220" s="1321"/>
      <c r="Q220" s="1329"/>
      <c r="R220" s="254"/>
      <c r="S220" s="703"/>
      <c r="T220" s="728"/>
      <c r="U220" s="431"/>
      <c r="V220" s="499"/>
      <c r="W220" s="741"/>
      <c r="X220" s="51"/>
      <c r="Y220" s="51"/>
      <c r="Z220" s="645" t="str">
        <f t="shared" si="1"/>
        <v/>
      </c>
      <c r="AA220" s="1037" t="str">
        <f t="shared" si="81"/>
        <v/>
      </c>
      <c r="AB220" s="1037" t="str">
        <f t="shared" si="82"/>
        <v/>
      </c>
      <c r="AC220" s="1037" t="str">
        <f>IF(Z220="","",VLOOKUP(Z220,リスト!BN:BO,2,0))</f>
        <v/>
      </c>
      <c r="AD220" s="1037" t="str">
        <f t="shared" si="79"/>
        <v/>
      </c>
      <c r="AE220" s="1037" t="str">
        <f>IF(AD220="","",VLOOKUP(AD220,リスト!BW:BX,2,0))</f>
        <v/>
      </c>
      <c r="AF220" s="1037" t="str">
        <f t="shared" si="76"/>
        <v/>
      </c>
      <c r="AG220" s="685" t="str">
        <f t="shared" si="3"/>
        <v/>
      </c>
      <c r="AH220" s="646" t="str">
        <f t="shared" si="4"/>
        <v/>
      </c>
      <c r="AI220" s="646" t="str">
        <f t="shared" si="85"/>
        <v/>
      </c>
      <c r="AJ220" s="647" t="str">
        <f t="shared" si="86"/>
        <v/>
      </c>
      <c r="AK220" s="647" t="str">
        <f t="shared" si="5"/>
        <v/>
      </c>
      <c r="AL220" s="647" t="str">
        <f t="shared" si="80"/>
        <v/>
      </c>
      <c r="AM220" s="647" t="str">
        <f t="shared" si="77"/>
        <v/>
      </c>
      <c r="AN220" s="647" t="str">
        <f t="shared" si="7"/>
        <v/>
      </c>
      <c r="AO220" s="647" t="str">
        <f t="shared" si="8"/>
        <v/>
      </c>
      <c r="AP220" s="647" t="str">
        <f t="shared" si="9"/>
        <v/>
      </c>
      <c r="AQ220" s="647" t="str">
        <f t="shared" si="78"/>
        <v/>
      </c>
      <c r="AR220" s="647" t="str">
        <f t="shared" si="10"/>
        <v/>
      </c>
      <c r="AS220" s="647" t="str">
        <f t="shared" si="16"/>
        <v/>
      </c>
      <c r="AT220" s="1323" t="str">
        <f t="shared" si="83"/>
        <v/>
      </c>
      <c r="AU220" s="1323" t="str">
        <f t="shared" si="84"/>
        <v/>
      </c>
    </row>
    <row r="221" spans="3:47" s="5" customFormat="1" ht="28.15" hidden="1" customHeight="1" outlineLevel="1">
      <c r="C221" s="649">
        <v>203</v>
      </c>
      <c r="D221" s="1134"/>
      <c r="E221" s="729"/>
      <c r="F221" s="726"/>
      <c r="G221" s="705"/>
      <c r="H221" s="257"/>
      <c r="I221" s="257"/>
      <c r="J221" s="1049"/>
      <c r="K221" s="735"/>
      <c r="L221" s="735"/>
      <c r="M221" s="736"/>
      <c r="N221" s="735"/>
      <c r="O221" s="727"/>
      <c r="P221" s="1321"/>
      <c r="Q221" s="1329"/>
      <c r="R221" s="254"/>
      <c r="S221" s="703"/>
      <c r="T221" s="728"/>
      <c r="U221" s="431"/>
      <c r="V221" s="499"/>
      <c r="W221" s="741"/>
      <c r="X221" s="51"/>
      <c r="Y221" s="51"/>
      <c r="Z221" s="645" t="str">
        <f t="shared" si="1"/>
        <v/>
      </c>
      <c r="AA221" s="1037" t="str">
        <f t="shared" si="81"/>
        <v/>
      </c>
      <c r="AB221" s="1037" t="str">
        <f t="shared" si="82"/>
        <v/>
      </c>
      <c r="AC221" s="1037" t="str">
        <f>IF(Z221="","",VLOOKUP(Z221,リスト!BN:BO,2,0))</f>
        <v/>
      </c>
      <c r="AD221" s="1037" t="str">
        <f t="shared" si="79"/>
        <v/>
      </c>
      <c r="AE221" s="1037" t="str">
        <f>IF(AD221="","",VLOOKUP(AD221,リスト!BW:BX,2,0))</f>
        <v/>
      </c>
      <c r="AF221" s="1037" t="str">
        <f t="shared" si="76"/>
        <v/>
      </c>
      <c r="AG221" s="685" t="str">
        <f t="shared" si="3"/>
        <v/>
      </c>
      <c r="AH221" s="646" t="str">
        <f t="shared" si="4"/>
        <v/>
      </c>
      <c r="AI221" s="646" t="str">
        <f t="shared" si="85"/>
        <v/>
      </c>
      <c r="AJ221" s="647" t="str">
        <f t="shared" si="86"/>
        <v/>
      </c>
      <c r="AK221" s="647" t="str">
        <f t="shared" si="5"/>
        <v/>
      </c>
      <c r="AL221" s="647" t="str">
        <f t="shared" si="80"/>
        <v/>
      </c>
      <c r="AM221" s="647" t="str">
        <f t="shared" si="77"/>
        <v/>
      </c>
      <c r="AN221" s="647" t="str">
        <f t="shared" si="7"/>
        <v/>
      </c>
      <c r="AO221" s="647" t="str">
        <f t="shared" si="8"/>
        <v/>
      </c>
      <c r="AP221" s="647" t="str">
        <f t="shared" si="9"/>
        <v/>
      </c>
      <c r="AQ221" s="647" t="str">
        <f t="shared" si="78"/>
        <v/>
      </c>
      <c r="AR221" s="647" t="str">
        <f t="shared" si="10"/>
        <v/>
      </c>
      <c r="AS221" s="647" t="str">
        <f t="shared" si="16"/>
        <v/>
      </c>
      <c r="AT221" s="1323" t="str">
        <f t="shared" si="83"/>
        <v/>
      </c>
      <c r="AU221" s="1323" t="str">
        <f t="shared" si="84"/>
        <v/>
      </c>
    </row>
    <row r="222" spans="3:47" s="5" customFormat="1" ht="28.15" hidden="1" customHeight="1" outlineLevel="1">
      <c r="C222" s="649">
        <v>204</v>
      </c>
      <c r="D222" s="1133"/>
      <c r="E222" s="670"/>
      <c r="F222" s="726"/>
      <c r="G222" s="705"/>
      <c r="H222" s="255"/>
      <c r="I222" s="255"/>
      <c r="J222" s="1049"/>
      <c r="K222" s="735"/>
      <c r="L222" s="735"/>
      <c r="M222" s="736"/>
      <c r="N222" s="735"/>
      <c r="O222" s="727"/>
      <c r="P222" s="1321"/>
      <c r="Q222" s="1329"/>
      <c r="R222" s="254"/>
      <c r="S222" s="703"/>
      <c r="T222" s="728"/>
      <c r="U222" s="431"/>
      <c r="V222" s="499"/>
      <c r="W222" s="741"/>
      <c r="X222" s="51"/>
      <c r="Y222" s="51"/>
      <c r="Z222" s="645" t="str">
        <f t="shared" si="1"/>
        <v/>
      </c>
      <c r="AA222" s="1037" t="str">
        <f t="shared" si="81"/>
        <v/>
      </c>
      <c r="AB222" s="1037" t="str">
        <f t="shared" si="82"/>
        <v/>
      </c>
      <c r="AC222" s="1037" t="str">
        <f>IF(Z222="","",VLOOKUP(Z222,リスト!BN:BO,2,0))</f>
        <v/>
      </c>
      <c r="AD222" s="1037" t="str">
        <f t="shared" si="79"/>
        <v/>
      </c>
      <c r="AE222" s="1037" t="str">
        <f>IF(AD222="","",VLOOKUP(AD222,リスト!BW:BX,2,0))</f>
        <v/>
      </c>
      <c r="AF222" s="1037" t="str">
        <f t="shared" si="76"/>
        <v/>
      </c>
      <c r="AG222" s="685" t="str">
        <f t="shared" si="3"/>
        <v/>
      </c>
      <c r="AH222" s="646" t="str">
        <f t="shared" si="4"/>
        <v/>
      </c>
      <c r="AI222" s="646" t="str">
        <f t="shared" si="85"/>
        <v/>
      </c>
      <c r="AJ222" s="647" t="str">
        <f t="shared" si="86"/>
        <v/>
      </c>
      <c r="AK222" s="647" t="str">
        <f t="shared" si="5"/>
        <v/>
      </c>
      <c r="AL222" s="647" t="str">
        <f t="shared" si="80"/>
        <v/>
      </c>
      <c r="AM222" s="647" t="str">
        <f t="shared" si="77"/>
        <v/>
      </c>
      <c r="AN222" s="647" t="str">
        <f t="shared" si="7"/>
        <v/>
      </c>
      <c r="AO222" s="647" t="str">
        <f t="shared" si="8"/>
        <v/>
      </c>
      <c r="AP222" s="647" t="str">
        <f t="shared" si="9"/>
        <v/>
      </c>
      <c r="AQ222" s="647" t="str">
        <f t="shared" si="78"/>
        <v/>
      </c>
      <c r="AR222" s="647" t="str">
        <f t="shared" si="10"/>
        <v/>
      </c>
      <c r="AS222" s="647" t="str">
        <f t="shared" si="16"/>
        <v/>
      </c>
      <c r="AT222" s="1323" t="str">
        <f t="shared" si="83"/>
        <v/>
      </c>
      <c r="AU222" s="1323" t="str">
        <f t="shared" si="84"/>
        <v/>
      </c>
    </row>
    <row r="223" spans="3:47" s="5" customFormat="1" ht="28.15" hidden="1" customHeight="1" outlineLevel="1">
      <c r="C223" s="649">
        <v>205</v>
      </c>
      <c r="D223" s="1134"/>
      <c r="E223" s="729"/>
      <c r="F223" s="726"/>
      <c r="G223" s="705"/>
      <c r="H223" s="257"/>
      <c r="I223" s="257"/>
      <c r="J223" s="1049"/>
      <c r="K223" s="735"/>
      <c r="L223" s="735"/>
      <c r="M223" s="736"/>
      <c r="N223" s="735"/>
      <c r="O223" s="727"/>
      <c r="P223" s="1321"/>
      <c r="Q223" s="1329"/>
      <c r="R223" s="254"/>
      <c r="S223" s="703"/>
      <c r="T223" s="728"/>
      <c r="U223" s="431"/>
      <c r="V223" s="499"/>
      <c r="W223" s="741"/>
      <c r="X223" s="51"/>
      <c r="Y223" s="51"/>
      <c r="Z223" s="645" t="str">
        <f t="shared" si="1"/>
        <v/>
      </c>
      <c r="AA223" s="1037" t="str">
        <f t="shared" si="81"/>
        <v/>
      </c>
      <c r="AB223" s="1037" t="str">
        <f t="shared" si="82"/>
        <v/>
      </c>
      <c r="AC223" s="1037" t="str">
        <f>IF(Z223="","",VLOOKUP(Z223,リスト!BN:BO,2,0))</f>
        <v/>
      </c>
      <c r="AD223" s="1037" t="str">
        <f t="shared" si="79"/>
        <v/>
      </c>
      <c r="AE223" s="1037" t="str">
        <f>IF(AD223="","",VLOOKUP(AD223,リスト!BW:BX,2,0))</f>
        <v/>
      </c>
      <c r="AF223" s="1037" t="str">
        <f t="shared" si="76"/>
        <v/>
      </c>
      <c r="AG223" s="685" t="str">
        <f t="shared" si="3"/>
        <v/>
      </c>
      <c r="AH223" s="646" t="str">
        <f t="shared" si="4"/>
        <v/>
      </c>
      <c r="AI223" s="646" t="str">
        <f t="shared" si="85"/>
        <v/>
      </c>
      <c r="AJ223" s="647" t="str">
        <f t="shared" si="86"/>
        <v/>
      </c>
      <c r="AK223" s="647" t="str">
        <f t="shared" si="5"/>
        <v/>
      </c>
      <c r="AL223" s="647" t="str">
        <f t="shared" si="80"/>
        <v/>
      </c>
      <c r="AM223" s="647" t="str">
        <f t="shared" si="77"/>
        <v/>
      </c>
      <c r="AN223" s="647" t="str">
        <f t="shared" si="7"/>
        <v/>
      </c>
      <c r="AO223" s="647" t="str">
        <f t="shared" si="8"/>
        <v/>
      </c>
      <c r="AP223" s="647" t="str">
        <f t="shared" si="9"/>
        <v/>
      </c>
      <c r="AQ223" s="647" t="str">
        <f t="shared" si="78"/>
        <v/>
      </c>
      <c r="AR223" s="647" t="str">
        <f t="shared" si="10"/>
        <v/>
      </c>
      <c r="AS223" s="647" t="str">
        <f t="shared" si="16"/>
        <v/>
      </c>
      <c r="AT223" s="1323" t="str">
        <f t="shared" si="83"/>
        <v/>
      </c>
      <c r="AU223" s="1323" t="str">
        <f t="shared" si="84"/>
        <v/>
      </c>
    </row>
    <row r="224" spans="3:47" s="5" customFormat="1" ht="28.15" hidden="1" customHeight="1" outlineLevel="1">
      <c r="C224" s="649">
        <v>206</v>
      </c>
      <c r="D224" s="1133"/>
      <c r="E224" s="670"/>
      <c r="F224" s="726"/>
      <c r="G224" s="705"/>
      <c r="H224" s="255"/>
      <c r="I224" s="255"/>
      <c r="J224" s="1049"/>
      <c r="K224" s="735"/>
      <c r="L224" s="735"/>
      <c r="M224" s="736"/>
      <c r="N224" s="735"/>
      <c r="O224" s="727"/>
      <c r="P224" s="1321"/>
      <c r="Q224" s="1329"/>
      <c r="R224" s="254"/>
      <c r="S224" s="703"/>
      <c r="T224" s="728"/>
      <c r="U224" s="431"/>
      <c r="V224" s="499"/>
      <c r="W224" s="741"/>
      <c r="X224" s="51"/>
      <c r="Y224" s="51"/>
      <c r="Z224" s="645" t="str">
        <f t="shared" si="1"/>
        <v/>
      </c>
      <c r="AA224" s="1037" t="str">
        <f t="shared" si="81"/>
        <v/>
      </c>
      <c r="AB224" s="1037" t="str">
        <f t="shared" si="82"/>
        <v/>
      </c>
      <c r="AC224" s="1037" t="str">
        <f>IF(Z224="","",VLOOKUP(Z224,リスト!BN:BO,2,0))</f>
        <v/>
      </c>
      <c r="AD224" s="1037" t="str">
        <f t="shared" si="79"/>
        <v/>
      </c>
      <c r="AE224" s="1037" t="str">
        <f>IF(AD224="","",VLOOKUP(AD224,リスト!BW:BX,2,0))</f>
        <v/>
      </c>
      <c r="AF224" s="1037" t="str">
        <f t="shared" si="76"/>
        <v/>
      </c>
      <c r="AG224" s="685" t="str">
        <f t="shared" si="3"/>
        <v/>
      </c>
      <c r="AH224" s="646" t="str">
        <f t="shared" si="4"/>
        <v/>
      </c>
      <c r="AI224" s="646" t="str">
        <f t="shared" si="85"/>
        <v/>
      </c>
      <c r="AJ224" s="647" t="str">
        <f t="shared" si="86"/>
        <v/>
      </c>
      <c r="AK224" s="647" t="str">
        <f t="shared" si="5"/>
        <v/>
      </c>
      <c r="AL224" s="647" t="str">
        <f t="shared" si="80"/>
        <v/>
      </c>
      <c r="AM224" s="647" t="str">
        <f t="shared" si="77"/>
        <v/>
      </c>
      <c r="AN224" s="647" t="str">
        <f t="shared" si="7"/>
        <v/>
      </c>
      <c r="AO224" s="647" t="str">
        <f t="shared" si="8"/>
        <v/>
      </c>
      <c r="AP224" s="647" t="str">
        <f t="shared" si="9"/>
        <v/>
      </c>
      <c r="AQ224" s="647" t="str">
        <f t="shared" si="78"/>
        <v/>
      </c>
      <c r="AR224" s="647" t="str">
        <f t="shared" si="10"/>
        <v/>
      </c>
      <c r="AS224" s="647" t="str">
        <f t="shared" si="16"/>
        <v/>
      </c>
      <c r="AT224" s="1323" t="str">
        <f t="shared" si="83"/>
        <v/>
      </c>
      <c r="AU224" s="1323" t="str">
        <f t="shared" si="84"/>
        <v/>
      </c>
    </row>
    <row r="225" spans="3:47" s="5" customFormat="1" ht="28.15" hidden="1" customHeight="1" outlineLevel="1">
      <c r="C225" s="649">
        <v>207</v>
      </c>
      <c r="D225" s="1134"/>
      <c r="E225" s="729"/>
      <c r="F225" s="726"/>
      <c r="G225" s="705"/>
      <c r="H225" s="257"/>
      <c r="I225" s="257"/>
      <c r="J225" s="1049"/>
      <c r="K225" s="735"/>
      <c r="L225" s="735"/>
      <c r="M225" s="736"/>
      <c r="N225" s="735"/>
      <c r="O225" s="727"/>
      <c r="P225" s="1321"/>
      <c r="Q225" s="1329"/>
      <c r="R225" s="254"/>
      <c r="S225" s="703"/>
      <c r="T225" s="728"/>
      <c r="U225" s="431"/>
      <c r="V225" s="499"/>
      <c r="W225" s="741"/>
      <c r="X225" s="51"/>
      <c r="Y225" s="51"/>
      <c r="Z225" s="645" t="str">
        <f t="shared" si="1"/>
        <v/>
      </c>
      <c r="AA225" s="1037" t="str">
        <f t="shared" si="81"/>
        <v/>
      </c>
      <c r="AB225" s="1037" t="str">
        <f t="shared" si="82"/>
        <v/>
      </c>
      <c r="AC225" s="1037" t="str">
        <f>IF(Z225="","",VLOOKUP(Z225,リスト!BN:BO,2,0))</f>
        <v/>
      </c>
      <c r="AD225" s="1037" t="str">
        <f t="shared" si="79"/>
        <v/>
      </c>
      <c r="AE225" s="1037" t="str">
        <f>IF(AD225="","",VLOOKUP(AD225,リスト!BW:BX,2,0))</f>
        <v/>
      </c>
      <c r="AF225" s="1037" t="str">
        <f t="shared" si="76"/>
        <v/>
      </c>
      <c r="AG225" s="685" t="str">
        <f t="shared" si="3"/>
        <v/>
      </c>
      <c r="AH225" s="646" t="str">
        <f t="shared" si="4"/>
        <v/>
      </c>
      <c r="AI225" s="646" t="str">
        <f t="shared" si="85"/>
        <v/>
      </c>
      <c r="AJ225" s="647" t="str">
        <f t="shared" si="86"/>
        <v/>
      </c>
      <c r="AK225" s="647" t="str">
        <f t="shared" si="5"/>
        <v/>
      </c>
      <c r="AL225" s="647" t="str">
        <f t="shared" si="80"/>
        <v/>
      </c>
      <c r="AM225" s="647" t="str">
        <f t="shared" si="77"/>
        <v/>
      </c>
      <c r="AN225" s="647" t="str">
        <f t="shared" si="7"/>
        <v/>
      </c>
      <c r="AO225" s="647" t="str">
        <f t="shared" si="8"/>
        <v/>
      </c>
      <c r="AP225" s="647" t="str">
        <f t="shared" si="9"/>
        <v/>
      </c>
      <c r="AQ225" s="647" t="str">
        <f t="shared" si="78"/>
        <v/>
      </c>
      <c r="AR225" s="647" t="str">
        <f t="shared" si="10"/>
        <v/>
      </c>
      <c r="AS225" s="647" t="str">
        <f t="shared" si="16"/>
        <v/>
      </c>
      <c r="AT225" s="1323" t="str">
        <f t="shared" si="83"/>
        <v/>
      </c>
      <c r="AU225" s="1323" t="str">
        <f t="shared" si="84"/>
        <v/>
      </c>
    </row>
    <row r="226" spans="3:47" s="5" customFormat="1" ht="28.15" hidden="1" customHeight="1" outlineLevel="1">
      <c r="C226" s="649">
        <v>208</v>
      </c>
      <c r="D226" s="1133"/>
      <c r="E226" s="670"/>
      <c r="F226" s="726"/>
      <c r="G226" s="705"/>
      <c r="H226" s="255"/>
      <c r="I226" s="255"/>
      <c r="J226" s="1049"/>
      <c r="K226" s="735"/>
      <c r="L226" s="735"/>
      <c r="M226" s="736"/>
      <c r="N226" s="735"/>
      <c r="O226" s="727"/>
      <c r="P226" s="1321"/>
      <c r="Q226" s="1329"/>
      <c r="R226" s="254"/>
      <c r="S226" s="703"/>
      <c r="T226" s="728"/>
      <c r="U226" s="431"/>
      <c r="V226" s="499"/>
      <c r="W226" s="741"/>
      <c r="X226" s="51"/>
      <c r="Y226" s="51"/>
      <c r="Z226" s="645" t="str">
        <f t="shared" si="1"/>
        <v/>
      </c>
      <c r="AA226" s="1037" t="str">
        <f t="shared" si="81"/>
        <v/>
      </c>
      <c r="AB226" s="1037" t="str">
        <f t="shared" si="82"/>
        <v/>
      </c>
      <c r="AC226" s="1037" t="str">
        <f>IF(Z226="","",VLOOKUP(Z226,リスト!BN:BO,2,0))</f>
        <v/>
      </c>
      <c r="AD226" s="1037" t="str">
        <f t="shared" si="79"/>
        <v/>
      </c>
      <c r="AE226" s="1037" t="str">
        <f>IF(AD226="","",VLOOKUP(AD226,リスト!BW:BX,2,0))</f>
        <v/>
      </c>
      <c r="AF226" s="1037" t="str">
        <f t="shared" si="76"/>
        <v/>
      </c>
      <c r="AG226" s="685" t="str">
        <f t="shared" si="3"/>
        <v/>
      </c>
      <c r="AH226" s="646" t="str">
        <f t="shared" si="4"/>
        <v/>
      </c>
      <c r="AI226" s="646" t="str">
        <f t="shared" si="85"/>
        <v/>
      </c>
      <c r="AJ226" s="647" t="str">
        <f t="shared" si="86"/>
        <v/>
      </c>
      <c r="AK226" s="647" t="str">
        <f t="shared" si="5"/>
        <v/>
      </c>
      <c r="AL226" s="647" t="str">
        <f t="shared" si="80"/>
        <v/>
      </c>
      <c r="AM226" s="647" t="str">
        <f t="shared" si="77"/>
        <v/>
      </c>
      <c r="AN226" s="647" t="str">
        <f t="shared" si="7"/>
        <v/>
      </c>
      <c r="AO226" s="647" t="str">
        <f t="shared" si="8"/>
        <v/>
      </c>
      <c r="AP226" s="647" t="str">
        <f t="shared" si="9"/>
        <v/>
      </c>
      <c r="AQ226" s="647" t="str">
        <f t="shared" si="78"/>
        <v/>
      </c>
      <c r="AR226" s="647" t="str">
        <f t="shared" si="10"/>
        <v/>
      </c>
      <c r="AS226" s="647" t="str">
        <f t="shared" si="16"/>
        <v/>
      </c>
      <c r="AT226" s="1323" t="str">
        <f t="shared" si="83"/>
        <v/>
      </c>
      <c r="AU226" s="1323" t="str">
        <f t="shared" si="84"/>
        <v/>
      </c>
    </row>
    <row r="227" spans="3:47" s="5" customFormat="1" ht="28.15" hidden="1" customHeight="1" outlineLevel="1">
      <c r="C227" s="649">
        <v>209</v>
      </c>
      <c r="D227" s="1134"/>
      <c r="E227" s="729"/>
      <c r="F227" s="726"/>
      <c r="G227" s="705"/>
      <c r="H227" s="257"/>
      <c r="I227" s="257"/>
      <c r="J227" s="1049"/>
      <c r="K227" s="735"/>
      <c r="L227" s="735"/>
      <c r="M227" s="736"/>
      <c r="N227" s="735"/>
      <c r="O227" s="727"/>
      <c r="P227" s="1321"/>
      <c r="Q227" s="1329"/>
      <c r="R227" s="254"/>
      <c r="S227" s="703"/>
      <c r="T227" s="728"/>
      <c r="U227" s="431"/>
      <c r="V227" s="499"/>
      <c r="W227" s="741"/>
      <c r="X227" s="51"/>
      <c r="Y227" s="51"/>
      <c r="Z227" s="645" t="str">
        <f t="shared" si="1"/>
        <v/>
      </c>
      <c r="AA227" s="1037" t="str">
        <f t="shared" si="81"/>
        <v/>
      </c>
      <c r="AB227" s="1037" t="str">
        <f t="shared" si="82"/>
        <v/>
      </c>
      <c r="AC227" s="1037" t="str">
        <f>IF(Z227="","",VLOOKUP(Z227,リスト!BN:BO,2,0))</f>
        <v/>
      </c>
      <c r="AD227" s="1037" t="str">
        <f t="shared" si="79"/>
        <v/>
      </c>
      <c r="AE227" s="1037" t="str">
        <f>IF(AD227="","",VLOOKUP(AD227,リスト!BW:BX,2,0))</f>
        <v/>
      </c>
      <c r="AF227" s="1037" t="str">
        <f t="shared" si="76"/>
        <v/>
      </c>
      <c r="AG227" s="685" t="str">
        <f t="shared" si="3"/>
        <v/>
      </c>
      <c r="AH227" s="646" t="str">
        <f t="shared" si="4"/>
        <v/>
      </c>
      <c r="AI227" s="646" t="str">
        <f t="shared" si="85"/>
        <v/>
      </c>
      <c r="AJ227" s="647" t="str">
        <f t="shared" si="86"/>
        <v/>
      </c>
      <c r="AK227" s="647" t="str">
        <f t="shared" si="5"/>
        <v/>
      </c>
      <c r="AL227" s="647" t="str">
        <f t="shared" si="80"/>
        <v/>
      </c>
      <c r="AM227" s="647" t="str">
        <f t="shared" si="77"/>
        <v/>
      </c>
      <c r="AN227" s="647" t="str">
        <f t="shared" si="7"/>
        <v/>
      </c>
      <c r="AO227" s="647" t="str">
        <f t="shared" si="8"/>
        <v/>
      </c>
      <c r="AP227" s="647" t="str">
        <f t="shared" si="9"/>
        <v/>
      </c>
      <c r="AQ227" s="647" t="str">
        <f t="shared" si="78"/>
        <v/>
      </c>
      <c r="AR227" s="647" t="str">
        <f t="shared" si="10"/>
        <v/>
      </c>
      <c r="AS227" s="647" t="str">
        <f t="shared" si="16"/>
        <v/>
      </c>
      <c r="AT227" s="1323" t="str">
        <f t="shared" si="83"/>
        <v/>
      </c>
      <c r="AU227" s="1323" t="str">
        <f t="shared" si="84"/>
        <v/>
      </c>
    </row>
    <row r="228" spans="3:47" s="5" customFormat="1" ht="28.15" hidden="1" customHeight="1" outlineLevel="1">
      <c r="C228" s="649">
        <v>210</v>
      </c>
      <c r="D228" s="1133"/>
      <c r="E228" s="670"/>
      <c r="F228" s="726"/>
      <c r="G228" s="705"/>
      <c r="H228" s="255"/>
      <c r="I228" s="255"/>
      <c r="J228" s="1049"/>
      <c r="K228" s="735"/>
      <c r="L228" s="735"/>
      <c r="M228" s="736"/>
      <c r="N228" s="735"/>
      <c r="O228" s="727"/>
      <c r="P228" s="1321"/>
      <c r="Q228" s="1329"/>
      <c r="R228" s="254"/>
      <c r="S228" s="703"/>
      <c r="T228" s="728"/>
      <c r="U228" s="431"/>
      <c r="V228" s="499"/>
      <c r="W228" s="741"/>
      <c r="X228" s="51"/>
      <c r="Y228" s="51"/>
      <c r="Z228" s="645" t="str">
        <f t="shared" si="1"/>
        <v/>
      </c>
      <c r="AA228" s="1037" t="str">
        <f t="shared" si="81"/>
        <v/>
      </c>
      <c r="AB228" s="1037" t="str">
        <f t="shared" si="82"/>
        <v/>
      </c>
      <c r="AC228" s="1037" t="str">
        <f>IF(Z228="","",VLOOKUP(Z228,リスト!BN:BO,2,0))</f>
        <v/>
      </c>
      <c r="AD228" s="1037" t="str">
        <f t="shared" si="79"/>
        <v/>
      </c>
      <c r="AE228" s="1037" t="str">
        <f>IF(AD228="","",VLOOKUP(AD228,リスト!BW:BX,2,0))</f>
        <v/>
      </c>
      <c r="AF228" s="1037" t="str">
        <f t="shared" si="76"/>
        <v/>
      </c>
      <c r="AG228" s="685" t="str">
        <f t="shared" si="3"/>
        <v/>
      </c>
      <c r="AH228" s="646" t="str">
        <f t="shared" si="4"/>
        <v/>
      </c>
      <c r="AI228" s="646" t="str">
        <f t="shared" si="85"/>
        <v/>
      </c>
      <c r="AJ228" s="647" t="str">
        <f t="shared" si="86"/>
        <v/>
      </c>
      <c r="AK228" s="647" t="str">
        <f t="shared" si="5"/>
        <v/>
      </c>
      <c r="AL228" s="647" t="str">
        <f t="shared" si="80"/>
        <v/>
      </c>
      <c r="AM228" s="647" t="str">
        <f t="shared" si="77"/>
        <v/>
      </c>
      <c r="AN228" s="647" t="str">
        <f t="shared" si="7"/>
        <v/>
      </c>
      <c r="AO228" s="647" t="str">
        <f t="shared" si="8"/>
        <v/>
      </c>
      <c r="AP228" s="647" t="str">
        <f t="shared" si="9"/>
        <v/>
      </c>
      <c r="AQ228" s="647" t="str">
        <f t="shared" si="78"/>
        <v/>
      </c>
      <c r="AR228" s="647" t="str">
        <f t="shared" si="10"/>
        <v/>
      </c>
      <c r="AS228" s="647" t="str">
        <f t="shared" si="16"/>
        <v/>
      </c>
      <c r="AT228" s="1323" t="str">
        <f t="shared" si="83"/>
        <v/>
      </c>
      <c r="AU228" s="1323" t="str">
        <f t="shared" si="84"/>
        <v/>
      </c>
    </row>
    <row r="229" spans="3:47" s="5" customFormat="1" ht="28.15" hidden="1" customHeight="1" outlineLevel="1">
      <c r="C229" s="649">
        <v>211</v>
      </c>
      <c r="D229" s="1134"/>
      <c r="E229" s="729"/>
      <c r="F229" s="726"/>
      <c r="G229" s="705"/>
      <c r="H229" s="257"/>
      <c r="I229" s="257"/>
      <c r="J229" s="1050"/>
      <c r="K229" s="735"/>
      <c r="L229" s="735"/>
      <c r="M229" s="736"/>
      <c r="N229" s="735"/>
      <c r="O229" s="727"/>
      <c r="P229" s="1321"/>
      <c r="Q229" s="1329"/>
      <c r="R229" s="254"/>
      <c r="S229" s="703"/>
      <c r="T229" s="728"/>
      <c r="U229" s="431"/>
      <c r="V229" s="499"/>
      <c r="W229" s="741"/>
      <c r="X229" s="51"/>
      <c r="Y229" s="51"/>
      <c r="Z229" s="645" t="str">
        <f t="shared" si="1"/>
        <v/>
      </c>
      <c r="AA229" s="1037" t="str">
        <f t="shared" si="81"/>
        <v/>
      </c>
      <c r="AB229" s="1037" t="str">
        <f t="shared" si="82"/>
        <v/>
      </c>
      <c r="AC229" s="1037" t="str">
        <f>IF(Z229="","",VLOOKUP(Z229,リスト!BN:BO,2,0))</f>
        <v/>
      </c>
      <c r="AD229" s="1037" t="str">
        <f t="shared" si="79"/>
        <v/>
      </c>
      <c r="AE229" s="1037" t="str">
        <f>IF(AD229="","",VLOOKUP(AD229,リスト!BW:BX,2,0))</f>
        <v/>
      </c>
      <c r="AF229" s="1037" t="str">
        <f t="shared" si="76"/>
        <v/>
      </c>
      <c r="AG229" s="685" t="str">
        <f t="shared" si="3"/>
        <v/>
      </c>
      <c r="AH229" s="646" t="str">
        <f t="shared" si="4"/>
        <v/>
      </c>
      <c r="AI229" s="646" t="str">
        <f t="shared" si="85"/>
        <v/>
      </c>
      <c r="AJ229" s="647" t="str">
        <f t="shared" si="86"/>
        <v/>
      </c>
      <c r="AK229" s="647" t="str">
        <f t="shared" si="5"/>
        <v/>
      </c>
      <c r="AL229" s="647" t="str">
        <f t="shared" si="80"/>
        <v/>
      </c>
      <c r="AM229" s="647" t="str">
        <f t="shared" si="77"/>
        <v/>
      </c>
      <c r="AN229" s="647" t="str">
        <f t="shared" si="7"/>
        <v/>
      </c>
      <c r="AO229" s="647" t="str">
        <f t="shared" si="8"/>
        <v/>
      </c>
      <c r="AP229" s="647" t="str">
        <f t="shared" si="9"/>
        <v/>
      </c>
      <c r="AQ229" s="647" t="str">
        <f t="shared" si="78"/>
        <v/>
      </c>
      <c r="AR229" s="647" t="str">
        <f t="shared" si="10"/>
        <v/>
      </c>
      <c r="AS229" s="647" t="str">
        <f t="shared" si="16"/>
        <v/>
      </c>
      <c r="AT229" s="1323" t="str">
        <f t="shared" si="83"/>
        <v/>
      </c>
      <c r="AU229" s="1323" t="str">
        <f t="shared" si="84"/>
        <v/>
      </c>
    </row>
    <row r="230" spans="3:47" s="5" customFormat="1" ht="28.15" hidden="1" customHeight="1" outlineLevel="1">
      <c r="C230" s="649">
        <v>212</v>
      </c>
      <c r="D230" s="1133"/>
      <c r="E230" s="670"/>
      <c r="F230" s="726"/>
      <c r="G230" s="705"/>
      <c r="H230" s="255"/>
      <c r="I230" s="255"/>
      <c r="J230" s="1051"/>
      <c r="K230" s="735"/>
      <c r="L230" s="735"/>
      <c r="M230" s="736"/>
      <c r="N230" s="735"/>
      <c r="O230" s="727"/>
      <c r="P230" s="1321"/>
      <c r="Q230" s="1329"/>
      <c r="R230" s="254"/>
      <c r="S230" s="703"/>
      <c r="T230" s="728"/>
      <c r="U230" s="431"/>
      <c r="V230" s="499"/>
      <c r="W230" s="741"/>
      <c r="X230" s="51"/>
      <c r="Y230" s="51"/>
      <c r="Z230" s="645" t="str">
        <f t="shared" si="1"/>
        <v/>
      </c>
      <c r="AA230" s="1037" t="str">
        <f t="shared" si="81"/>
        <v/>
      </c>
      <c r="AB230" s="1037" t="str">
        <f t="shared" si="82"/>
        <v/>
      </c>
      <c r="AC230" s="1037" t="str">
        <f>IF(Z230="","",VLOOKUP(Z230,リスト!BN:BO,2,0))</f>
        <v/>
      </c>
      <c r="AD230" s="1037" t="str">
        <f t="shared" si="79"/>
        <v/>
      </c>
      <c r="AE230" s="1037" t="str">
        <f>IF(AD230="","",VLOOKUP(AD230,リスト!BW:BX,2,0))</f>
        <v/>
      </c>
      <c r="AF230" s="1037" t="str">
        <f t="shared" si="76"/>
        <v/>
      </c>
      <c r="AG230" s="685" t="str">
        <f t="shared" si="3"/>
        <v/>
      </c>
      <c r="AH230" s="646" t="str">
        <f t="shared" si="4"/>
        <v/>
      </c>
      <c r="AI230" s="646" t="str">
        <f t="shared" si="85"/>
        <v/>
      </c>
      <c r="AJ230" s="647" t="str">
        <f t="shared" si="86"/>
        <v/>
      </c>
      <c r="AK230" s="647" t="str">
        <f t="shared" si="5"/>
        <v/>
      </c>
      <c r="AL230" s="647" t="str">
        <f t="shared" si="80"/>
        <v/>
      </c>
      <c r="AM230" s="647" t="str">
        <f t="shared" si="77"/>
        <v/>
      </c>
      <c r="AN230" s="647" t="str">
        <f t="shared" si="7"/>
        <v/>
      </c>
      <c r="AO230" s="647" t="str">
        <f t="shared" si="8"/>
        <v/>
      </c>
      <c r="AP230" s="647" t="str">
        <f t="shared" si="9"/>
        <v/>
      </c>
      <c r="AQ230" s="647" t="str">
        <f t="shared" si="78"/>
        <v/>
      </c>
      <c r="AR230" s="647" t="str">
        <f t="shared" si="10"/>
        <v/>
      </c>
      <c r="AS230" s="647" t="str">
        <f t="shared" si="16"/>
        <v/>
      </c>
      <c r="AT230" s="1323" t="str">
        <f t="shared" si="83"/>
        <v/>
      </c>
      <c r="AU230" s="1323" t="str">
        <f t="shared" si="84"/>
        <v/>
      </c>
    </row>
    <row r="231" spans="3:47" s="5" customFormat="1" ht="28.15" hidden="1" customHeight="1" outlineLevel="1">
      <c r="C231" s="649">
        <v>213</v>
      </c>
      <c r="D231" s="1133"/>
      <c r="E231" s="670"/>
      <c r="F231" s="726"/>
      <c r="G231" s="705"/>
      <c r="H231" s="255"/>
      <c r="I231" s="255"/>
      <c r="J231" s="1051"/>
      <c r="K231" s="735"/>
      <c r="L231" s="735"/>
      <c r="M231" s="736"/>
      <c r="N231" s="735"/>
      <c r="O231" s="727"/>
      <c r="P231" s="1321"/>
      <c r="Q231" s="1329"/>
      <c r="R231" s="254"/>
      <c r="S231" s="703"/>
      <c r="T231" s="728"/>
      <c r="U231" s="431"/>
      <c r="V231" s="499"/>
      <c r="W231" s="741"/>
      <c r="X231" s="51"/>
      <c r="Y231" s="51"/>
      <c r="Z231" s="645" t="str">
        <f t="shared" si="1"/>
        <v/>
      </c>
      <c r="AA231" s="1037" t="str">
        <f t="shared" si="81"/>
        <v/>
      </c>
      <c r="AB231" s="1037" t="str">
        <f t="shared" si="82"/>
        <v/>
      </c>
      <c r="AC231" s="1037" t="str">
        <f>IF(Z231="","",VLOOKUP(Z231,リスト!BN:BO,2,0))</f>
        <v/>
      </c>
      <c r="AD231" s="1037" t="str">
        <f t="shared" si="79"/>
        <v/>
      </c>
      <c r="AE231" s="1037" t="str">
        <f>IF(AD231="","",VLOOKUP(AD231,リスト!BW:BX,2,0))</f>
        <v/>
      </c>
      <c r="AF231" s="1037" t="str">
        <f t="shared" si="76"/>
        <v/>
      </c>
      <c r="AG231" s="685" t="str">
        <f t="shared" si="3"/>
        <v/>
      </c>
      <c r="AH231" s="646" t="str">
        <f t="shared" si="4"/>
        <v/>
      </c>
      <c r="AI231" s="646" t="str">
        <f t="shared" si="85"/>
        <v/>
      </c>
      <c r="AJ231" s="647" t="str">
        <f t="shared" si="86"/>
        <v/>
      </c>
      <c r="AK231" s="647" t="str">
        <f t="shared" si="5"/>
        <v/>
      </c>
      <c r="AL231" s="647" t="str">
        <f t="shared" si="80"/>
        <v/>
      </c>
      <c r="AM231" s="647" t="str">
        <f t="shared" si="77"/>
        <v/>
      </c>
      <c r="AN231" s="647" t="str">
        <f t="shared" si="7"/>
        <v/>
      </c>
      <c r="AO231" s="647" t="str">
        <f t="shared" si="8"/>
        <v/>
      </c>
      <c r="AP231" s="647" t="str">
        <f t="shared" si="9"/>
        <v/>
      </c>
      <c r="AQ231" s="647" t="str">
        <f t="shared" si="78"/>
        <v/>
      </c>
      <c r="AR231" s="647" t="str">
        <f t="shared" si="10"/>
        <v/>
      </c>
      <c r="AS231" s="647" t="str">
        <f t="shared" si="16"/>
        <v/>
      </c>
      <c r="AT231" s="1323" t="str">
        <f t="shared" si="83"/>
        <v/>
      </c>
      <c r="AU231" s="1323" t="str">
        <f t="shared" si="84"/>
        <v/>
      </c>
    </row>
    <row r="232" spans="3:47" s="5" customFormat="1" ht="28.15" hidden="1" customHeight="1" outlineLevel="1">
      <c r="C232" s="649">
        <v>214</v>
      </c>
      <c r="D232" s="1133"/>
      <c r="E232" s="670"/>
      <c r="F232" s="726"/>
      <c r="G232" s="705"/>
      <c r="H232" s="255"/>
      <c r="I232" s="255"/>
      <c r="J232" s="1051"/>
      <c r="K232" s="735"/>
      <c r="L232" s="735"/>
      <c r="M232" s="736"/>
      <c r="N232" s="735"/>
      <c r="O232" s="727"/>
      <c r="P232" s="1321"/>
      <c r="Q232" s="1329"/>
      <c r="R232" s="254"/>
      <c r="S232" s="703"/>
      <c r="T232" s="728"/>
      <c r="U232" s="431"/>
      <c r="V232" s="499"/>
      <c r="W232" s="741"/>
      <c r="X232" s="51"/>
      <c r="Y232" s="51"/>
      <c r="Z232" s="645" t="str">
        <f t="shared" si="1"/>
        <v/>
      </c>
      <c r="AA232" s="1037" t="str">
        <f t="shared" si="81"/>
        <v/>
      </c>
      <c r="AB232" s="1037" t="str">
        <f t="shared" si="82"/>
        <v/>
      </c>
      <c r="AC232" s="1037" t="str">
        <f>IF(Z232="","",VLOOKUP(Z232,リスト!BN:BO,2,0))</f>
        <v/>
      </c>
      <c r="AD232" s="1037" t="str">
        <f t="shared" si="79"/>
        <v/>
      </c>
      <c r="AE232" s="1037" t="str">
        <f>IF(AD232="","",VLOOKUP(AD232,リスト!BW:BX,2,0))</f>
        <v/>
      </c>
      <c r="AF232" s="1037" t="str">
        <f t="shared" si="76"/>
        <v/>
      </c>
      <c r="AG232" s="685" t="str">
        <f t="shared" si="3"/>
        <v/>
      </c>
      <c r="AH232" s="646" t="str">
        <f t="shared" si="4"/>
        <v/>
      </c>
      <c r="AI232" s="646" t="str">
        <f t="shared" si="85"/>
        <v/>
      </c>
      <c r="AJ232" s="647" t="str">
        <f t="shared" si="86"/>
        <v/>
      </c>
      <c r="AK232" s="647" t="str">
        <f t="shared" si="5"/>
        <v/>
      </c>
      <c r="AL232" s="647" t="str">
        <f t="shared" si="80"/>
        <v/>
      </c>
      <c r="AM232" s="647" t="str">
        <f t="shared" si="77"/>
        <v/>
      </c>
      <c r="AN232" s="647" t="str">
        <f t="shared" si="7"/>
        <v/>
      </c>
      <c r="AO232" s="647" t="str">
        <f t="shared" si="8"/>
        <v/>
      </c>
      <c r="AP232" s="647" t="str">
        <f t="shared" si="9"/>
        <v/>
      </c>
      <c r="AQ232" s="647" t="str">
        <f t="shared" si="78"/>
        <v/>
      </c>
      <c r="AR232" s="647" t="str">
        <f t="shared" si="10"/>
        <v/>
      </c>
      <c r="AS232" s="647" t="str">
        <f t="shared" si="16"/>
        <v/>
      </c>
      <c r="AT232" s="1323" t="str">
        <f t="shared" si="83"/>
        <v/>
      </c>
      <c r="AU232" s="1323" t="str">
        <f t="shared" si="84"/>
        <v/>
      </c>
    </row>
    <row r="233" spans="3:47" s="5" customFormat="1" ht="28.15" hidden="1" customHeight="1" outlineLevel="1">
      <c r="C233" s="649">
        <v>215</v>
      </c>
      <c r="D233" s="1133"/>
      <c r="E233" s="670"/>
      <c r="F233" s="726"/>
      <c r="G233" s="705"/>
      <c r="H233" s="255"/>
      <c r="I233" s="255"/>
      <c r="J233" s="1051"/>
      <c r="K233" s="735"/>
      <c r="L233" s="735"/>
      <c r="M233" s="736"/>
      <c r="N233" s="735"/>
      <c r="O233" s="727"/>
      <c r="P233" s="1321"/>
      <c r="Q233" s="1329"/>
      <c r="R233" s="254"/>
      <c r="S233" s="703"/>
      <c r="T233" s="728"/>
      <c r="U233" s="431"/>
      <c r="V233" s="499"/>
      <c r="W233" s="741"/>
      <c r="X233" s="51"/>
      <c r="Y233" s="51"/>
      <c r="Z233" s="645" t="str">
        <f t="shared" si="1"/>
        <v/>
      </c>
      <c r="AA233" s="1037" t="str">
        <f t="shared" si="81"/>
        <v/>
      </c>
      <c r="AB233" s="1037" t="str">
        <f t="shared" si="82"/>
        <v/>
      </c>
      <c r="AC233" s="1037" t="str">
        <f>IF(Z233="","",VLOOKUP(Z233,リスト!BN:BO,2,0))</f>
        <v/>
      </c>
      <c r="AD233" s="1037" t="str">
        <f t="shared" si="79"/>
        <v/>
      </c>
      <c r="AE233" s="1037" t="str">
        <f>IF(AD233="","",VLOOKUP(AD233,リスト!BW:BX,2,0))</f>
        <v/>
      </c>
      <c r="AF233" s="1037" t="str">
        <f t="shared" si="76"/>
        <v/>
      </c>
      <c r="AG233" s="685" t="str">
        <f t="shared" si="3"/>
        <v/>
      </c>
      <c r="AH233" s="646" t="str">
        <f t="shared" si="4"/>
        <v/>
      </c>
      <c r="AI233" s="646" t="str">
        <f t="shared" si="85"/>
        <v/>
      </c>
      <c r="AJ233" s="647" t="str">
        <f t="shared" si="86"/>
        <v/>
      </c>
      <c r="AK233" s="647" t="str">
        <f t="shared" si="5"/>
        <v/>
      </c>
      <c r="AL233" s="647" t="str">
        <f t="shared" si="80"/>
        <v/>
      </c>
      <c r="AM233" s="647" t="str">
        <f t="shared" si="77"/>
        <v/>
      </c>
      <c r="AN233" s="647" t="str">
        <f t="shared" si="7"/>
        <v/>
      </c>
      <c r="AO233" s="647" t="str">
        <f t="shared" si="8"/>
        <v/>
      </c>
      <c r="AP233" s="647" t="str">
        <f t="shared" si="9"/>
        <v/>
      </c>
      <c r="AQ233" s="647" t="str">
        <f t="shared" si="78"/>
        <v/>
      </c>
      <c r="AR233" s="647" t="str">
        <f t="shared" si="10"/>
        <v/>
      </c>
      <c r="AS233" s="647" t="str">
        <f t="shared" si="16"/>
        <v/>
      </c>
      <c r="AT233" s="1323" t="str">
        <f t="shared" si="83"/>
        <v/>
      </c>
      <c r="AU233" s="1323" t="str">
        <f t="shared" si="84"/>
        <v/>
      </c>
    </row>
    <row r="234" spans="3:47" s="5" customFormat="1" ht="28.15" hidden="1" customHeight="1" outlineLevel="1">
      <c r="C234" s="649">
        <v>216</v>
      </c>
      <c r="D234" s="1133"/>
      <c r="E234" s="670"/>
      <c r="F234" s="726"/>
      <c r="G234" s="705"/>
      <c r="H234" s="255"/>
      <c r="I234" s="255"/>
      <c r="J234" s="1051"/>
      <c r="K234" s="735"/>
      <c r="L234" s="735"/>
      <c r="M234" s="736"/>
      <c r="N234" s="735"/>
      <c r="O234" s="727"/>
      <c r="P234" s="1321"/>
      <c r="Q234" s="1329"/>
      <c r="R234" s="254"/>
      <c r="S234" s="703"/>
      <c r="T234" s="728"/>
      <c r="U234" s="431"/>
      <c r="V234" s="499"/>
      <c r="W234" s="741"/>
      <c r="X234" s="51"/>
      <c r="Y234" s="51"/>
      <c r="Z234" s="645" t="str">
        <f t="shared" si="1"/>
        <v/>
      </c>
      <c r="AA234" s="1037" t="str">
        <f t="shared" si="81"/>
        <v/>
      </c>
      <c r="AB234" s="1037" t="str">
        <f t="shared" si="82"/>
        <v/>
      </c>
      <c r="AC234" s="1037" t="str">
        <f>IF(Z234="","",VLOOKUP(Z234,リスト!BN:BO,2,0))</f>
        <v/>
      </c>
      <c r="AD234" s="1037" t="str">
        <f t="shared" si="79"/>
        <v/>
      </c>
      <c r="AE234" s="1037" t="str">
        <f>IF(AD234="","",VLOOKUP(AD234,リスト!BW:BX,2,0))</f>
        <v/>
      </c>
      <c r="AF234" s="1037" t="str">
        <f t="shared" si="76"/>
        <v/>
      </c>
      <c r="AG234" s="685" t="str">
        <f t="shared" si="3"/>
        <v/>
      </c>
      <c r="AH234" s="646" t="str">
        <f t="shared" si="4"/>
        <v/>
      </c>
      <c r="AI234" s="646" t="str">
        <f t="shared" si="85"/>
        <v/>
      </c>
      <c r="AJ234" s="647" t="str">
        <f t="shared" si="86"/>
        <v/>
      </c>
      <c r="AK234" s="647" t="str">
        <f t="shared" si="5"/>
        <v/>
      </c>
      <c r="AL234" s="647" t="str">
        <f t="shared" si="80"/>
        <v/>
      </c>
      <c r="AM234" s="647" t="str">
        <f t="shared" si="77"/>
        <v/>
      </c>
      <c r="AN234" s="647" t="str">
        <f t="shared" si="7"/>
        <v/>
      </c>
      <c r="AO234" s="647" t="str">
        <f t="shared" si="8"/>
        <v/>
      </c>
      <c r="AP234" s="647" t="str">
        <f t="shared" si="9"/>
        <v/>
      </c>
      <c r="AQ234" s="647" t="str">
        <f t="shared" si="78"/>
        <v/>
      </c>
      <c r="AR234" s="647" t="str">
        <f t="shared" si="10"/>
        <v/>
      </c>
      <c r="AS234" s="647" t="str">
        <f t="shared" si="16"/>
        <v/>
      </c>
      <c r="AT234" s="1323" t="str">
        <f t="shared" si="83"/>
        <v/>
      </c>
      <c r="AU234" s="1323" t="str">
        <f t="shared" si="84"/>
        <v/>
      </c>
    </row>
    <row r="235" spans="3:47" s="5" customFormat="1" ht="28.15" hidden="1" customHeight="1" outlineLevel="1">
      <c r="C235" s="649">
        <v>217</v>
      </c>
      <c r="D235" s="1133"/>
      <c r="E235" s="670"/>
      <c r="F235" s="726"/>
      <c r="G235" s="705"/>
      <c r="H235" s="255"/>
      <c r="I235" s="255"/>
      <c r="J235" s="1051"/>
      <c r="K235" s="735"/>
      <c r="L235" s="735"/>
      <c r="M235" s="736"/>
      <c r="N235" s="735"/>
      <c r="O235" s="727"/>
      <c r="P235" s="1321"/>
      <c r="Q235" s="1329"/>
      <c r="R235" s="254"/>
      <c r="S235" s="703"/>
      <c r="T235" s="728"/>
      <c r="U235" s="431"/>
      <c r="V235" s="499"/>
      <c r="W235" s="741"/>
      <c r="X235" s="51"/>
      <c r="Y235" s="51"/>
      <c r="Z235" s="645" t="str">
        <f t="shared" si="1"/>
        <v/>
      </c>
      <c r="AA235" s="1037" t="str">
        <f t="shared" si="81"/>
        <v/>
      </c>
      <c r="AB235" s="1037" t="str">
        <f t="shared" si="82"/>
        <v/>
      </c>
      <c r="AC235" s="1037" t="str">
        <f>IF(Z235="","",VLOOKUP(Z235,リスト!BN:BO,2,0))</f>
        <v/>
      </c>
      <c r="AD235" s="1037" t="str">
        <f t="shared" si="79"/>
        <v/>
      </c>
      <c r="AE235" s="1037" t="str">
        <f>IF(AD235="","",VLOOKUP(AD235,リスト!BW:BX,2,0))</f>
        <v/>
      </c>
      <c r="AF235" s="1037" t="str">
        <f t="shared" si="76"/>
        <v/>
      </c>
      <c r="AG235" s="685" t="str">
        <f t="shared" si="3"/>
        <v/>
      </c>
      <c r="AH235" s="646" t="str">
        <f t="shared" si="4"/>
        <v/>
      </c>
      <c r="AI235" s="646" t="str">
        <f t="shared" si="85"/>
        <v/>
      </c>
      <c r="AJ235" s="647" t="str">
        <f t="shared" si="86"/>
        <v/>
      </c>
      <c r="AK235" s="647" t="str">
        <f t="shared" si="5"/>
        <v/>
      </c>
      <c r="AL235" s="647" t="str">
        <f t="shared" si="80"/>
        <v/>
      </c>
      <c r="AM235" s="647" t="str">
        <f t="shared" si="77"/>
        <v/>
      </c>
      <c r="AN235" s="647" t="str">
        <f t="shared" si="7"/>
        <v/>
      </c>
      <c r="AO235" s="647" t="str">
        <f t="shared" si="8"/>
        <v/>
      </c>
      <c r="AP235" s="647" t="str">
        <f t="shared" si="9"/>
        <v/>
      </c>
      <c r="AQ235" s="647" t="str">
        <f t="shared" si="78"/>
        <v/>
      </c>
      <c r="AR235" s="647" t="str">
        <f t="shared" si="10"/>
        <v/>
      </c>
      <c r="AS235" s="647" t="str">
        <f t="shared" si="16"/>
        <v/>
      </c>
      <c r="AT235" s="1323" t="str">
        <f t="shared" si="83"/>
        <v/>
      </c>
      <c r="AU235" s="1323" t="str">
        <f t="shared" si="84"/>
        <v/>
      </c>
    </row>
    <row r="236" spans="3:47" s="5" customFormat="1" ht="28.15" hidden="1" customHeight="1" outlineLevel="1">
      <c r="C236" s="649">
        <v>218</v>
      </c>
      <c r="D236" s="1133"/>
      <c r="E236" s="670"/>
      <c r="F236" s="726"/>
      <c r="G236" s="666"/>
      <c r="H236" s="266"/>
      <c r="I236" s="266"/>
      <c r="J236" s="1049"/>
      <c r="K236" s="727"/>
      <c r="L236" s="727"/>
      <c r="M236" s="727"/>
      <c r="N236" s="727"/>
      <c r="O236" s="727"/>
      <c r="P236" s="1321"/>
      <c r="Q236" s="1329"/>
      <c r="R236" s="254"/>
      <c r="S236" s="703"/>
      <c r="T236" s="728"/>
      <c r="U236" s="431"/>
      <c r="V236" s="499"/>
      <c r="W236" s="741"/>
      <c r="X236" s="51"/>
      <c r="Y236" s="51"/>
      <c r="Z236" s="645" t="str">
        <f t="shared" ref="Z236:Z253" si="87">IF(AND(E236="",F236=""),"","["&amp;RIGHT(LEFT(E236,3),2)&amp;RIGHT(LEFT(F236,2),1)&amp;"]")</f>
        <v/>
      </c>
      <c r="AA236" s="1037" t="str">
        <f t="shared" si="81"/>
        <v/>
      </c>
      <c r="AB236" s="1037" t="str">
        <f t="shared" si="82"/>
        <v/>
      </c>
      <c r="AC236" s="1037" t="str">
        <f>IF(Z236="","",VLOOKUP(Z236,リスト!BN:BO,2,0))</f>
        <v/>
      </c>
      <c r="AD236" s="1037" t="str">
        <f t="shared" si="79"/>
        <v/>
      </c>
      <c r="AE236" s="1037" t="str">
        <f>IF(AD236="","",VLOOKUP(AD236,リスト!BW:BX,2,0))</f>
        <v/>
      </c>
      <c r="AF236" s="1037" t="str">
        <f t="shared" si="76"/>
        <v/>
      </c>
      <c r="AG236" s="685" t="str">
        <f t="shared" ref="AG236:AG253" si="88">IF(OR(Z236="",AA236=1),"",
IF(AND(AD236&gt;0,AF236&lt;AD236,AH236&lt;=ROUND((K236-1)*AE236,0)),ROUND(AH236,0),
IF(AND(AD236&gt;0,AF236&lt;AD236),ROUND((K236-1)*AE236,0),
"")))</f>
        <v/>
      </c>
      <c r="AH236" s="646" t="str">
        <f t="shared" ref="AH236:AH253" si="89">IF(OR(Z236="",AA236=1),"",
IF(AND(AD236&gt;0,AF236&lt;AD236),K236-ROUND((K236-1)*AE236*AF236,0),1
))</f>
        <v/>
      </c>
      <c r="AI236" s="646" t="str">
        <f t="shared" ref="AI236:AI253" si="90">IF(OR(Z236="",AA236=1),"",
IF(S236="",AG236,
IF(S236="2：廃棄等",SUM(AH236,T236),
IF(S236="1：売却",AH236-T236,
IF(AND(T236="",AG236=""),"",SUM(T236,AG236))))))</f>
        <v/>
      </c>
      <c r="AJ236" s="647" t="str">
        <f t="shared" ref="AJ236:AJ253" si="91">IF(AND(AI236="",AG236=""),"",
IF(OR(S236="1：売却",S236="2：廃棄等"),SUM(AI236)-SUM(AG236),""))</f>
        <v/>
      </c>
      <c r="AK236" s="647" t="str">
        <f t="shared" ref="AK236:AK253" si="92">IF(OR(AA236=1,L236=""),"",
IF(AND(AD236&gt;0,L236&gt;0,AF236&lt;AD236),L236-ROUND(L236*AE236*AF236,0),""
))</f>
        <v/>
      </c>
      <c r="AL236" s="647" t="str">
        <f t="shared" si="80"/>
        <v/>
      </c>
      <c r="AM236" s="647" t="str">
        <f t="shared" si="77"/>
        <v/>
      </c>
      <c r="AN236" s="647" t="str">
        <f t="shared" ref="AN236:AN253" si="93">IF(R236="","",IF(AI236="","",ROUND(AI236*R236%,0)))</f>
        <v/>
      </c>
      <c r="AO236" s="647" t="str">
        <f t="shared" ref="AO236:AO253" si="94">IF(R236="","",IF(AJ236="","",ROUND(AJ236*R236%,0)))</f>
        <v/>
      </c>
      <c r="AP236" s="647" t="str">
        <f t="shared" ref="AP236:AP253" si="95">IF(R236="","",IF(AH236="","",ROUND(AH236*R236%,0)))</f>
        <v/>
      </c>
      <c r="AQ236" s="647" t="str">
        <f t="shared" si="78"/>
        <v/>
      </c>
      <c r="AR236" s="647" t="str">
        <f t="shared" ref="AR236:AR253" si="96">IF(R236="","",IF(N236="","",ROUND(N236*R236%,0)))</f>
        <v/>
      </c>
      <c r="AS236" s="647" t="str">
        <f t="shared" ref="AS236:AS253" si="97">IF(R236="","",IF(O236="","",ROUND(O236*R236%,0)))</f>
        <v/>
      </c>
      <c r="AT236" s="1323" t="str">
        <f t="shared" si="83"/>
        <v/>
      </c>
      <c r="AU236" s="1323" t="str">
        <f t="shared" si="84"/>
        <v/>
      </c>
    </row>
    <row r="237" spans="3:47" s="5" customFormat="1" ht="28.15" hidden="1" customHeight="1" outlineLevel="1">
      <c r="C237" s="649">
        <v>219</v>
      </c>
      <c r="D237" s="1134"/>
      <c r="E237" s="729"/>
      <c r="F237" s="726"/>
      <c r="G237" s="705"/>
      <c r="H237" s="257"/>
      <c r="I237" s="257"/>
      <c r="J237" s="1049"/>
      <c r="K237" s="735"/>
      <c r="L237" s="735"/>
      <c r="M237" s="736"/>
      <c r="N237" s="735"/>
      <c r="O237" s="727"/>
      <c r="P237" s="1321"/>
      <c r="Q237" s="1329"/>
      <c r="R237" s="254"/>
      <c r="S237" s="703"/>
      <c r="T237" s="728"/>
      <c r="U237" s="431"/>
      <c r="V237" s="499"/>
      <c r="W237" s="741"/>
      <c r="X237" s="51"/>
      <c r="Y237" s="51"/>
      <c r="Z237" s="645" t="str">
        <f t="shared" si="87"/>
        <v/>
      </c>
      <c r="AA237" s="1037" t="str">
        <f t="shared" si="81"/>
        <v/>
      </c>
      <c r="AB237" s="1037" t="str">
        <f t="shared" si="82"/>
        <v/>
      </c>
      <c r="AC237" s="1037" t="str">
        <f>IF(Z237="","",VLOOKUP(Z237,リスト!BN:BO,2,0))</f>
        <v/>
      </c>
      <c r="AD237" s="1037" t="str">
        <f t="shared" si="79"/>
        <v/>
      </c>
      <c r="AE237" s="1037" t="str">
        <f>IF(AD237="","",VLOOKUP(AD237,リスト!BW:BX,2,0))</f>
        <v/>
      </c>
      <c r="AF237" s="1037" t="str">
        <f t="shared" si="76"/>
        <v/>
      </c>
      <c r="AG237" s="685" t="str">
        <f t="shared" si="88"/>
        <v/>
      </c>
      <c r="AH237" s="646" t="str">
        <f t="shared" si="89"/>
        <v/>
      </c>
      <c r="AI237" s="646" t="str">
        <f t="shared" si="90"/>
        <v/>
      </c>
      <c r="AJ237" s="647" t="str">
        <f t="shared" si="91"/>
        <v/>
      </c>
      <c r="AK237" s="647" t="str">
        <f t="shared" si="92"/>
        <v/>
      </c>
      <c r="AL237" s="647" t="str">
        <f t="shared" si="80"/>
        <v/>
      </c>
      <c r="AM237" s="647" t="str">
        <f t="shared" si="77"/>
        <v/>
      </c>
      <c r="AN237" s="647" t="str">
        <f t="shared" si="93"/>
        <v/>
      </c>
      <c r="AO237" s="647" t="str">
        <f t="shared" si="94"/>
        <v/>
      </c>
      <c r="AP237" s="647" t="str">
        <f t="shared" si="95"/>
        <v/>
      </c>
      <c r="AQ237" s="647" t="str">
        <f t="shared" si="78"/>
        <v/>
      </c>
      <c r="AR237" s="647" t="str">
        <f t="shared" si="96"/>
        <v/>
      </c>
      <c r="AS237" s="647" t="str">
        <f t="shared" si="97"/>
        <v/>
      </c>
      <c r="AT237" s="1323" t="str">
        <f t="shared" si="83"/>
        <v/>
      </c>
      <c r="AU237" s="1323" t="str">
        <f t="shared" si="84"/>
        <v/>
      </c>
    </row>
    <row r="238" spans="3:47" s="5" customFormat="1" ht="28.15" hidden="1" customHeight="1" outlineLevel="1">
      <c r="C238" s="649">
        <v>220</v>
      </c>
      <c r="D238" s="1133"/>
      <c r="E238" s="670"/>
      <c r="F238" s="726"/>
      <c r="G238" s="705"/>
      <c r="H238" s="255"/>
      <c r="I238" s="255"/>
      <c r="J238" s="1049"/>
      <c r="K238" s="735"/>
      <c r="L238" s="735"/>
      <c r="M238" s="736"/>
      <c r="N238" s="735"/>
      <c r="O238" s="727"/>
      <c r="P238" s="1321"/>
      <c r="Q238" s="1329"/>
      <c r="R238" s="254"/>
      <c r="S238" s="703"/>
      <c r="T238" s="728"/>
      <c r="U238" s="431"/>
      <c r="V238" s="499"/>
      <c r="W238" s="741"/>
      <c r="X238" s="51"/>
      <c r="Y238" s="51"/>
      <c r="Z238" s="645" t="str">
        <f t="shared" si="87"/>
        <v/>
      </c>
      <c r="AA238" s="1037" t="str">
        <f t="shared" si="81"/>
        <v/>
      </c>
      <c r="AB238" s="1037" t="str">
        <f t="shared" si="82"/>
        <v/>
      </c>
      <c r="AC238" s="1037" t="str">
        <f>IF(Z238="","",VLOOKUP(Z238,リスト!BN:BO,2,0))</f>
        <v/>
      </c>
      <c r="AD238" s="1037" t="str">
        <f t="shared" si="79"/>
        <v/>
      </c>
      <c r="AE238" s="1037" t="str">
        <f>IF(AD238="","",VLOOKUP(AD238,リスト!BW:BX,2,0))</f>
        <v/>
      </c>
      <c r="AF238" s="1037" t="str">
        <f t="shared" si="76"/>
        <v/>
      </c>
      <c r="AG238" s="685" t="str">
        <f t="shared" si="88"/>
        <v/>
      </c>
      <c r="AH238" s="646" t="str">
        <f t="shared" si="89"/>
        <v/>
      </c>
      <c r="AI238" s="646" t="str">
        <f t="shared" si="90"/>
        <v/>
      </c>
      <c r="AJ238" s="647" t="str">
        <f t="shared" si="91"/>
        <v/>
      </c>
      <c r="AK238" s="647" t="str">
        <f t="shared" si="92"/>
        <v/>
      </c>
      <c r="AL238" s="647" t="str">
        <f t="shared" si="80"/>
        <v/>
      </c>
      <c r="AM238" s="647" t="str">
        <f t="shared" si="77"/>
        <v/>
      </c>
      <c r="AN238" s="647" t="str">
        <f t="shared" si="93"/>
        <v/>
      </c>
      <c r="AO238" s="647" t="str">
        <f t="shared" si="94"/>
        <v/>
      </c>
      <c r="AP238" s="647" t="str">
        <f t="shared" si="95"/>
        <v/>
      </c>
      <c r="AQ238" s="647" t="str">
        <f t="shared" si="78"/>
        <v/>
      </c>
      <c r="AR238" s="647" t="str">
        <f t="shared" si="96"/>
        <v/>
      </c>
      <c r="AS238" s="647" t="str">
        <f t="shared" si="97"/>
        <v/>
      </c>
      <c r="AT238" s="1323" t="str">
        <f t="shared" si="83"/>
        <v/>
      </c>
      <c r="AU238" s="1323" t="str">
        <f t="shared" si="84"/>
        <v/>
      </c>
    </row>
    <row r="239" spans="3:47" s="5" customFormat="1" ht="28.15" hidden="1" customHeight="1" outlineLevel="1">
      <c r="C239" s="649">
        <v>221</v>
      </c>
      <c r="D239" s="1134"/>
      <c r="E239" s="729"/>
      <c r="F239" s="726"/>
      <c r="G239" s="705"/>
      <c r="H239" s="257"/>
      <c r="I239" s="257"/>
      <c r="J239" s="1049"/>
      <c r="K239" s="735"/>
      <c r="L239" s="735"/>
      <c r="M239" s="736"/>
      <c r="N239" s="735"/>
      <c r="O239" s="727"/>
      <c r="P239" s="1321"/>
      <c r="Q239" s="1329"/>
      <c r="R239" s="254"/>
      <c r="S239" s="703"/>
      <c r="T239" s="728"/>
      <c r="U239" s="431"/>
      <c r="V239" s="499"/>
      <c r="W239" s="741"/>
      <c r="X239" s="51"/>
      <c r="Y239" s="51"/>
      <c r="Z239" s="645" t="str">
        <f t="shared" si="87"/>
        <v/>
      </c>
      <c r="AA239" s="1037" t="str">
        <f t="shared" si="81"/>
        <v/>
      </c>
      <c r="AB239" s="1037" t="str">
        <f t="shared" si="82"/>
        <v/>
      </c>
      <c r="AC239" s="1037" t="str">
        <f>IF(Z239="","",VLOOKUP(Z239,リスト!BN:BO,2,0))</f>
        <v/>
      </c>
      <c r="AD239" s="1037" t="str">
        <f t="shared" si="79"/>
        <v/>
      </c>
      <c r="AE239" s="1037" t="str">
        <f>IF(AD239="","",VLOOKUP(AD239,リスト!BW:BX,2,0))</f>
        <v/>
      </c>
      <c r="AF239" s="1037" t="str">
        <f t="shared" si="76"/>
        <v/>
      </c>
      <c r="AG239" s="685" t="str">
        <f t="shared" si="88"/>
        <v/>
      </c>
      <c r="AH239" s="646" t="str">
        <f t="shared" si="89"/>
        <v/>
      </c>
      <c r="AI239" s="646" t="str">
        <f t="shared" si="90"/>
        <v/>
      </c>
      <c r="AJ239" s="647" t="str">
        <f t="shared" si="91"/>
        <v/>
      </c>
      <c r="AK239" s="647" t="str">
        <f t="shared" si="92"/>
        <v/>
      </c>
      <c r="AL239" s="647" t="str">
        <f t="shared" si="80"/>
        <v/>
      </c>
      <c r="AM239" s="647" t="str">
        <f t="shared" si="77"/>
        <v/>
      </c>
      <c r="AN239" s="647" t="str">
        <f t="shared" si="93"/>
        <v/>
      </c>
      <c r="AO239" s="647" t="str">
        <f t="shared" si="94"/>
        <v/>
      </c>
      <c r="AP239" s="647" t="str">
        <f t="shared" si="95"/>
        <v/>
      </c>
      <c r="AQ239" s="647" t="str">
        <f t="shared" si="78"/>
        <v/>
      </c>
      <c r="AR239" s="647" t="str">
        <f t="shared" si="96"/>
        <v/>
      </c>
      <c r="AS239" s="647" t="str">
        <f t="shared" si="97"/>
        <v/>
      </c>
      <c r="AT239" s="1323" t="str">
        <f t="shared" si="83"/>
        <v/>
      </c>
      <c r="AU239" s="1323" t="str">
        <f t="shared" si="84"/>
        <v/>
      </c>
    </row>
    <row r="240" spans="3:47" s="5" customFormat="1" ht="28.15" hidden="1" customHeight="1" outlineLevel="1">
      <c r="C240" s="649">
        <v>222</v>
      </c>
      <c r="D240" s="1133"/>
      <c r="E240" s="670"/>
      <c r="F240" s="726"/>
      <c r="G240" s="705"/>
      <c r="H240" s="255"/>
      <c r="I240" s="255"/>
      <c r="J240" s="1049"/>
      <c r="K240" s="735"/>
      <c r="L240" s="735"/>
      <c r="M240" s="736"/>
      <c r="N240" s="735"/>
      <c r="O240" s="727"/>
      <c r="P240" s="1321"/>
      <c r="Q240" s="1329"/>
      <c r="R240" s="254"/>
      <c r="S240" s="703"/>
      <c r="T240" s="728"/>
      <c r="U240" s="431"/>
      <c r="V240" s="499"/>
      <c r="W240" s="741"/>
      <c r="X240" s="51"/>
      <c r="Y240" s="51"/>
      <c r="Z240" s="645" t="str">
        <f t="shared" si="87"/>
        <v/>
      </c>
      <c r="AA240" s="1037" t="str">
        <f t="shared" si="81"/>
        <v/>
      </c>
      <c r="AB240" s="1037" t="str">
        <f t="shared" si="82"/>
        <v/>
      </c>
      <c r="AC240" s="1037" t="str">
        <f>IF(Z240="","",VLOOKUP(Z240,リスト!BN:BO,2,0))</f>
        <v/>
      </c>
      <c r="AD240" s="1037" t="str">
        <f t="shared" si="79"/>
        <v/>
      </c>
      <c r="AE240" s="1037" t="str">
        <f>IF(AD240="","",VLOOKUP(AD240,リスト!BW:BX,2,0))</f>
        <v/>
      </c>
      <c r="AF240" s="1037" t="str">
        <f t="shared" si="76"/>
        <v/>
      </c>
      <c r="AG240" s="685" t="str">
        <f t="shared" si="88"/>
        <v/>
      </c>
      <c r="AH240" s="646" t="str">
        <f t="shared" si="89"/>
        <v/>
      </c>
      <c r="AI240" s="646" t="str">
        <f t="shared" si="90"/>
        <v/>
      </c>
      <c r="AJ240" s="647" t="str">
        <f t="shared" si="91"/>
        <v/>
      </c>
      <c r="AK240" s="647" t="str">
        <f t="shared" si="92"/>
        <v/>
      </c>
      <c r="AL240" s="647" t="str">
        <f t="shared" si="80"/>
        <v/>
      </c>
      <c r="AM240" s="647" t="str">
        <f t="shared" si="77"/>
        <v/>
      </c>
      <c r="AN240" s="647" t="str">
        <f t="shared" si="93"/>
        <v/>
      </c>
      <c r="AO240" s="647" t="str">
        <f t="shared" si="94"/>
        <v/>
      </c>
      <c r="AP240" s="647" t="str">
        <f t="shared" si="95"/>
        <v/>
      </c>
      <c r="AQ240" s="647" t="str">
        <f t="shared" si="78"/>
        <v/>
      </c>
      <c r="AR240" s="647" t="str">
        <f t="shared" si="96"/>
        <v/>
      </c>
      <c r="AS240" s="647" t="str">
        <f t="shared" si="97"/>
        <v/>
      </c>
      <c r="AT240" s="1323" t="str">
        <f t="shared" si="83"/>
        <v/>
      </c>
      <c r="AU240" s="1323" t="str">
        <f t="shared" si="84"/>
        <v/>
      </c>
    </row>
    <row r="241" spans="3:47" s="5" customFormat="1" ht="28.15" hidden="1" customHeight="1" outlineLevel="1">
      <c r="C241" s="649">
        <v>223</v>
      </c>
      <c r="D241" s="1134"/>
      <c r="E241" s="729"/>
      <c r="F241" s="726"/>
      <c r="G241" s="705"/>
      <c r="H241" s="257"/>
      <c r="I241" s="257"/>
      <c r="J241" s="1049"/>
      <c r="K241" s="735"/>
      <c r="L241" s="735"/>
      <c r="M241" s="736"/>
      <c r="N241" s="735"/>
      <c r="O241" s="727"/>
      <c r="P241" s="1321"/>
      <c r="Q241" s="1329"/>
      <c r="R241" s="254"/>
      <c r="S241" s="703"/>
      <c r="T241" s="728"/>
      <c r="U241" s="431"/>
      <c r="V241" s="499"/>
      <c r="W241" s="741"/>
      <c r="X241" s="51"/>
      <c r="Y241" s="51"/>
      <c r="Z241" s="645" t="str">
        <f t="shared" si="87"/>
        <v/>
      </c>
      <c r="AA241" s="1037" t="str">
        <f t="shared" si="81"/>
        <v/>
      </c>
      <c r="AB241" s="1037" t="str">
        <f t="shared" si="82"/>
        <v/>
      </c>
      <c r="AC241" s="1037" t="str">
        <f>IF(Z241="","",VLOOKUP(Z241,リスト!BN:BO,2,0))</f>
        <v/>
      </c>
      <c r="AD241" s="1037" t="str">
        <f t="shared" si="79"/>
        <v/>
      </c>
      <c r="AE241" s="1037" t="str">
        <f>IF(AD241="","",VLOOKUP(AD241,リスト!BW:BX,2,0))</f>
        <v/>
      </c>
      <c r="AF241" s="1037" t="str">
        <f t="shared" si="76"/>
        <v/>
      </c>
      <c r="AG241" s="685" t="str">
        <f t="shared" si="88"/>
        <v/>
      </c>
      <c r="AH241" s="646" t="str">
        <f t="shared" si="89"/>
        <v/>
      </c>
      <c r="AI241" s="646" t="str">
        <f t="shared" si="90"/>
        <v/>
      </c>
      <c r="AJ241" s="647" t="str">
        <f t="shared" si="91"/>
        <v/>
      </c>
      <c r="AK241" s="647" t="str">
        <f t="shared" si="92"/>
        <v/>
      </c>
      <c r="AL241" s="647" t="str">
        <f t="shared" si="80"/>
        <v/>
      </c>
      <c r="AM241" s="647" t="str">
        <f t="shared" si="77"/>
        <v/>
      </c>
      <c r="AN241" s="647" t="str">
        <f t="shared" si="93"/>
        <v/>
      </c>
      <c r="AO241" s="647" t="str">
        <f t="shared" si="94"/>
        <v/>
      </c>
      <c r="AP241" s="647" t="str">
        <f t="shared" si="95"/>
        <v/>
      </c>
      <c r="AQ241" s="647" t="str">
        <f t="shared" si="78"/>
        <v/>
      </c>
      <c r="AR241" s="647" t="str">
        <f t="shared" si="96"/>
        <v/>
      </c>
      <c r="AS241" s="647" t="str">
        <f t="shared" si="97"/>
        <v/>
      </c>
      <c r="AT241" s="1323" t="str">
        <f t="shared" si="83"/>
        <v/>
      </c>
      <c r="AU241" s="1323" t="str">
        <f t="shared" si="84"/>
        <v/>
      </c>
    </row>
    <row r="242" spans="3:47" s="5" customFormat="1" ht="28.15" hidden="1" customHeight="1" outlineLevel="1">
      <c r="C242" s="649">
        <v>224</v>
      </c>
      <c r="D242" s="1133"/>
      <c r="E242" s="670"/>
      <c r="F242" s="726"/>
      <c r="G242" s="705"/>
      <c r="H242" s="255"/>
      <c r="I242" s="255"/>
      <c r="J242" s="1049"/>
      <c r="K242" s="735"/>
      <c r="L242" s="735"/>
      <c r="M242" s="736"/>
      <c r="N242" s="735"/>
      <c r="O242" s="727"/>
      <c r="P242" s="1321"/>
      <c r="Q242" s="1329"/>
      <c r="R242" s="254"/>
      <c r="S242" s="703"/>
      <c r="T242" s="728"/>
      <c r="U242" s="431"/>
      <c r="V242" s="499"/>
      <c r="W242" s="741"/>
      <c r="X242" s="51"/>
      <c r="Y242" s="51"/>
      <c r="Z242" s="645" t="str">
        <f t="shared" si="87"/>
        <v/>
      </c>
      <c r="AA242" s="1037" t="str">
        <f t="shared" si="81"/>
        <v/>
      </c>
      <c r="AB242" s="1037" t="str">
        <f t="shared" si="82"/>
        <v/>
      </c>
      <c r="AC242" s="1037" t="str">
        <f>IF(Z242="","",VLOOKUP(Z242,リスト!BN:BO,2,0))</f>
        <v/>
      </c>
      <c r="AD242" s="1037" t="str">
        <f t="shared" si="79"/>
        <v/>
      </c>
      <c r="AE242" s="1037" t="str">
        <f>IF(AD242="","",VLOOKUP(AD242,リスト!BW:BX,2,0))</f>
        <v/>
      </c>
      <c r="AF242" s="1037" t="str">
        <f t="shared" si="76"/>
        <v/>
      </c>
      <c r="AG242" s="685" t="str">
        <f t="shared" si="88"/>
        <v/>
      </c>
      <c r="AH242" s="646" t="str">
        <f t="shared" si="89"/>
        <v/>
      </c>
      <c r="AI242" s="646" t="str">
        <f t="shared" si="90"/>
        <v/>
      </c>
      <c r="AJ242" s="647" t="str">
        <f t="shared" si="91"/>
        <v/>
      </c>
      <c r="AK242" s="647" t="str">
        <f t="shared" si="92"/>
        <v/>
      </c>
      <c r="AL242" s="647" t="str">
        <f t="shared" si="80"/>
        <v/>
      </c>
      <c r="AM242" s="647" t="str">
        <f t="shared" si="77"/>
        <v/>
      </c>
      <c r="AN242" s="647" t="str">
        <f t="shared" si="93"/>
        <v/>
      </c>
      <c r="AO242" s="647" t="str">
        <f t="shared" si="94"/>
        <v/>
      </c>
      <c r="AP242" s="647" t="str">
        <f t="shared" si="95"/>
        <v/>
      </c>
      <c r="AQ242" s="647" t="str">
        <f t="shared" si="78"/>
        <v/>
      </c>
      <c r="AR242" s="647" t="str">
        <f t="shared" si="96"/>
        <v/>
      </c>
      <c r="AS242" s="647" t="str">
        <f t="shared" si="97"/>
        <v/>
      </c>
      <c r="AT242" s="1323" t="str">
        <f t="shared" si="83"/>
        <v/>
      </c>
      <c r="AU242" s="1323" t="str">
        <f t="shared" si="84"/>
        <v/>
      </c>
    </row>
    <row r="243" spans="3:47" s="5" customFormat="1" ht="28.15" hidden="1" customHeight="1" outlineLevel="1">
      <c r="C243" s="649">
        <v>225</v>
      </c>
      <c r="D243" s="1134"/>
      <c r="E243" s="729"/>
      <c r="F243" s="726"/>
      <c r="G243" s="705"/>
      <c r="H243" s="257"/>
      <c r="I243" s="257"/>
      <c r="J243" s="1049"/>
      <c r="K243" s="735"/>
      <c r="L243" s="735"/>
      <c r="M243" s="736"/>
      <c r="N243" s="735"/>
      <c r="O243" s="727"/>
      <c r="P243" s="1321"/>
      <c r="Q243" s="1329"/>
      <c r="R243" s="254"/>
      <c r="S243" s="703"/>
      <c r="T243" s="728"/>
      <c r="U243" s="431"/>
      <c r="V243" s="499"/>
      <c r="W243" s="741"/>
      <c r="X243" s="51"/>
      <c r="Y243" s="51"/>
      <c r="Z243" s="645" t="str">
        <f t="shared" si="87"/>
        <v/>
      </c>
      <c r="AA243" s="1037" t="str">
        <f t="shared" si="81"/>
        <v/>
      </c>
      <c r="AB243" s="1037" t="str">
        <f t="shared" si="82"/>
        <v/>
      </c>
      <c r="AC243" s="1037" t="str">
        <f>IF(Z243="","",VLOOKUP(Z243,リスト!BN:BO,2,0))</f>
        <v/>
      </c>
      <c r="AD243" s="1037" t="str">
        <f t="shared" si="79"/>
        <v/>
      </c>
      <c r="AE243" s="1037" t="str">
        <f>IF(AD243="","",VLOOKUP(AD243,リスト!BW:BX,2,0))</f>
        <v/>
      </c>
      <c r="AF243" s="1037" t="str">
        <f t="shared" si="76"/>
        <v/>
      </c>
      <c r="AG243" s="685" t="str">
        <f t="shared" si="88"/>
        <v/>
      </c>
      <c r="AH243" s="646" t="str">
        <f t="shared" si="89"/>
        <v/>
      </c>
      <c r="AI243" s="646" t="str">
        <f t="shared" si="90"/>
        <v/>
      </c>
      <c r="AJ243" s="647" t="str">
        <f t="shared" si="91"/>
        <v/>
      </c>
      <c r="AK243" s="647" t="str">
        <f t="shared" si="92"/>
        <v/>
      </c>
      <c r="AL243" s="647" t="str">
        <f t="shared" si="80"/>
        <v/>
      </c>
      <c r="AM243" s="647" t="str">
        <f t="shared" si="77"/>
        <v/>
      </c>
      <c r="AN243" s="647" t="str">
        <f t="shared" si="93"/>
        <v/>
      </c>
      <c r="AO243" s="647" t="str">
        <f t="shared" si="94"/>
        <v/>
      </c>
      <c r="AP243" s="647" t="str">
        <f t="shared" si="95"/>
        <v/>
      </c>
      <c r="AQ243" s="647" t="str">
        <f t="shared" si="78"/>
        <v/>
      </c>
      <c r="AR243" s="647" t="str">
        <f t="shared" si="96"/>
        <v/>
      </c>
      <c r="AS243" s="647" t="str">
        <f t="shared" si="97"/>
        <v/>
      </c>
      <c r="AT243" s="1323" t="str">
        <f t="shared" si="83"/>
        <v/>
      </c>
      <c r="AU243" s="1323" t="str">
        <f t="shared" si="84"/>
        <v/>
      </c>
    </row>
    <row r="244" spans="3:47" s="5" customFormat="1" ht="28.15" hidden="1" customHeight="1" outlineLevel="1">
      <c r="C244" s="649">
        <v>226</v>
      </c>
      <c r="D244" s="1133"/>
      <c r="E244" s="670"/>
      <c r="F244" s="726"/>
      <c r="G244" s="705"/>
      <c r="H244" s="255"/>
      <c r="I244" s="255"/>
      <c r="J244" s="1049"/>
      <c r="K244" s="735"/>
      <c r="L244" s="735"/>
      <c r="M244" s="736"/>
      <c r="N244" s="735"/>
      <c r="O244" s="727"/>
      <c r="P244" s="1321"/>
      <c r="Q244" s="1329"/>
      <c r="R244" s="254"/>
      <c r="S244" s="703"/>
      <c r="T244" s="728"/>
      <c r="U244" s="431"/>
      <c r="V244" s="499"/>
      <c r="W244" s="741"/>
      <c r="X244" s="51"/>
      <c r="Y244" s="51"/>
      <c r="Z244" s="645" t="str">
        <f t="shared" si="87"/>
        <v/>
      </c>
      <c r="AA244" s="1037" t="str">
        <f t="shared" si="81"/>
        <v/>
      </c>
      <c r="AB244" s="1037" t="str">
        <f t="shared" si="82"/>
        <v/>
      </c>
      <c r="AC244" s="1037" t="str">
        <f>IF(Z244="","",VLOOKUP(Z244,リスト!BN:BO,2,0))</f>
        <v/>
      </c>
      <c r="AD244" s="1037" t="str">
        <f t="shared" si="79"/>
        <v/>
      </c>
      <c r="AE244" s="1037" t="str">
        <f>IF(AD244="","",VLOOKUP(AD244,リスト!BW:BX,2,0))</f>
        <v/>
      </c>
      <c r="AF244" s="1037" t="str">
        <f t="shared" si="76"/>
        <v/>
      </c>
      <c r="AG244" s="685" t="str">
        <f t="shared" si="88"/>
        <v/>
      </c>
      <c r="AH244" s="646" t="str">
        <f t="shared" si="89"/>
        <v/>
      </c>
      <c r="AI244" s="646" t="str">
        <f t="shared" si="90"/>
        <v/>
      </c>
      <c r="AJ244" s="647" t="str">
        <f t="shared" si="91"/>
        <v/>
      </c>
      <c r="AK244" s="647" t="str">
        <f t="shared" si="92"/>
        <v/>
      </c>
      <c r="AL244" s="647" t="str">
        <f t="shared" si="80"/>
        <v/>
      </c>
      <c r="AM244" s="647" t="str">
        <f t="shared" si="77"/>
        <v/>
      </c>
      <c r="AN244" s="647" t="str">
        <f t="shared" si="93"/>
        <v/>
      </c>
      <c r="AO244" s="647" t="str">
        <f t="shared" si="94"/>
        <v/>
      </c>
      <c r="AP244" s="647" t="str">
        <f t="shared" si="95"/>
        <v/>
      </c>
      <c r="AQ244" s="647" t="str">
        <f t="shared" si="78"/>
        <v/>
      </c>
      <c r="AR244" s="647" t="str">
        <f t="shared" si="96"/>
        <v/>
      </c>
      <c r="AS244" s="647" t="str">
        <f t="shared" si="97"/>
        <v/>
      </c>
      <c r="AT244" s="1323" t="str">
        <f t="shared" si="83"/>
        <v/>
      </c>
      <c r="AU244" s="1323" t="str">
        <f t="shared" si="84"/>
        <v/>
      </c>
    </row>
    <row r="245" spans="3:47" s="5" customFormat="1" ht="28.15" hidden="1" customHeight="1" outlineLevel="1">
      <c r="C245" s="649">
        <v>227</v>
      </c>
      <c r="D245" s="1134"/>
      <c r="E245" s="729"/>
      <c r="F245" s="726"/>
      <c r="G245" s="705"/>
      <c r="H245" s="257"/>
      <c r="I245" s="257"/>
      <c r="J245" s="1049"/>
      <c r="K245" s="735"/>
      <c r="L245" s="735"/>
      <c r="M245" s="736"/>
      <c r="N245" s="735"/>
      <c r="O245" s="727"/>
      <c r="P245" s="1321"/>
      <c r="Q245" s="1329"/>
      <c r="R245" s="254"/>
      <c r="S245" s="703"/>
      <c r="T245" s="728"/>
      <c r="U245" s="431"/>
      <c r="V245" s="499"/>
      <c r="W245" s="741"/>
      <c r="X245" s="51"/>
      <c r="Y245" s="51"/>
      <c r="Z245" s="645" t="str">
        <f t="shared" si="87"/>
        <v/>
      </c>
      <c r="AA245" s="1037" t="str">
        <f t="shared" si="81"/>
        <v/>
      </c>
      <c r="AB245" s="1037" t="str">
        <f t="shared" si="82"/>
        <v/>
      </c>
      <c r="AC245" s="1037" t="str">
        <f>IF(Z245="","",VLOOKUP(Z245,リスト!BN:BO,2,0))</f>
        <v/>
      </c>
      <c r="AD245" s="1037" t="str">
        <f t="shared" si="79"/>
        <v/>
      </c>
      <c r="AE245" s="1037" t="str">
        <f>IF(AD245="","",VLOOKUP(AD245,リスト!BW:BX,2,0))</f>
        <v/>
      </c>
      <c r="AF245" s="1037" t="str">
        <f t="shared" si="76"/>
        <v/>
      </c>
      <c r="AG245" s="685" t="str">
        <f t="shared" si="88"/>
        <v/>
      </c>
      <c r="AH245" s="646" t="str">
        <f t="shared" si="89"/>
        <v/>
      </c>
      <c r="AI245" s="646" t="str">
        <f t="shared" si="90"/>
        <v/>
      </c>
      <c r="AJ245" s="647" t="str">
        <f t="shared" si="91"/>
        <v/>
      </c>
      <c r="AK245" s="647" t="str">
        <f t="shared" si="92"/>
        <v/>
      </c>
      <c r="AL245" s="647" t="str">
        <f t="shared" si="80"/>
        <v/>
      </c>
      <c r="AM245" s="647" t="str">
        <f t="shared" si="77"/>
        <v/>
      </c>
      <c r="AN245" s="647" t="str">
        <f t="shared" si="93"/>
        <v/>
      </c>
      <c r="AO245" s="647" t="str">
        <f t="shared" si="94"/>
        <v/>
      </c>
      <c r="AP245" s="647" t="str">
        <f t="shared" si="95"/>
        <v/>
      </c>
      <c r="AQ245" s="647" t="str">
        <f t="shared" si="78"/>
        <v/>
      </c>
      <c r="AR245" s="647" t="str">
        <f t="shared" si="96"/>
        <v/>
      </c>
      <c r="AS245" s="647" t="str">
        <f t="shared" si="97"/>
        <v/>
      </c>
      <c r="AT245" s="1323" t="str">
        <f t="shared" si="83"/>
        <v/>
      </c>
      <c r="AU245" s="1323" t="str">
        <f t="shared" si="84"/>
        <v/>
      </c>
    </row>
    <row r="246" spans="3:47" s="5" customFormat="1" ht="28.15" hidden="1" customHeight="1" outlineLevel="1">
      <c r="C246" s="649">
        <v>228</v>
      </c>
      <c r="D246" s="1133"/>
      <c r="E246" s="670"/>
      <c r="F246" s="726"/>
      <c r="G246" s="705"/>
      <c r="H246" s="255"/>
      <c r="I246" s="255"/>
      <c r="J246" s="1049"/>
      <c r="K246" s="735"/>
      <c r="L246" s="735"/>
      <c r="M246" s="736"/>
      <c r="N246" s="735"/>
      <c r="O246" s="727"/>
      <c r="P246" s="1321"/>
      <c r="Q246" s="1329"/>
      <c r="R246" s="254"/>
      <c r="S246" s="703"/>
      <c r="T246" s="728"/>
      <c r="U246" s="431"/>
      <c r="V246" s="499"/>
      <c r="W246" s="741"/>
      <c r="X246" s="51"/>
      <c r="Y246" s="51"/>
      <c r="Z246" s="645" t="str">
        <f t="shared" si="87"/>
        <v/>
      </c>
      <c r="AA246" s="1037" t="str">
        <f t="shared" si="81"/>
        <v/>
      </c>
      <c r="AB246" s="1037" t="str">
        <f t="shared" si="82"/>
        <v/>
      </c>
      <c r="AC246" s="1037" t="str">
        <f>IF(Z246="","",VLOOKUP(Z246,リスト!BN:BO,2,0))</f>
        <v/>
      </c>
      <c r="AD246" s="1037" t="str">
        <f t="shared" si="79"/>
        <v/>
      </c>
      <c r="AE246" s="1037" t="str">
        <f>IF(AD246="","",VLOOKUP(AD246,リスト!BW:BX,2,0))</f>
        <v/>
      </c>
      <c r="AF246" s="1037" t="str">
        <f t="shared" si="76"/>
        <v/>
      </c>
      <c r="AG246" s="685" t="str">
        <f t="shared" si="88"/>
        <v/>
      </c>
      <c r="AH246" s="646" t="str">
        <f t="shared" si="89"/>
        <v/>
      </c>
      <c r="AI246" s="646" t="str">
        <f t="shared" si="90"/>
        <v/>
      </c>
      <c r="AJ246" s="647" t="str">
        <f t="shared" si="91"/>
        <v/>
      </c>
      <c r="AK246" s="647" t="str">
        <f t="shared" si="92"/>
        <v/>
      </c>
      <c r="AL246" s="647" t="str">
        <f t="shared" si="80"/>
        <v/>
      </c>
      <c r="AM246" s="647" t="str">
        <f t="shared" si="77"/>
        <v/>
      </c>
      <c r="AN246" s="647" t="str">
        <f t="shared" si="93"/>
        <v/>
      </c>
      <c r="AO246" s="647" t="str">
        <f t="shared" si="94"/>
        <v/>
      </c>
      <c r="AP246" s="647" t="str">
        <f t="shared" si="95"/>
        <v/>
      </c>
      <c r="AQ246" s="647" t="str">
        <f t="shared" si="78"/>
        <v/>
      </c>
      <c r="AR246" s="647" t="str">
        <f t="shared" si="96"/>
        <v/>
      </c>
      <c r="AS246" s="647" t="str">
        <f t="shared" si="97"/>
        <v/>
      </c>
      <c r="AT246" s="1323" t="str">
        <f t="shared" si="83"/>
        <v/>
      </c>
      <c r="AU246" s="1323" t="str">
        <f t="shared" si="84"/>
        <v/>
      </c>
    </row>
    <row r="247" spans="3:47" s="5" customFormat="1" ht="28.15" hidden="1" customHeight="1" outlineLevel="1">
      <c r="C247" s="649">
        <v>229</v>
      </c>
      <c r="D247" s="1134"/>
      <c r="E247" s="729"/>
      <c r="F247" s="726"/>
      <c r="G247" s="705"/>
      <c r="H247" s="257"/>
      <c r="I247" s="257"/>
      <c r="J247" s="1050"/>
      <c r="K247" s="735"/>
      <c r="L247" s="735"/>
      <c r="M247" s="736"/>
      <c r="N247" s="735"/>
      <c r="O247" s="727"/>
      <c r="P247" s="1321"/>
      <c r="Q247" s="1329"/>
      <c r="R247" s="254"/>
      <c r="S247" s="703"/>
      <c r="T247" s="728"/>
      <c r="U247" s="431"/>
      <c r="V247" s="499"/>
      <c r="W247" s="741"/>
      <c r="X247" s="51"/>
      <c r="Y247" s="51"/>
      <c r="Z247" s="645" t="str">
        <f t="shared" si="87"/>
        <v/>
      </c>
      <c r="AA247" s="1037" t="str">
        <f t="shared" si="81"/>
        <v/>
      </c>
      <c r="AB247" s="1037" t="str">
        <f t="shared" si="82"/>
        <v/>
      </c>
      <c r="AC247" s="1037" t="str">
        <f>IF(Z247="","",VLOOKUP(Z247,リスト!BN:BO,2,0))</f>
        <v/>
      </c>
      <c r="AD247" s="1037" t="str">
        <f t="shared" si="79"/>
        <v/>
      </c>
      <c r="AE247" s="1037" t="str">
        <f>IF(AD247="","",VLOOKUP(AD247,リスト!BW:BX,2,0))</f>
        <v/>
      </c>
      <c r="AF247" s="1037" t="str">
        <f t="shared" si="76"/>
        <v/>
      </c>
      <c r="AG247" s="685" t="str">
        <f t="shared" si="88"/>
        <v/>
      </c>
      <c r="AH247" s="646" t="str">
        <f t="shared" si="89"/>
        <v/>
      </c>
      <c r="AI247" s="646" t="str">
        <f t="shared" si="90"/>
        <v/>
      </c>
      <c r="AJ247" s="647" t="str">
        <f t="shared" si="91"/>
        <v/>
      </c>
      <c r="AK247" s="647" t="str">
        <f t="shared" si="92"/>
        <v/>
      </c>
      <c r="AL247" s="647" t="str">
        <f t="shared" si="80"/>
        <v/>
      </c>
      <c r="AM247" s="647" t="str">
        <f t="shared" si="77"/>
        <v/>
      </c>
      <c r="AN247" s="647" t="str">
        <f t="shared" si="93"/>
        <v/>
      </c>
      <c r="AO247" s="647" t="str">
        <f t="shared" si="94"/>
        <v/>
      </c>
      <c r="AP247" s="647" t="str">
        <f t="shared" si="95"/>
        <v/>
      </c>
      <c r="AQ247" s="647" t="str">
        <f t="shared" si="78"/>
        <v/>
      </c>
      <c r="AR247" s="647" t="str">
        <f t="shared" si="96"/>
        <v/>
      </c>
      <c r="AS247" s="647" t="str">
        <f t="shared" si="97"/>
        <v/>
      </c>
      <c r="AT247" s="1323" t="str">
        <f t="shared" si="83"/>
        <v/>
      </c>
      <c r="AU247" s="1323" t="str">
        <f t="shared" si="84"/>
        <v/>
      </c>
    </row>
    <row r="248" spans="3:47" s="5" customFormat="1" ht="28.15" hidden="1" customHeight="1" outlineLevel="1">
      <c r="C248" s="649">
        <v>230</v>
      </c>
      <c r="D248" s="1133"/>
      <c r="E248" s="670"/>
      <c r="F248" s="726"/>
      <c r="G248" s="705"/>
      <c r="H248" s="255"/>
      <c r="I248" s="255"/>
      <c r="J248" s="1051"/>
      <c r="K248" s="735"/>
      <c r="L248" s="735"/>
      <c r="M248" s="736"/>
      <c r="N248" s="735"/>
      <c r="O248" s="727"/>
      <c r="P248" s="1321"/>
      <c r="Q248" s="1329"/>
      <c r="R248" s="254"/>
      <c r="S248" s="703"/>
      <c r="T248" s="728"/>
      <c r="U248" s="431"/>
      <c r="V248" s="499"/>
      <c r="W248" s="741"/>
      <c r="X248" s="51"/>
      <c r="Y248" s="51"/>
      <c r="Z248" s="645" t="str">
        <f t="shared" si="87"/>
        <v/>
      </c>
      <c r="AA248" s="1037" t="str">
        <f t="shared" si="81"/>
        <v/>
      </c>
      <c r="AB248" s="1037" t="str">
        <f t="shared" si="82"/>
        <v/>
      </c>
      <c r="AC248" s="1037" t="str">
        <f>IF(Z248="","",VLOOKUP(Z248,リスト!BN:BO,2,0))</f>
        <v/>
      </c>
      <c r="AD248" s="1037" t="str">
        <f t="shared" si="79"/>
        <v/>
      </c>
      <c r="AE248" s="1037" t="str">
        <f>IF(AD248="","",VLOOKUP(AD248,リスト!BW:BX,2,0))</f>
        <v/>
      </c>
      <c r="AF248" s="1037" t="str">
        <f t="shared" si="76"/>
        <v/>
      </c>
      <c r="AG248" s="685" t="str">
        <f t="shared" si="88"/>
        <v/>
      </c>
      <c r="AH248" s="646" t="str">
        <f t="shared" si="89"/>
        <v/>
      </c>
      <c r="AI248" s="646" t="str">
        <f t="shared" si="90"/>
        <v/>
      </c>
      <c r="AJ248" s="647" t="str">
        <f t="shared" si="91"/>
        <v/>
      </c>
      <c r="AK248" s="647" t="str">
        <f t="shared" si="92"/>
        <v/>
      </c>
      <c r="AL248" s="647" t="str">
        <f t="shared" si="80"/>
        <v/>
      </c>
      <c r="AM248" s="647" t="str">
        <f t="shared" si="77"/>
        <v/>
      </c>
      <c r="AN248" s="647" t="str">
        <f t="shared" si="93"/>
        <v/>
      </c>
      <c r="AO248" s="647" t="str">
        <f t="shared" si="94"/>
        <v/>
      </c>
      <c r="AP248" s="647" t="str">
        <f t="shared" si="95"/>
        <v/>
      </c>
      <c r="AQ248" s="647" t="str">
        <f t="shared" si="78"/>
        <v/>
      </c>
      <c r="AR248" s="647" t="str">
        <f t="shared" si="96"/>
        <v/>
      </c>
      <c r="AS248" s="647" t="str">
        <f t="shared" si="97"/>
        <v/>
      </c>
      <c r="AT248" s="1323" t="str">
        <f t="shared" si="83"/>
        <v/>
      </c>
      <c r="AU248" s="1323" t="str">
        <f t="shared" si="84"/>
        <v/>
      </c>
    </row>
    <row r="249" spans="3:47" s="5" customFormat="1" ht="28.15" hidden="1" customHeight="1" outlineLevel="1">
      <c r="C249" s="649">
        <v>231</v>
      </c>
      <c r="D249" s="1133"/>
      <c r="E249" s="670"/>
      <c r="F249" s="726"/>
      <c r="G249" s="705"/>
      <c r="H249" s="255"/>
      <c r="I249" s="255"/>
      <c r="J249" s="1051"/>
      <c r="K249" s="735"/>
      <c r="L249" s="735"/>
      <c r="M249" s="736"/>
      <c r="N249" s="735"/>
      <c r="O249" s="727"/>
      <c r="P249" s="1321"/>
      <c r="Q249" s="1329"/>
      <c r="R249" s="254"/>
      <c r="S249" s="703"/>
      <c r="T249" s="728"/>
      <c r="U249" s="431"/>
      <c r="V249" s="499"/>
      <c r="W249" s="741"/>
      <c r="X249" s="51"/>
      <c r="Y249" s="51"/>
      <c r="Z249" s="645" t="str">
        <f t="shared" si="87"/>
        <v/>
      </c>
      <c r="AA249" s="1037" t="str">
        <f t="shared" si="81"/>
        <v/>
      </c>
      <c r="AB249" s="1037" t="str">
        <f t="shared" si="82"/>
        <v/>
      </c>
      <c r="AC249" s="1037" t="str">
        <f>IF(Z249="","",VLOOKUP(Z249,リスト!BN:BO,2,0))</f>
        <v/>
      </c>
      <c r="AD249" s="1037" t="str">
        <f t="shared" si="79"/>
        <v/>
      </c>
      <c r="AE249" s="1037" t="str">
        <f>IF(AD249="","",VLOOKUP(AD249,リスト!BW:BX,2,0))</f>
        <v/>
      </c>
      <c r="AF249" s="1037" t="str">
        <f t="shared" si="76"/>
        <v/>
      </c>
      <c r="AG249" s="685" t="str">
        <f t="shared" si="88"/>
        <v/>
      </c>
      <c r="AH249" s="646" t="str">
        <f t="shared" si="89"/>
        <v/>
      </c>
      <c r="AI249" s="646" t="str">
        <f t="shared" si="90"/>
        <v/>
      </c>
      <c r="AJ249" s="647" t="str">
        <f t="shared" si="91"/>
        <v/>
      </c>
      <c r="AK249" s="647" t="str">
        <f t="shared" si="92"/>
        <v/>
      </c>
      <c r="AL249" s="647" t="str">
        <f t="shared" si="80"/>
        <v/>
      </c>
      <c r="AM249" s="647" t="str">
        <f t="shared" si="77"/>
        <v/>
      </c>
      <c r="AN249" s="647" t="str">
        <f t="shared" si="93"/>
        <v/>
      </c>
      <c r="AO249" s="647" t="str">
        <f t="shared" si="94"/>
        <v/>
      </c>
      <c r="AP249" s="647" t="str">
        <f t="shared" si="95"/>
        <v/>
      </c>
      <c r="AQ249" s="647" t="str">
        <f t="shared" si="78"/>
        <v/>
      </c>
      <c r="AR249" s="647" t="str">
        <f t="shared" si="96"/>
        <v/>
      </c>
      <c r="AS249" s="647" t="str">
        <f t="shared" si="97"/>
        <v/>
      </c>
      <c r="AT249" s="1323" t="str">
        <f t="shared" si="83"/>
        <v/>
      </c>
      <c r="AU249" s="1323" t="str">
        <f t="shared" si="84"/>
        <v/>
      </c>
    </row>
    <row r="250" spans="3:47" s="5" customFormat="1" ht="28.15" hidden="1" customHeight="1" outlineLevel="1">
      <c r="C250" s="649">
        <v>232</v>
      </c>
      <c r="D250" s="1133"/>
      <c r="E250" s="670"/>
      <c r="F250" s="726"/>
      <c r="G250" s="705"/>
      <c r="H250" s="255"/>
      <c r="I250" s="255"/>
      <c r="J250" s="1051"/>
      <c r="K250" s="735"/>
      <c r="L250" s="735"/>
      <c r="M250" s="736"/>
      <c r="N250" s="735"/>
      <c r="O250" s="727"/>
      <c r="P250" s="1321"/>
      <c r="Q250" s="1329"/>
      <c r="R250" s="254"/>
      <c r="S250" s="703"/>
      <c r="T250" s="728"/>
      <c r="U250" s="431"/>
      <c r="V250" s="499"/>
      <c r="W250" s="741"/>
      <c r="X250" s="51"/>
      <c r="Y250" s="51"/>
      <c r="Z250" s="645" t="str">
        <f t="shared" si="87"/>
        <v/>
      </c>
      <c r="AA250" s="1037" t="str">
        <f t="shared" si="81"/>
        <v/>
      </c>
      <c r="AB250" s="1037" t="str">
        <f t="shared" si="82"/>
        <v/>
      </c>
      <c r="AC250" s="1037" t="str">
        <f>IF(Z250="","",VLOOKUP(Z250,リスト!BN:BO,2,0))</f>
        <v/>
      </c>
      <c r="AD250" s="1037" t="str">
        <f t="shared" si="79"/>
        <v/>
      </c>
      <c r="AE250" s="1037" t="str">
        <f>IF(AD250="","",VLOOKUP(AD250,リスト!BW:BX,2,0))</f>
        <v/>
      </c>
      <c r="AF250" s="1037" t="str">
        <f t="shared" si="76"/>
        <v/>
      </c>
      <c r="AG250" s="685" t="str">
        <f t="shared" si="88"/>
        <v/>
      </c>
      <c r="AH250" s="646" t="str">
        <f t="shared" si="89"/>
        <v/>
      </c>
      <c r="AI250" s="646" t="str">
        <f t="shared" si="90"/>
        <v/>
      </c>
      <c r="AJ250" s="647" t="str">
        <f t="shared" si="91"/>
        <v/>
      </c>
      <c r="AK250" s="647" t="str">
        <f t="shared" si="92"/>
        <v/>
      </c>
      <c r="AL250" s="647" t="str">
        <f t="shared" si="80"/>
        <v/>
      </c>
      <c r="AM250" s="647" t="str">
        <f t="shared" si="77"/>
        <v/>
      </c>
      <c r="AN250" s="647" t="str">
        <f t="shared" si="93"/>
        <v/>
      </c>
      <c r="AO250" s="647" t="str">
        <f t="shared" si="94"/>
        <v/>
      </c>
      <c r="AP250" s="647" t="str">
        <f t="shared" si="95"/>
        <v/>
      </c>
      <c r="AQ250" s="647" t="str">
        <f t="shared" si="78"/>
        <v/>
      </c>
      <c r="AR250" s="647" t="str">
        <f t="shared" si="96"/>
        <v/>
      </c>
      <c r="AS250" s="647" t="str">
        <f t="shared" si="97"/>
        <v/>
      </c>
      <c r="AT250" s="1323" t="str">
        <f t="shared" si="83"/>
        <v/>
      </c>
      <c r="AU250" s="1323" t="str">
        <f t="shared" si="84"/>
        <v/>
      </c>
    </row>
    <row r="251" spans="3:47" s="5" customFormat="1" ht="28.15" hidden="1" customHeight="1" outlineLevel="1">
      <c r="C251" s="649">
        <v>233</v>
      </c>
      <c r="D251" s="1133"/>
      <c r="E251" s="670"/>
      <c r="F251" s="726"/>
      <c r="G251" s="705"/>
      <c r="H251" s="255"/>
      <c r="I251" s="255"/>
      <c r="J251" s="1051"/>
      <c r="K251" s="735"/>
      <c r="L251" s="735"/>
      <c r="M251" s="736"/>
      <c r="N251" s="735"/>
      <c r="O251" s="727"/>
      <c r="P251" s="1321"/>
      <c r="Q251" s="1329"/>
      <c r="R251" s="254"/>
      <c r="S251" s="703"/>
      <c r="T251" s="728"/>
      <c r="U251" s="431"/>
      <c r="V251" s="499"/>
      <c r="W251" s="741"/>
      <c r="X251" s="51"/>
      <c r="Y251" s="51"/>
      <c r="Z251" s="645" t="str">
        <f t="shared" si="87"/>
        <v/>
      </c>
      <c r="AA251" s="1037" t="str">
        <f t="shared" si="81"/>
        <v/>
      </c>
      <c r="AB251" s="1037" t="str">
        <f t="shared" si="82"/>
        <v/>
      </c>
      <c r="AC251" s="1037" t="str">
        <f>IF(Z251="","",VLOOKUP(Z251,リスト!BN:BO,2,0))</f>
        <v/>
      </c>
      <c r="AD251" s="1037" t="str">
        <f t="shared" si="79"/>
        <v/>
      </c>
      <c r="AE251" s="1037" t="str">
        <f>IF(AD251="","",VLOOKUP(AD251,リスト!BW:BX,2,0))</f>
        <v/>
      </c>
      <c r="AF251" s="1037" t="str">
        <f t="shared" si="76"/>
        <v/>
      </c>
      <c r="AG251" s="685" t="str">
        <f t="shared" si="88"/>
        <v/>
      </c>
      <c r="AH251" s="646" t="str">
        <f t="shared" si="89"/>
        <v/>
      </c>
      <c r="AI251" s="646" t="str">
        <f t="shared" si="90"/>
        <v/>
      </c>
      <c r="AJ251" s="647" t="str">
        <f t="shared" si="91"/>
        <v/>
      </c>
      <c r="AK251" s="647" t="str">
        <f t="shared" si="92"/>
        <v/>
      </c>
      <c r="AL251" s="647" t="str">
        <f t="shared" si="80"/>
        <v/>
      </c>
      <c r="AM251" s="647" t="str">
        <f t="shared" si="77"/>
        <v/>
      </c>
      <c r="AN251" s="647" t="str">
        <f t="shared" si="93"/>
        <v/>
      </c>
      <c r="AO251" s="647" t="str">
        <f t="shared" si="94"/>
        <v/>
      </c>
      <c r="AP251" s="647" t="str">
        <f t="shared" si="95"/>
        <v/>
      </c>
      <c r="AQ251" s="647" t="str">
        <f t="shared" si="78"/>
        <v/>
      </c>
      <c r="AR251" s="647" t="str">
        <f t="shared" si="96"/>
        <v/>
      </c>
      <c r="AS251" s="647" t="str">
        <f t="shared" si="97"/>
        <v/>
      </c>
      <c r="AT251" s="1323" t="str">
        <f t="shared" si="83"/>
        <v/>
      </c>
      <c r="AU251" s="1323" t="str">
        <f t="shared" si="84"/>
        <v/>
      </c>
    </row>
    <row r="252" spans="3:47" s="5" customFormat="1" ht="28.15" hidden="1" customHeight="1" outlineLevel="1">
      <c r="C252" s="649">
        <v>234</v>
      </c>
      <c r="D252" s="1133"/>
      <c r="E252" s="670"/>
      <c r="F252" s="726"/>
      <c r="G252" s="705"/>
      <c r="H252" s="255"/>
      <c r="I252" s="255"/>
      <c r="J252" s="1051"/>
      <c r="K252" s="735"/>
      <c r="L252" s="735"/>
      <c r="M252" s="736"/>
      <c r="N252" s="735"/>
      <c r="O252" s="727"/>
      <c r="P252" s="1321"/>
      <c r="Q252" s="1329"/>
      <c r="R252" s="254"/>
      <c r="S252" s="703"/>
      <c r="T252" s="728"/>
      <c r="U252" s="431"/>
      <c r="V252" s="499"/>
      <c r="W252" s="741"/>
      <c r="X252" s="51"/>
      <c r="Y252" s="51"/>
      <c r="Z252" s="645" t="str">
        <f t="shared" si="87"/>
        <v/>
      </c>
      <c r="AA252" s="1037" t="str">
        <f t="shared" si="81"/>
        <v/>
      </c>
      <c r="AB252" s="1037" t="str">
        <f t="shared" si="82"/>
        <v/>
      </c>
      <c r="AC252" s="1037" t="str">
        <f>IF(Z252="","",VLOOKUP(Z252,リスト!BN:BO,2,0))</f>
        <v/>
      </c>
      <c r="AD252" s="1037" t="str">
        <f t="shared" si="79"/>
        <v/>
      </c>
      <c r="AE252" s="1037" t="str">
        <f>IF(AD252="","",VLOOKUP(AD252,リスト!BW:BX,2,0))</f>
        <v/>
      </c>
      <c r="AF252" s="1037" t="str">
        <f t="shared" si="76"/>
        <v/>
      </c>
      <c r="AG252" s="685" t="str">
        <f t="shared" si="88"/>
        <v/>
      </c>
      <c r="AH252" s="646" t="str">
        <f t="shared" si="89"/>
        <v/>
      </c>
      <c r="AI252" s="646" t="str">
        <f t="shared" si="90"/>
        <v/>
      </c>
      <c r="AJ252" s="647" t="str">
        <f t="shared" si="91"/>
        <v/>
      </c>
      <c r="AK252" s="647" t="str">
        <f t="shared" si="92"/>
        <v/>
      </c>
      <c r="AL252" s="647" t="str">
        <f t="shared" si="80"/>
        <v/>
      </c>
      <c r="AM252" s="647" t="str">
        <f t="shared" si="77"/>
        <v/>
      </c>
      <c r="AN252" s="647" t="str">
        <f t="shared" si="93"/>
        <v/>
      </c>
      <c r="AO252" s="647" t="str">
        <f t="shared" si="94"/>
        <v/>
      </c>
      <c r="AP252" s="647" t="str">
        <f t="shared" si="95"/>
        <v/>
      </c>
      <c r="AQ252" s="647" t="str">
        <f t="shared" si="78"/>
        <v/>
      </c>
      <c r="AR252" s="647" t="str">
        <f t="shared" si="96"/>
        <v/>
      </c>
      <c r="AS252" s="647" t="str">
        <f t="shared" si="97"/>
        <v/>
      </c>
      <c r="AT252" s="1323" t="str">
        <f t="shared" si="83"/>
        <v/>
      </c>
      <c r="AU252" s="1323" t="str">
        <f t="shared" si="84"/>
        <v/>
      </c>
    </row>
    <row r="253" spans="3:47" s="5" customFormat="1" ht="28.15" hidden="1" customHeight="1" outlineLevel="1">
      <c r="C253" s="649">
        <v>235</v>
      </c>
      <c r="D253" s="1133"/>
      <c r="E253" s="670"/>
      <c r="F253" s="726"/>
      <c r="G253" s="705"/>
      <c r="H253" s="255"/>
      <c r="I253" s="255"/>
      <c r="J253" s="1051"/>
      <c r="K253" s="735"/>
      <c r="L253" s="735"/>
      <c r="M253" s="736"/>
      <c r="N253" s="735"/>
      <c r="O253" s="727"/>
      <c r="P253" s="1321"/>
      <c r="Q253" s="1329"/>
      <c r="R253" s="254"/>
      <c r="S253" s="703"/>
      <c r="T253" s="728"/>
      <c r="U253" s="431"/>
      <c r="V253" s="499"/>
      <c r="W253" s="741"/>
      <c r="X253" s="51"/>
      <c r="Y253" s="51"/>
      <c r="Z253" s="645" t="str">
        <f t="shared" si="87"/>
        <v/>
      </c>
      <c r="AA253" s="1037" t="str">
        <f t="shared" si="81"/>
        <v/>
      </c>
      <c r="AB253" s="1037" t="str">
        <f t="shared" si="82"/>
        <v/>
      </c>
      <c r="AC253" s="1037" t="str">
        <f>IF(Z253="","",VLOOKUP(Z253,リスト!BN:BO,2,0))</f>
        <v/>
      </c>
      <c r="AD253" s="1037" t="str">
        <f t="shared" si="79"/>
        <v/>
      </c>
      <c r="AE253" s="1037" t="str">
        <f>IF(AD253="","",VLOOKUP(AD253,リスト!BW:BX,2,0))</f>
        <v/>
      </c>
      <c r="AF253" s="1037" t="str">
        <f t="shared" si="76"/>
        <v/>
      </c>
      <c r="AG253" s="685" t="str">
        <f t="shared" si="88"/>
        <v/>
      </c>
      <c r="AH253" s="646" t="str">
        <f t="shared" si="89"/>
        <v/>
      </c>
      <c r="AI253" s="646" t="str">
        <f t="shared" si="90"/>
        <v/>
      </c>
      <c r="AJ253" s="647" t="str">
        <f t="shared" si="91"/>
        <v/>
      </c>
      <c r="AK253" s="647" t="str">
        <f t="shared" si="92"/>
        <v/>
      </c>
      <c r="AL253" s="647" t="str">
        <f t="shared" si="80"/>
        <v/>
      </c>
      <c r="AM253" s="647" t="str">
        <f t="shared" si="77"/>
        <v/>
      </c>
      <c r="AN253" s="647" t="str">
        <f t="shared" si="93"/>
        <v/>
      </c>
      <c r="AO253" s="647" t="str">
        <f t="shared" si="94"/>
        <v/>
      </c>
      <c r="AP253" s="647" t="str">
        <f t="shared" si="95"/>
        <v/>
      </c>
      <c r="AQ253" s="647" t="str">
        <f t="shared" si="78"/>
        <v/>
      </c>
      <c r="AR253" s="647" t="str">
        <f t="shared" si="96"/>
        <v/>
      </c>
      <c r="AS253" s="647" t="str">
        <f t="shared" si="97"/>
        <v/>
      </c>
      <c r="AT253" s="1323" t="str">
        <f t="shared" si="83"/>
        <v/>
      </c>
      <c r="AU253" s="1323" t="str">
        <f t="shared" si="84"/>
        <v/>
      </c>
    </row>
    <row r="254" spans="3:47" s="5" customFormat="1" ht="28.15" hidden="1" customHeight="1" outlineLevel="1">
      <c r="C254" s="649">
        <v>236</v>
      </c>
      <c r="D254" s="1133"/>
      <c r="E254" s="670"/>
      <c r="F254" s="726"/>
      <c r="G254" s="666"/>
      <c r="H254" s="266"/>
      <c r="I254" s="266"/>
      <c r="J254" s="1049"/>
      <c r="K254" s="727"/>
      <c r="L254" s="727"/>
      <c r="M254" s="727"/>
      <c r="N254" s="727"/>
      <c r="O254" s="727"/>
      <c r="P254" s="1321"/>
      <c r="Q254" s="1329"/>
      <c r="R254" s="254"/>
      <c r="S254" s="703"/>
      <c r="T254" s="728"/>
      <c r="U254" s="431"/>
      <c r="V254" s="499"/>
      <c r="W254" s="741"/>
      <c r="X254" s="51"/>
      <c r="Y254" s="51"/>
      <c r="Z254" s="645" t="str">
        <f t="shared" si="1"/>
        <v/>
      </c>
      <c r="AA254" s="1037" t="str">
        <f t="shared" si="81"/>
        <v/>
      </c>
      <c r="AB254" s="1037" t="str">
        <f t="shared" si="82"/>
        <v/>
      </c>
      <c r="AC254" s="1037" t="str">
        <f>IF(Z254="","",VLOOKUP(Z254,リスト!BN:BO,2,0))</f>
        <v/>
      </c>
      <c r="AD254" s="1037" t="str">
        <f t="shared" si="79"/>
        <v/>
      </c>
      <c r="AE254" s="1037" t="str">
        <f>IF(AD254="","",VLOOKUP(AD254,リスト!BW:BX,2,0))</f>
        <v/>
      </c>
      <c r="AF254" s="1037" t="str">
        <f t="shared" si="76"/>
        <v/>
      </c>
      <c r="AG254" s="685" t="str">
        <f t="shared" si="3"/>
        <v/>
      </c>
      <c r="AH254" s="646" t="str">
        <f t="shared" si="4"/>
        <v/>
      </c>
      <c r="AI254" s="646" t="str">
        <f t="shared" ref="AI254:AI271" si="98">IF(OR(Z254="",AA254=1),"",
IF(S254="",AG254,
IF(S254="2：廃棄等",SUM(AH254,T254),
IF(S254="1：売却",AH254-T254,
IF(AND(T254="",AG254=""),"",SUM(T254,AG254))))))</f>
        <v/>
      </c>
      <c r="AJ254" s="647" t="str">
        <f t="shared" ref="AJ254:AJ271" si="99">IF(AND(AI254="",AG254=""),"",
IF(OR(S254="1：売却",S254="2：廃棄等"),SUM(AI254)-SUM(AG254),""))</f>
        <v/>
      </c>
      <c r="AK254" s="647" t="str">
        <f t="shared" si="5"/>
        <v/>
      </c>
      <c r="AL254" s="647" t="str">
        <f t="shared" si="80"/>
        <v/>
      </c>
      <c r="AM254" s="647" t="str">
        <f t="shared" si="77"/>
        <v/>
      </c>
      <c r="AN254" s="647" t="str">
        <f t="shared" si="7"/>
        <v/>
      </c>
      <c r="AO254" s="647" t="str">
        <f t="shared" si="8"/>
        <v/>
      </c>
      <c r="AP254" s="647" t="str">
        <f t="shared" si="9"/>
        <v/>
      </c>
      <c r="AQ254" s="647" t="str">
        <f t="shared" si="78"/>
        <v/>
      </c>
      <c r="AR254" s="647" t="str">
        <f t="shared" si="10"/>
        <v/>
      </c>
      <c r="AS254" s="647" t="str">
        <f t="shared" si="16"/>
        <v/>
      </c>
      <c r="AT254" s="1323" t="str">
        <f t="shared" si="83"/>
        <v/>
      </c>
      <c r="AU254" s="1323" t="str">
        <f t="shared" si="84"/>
        <v/>
      </c>
    </row>
    <row r="255" spans="3:47" s="5" customFormat="1" ht="28.15" hidden="1" customHeight="1" outlineLevel="1">
      <c r="C255" s="649">
        <v>237</v>
      </c>
      <c r="D255" s="1134"/>
      <c r="E255" s="729"/>
      <c r="F255" s="726"/>
      <c r="G255" s="705"/>
      <c r="H255" s="257"/>
      <c r="I255" s="257"/>
      <c r="J255" s="1049"/>
      <c r="K255" s="735"/>
      <c r="L255" s="735"/>
      <c r="M255" s="736"/>
      <c r="N255" s="735"/>
      <c r="O255" s="727"/>
      <c r="P255" s="1321"/>
      <c r="Q255" s="1329"/>
      <c r="R255" s="254"/>
      <c r="S255" s="703"/>
      <c r="T255" s="728"/>
      <c r="U255" s="431"/>
      <c r="V255" s="499"/>
      <c r="W255" s="741"/>
      <c r="X255" s="51"/>
      <c r="Y255" s="51"/>
      <c r="Z255" s="645" t="str">
        <f t="shared" si="1"/>
        <v/>
      </c>
      <c r="AA255" s="1037" t="str">
        <f t="shared" si="81"/>
        <v/>
      </c>
      <c r="AB255" s="1037" t="str">
        <f t="shared" si="82"/>
        <v/>
      </c>
      <c r="AC255" s="1037" t="str">
        <f>IF(Z255="","",VLOOKUP(Z255,リスト!BN:BO,2,0))</f>
        <v/>
      </c>
      <c r="AD255" s="1037" t="str">
        <f t="shared" si="79"/>
        <v/>
      </c>
      <c r="AE255" s="1037" t="str">
        <f>IF(AD255="","",VLOOKUP(AD255,リスト!BW:BX,2,0))</f>
        <v/>
      </c>
      <c r="AF255" s="1037" t="str">
        <f t="shared" si="76"/>
        <v/>
      </c>
      <c r="AG255" s="685" t="str">
        <f t="shared" si="3"/>
        <v/>
      </c>
      <c r="AH255" s="646" t="str">
        <f t="shared" si="4"/>
        <v/>
      </c>
      <c r="AI255" s="646" t="str">
        <f t="shared" si="98"/>
        <v/>
      </c>
      <c r="AJ255" s="647" t="str">
        <f t="shared" si="99"/>
        <v/>
      </c>
      <c r="AK255" s="647" t="str">
        <f t="shared" si="5"/>
        <v/>
      </c>
      <c r="AL255" s="647" t="str">
        <f t="shared" si="80"/>
        <v/>
      </c>
      <c r="AM255" s="647" t="str">
        <f t="shared" si="77"/>
        <v/>
      </c>
      <c r="AN255" s="647" t="str">
        <f t="shared" si="7"/>
        <v/>
      </c>
      <c r="AO255" s="647" t="str">
        <f t="shared" si="8"/>
        <v/>
      </c>
      <c r="AP255" s="647" t="str">
        <f t="shared" si="9"/>
        <v/>
      </c>
      <c r="AQ255" s="647" t="str">
        <f t="shared" si="78"/>
        <v/>
      </c>
      <c r="AR255" s="647" t="str">
        <f t="shared" si="10"/>
        <v/>
      </c>
      <c r="AS255" s="647" t="str">
        <f t="shared" si="16"/>
        <v/>
      </c>
      <c r="AT255" s="1323" t="str">
        <f t="shared" si="83"/>
        <v/>
      </c>
      <c r="AU255" s="1323" t="str">
        <f t="shared" si="84"/>
        <v/>
      </c>
    </row>
    <row r="256" spans="3:47" s="5" customFormat="1" ht="28.15" hidden="1" customHeight="1" outlineLevel="1">
      <c r="C256" s="649">
        <v>238</v>
      </c>
      <c r="D256" s="1133"/>
      <c r="E256" s="670"/>
      <c r="F256" s="726"/>
      <c r="G256" s="705"/>
      <c r="H256" s="255"/>
      <c r="I256" s="255"/>
      <c r="J256" s="1049"/>
      <c r="K256" s="735"/>
      <c r="L256" s="735"/>
      <c r="M256" s="736"/>
      <c r="N256" s="735"/>
      <c r="O256" s="727"/>
      <c r="P256" s="1321"/>
      <c r="Q256" s="1329"/>
      <c r="R256" s="254"/>
      <c r="S256" s="703"/>
      <c r="T256" s="728"/>
      <c r="U256" s="431"/>
      <c r="V256" s="499"/>
      <c r="W256" s="741"/>
      <c r="X256" s="51"/>
      <c r="Y256" s="51"/>
      <c r="Z256" s="645" t="str">
        <f t="shared" si="1"/>
        <v/>
      </c>
      <c r="AA256" s="1037" t="str">
        <f t="shared" si="81"/>
        <v/>
      </c>
      <c r="AB256" s="1037" t="str">
        <f t="shared" si="82"/>
        <v/>
      </c>
      <c r="AC256" s="1037" t="str">
        <f>IF(Z256="","",VLOOKUP(Z256,リスト!BN:BO,2,0))</f>
        <v/>
      </c>
      <c r="AD256" s="1037" t="str">
        <f t="shared" si="79"/>
        <v/>
      </c>
      <c r="AE256" s="1037" t="str">
        <f>IF(AD256="","",VLOOKUP(AD256,リスト!BW:BX,2,0))</f>
        <v/>
      </c>
      <c r="AF256" s="1037" t="str">
        <f t="shared" si="76"/>
        <v/>
      </c>
      <c r="AG256" s="685" t="str">
        <f t="shared" si="3"/>
        <v/>
      </c>
      <c r="AH256" s="646" t="str">
        <f t="shared" si="4"/>
        <v/>
      </c>
      <c r="AI256" s="646" t="str">
        <f t="shared" si="98"/>
        <v/>
      </c>
      <c r="AJ256" s="647" t="str">
        <f t="shared" si="99"/>
        <v/>
      </c>
      <c r="AK256" s="647" t="str">
        <f t="shared" si="5"/>
        <v/>
      </c>
      <c r="AL256" s="647" t="str">
        <f t="shared" si="80"/>
        <v/>
      </c>
      <c r="AM256" s="647" t="str">
        <f t="shared" si="77"/>
        <v/>
      </c>
      <c r="AN256" s="647" t="str">
        <f t="shared" si="7"/>
        <v/>
      </c>
      <c r="AO256" s="647" t="str">
        <f t="shared" si="8"/>
        <v/>
      </c>
      <c r="AP256" s="647" t="str">
        <f t="shared" si="9"/>
        <v/>
      </c>
      <c r="AQ256" s="647" t="str">
        <f t="shared" si="78"/>
        <v/>
      </c>
      <c r="AR256" s="647" t="str">
        <f t="shared" si="10"/>
        <v/>
      </c>
      <c r="AS256" s="647" t="str">
        <f t="shared" si="16"/>
        <v/>
      </c>
      <c r="AT256" s="1323" t="str">
        <f t="shared" si="83"/>
        <v/>
      </c>
      <c r="AU256" s="1323" t="str">
        <f t="shared" si="84"/>
        <v/>
      </c>
    </row>
    <row r="257" spans="3:47" s="5" customFormat="1" ht="28.15" hidden="1" customHeight="1" outlineLevel="1">
      <c r="C257" s="649">
        <v>239</v>
      </c>
      <c r="D257" s="1134"/>
      <c r="E257" s="729"/>
      <c r="F257" s="726"/>
      <c r="G257" s="705"/>
      <c r="H257" s="257"/>
      <c r="I257" s="257"/>
      <c r="J257" s="1049"/>
      <c r="K257" s="735"/>
      <c r="L257" s="735"/>
      <c r="M257" s="736"/>
      <c r="N257" s="735"/>
      <c r="O257" s="727"/>
      <c r="P257" s="1321"/>
      <c r="Q257" s="1329"/>
      <c r="R257" s="254"/>
      <c r="S257" s="703"/>
      <c r="T257" s="728"/>
      <c r="U257" s="431"/>
      <c r="V257" s="499"/>
      <c r="W257" s="741"/>
      <c r="X257" s="51"/>
      <c r="Y257" s="51"/>
      <c r="Z257" s="645" t="str">
        <f t="shared" si="1"/>
        <v/>
      </c>
      <c r="AA257" s="1037" t="str">
        <f t="shared" si="81"/>
        <v/>
      </c>
      <c r="AB257" s="1037" t="str">
        <f t="shared" si="82"/>
        <v/>
      </c>
      <c r="AC257" s="1037" t="str">
        <f>IF(Z257="","",VLOOKUP(Z257,リスト!BN:BO,2,0))</f>
        <v/>
      </c>
      <c r="AD257" s="1037" t="str">
        <f t="shared" si="79"/>
        <v/>
      </c>
      <c r="AE257" s="1037" t="str">
        <f>IF(AD257="","",VLOOKUP(AD257,リスト!BW:BX,2,0))</f>
        <v/>
      </c>
      <c r="AF257" s="1037" t="str">
        <f t="shared" si="76"/>
        <v/>
      </c>
      <c r="AG257" s="685" t="str">
        <f t="shared" si="3"/>
        <v/>
      </c>
      <c r="AH257" s="646" t="str">
        <f t="shared" si="4"/>
        <v/>
      </c>
      <c r="AI257" s="646" t="str">
        <f t="shared" si="98"/>
        <v/>
      </c>
      <c r="AJ257" s="647" t="str">
        <f t="shared" si="99"/>
        <v/>
      </c>
      <c r="AK257" s="647" t="str">
        <f t="shared" si="5"/>
        <v/>
      </c>
      <c r="AL257" s="647" t="str">
        <f t="shared" si="80"/>
        <v/>
      </c>
      <c r="AM257" s="647" t="str">
        <f t="shared" si="77"/>
        <v/>
      </c>
      <c r="AN257" s="647" t="str">
        <f t="shared" si="7"/>
        <v/>
      </c>
      <c r="AO257" s="647" t="str">
        <f t="shared" si="8"/>
        <v/>
      </c>
      <c r="AP257" s="647" t="str">
        <f t="shared" si="9"/>
        <v/>
      </c>
      <c r="AQ257" s="647" t="str">
        <f t="shared" si="78"/>
        <v/>
      </c>
      <c r="AR257" s="647" t="str">
        <f t="shared" si="10"/>
        <v/>
      </c>
      <c r="AS257" s="647" t="str">
        <f t="shared" si="16"/>
        <v/>
      </c>
      <c r="AT257" s="1323" t="str">
        <f t="shared" si="83"/>
        <v/>
      </c>
      <c r="AU257" s="1323" t="str">
        <f t="shared" si="84"/>
        <v/>
      </c>
    </row>
    <row r="258" spans="3:47" s="5" customFormat="1" ht="28.15" hidden="1" customHeight="1" outlineLevel="1">
      <c r="C258" s="649">
        <v>240</v>
      </c>
      <c r="D258" s="1133"/>
      <c r="E258" s="670"/>
      <c r="F258" s="726"/>
      <c r="G258" s="705"/>
      <c r="H258" s="255"/>
      <c r="I258" s="255"/>
      <c r="J258" s="1049"/>
      <c r="K258" s="735"/>
      <c r="L258" s="735"/>
      <c r="M258" s="736"/>
      <c r="N258" s="735"/>
      <c r="O258" s="727"/>
      <c r="P258" s="1321"/>
      <c r="Q258" s="1329"/>
      <c r="R258" s="254"/>
      <c r="S258" s="703"/>
      <c r="T258" s="728"/>
      <c r="U258" s="431"/>
      <c r="V258" s="499"/>
      <c r="W258" s="741"/>
      <c r="X258" s="51"/>
      <c r="Y258" s="51"/>
      <c r="Z258" s="645" t="str">
        <f t="shared" si="1"/>
        <v/>
      </c>
      <c r="AA258" s="1037" t="str">
        <f t="shared" si="81"/>
        <v/>
      </c>
      <c r="AB258" s="1037" t="str">
        <f t="shared" si="82"/>
        <v/>
      </c>
      <c r="AC258" s="1037" t="str">
        <f>IF(Z258="","",VLOOKUP(Z258,リスト!BN:BO,2,0))</f>
        <v/>
      </c>
      <c r="AD258" s="1037" t="str">
        <f t="shared" si="79"/>
        <v/>
      </c>
      <c r="AE258" s="1037" t="str">
        <f>IF(AD258="","",VLOOKUP(AD258,リスト!BW:BX,2,0))</f>
        <v/>
      </c>
      <c r="AF258" s="1037" t="str">
        <f t="shared" si="76"/>
        <v/>
      </c>
      <c r="AG258" s="685" t="str">
        <f t="shared" si="3"/>
        <v/>
      </c>
      <c r="AH258" s="646" t="str">
        <f t="shared" si="4"/>
        <v/>
      </c>
      <c r="AI258" s="646" t="str">
        <f t="shared" si="98"/>
        <v/>
      </c>
      <c r="AJ258" s="647" t="str">
        <f t="shared" si="99"/>
        <v/>
      </c>
      <c r="AK258" s="647" t="str">
        <f t="shared" si="5"/>
        <v/>
      </c>
      <c r="AL258" s="647" t="str">
        <f t="shared" si="80"/>
        <v/>
      </c>
      <c r="AM258" s="647" t="str">
        <f t="shared" si="77"/>
        <v/>
      </c>
      <c r="AN258" s="647" t="str">
        <f t="shared" si="7"/>
        <v/>
      </c>
      <c r="AO258" s="647" t="str">
        <f t="shared" si="8"/>
        <v/>
      </c>
      <c r="AP258" s="647" t="str">
        <f t="shared" si="9"/>
        <v/>
      </c>
      <c r="AQ258" s="647" t="str">
        <f t="shared" si="78"/>
        <v/>
      </c>
      <c r="AR258" s="647" t="str">
        <f t="shared" si="10"/>
        <v/>
      </c>
      <c r="AS258" s="647" t="str">
        <f t="shared" si="16"/>
        <v/>
      </c>
      <c r="AT258" s="1323" t="str">
        <f t="shared" si="83"/>
        <v/>
      </c>
      <c r="AU258" s="1323" t="str">
        <f t="shared" si="84"/>
        <v/>
      </c>
    </row>
    <row r="259" spans="3:47" s="5" customFormat="1" ht="28.15" hidden="1" customHeight="1" outlineLevel="1">
      <c r="C259" s="649">
        <v>241</v>
      </c>
      <c r="D259" s="1134"/>
      <c r="E259" s="729"/>
      <c r="F259" s="726"/>
      <c r="G259" s="705"/>
      <c r="H259" s="257"/>
      <c r="I259" s="257"/>
      <c r="J259" s="1049"/>
      <c r="K259" s="735"/>
      <c r="L259" s="735"/>
      <c r="M259" s="736"/>
      <c r="N259" s="735"/>
      <c r="O259" s="727"/>
      <c r="P259" s="1321"/>
      <c r="Q259" s="1329"/>
      <c r="R259" s="254"/>
      <c r="S259" s="703"/>
      <c r="T259" s="728"/>
      <c r="U259" s="431"/>
      <c r="V259" s="499"/>
      <c r="W259" s="741"/>
      <c r="X259" s="51"/>
      <c r="Y259" s="51"/>
      <c r="Z259" s="645" t="str">
        <f t="shared" si="1"/>
        <v/>
      </c>
      <c r="AA259" s="1037" t="str">
        <f t="shared" si="81"/>
        <v/>
      </c>
      <c r="AB259" s="1037" t="str">
        <f t="shared" si="82"/>
        <v/>
      </c>
      <c r="AC259" s="1037" t="str">
        <f>IF(Z259="","",VLOOKUP(Z259,リスト!BN:BO,2,0))</f>
        <v/>
      </c>
      <c r="AD259" s="1037" t="str">
        <f t="shared" si="79"/>
        <v/>
      </c>
      <c r="AE259" s="1037" t="str">
        <f>IF(AD259="","",VLOOKUP(AD259,リスト!BW:BX,2,0))</f>
        <v/>
      </c>
      <c r="AF259" s="1037" t="str">
        <f t="shared" si="76"/>
        <v/>
      </c>
      <c r="AG259" s="685" t="str">
        <f t="shared" si="3"/>
        <v/>
      </c>
      <c r="AH259" s="646" t="str">
        <f t="shared" si="4"/>
        <v/>
      </c>
      <c r="AI259" s="646" t="str">
        <f t="shared" si="98"/>
        <v/>
      </c>
      <c r="AJ259" s="647" t="str">
        <f t="shared" si="99"/>
        <v/>
      </c>
      <c r="AK259" s="647" t="str">
        <f t="shared" si="5"/>
        <v/>
      </c>
      <c r="AL259" s="647" t="str">
        <f t="shared" si="80"/>
        <v/>
      </c>
      <c r="AM259" s="647" t="str">
        <f t="shared" si="77"/>
        <v/>
      </c>
      <c r="AN259" s="647" t="str">
        <f t="shared" si="7"/>
        <v/>
      </c>
      <c r="AO259" s="647" t="str">
        <f t="shared" si="8"/>
        <v/>
      </c>
      <c r="AP259" s="647" t="str">
        <f t="shared" si="9"/>
        <v/>
      </c>
      <c r="AQ259" s="647" t="str">
        <f t="shared" si="78"/>
        <v/>
      </c>
      <c r="AR259" s="647" t="str">
        <f t="shared" si="10"/>
        <v/>
      </c>
      <c r="AS259" s="647" t="str">
        <f t="shared" si="16"/>
        <v/>
      </c>
      <c r="AT259" s="1323" t="str">
        <f t="shared" si="83"/>
        <v/>
      </c>
      <c r="AU259" s="1323" t="str">
        <f t="shared" si="84"/>
        <v/>
      </c>
    </row>
    <row r="260" spans="3:47" s="5" customFormat="1" ht="28.15" hidden="1" customHeight="1" outlineLevel="1">
      <c r="C260" s="649">
        <v>242</v>
      </c>
      <c r="D260" s="1133"/>
      <c r="E260" s="670"/>
      <c r="F260" s="726"/>
      <c r="G260" s="705"/>
      <c r="H260" s="255"/>
      <c r="I260" s="255"/>
      <c r="J260" s="1049"/>
      <c r="K260" s="735"/>
      <c r="L260" s="735"/>
      <c r="M260" s="736"/>
      <c r="N260" s="735"/>
      <c r="O260" s="727"/>
      <c r="P260" s="1321"/>
      <c r="Q260" s="1329"/>
      <c r="R260" s="254"/>
      <c r="S260" s="703"/>
      <c r="T260" s="728"/>
      <c r="U260" s="431"/>
      <c r="V260" s="499"/>
      <c r="W260" s="741"/>
      <c r="X260" s="51"/>
      <c r="Y260" s="51"/>
      <c r="Z260" s="645" t="str">
        <f t="shared" si="1"/>
        <v/>
      </c>
      <c r="AA260" s="1037" t="str">
        <f t="shared" si="81"/>
        <v/>
      </c>
      <c r="AB260" s="1037" t="str">
        <f t="shared" si="82"/>
        <v/>
      </c>
      <c r="AC260" s="1037" t="str">
        <f>IF(Z260="","",VLOOKUP(Z260,リスト!BN:BO,2,0))</f>
        <v/>
      </c>
      <c r="AD260" s="1037" t="str">
        <f t="shared" si="79"/>
        <v/>
      </c>
      <c r="AE260" s="1037" t="str">
        <f>IF(AD260="","",VLOOKUP(AD260,リスト!BW:BX,2,0))</f>
        <v/>
      </c>
      <c r="AF260" s="1037" t="str">
        <f t="shared" si="76"/>
        <v/>
      </c>
      <c r="AG260" s="685" t="str">
        <f t="shared" si="3"/>
        <v/>
      </c>
      <c r="AH260" s="646" t="str">
        <f t="shared" si="4"/>
        <v/>
      </c>
      <c r="AI260" s="646" t="str">
        <f t="shared" si="98"/>
        <v/>
      </c>
      <c r="AJ260" s="647" t="str">
        <f t="shared" si="99"/>
        <v/>
      </c>
      <c r="AK260" s="647" t="str">
        <f t="shared" si="5"/>
        <v/>
      </c>
      <c r="AL260" s="647" t="str">
        <f t="shared" si="80"/>
        <v/>
      </c>
      <c r="AM260" s="647" t="str">
        <f t="shared" si="77"/>
        <v/>
      </c>
      <c r="AN260" s="647" t="str">
        <f t="shared" si="7"/>
        <v/>
      </c>
      <c r="AO260" s="647" t="str">
        <f t="shared" si="8"/>
        <v/>
      </c>
      <c r="AP260" s="647" t="str">
        <f t="shared" si="9"/>
        <v/>
      </c>
      <c r="AQ260" s="647" t="str">
        <f t="shared" si="78"/>
        <v/>
      </c>
      <c r="AR260" s="647" t="str">
        <f t="shared" si="10"/>
        <v/>
      </c>
      <c r="AS260" s="647" t="str">
        <f t="shared" si="16"/>
        <v/>
      </c>
      <c r="AT260" s="1323" t="str">
        <f t="shared" si="83"/>
        <v/>
      </c>
      <c r="AU260" s="1323" t="str">
        <f t="shared" si="84"/>
        <v/>
      </c>
    </row>
    <row r="261" spans="3:47" s="5" customFormat="1" ht="28.15" hidden="1" customHeight="1" outlineLevel="1">
      <c r="C261" s="649">
        <v>243</v>
      </c>
      <c r="D261" s="1134"/>
      <c r="E261" s="729"/>
      <c r="F261" s="726"/>
      <c r="G261" s="705"/>
      <c r="H261" s="257"/>
      <c r="I261" s="257"/>
      <c r="J261" s="1049"/>
      <c r="K261" s="735"/>
      <c r="L261" s="735"/>
      <c r="M261" s="736"/>
      <c r="N261" s="735"/>
      <c r="O261" s="727"/>
      <c r="P261" s="1321"/>
      <c r="Q261" s="1329"/>
      <c r="R261" s="254"/>
      <c r="S261" s="703"/>
      <c r="T261" s="728"/>
      <c r="U261" s="431"/>
      <c r="V261" s="499"/>
      <c r="W261" s="741"/>
      <c r="X261" s="51"/>
      <c r="Y261" s="51"/>
      <c r="Z261" s="645" t="str">
        <f t="shared" si="1"/>
        <v/>
      </c>
      <c r="AA261" s="1037" t="str">
        <f t="shared" si="81"/>
        <v/>
      </c>
      <c r="AB261" s="1037" t="str">
        <f t="shared" si="82"/>
        <v/>
      </c>
      <c r="AC261" s="1037" t="str">
        <f>IF(Z261="","",VLOOKUP(Z261,リスト!BN:BO,2,0))</f>
        <v/>
      </c>
      <c r="AD261" s="1037" t="str">
        <f t="shared" si="79"/>
        <v/>
      </c>
      <c r="AE261" s="1037" t="str">
        <f>IF(AD261="","",VLOOKUP(AD261,リスト!BW:BX,2,0))</f>
        <v/>
      </c>
      <c r="AF261" s="1037" t="str">
        <f t="shared" si="76"/>
        <v/>
      </c>
      <c r="AG261" s="685" t="str">
        <f t="shared" si="3"/>
        <v/>
      </c>
      <c r="AH261" s="646" t="str">
        <f t="shared" si="4"/>
        <v/>
      </c>
      <c r="AI261" s="646" t="str">
        <f t="shared" si="98"/>
        <v/>
      </c>
      <c r="AJ261" s="647" t="str">
        <f t="shared" si="99"/>
        <v/>
      </c>
      <c r="AK261" s="647" t="str">
        <f t="shared" si="5"/>
        <v/>
      </c>
      <c r="AL261" s="647" t="str">
        <f t="shared" si="80"/>
        <v/>
      </c>
      <c r="AM261" s="647" t="str">
        <f t="shared" si="77"/>
        <v/>
      </c>
      <c r="AN261" s="647" t="str">
        <f t="shared" si="7"/>
        <v/>
      </c>
      <c r="AO261" s="647" t="str">
        <f t="shared" si="8"/>
        <v/>
      </c>
      <c r="AP261" s="647" t="str">
        <f t="shared" si="9"/>
        <v/>
      </c>
      <c r="AQ261" s="647" t="str">
        <f t="shared" si="78"/>
        <v/>
      </c>
      <c r="AR261" s="647" t="str">
        <f t="shared" si="10"/>
        <v/>
      </c>
      <c r="AS261" s="647" t="str">
        <f t="shared" si="16"/>
        <v/>
      </c>
      <c r="AT261" s="1323" t="str">
        <f t="shared" si="83"/>
        <v/>
      </c>
      <c r="AU261" s="1323" t="str">
        <f t="shared" si="84"/>
        <v/>
      </c>
    </row>
    <row r="262" spans="3:47" s="5" customFormat="1" ht="28.15" hidden="1" customHeight="1" outlineLevel="1">
      <c r="C262" s="649">
        <v>244</v>
      </c>
      <c r="D262" s="1133"/>
      <c r="E262" s="670"/>
      <c r="F262" s="726"/>
      <c r="G262" s="705"/>
      <c r="H262" s="255"/>
      <c r="I262" s="255"/>
      <c r="J262" s="1049"/>
      <c r="K262" s="735"/>
      <c r="L262" s="735"/>
      <c r="M262" s="736"/>
      <c r="N262" s="735"/>
      <c r="O262" s="727"/>
      <c r="P262" s="1321"/>
      <c r="Q262" s="1329"/>
      <c r="R262" s="254"/>
      <c r="S262" s="703"/>
      <c r="T262" s="728"/>
      <c r="U262" s="431"/>
      <c r="V262" s="499"/>
      <c r="W262" s="741"/>
      <c r="X262" s="51"/>
      <c r="Y262" s="51"/>
      <c r="Z262" s="645" t="str">
        <f t="shared" si="1"/>
        <v/>
      </c>
      <c r="AA262" s="1037" t="str">
        <f t="shared" si="81"/>
        <v/>
      </c>
      <c r="AB262" s="1037" t="str">
        <f t="shared" si="82"/>
        <v/>
      </c>
      <c r="AC262" s="1037" t="str">
        <f>IF(Z262="","",VLOOKUP(Z262,リスト!BN:BO,2,0))</f>
        <v/>
      </c>
      <c r="AD262" s="1037" t="str">
        <f t="shared" si="79"/>
        <v/>
      </c>
      <c r="AE262" s="1037" t="str">
        <f>IF(AD262="","",VLOOKUP(AD262,リスト!BW:BX,2,0))</f>
        <v/>
      </c>
      <c r="AF262" s="1037" t="str">
        <f t="shared" si="76"/>
        <v/>
      </c>
      <c r="AG262" s="685" t="str">
        <f t="shared" si="3"/>
        <v/>
      </c>
      <c r="AH262" s="646" t="str">
        <f t="shared" si="4"/>
        <v/>
      </c>
      <c r="AI262" s="646" t="str">
        <f t="shared" si="98"/>
        <v/>
      </c>
      <c r="AJ262" s="647" t="str">
        <f t="shared" si="99"/>
        <v/>
      </c>
      <c r="AK262" s="647" t="str">
        <f t="shared" si="5"/>
        <v/>
      </c>
      <c r="AL262" s="647" t="str">
        <f t="shared" si="80"/>
        <v/>
      </c>
      <c r="AM262" s="647" t="str">
        <f t="shared" si="77"/>
        <v/>
      </c>
      <c r="AN262" s="647" t="str">
        <f t="shared" si="7"/>
        <v/>
      </c>
      <c r="AO262" s="647" t="str">
        <f t="shared" si="8"/>
        <v/>
      </c>
      <c r="AP262" s="647" t="str">
        <f t="shared" si="9"/>
        <v/>
      </c>
      <c r="AQ262" s="647" t="str">
        <f t="shared" si="78"/>
        <v/>
      </c>
      <c r="AR262" s="647" t="str">
        <f t="shared" si="10"/>
        <v/>
      </c>
      <c r="AS262" s="647" t="str">
        <f t="shared" si="16"/>
        <v/>
      </c>
      <c r="AT262" s="1323" t="str">
        <f t="shared" si="83"/>
        <v/>
      </c>
      <c r="AU262" s="1323" t="str">
        <f t="shared" si="84"/>
        <v/>
      </c>
    </row>
    <row r="263" spans="3:47" s="5" customFormat="1" ht="28.15" hidden="1" customHeight="1" outlineLevel="1">
      <c r="C263" s="649">
        <v>245</v>
      </c>
      <c r="D263" s="1134"/>
      <c r="E263" s="729"/>
      <c r="F263" s="726"/>
      <c r="G263" s="705"/>
      <c r="H263" s="257"/>
      <c r="I263" s="257"/>
      <c r="J263" s="1049"/>
      <c r="K263" s="735"/>
      <c r="L263" s="735"/>
      <c r="M263" s="736"/>
      <c r="N263" s="735"/>
      <c r="O263" s="727"/>
      <c r="P263" s="1321"/>
      <c r="Q263" s="1329"/>
      <c r="R263" s="254"/>
      <c r="S263" s="703"/>
      <c r="T263" s="728"/>
      <c r="U263" s="431"/>
      <c r="V263" s="499"/>
      <c r="W263" s="741"/>
      <c r="X263" s="51"/>
      <c r="Y263" s="51"/>
      <c r="Z263" s="645" t="str">
        <f t="shared" si="1"/>
        <v/>
      </c>
      <c r="AA263" s="1037" t="str">
        <f t="shared" si="81"/>
        <v/>
      </c>
      <c r="AB263" s="1037" t="str">
        <f t="shared" si="82"/>
        <v/>
      </c>
      <c r="AC263" s="1037" t="str">
        <f>IF(Z263="","",VLOOKUP(Z263,リスト!BN:BO,2,0))</f>
        <v/>
      </c>
      <c r="AD263" s="1037" t="str">
        <f t="shared" si="79"/>
        <v/>
      </c>
      <c r="AE263" s="1037" t="str">
        <f>IF(AD263="","",VLOOKUP(AD263,リスト!BW:BX,2,0))</f>
        <v/>
      </c>
      <c r="AF263" s="1037" t="str">
        <f t="shared" si="76"/>
        <v/>
      </c>
      <c r="AG263" s="685" t="str">
        <f t="shared" si="3"/>
        <v/>
      </c>
      <c r="AH263" s="646" t="str">
        <f t="shared" si="4"/>
        <v/>
      </c>
      <c r="AI263" s="646" t="str">
        <f t="shared" si="98"/>
        <v/>
      </c>
      <c r="AJ263" s="647" t="str">
        <f t="shared" si="99"/>
        <v/>
      </c>
      <c r="AK263" s="647" t="str">
        <f t="shared" si="5"/>
        <v/>
      </c>
      <c r="AL263" s="647" t="str">
        <f t="shared" si="80"/>
        <v/>
      </c>
      <c r="AM263" s="647" t="str">
        <f t="shared" si="77"/>
        <v/>
      </c>
      <c r="AN263" s="647" t="str">
        <f t="shared" si="7"/>
        <v/>
      </c>
      <c r="AO263" s="647" t="str">
        <f t="shared" si="8"/>
        <v/>
      </c>
      <c r="AP263" s="647" t="str">
        <f t="shared" si="9"/>
        <v/>
      </c>
      <c r="AQ263" s="647" t="str">
        <f t="shared" si="78"/>
        <v/>
      </c>
      <c r="AR263" s="647" t="str">
        <f t="shared" si="10"/>
        <v/>
      </c>
      <c r="AS263" s="647" t="str">
        <f t="shared" si="16"/>
        <v/>
      </c>
      <c r="AT263" s="1323" t="str">
        <f t="shared" si="83"/>
        <v/>
      </c>
      <c r="AU263" s="1323" t="str">
        <f t="shared" si="84"/>
        <v/>
      </c>
    </row>
    <row r="264" spans="3:47" s="5" customFormat="1" ht="28.15" hidden="1" customHeight="1" outlineLevel="1">
      <c r="C264" s="649">
        <v>246</v>
      </c>
      <c r="D264" s="1133"/>
      <c r="E264" s="670"/>
      <c r="F264" s="726"/>
      <c r="G264" s="705"/>
      <c r="H264" s="255"/>
      <c r="I264" s="255"/>
      <c r="J264" s="1049"/>
      <c r="K264" s="735"/>
      <c r="L264" s="735"/>
      <c r="M264" s="736"/>
      <c r="N264" s="735"/>
      <c r="O264" s="727"/>
      <c r="P264" s="1321"/>
      <c r="Q264" s="1329"/>
      <c r="R264" s="254"/>
      <c r="S264" s="703"/>
      <c r="T264" s="728"/>
      <c r="U264" s="431"/>
      <c r="V264" s="499"/>
      <c r="W264" s="741"/>
      <c r="X264" s="51"/>
      <c r="Y264" s="51"/>
      <c r="Z264" s="645" t="str">
        <f t="shared" si="1"/>
        <v/>
      </c>
      <c r="AA264" s="1037" t="str">
        <f t="shared" si="81"/>
        <v/>
      </c>
      <c r="AB264" s="1037" t="str">
        <f t="shared" si="82"/>
        <v/>
      </c>
      <c r="AC264" s="1037" t="str">
        <f>IF(Z264="","",VLOOKUP(Z264,リスト!BN:BO,2,0))</f>
        <v/>
      </c>
      <c r="AD264" s="1037" t="str">
        <f t="shared" si="79"/>
        <v/>
      </c>
      <c r="AE264" s="1037" t="str">
        <f>IF(AD264="","",VLOOKUP(AD264,リスト!BW:BX,2,0))</f>
        <v/>
      </c>
      <c r="AF264" s="1037" t="str">
        <f t="shared" si="76"/>
        <v/>
      </c>
      <c r="AG264" s="685" t="str">
        <f t="shared" si="3"/>
        <v/>
      </c>
      <c r="AH264" s="646" t="str">
        <f t="shared" si="4"/>
        <v/>
      </c>
      <c r="AI264" s="646" t="str">
        <f t="shared" si="98"/>
        <v/>
      </c>
      <c r="AJ264" s="647" t="str">
        <f t="shared" si="99"/>
        <v/>
      </c>
      <c r="AK264" s="647" t="str">
        <f t="shared" si="5"/>
        <v/>
      </c>
      <c r="AL264" s="647" t="str">
        <f t="shared" si="80"/>
        <v/>
      </c>
      <c r="AM264" s="647" t="str">
        <f t="shared" si="77"/>
        <v/>
      </c>
      <c r="AN264" s="647" t="str">
        <f t="shared" si="7"/>
        <v/>
      </c>
      <c r="AO264" s="647" t="str">
        <f t="shared" si="8"/>
        <v/>
      </c>
      <c r="AP264" s="647" t="str">
        <f t="shared" si="9"/>
        <v/>
      </c>
      <c r="AQ264" s="647" t="str">
        <f t="shared" si="78"/>
        <v/>
      </c>
      <c r="AR264" s="647" t="str">
        <f t="shared" si="10"/>
        <v/>
      </c>
      <c r="AS264" s="647" t="str">
        <f t="shared" si="16"/>
        <v/>
      </c>
      <c r="AT264" s="1323" t="str">
        <f t="shared" si="83"/>
        <v/>
      </c>
      <c r="AU264" s="1323" t="str">
        <f t="shared" si="84"/>
        <v/>
      </c>
    </row>
    <row r="265" spans="3:47" s="5" customFormat="1" ht="28.15" hidden="1" customHeight="1" outlineLevel="1">
      <c r="C265" s="649">
        <v>247</v>
      </c>
      <c r="D265" s="1134"/>
      <c r="E265" s="729"/>
      <c r="F265" s="726"/>
      <c r="G265" s="705"/>
      <c r="H265" s="257"/>
      <c r="I265" s="257"/>
      <c r="J265" s="1050"/>
      <c r="K265" s="735"/>
      <c r="L265" s="735"/>
      <c r="M265" s="736"/>
      <c r="N265" s="735"/>
      <c r="O265" s="727"/>
      <c r="P265" s="1321"/>
      <c r="Q265" s="1329"/>
      <c r="R265" s="254"/>
      <c r="S265" s="703"/>
      <c r="T265" s="728"/>
      <c r="U265" s="431"/>
      <c r="V265" s="499"/>
      <c r="W265" s="741"/>
      <c r="X265" s="51"/>
      <c r="Y265" s="51"/>
      <c r="Z265" s="645" t="str">
        <f t="shared" si="1"/>
        <v/>
      </c>
      <c r="AA265" s="1037" t="str">
        <f t="shared" si="81"/>
        <v/>
      </c>
      <c r="AB265" s="1037" t="str">
        <f t="shared" si="82"/>
        <v/>
      </c>
      <c r="AC265" s="1037" t="str">
        <f>IF(Z265="","",VLOOKUP(Z265,リスト!BN:BO,2,0))</f>
        <v/>
      </c>
      <c r="AD265" s="1037" t="str">
        <f t="shared" si="79"/>
        <v/>
      </c>
      <c r="AE265" s="1037" t="str">
        <f>IF(AD265="","",VLOOKUP(AD265,リスト!BW:BX,2,0))</f>
        <v/>
      </c>
      <c r="AF265" s="1037" t="str">
        <f t="shared" si="76"/>
        <v/>
      </c>
      <c r="AG265" s="685" t="str">
        <f t="shared" si="3"/>
        <v/>
      </c>
      <c r="AH265" s="646" t="str">
        <f t="shared" si="4"/>
        <v/>
      </c>
      <c r="AI265" s="646" t="str">
        <f t="shared" si="98"/>
        <v/>
      </c>
      <c r="AJ265" s="647" t="str">
        <f t="shared" si="99"/>
        <v/>
      </c>
      <c r="AK265" s="647" t="str">
        <f t="shared" si="5"/>
        <v/>
      </c>
      <c r="AL265" s="647" t="str">
        <f t="shared" si="80"/>
        <v/>
      </c>
      <c r="AM265" s="647" t="str">
        <f t="shared" si="77"/>
        <v/>
      </c>
      <c r="AN265" s="647" t="str">
        <f t="shared" si="7"/>
        <v/>
      </c>
      <c r="AO265" s="647" t="str">
        <f t="shared" si="8"/>
        <v/>
      </c>
      <c r="AP265" s="647" t="str">
        <f t="shared" si="9"/>
        <v/>
      </c>
      <c r="AQ265" s="647" t="str">
        <f t="shared" si="78"/>
        <v/>
      </c>
      <c r="AR265" s="647" t="str">
        <f t="shared" si="10"/>
        <v/>
      </c>
      <c r="AS265" s="647" t="str">
        <f t="shared" si="16"/>
        <v/>
      </c>
      <c r="AT265" s="1323" t="str">
        <f t="shared" si="83"/>
        <v/>
      </c>
      <c r="AU265" s="1323" t="str">
        <f t="shared" si="84"/>
        <v/>
      </c>
    </row>
    <row r="266" spans="3:47" s="5" customFormat="1" ht="28.15" hidden="1" customHeight="1" outlineLevel="1">
      <c r="C266" s="649">
        <v>248</v>
      </c>
      <c r="D266" s="1133"/>
      <c r="E266" s="670"/>
      <c r="F266" s="726"/>
      <c r="G266" s="705"/>
      <c r="H266" s="255"/>
      <c r="I266" s="255"/>
      <c r="J266" s="1051"/>
      <c r="K266" s="735"/>
      <c r="L266" s="735"/>
      <c r="M266" s="736"/>
      <c r="N266" s="735"/>
      <c r="O266" s="727"/>
      <c r="P266" s="1321"/>
      <c r="Q266" s="1329"/>
      <c r="R266" s="254"/>
      <c r="S266" s="703"/>
      <c r="T266" s="728"/>
      <c r="U266" s="431"/>
      <c r="V266" s="499"/>
      <c r="W266" s="741"/>
      <c r="X266" s="51"/>
      <c r="Y266" s="51"/>
      <c r="Z266" s="645" t="str">
        <f t="shared" si="1"/>
        <v/>
      </c>
      <c r="AA266" s="1037" t="str">
        <f t="shared" si="81"/>
        <v/>
      </c>
      <c r="AB266" s="1037" t="str">
        <f t="shared" si="82"/>
        <v/>
      </c>
      <c r="AC266" s="1037" t="str">
        <f>IF(Z266="","",VLOOKUP(Z266,リスト!BN:BO,2,0))</f>
        <v/>
      </c>
      <c r="AD266" s="1037" t="str">
        <f t="shared" si="79"/>
        <v/>
      </c>
      <c r="AE266" s="1037" t="str">
        <f>IF(AD266="","",VLOOKUP(AD266,リスト!BW:BX,2,0))</f>
        <v/>
      </c>
      <c r="AF266" s="1037" t="str">
        <f t="shared" si="76"/>
        <v/>
      </c>
      <c r="AG266" s="685" t="str">
        <f t="shared" si="3"/>
        <v/>
      </c>
      <c r="AH266" s="646" t="str">
        <f t="shared" si="4"/>
        <v/>
      </c>
      <c r="AI266" s="646" t="str">
        <f t="shared" si="98"/>
        <v/>
      </c>
      <c r="AJ266" s="647" t="str">
        <f t="shared" si="99"/>
        <v/>
      </c>
      <c r="AK266" s="647" t="str">
        <f t="shared" si="5"/>
        <v/>
      </c>
      <c r="AL266" s="647" t="str">
        <f t="shared" si="80"/>
        <v/>
      </c>
      <c r="AM266" s="647" t="str">
        <f t="shared" si="77"/>
        <v/>
      </c>
      <c r="AN266" s="647" t="str">
        <f t="shared" si="7"/>
        <v/>
      </c>
      <c r="AO266" s="647" t="str">
        <f t="shared" si="8"/>
        <v/>
      </c>
      <c r="AP266" s="647" t="str">
        <f t="shared" si="9"/>
        <v/>
      </c>
      <c r="AQ266" s="647" t="str">
        <f t="shared" si="78"/>
        <v/>
      </c>
      <c r="AR266" s="647" t="str">
        <f t="shared" si="10"/>
        <v/>
      </c>
      <c r="AS266" s="647" t="str">
        <f t="shared" si="16"/>
        <v/>
      </c>
      <c r="AT266" s="1323" t="str">
        <f t="shared" si="83"/>
        <v/>
      </c>
      <c r="AU266" s="1323" t="str">
        <f t="shared" si="84"/>
        <v/>
      </c>
    </row>
    <row r="267" spans="3:47" s="5" customFormat="1" ht="28.15" hidden="1" customHeight="1" outlineLevel="1">
      <c r="C267" s="649">
        <v>249</v>
      </c>
      <c r="D267" s="1133"/>
      <c r="E267" s="670"/>
      <c r="F267" s="726"/>
      <c r="G267" s="705"/>
      <c r="H267" s="255"/>
      <c r="I267" s="255"/>
      <c r="J267" s="1051"/>
      <c r="K267" s="735"/>
      <c r="L267" s="735"/>
      <c r="M267" s="736"/>
      <c r="N267" s="735"/>
      <c r="O267" s="727"/>
      <c r="P267" s="1321"/>
      <c r="Q267" s="1329"/>
      <c r="R267" s="254"/>
      <c r="S267" s="703"/>
      <c r="T267" s="728"/>
      <c r="U267" s="431"/>
      <c r="V267" s="499"/>
      <c r="W267" s="741"/>
      <c r="X267" s="51"/>
      <c r="Y267" s="51"/>
      <c r="Z267" s="645" t="str">
        <f t="shared" si="1"/>
        <v/>
      </c>
      <c r="AA267" s="1037" t="str">
        <f t="shared" si="81"/>
        <v/>
      </c>
      <c r="AB267" s="1037" t="str">
        <f t="shared" si="82"/>
        <v/>
      </c>
      <c r="AC267" s="1037" t="str">
        <f>IF(Z267="","",VLOOKUP(Z267,リスト!BN:BO,2,0))</f>
        <v/>
      </c>
      <c r="AD267" s="1037" t="str">
        <f t="shared" si="79"/>
        <v/>
      </c>
      <c r="AE267" s="1037" t="str">
        <f>IF(AD267="","",VLOOKUP(AD267,リスト!BW:BX,2,0))</f>
        <v/>
      </c>
      <c r="AF267" s="1037" t="str">
        <f t="shared" si="76"/>
        <v/>
      </c>
      <c r="AG267" s="685" t="str">
        <f t="shared" si="3"/>
        <v/>
      </c>
      <c r="AH267" s="646" t="str">
        <f t="shared" si="4"/>
        <v/>
      </c>
      <c r="AI267" s="646" t="str">
        <f t="shared" si="98"/>
        <v/>
      </c>
      <c r="AJ267" s="647" t="str">
        <f t="shared" si="99"/>
        <v/>
      </c>
      <c r="AK267" s="647" t="str">
        <f t="shared" si="5"/>
        <v/>
      </c>
      <c r="AL267" s="647" t="str">
        <f t="shared" si="80"/>
        <v/>
      </c>
      <c r="AM267" s="647" t="str">
        <f t="shared" si="77"/>
        <v/>
      </c>
      <c r="AN267" s="647" t="str">
        <f t="shared" si="7"/>
        <v/>
      </c>
      <c r="AO267" s="647" t="str">
        <f t="shared" si="8"/>
        <v/>
      </c>
      <c r="AP267" s="647" t="str">
        <f t="shared" si="9"/>
        <v/>
      </c>
      <c r="AQ267" s="647" t="str">
        <f t="shared" si="78"/>
        <v/>
      </c>
      <c r="AR267" s="647" t="str">
        <f t="shared" si="10"/>
        <v/>
      </c>
      <c r="AS267" s="647" t="str">
        <f t="shared" si="16"/>
        <v/>
      </c>
      <c r="AT267" s="1323" t="str">
        <f t="shared" si="83"/>
        <v/>
      </c>
      <c r="AU267" s="1323" t="str">
        <f t="shared" si="84"/>
        <v/>
      </c>
    </row>
    <row r="268" spans="3:47" s="5" customFormat="1" ht="28.15" hidden="1" customHeight="1" outlineLevel="1">
      <c r="C268" s="649">
        <v>250</v>
      </c>
      <c r="D268" s="1133"/>
      <c r="E268" s="670"/>
      <c r="F268" s="726"/>
      <c r="G268" s="705"/>
      <c r="H268" s="255"/>
      <c r="I268" s="255"/>
      <c r="J268" s="1051"/>
      <c r="K268" s="735"/>
      <c r="L268" s="735"/>
      <c r="M268" s="736"/>
      <c r="N268" s="735"/>
      <c r="O268" s="727"/>
      <c r="P268" s="1321"/>
      <c r="Q268" s="1329"/>
      <c r="R268" s="254"/>
      <c r="S268" s="703"/>
      <c r="T268" s="728"/>
      <c r="U268" s="431"/>
      <c r="V268" s="499"/>
      <c r="W268" s="741"/>
      <c r="X268" s="51"/>
      <c r="Y268" s="51"/>
      <c r="Z268" s="645" t="str">
        <f t="shared" si="1"/>
        <v/>
      </c>
      <c r="AA268" s="1037" t="str">
        <f t="shared" si="81"/>
        <v/>
      </c>
      <c r="AB268" s="1037" t="str">
        <f t="shared" si="82"/>
        <v/>
      </c>
      <c r="AC268" s="1037" t="str">
        <f>IF(Z268="","",VLOOKUP(Z268,リスト!BN:BO,2,0))</f>
        <v/>
      </c>
      <c r="AD268" s="1037" t="str">
        <f t="shared" si="79"/>
        <v/>
      </c>
      <c r="AE268" s="1037" t="str">
        <f>IF(AD268="","",VLOOKUP(AD268,リスト!BW:BX,2,0))</f>
        <v/>
      </c>
      <c r="AF268" s="1037" t="str">
        <f t="shared" si="76"/>
        <v/>
      </c>
      <c r="AG268" s="685" t="str">
        <f t="shared" si="3"/>
        <v/>
      </c>
      <c r="AH268" s="646" t="str">
        <f t="shared" si="4"/>
        <v/>
      </c>
      <c r="AI268" s="646" t="str">
        <f t="shared" si="98"/>
        <v/>
      </c>
      <c r="AJ268" s="647" t="str">
        <f t="shared" si="99"/>
        <v/>
      </c>
      <c r="AK268" s="647" t="str">
        <f t="shared" si="5"/>
        <v/>
      </c>
      <c r="AL268" s="647" t="str">
        <f t="shared" si="80"/>
        <v/>
      </c>
      <c r="AM268" s="647" t="str">
        <f t="shared" si="77"/>
        <v/>
      </c>
      <c r="AN268" s="647" t="str">
        <f t="shared" si="7"/>
        <v/>
      </c>
      <c r="AO268" s="647" t="str">
        <f t="shared" si="8"/>
        <v/>
      </c>
      <c r="AP268" s="647" t="str">
        <f t="shared" si="9"/>
        <v/>
      </c>
      <c r="AQ268" s="647" t="str">
        <f t="shared" si="78"/>
        <v/>
      </c>
      <c r="AR268" s="647" t="str">
        <f t="shared" si="10"/>
        <v/>
      </c>
      <c r="AS268" s="647" t="str">
        <f t="shared" si="16"/>
        <v/>
      </c>
      <c r="AT268" s="1323" t="str">
        <f t="shared" si="83"/>
        <v/>
      </c>
      <c r="AU268" s="1323" t="str">
        <f t="shared" si="84"/>
        <v/>
      </c>
    </row>
    <row r="269" spans="3:47" s="5" customFormat="1" ht="28.15" hidden="1" customHeight="1" outlineLevel="1">
      <c r="C269" s="649">
        <v>251</v>
      </c>
      <c r="D269" s="1133"/>
      <c r="E269" s="670"/>
      <c r="F269" s="726"/>
      <c r="G269" s="705"/>
      <c r="H269" s="255"/>
      <c r="I269" s="255"/>
      <c r="J269" s="1051"/>
      <c r="K269" s="735"/>
      <c r="L269" s="735"/>
      <c r="M269" s="736"/>
      <c r="N269" s="735"/>
      <c r="O269" s="727"/>
      <c r="P269" s="1321"/>
      <c r="Q269" s="1329"/>
      <c r="R269" s="254"/>
      <c r="S269" s="703"/>
      <c r="T269" s="728"/>
      <c r="U269" s="431"/>
      <c r="V269" s="499"/>
      <c r="W269" s="741"/>
      <c r="X269" s="51"/>
      <c r="Y269" s="51"/>
      <c r="Z269" s="645" t="str">
        <f t="shared" si="1"/>
        <v/>
      </c>
      <c r="AA269" s="1037" t="str">
        <f t="shared" si="81"/>
        <v/>
      </c>
      <c r="AB269" s="1037" t="str">
        <f t="shared" si="82"/>
        <v/>
      </c>
      <c r="AC269" s="1037" t="str">
        <f>IF(Z269="","",VLOOKUP(Z269,リスト!BN:BO,2,0))</f>
        <v/>
      </c>
      <c r="AD269" s="1037" t="str">
        <f t="shared" si="79"/>
        <v/>
      </c>
      <c r="AE269" s="1037" t="str">
        <f>IF(AD269="","",VLOOKUP(AD269,リスト!BW:BX,2,0))</f>
        <v/>
      </c>
      <c r="AF269" s="1037" t="str">
        <f t="shared" si="76"/>
        <v/>
      </c>
      <c r="AG269" s="685" t="str">
        <f t="shared" si="3"/>
        <v/>
      </c>
      <c r="AH269" s="646" t="str">
        <f t="shared" si="4"/>
        <v/>
      </c>
      <c r="AI269" s="646" t="str">
        <f t="shared" si="98"/>
        <v/>
      </c>
      <c r="AJ269" s="647" t="str">
        <f t="shared" si="99"/>
        <v/>
      </c>
      <c r="AK269" s="647" t="str">
        <f t="shared" si="5"/>
        <v/>
      </c>
      <c r="AL269" s="647" t="str">
        <f t="shared" si="80"/>
        <v/>
      </c>
      <c r="AM269" s="647" t="str">
        <f t="shared" si="77"/>
        <v/>
      </c>
      <c r="AN269" s="647" t="str">
        <f t="shared" si="7"/>
        <v/>
      </c>
      <c r="AO269" s="647" t="str">
        <f t="shared" si="8"/>
        <v/>
      </c>
      <c r="AP269" s="647" t="str">
        <f t="shared" si="9"/>
        <v/>
      </c>
      <c r="AQ269" s="647" t="str">
        <f t="shared" si="78"/>
        <v/>
      </c>
      <c r="AR269" s="647" t="str">
        <f t="shared" si="10"/>
        <v/>
      </c>
      <c r="AS269" s="647" t="str">
        <f t="shared" si="16"/>
        <v/>
      </c>
      <c r="AT269" s="1323" t="str">
        <f t="shared" si="83"/>
        <v/>
      </c>
      <c r="AU269" s="1323" t="str">
        <f t="shared" si="84"/>
        <v/>
      </c>
    </row>
    <row r="270" spans="3:47" s="5" customFormat="1" ht="28.15" hidden="1" customHeight="1" outlineLevel="1">
      <c r="C270" s="649">
        <v>252</v>
      </c>
      <c r="D270" s="1133"/>
      <c r="E270" s="670"/>
      <c r="F270" s="726"/>
      <c r="G270" s="705"/>
      <c r="H270" s="255"/>
      <c r="I270" s="255"/>
      <c r="J270" s="1051"/>
      <c r="K270" s="735"/>
      <c r="L270" s="735"/>
      <c r="M270" s="736"/>
      <c r="N270" s="735"/>
      <c r="O270" s="727"/>
      <c r="P270" s="1321"/>
      <c r="Q270" s="1329"/>
      <c r="R270" s="254"/>
      <c r="S270" s="703"/>
      <c r="T270" s="728"/>
      <c r="U270" s="431"/>
      <c r="V270" s="499"/>
      <c r="W270" s="741"/>
      <c r="X270" s="51"/>
      <c r="Y270" s="51"/>
      <c r="Z270" s="645" t="str">
        <f t="shared" si="1"/>
        <v/>
      </c>
      <c r="AA270" s="1037" t="str">
        <f t="shared" si="81"/>
        <v/>
      </c>
      <c r="AB270" s="1037" t="str">
        <f t="shared" si="82"/>
        <v/>
      </c>
      <c r="AC270" s="1037" t="str">
        <f>IF(Z270="","",VLOOKUP(Z270,リスト!BN:BO,2,0))</f>
        <v/>
      </c>
      <c r="AD270" s="1037" t="str">
        <f t="shared" si="79"/>
        <v/>
      </c>
      <c r="AE270" s="1037" t="str">
        <f>IF(AD270="","",VLOOKUP(AD270,リスト!BW:BX,2,0))</f>
        <v/>
      </c>
      <c r="AF270" s="1037" t="str">
        <f t="shared" si="76"/>
        <v/>
      </c>
      <c r="AG270" s="685" t="str">
        <f t="shared" si="3"/>
        <v/>
      </c>
      <c r="AH270" s="646" t="str">
        <f t="shared" si="4"/>
        <v/>
      </c>
      <c r="AI270" s="646" t="str">
        <f t="shared" si="98"/>
        <v/>
      </c>
      <c r="AJ270" s="647" t="str">
        <f t="shared" si="99"/>
        <v/>
      </c>
      <c r="AK270" s="647" t="str">
        <f t="shared" si="5"/>
        <v/>
      </c>
      <c r="AL270" s="647" t="str">
        <f t="shared" si="80"/>
        <v/>
      </c>
      <c r="AM270" s="647" t="str">
        <f t="shared" si="77"/>
        <v/>
      </c>
      <c r="AN270" s="647" t="str">
        <f t="shared" si="7"/>
        <v/>
      </c>
      <c r="AO270" s="647" t="str">
        <f t="shared" si="8"/>
        <v/>
      </c>
      <c r="AP270" s="647" t="str">
        <f t="shared" si="9"/>
        <v/>
      </c>
      <c r="AQ270" s="647" t="str">
        <f t="shared" si="78"/>
        <v/>
      </c>
      <c r="AR270" s="647" t="str">
        <f t="shared" si="10"/>
        <v/>
      </c>
      <c r="AS270" s="647" t="str">
        <f t="shared" si="16"/>
        <v/>
      </c>
      <c r="AT270" s="1323" t="str">
        <f t="shared" si="83"/>
        <v/>
      </c>
      <c r="AU270" s="1323" t="str">
        <f t="shared" si="84"/>
        <v/>
      </c>
    </row>
    <row r="271" spans="3:47" s="5" customFormat="1" ht="28.15" hidden="1" customHeight="1" outlineLevel="1">
      <c r="C271" s="649">
        <v>253</v>
      </c>
      <c r="D271" s="1133"/>
      <c r="E271" s="670"/>
      <c r="F271" s="726"/>
      <c r="G271" s="705"/>
      <c r="H271" s="255"/>
      <c r="I271" s="255"/>
      <c r="J271" s="1051"/>
      <c r="K271" s="735"/>
      <c r="L271" s="735"/>
      <c r="M271" s="736"/>
      <c r="N271" s="735"/>
      <c r="O271" s="727"/>
      <c r="P271" s="1321"/>
      <c r="Q271" s="1329"/>
      <c r="R271" s="254"/>
      <c r="S271" s="703"/>
      <c r="T271" s="728"/>
      <c r="U271" s="431"/>
      <c r="V271" s="499"/>
      <c r="W271" s="741"/>
      <c r="X271" s="51"/>
      <c r="Y271" s="51"/>
      <c r="Z271" s="645" t="str">
        <f t="shared" si="1"/>
        <v/>
      </c>
      <c r="AA271" s="1037" t="str">
        <f t="shared" si="81"/>
        <v/>
      </c>
      <c r="AB271" s="1037" t="str">
        <f t="shared" si="82"/>
        <v/>
      </c>
      <c r="AC271" s="1037" t="str">
        <f>IF(Z271="","",VLOOKUP(Z271,リスト!BN:BO,2,0))</f>
        <v/>
      </c>
      <c r="AD271" s="1037" t="str">
        <f t="shared" si="79"/>
        <v/>
      </c>
      <c r="AE271" s="1037" t="str">
        <f>IF(AD271="","",VLOOKUP(AD271,リスト!BW:BX,2,0))</f>
        <v/>
      </c>
      <c r="AF271" s="1037" t="str">
        <f t="shared" si="76"/>
        <v/>
      </c>
      <c r="AG271" s="685" t="str">
        <f t="shared" si="3"/>
        <v/>
      </c>
      <c r="AH271" s="646" t="str">
        <f t="shared" si="4"/>
        <v/>
      </c>
      <c r="AI271" s="646" t="str">
        <f t="shared" si="98"/>
        <v/>
      </c>
      <c r="AJ271" s="647" t="str">
        <f t="shared" si="99"/>
        <v/>
      </c>
      <c r="AK271" s="647" t="str">
        <f t="shared" si="5"/>
        <v/>
      </c>
      <c r="AL271" s="647" t="str">
        <f t="shared" si="80"/>
        <v/>
      </c>
      <c r="AM271" s="647" t="str">
        <f t="shared" si="77"/>
        <v/>
      </c>
      <c r="AN271" s="647" t="str">
        <f t="shared" si="7"/>
        <v/>
      </c>
      <c r="AO271" s="647" t="str">
        <f t="shared" si="8"/>
        <v/>
      </c>
      <c r="AP271" s="647" t="str">
        <f t="shared" si="9"/>
        <v/>
      </c>
      <c r="AQ271" s="647" t="str">
        <f t="shared" si="78"/>
        <v/>
      </c>
      <c r="AR271" s="647" t="str">
        <f t="shared" si="10"/>
        <v/>
      </c>
      <c r="AS271" s="647" t="str">
        <f t="shared" si="16"/>
        <v/>
      </c>
      <c r="AT271" s="1323" t="str">
        <f t="shared" si="83"/>
        <v/>
      </c>
      <c r="AU271" s="1323" t="str">
        <f t="shared" si="84"/>
        <v/>
      </c>
    </row>
    <row r="272" spans="3:47" s="5" customFormat="1" ht="28.15" hidden="1" customHeight="1" outlineLevel="1">
      <c r="C272" s="649">
        <v>254</v>
      </c>
      <c r="D272" s="1133"/>
      <c r="E272" s="670"/>
      <c r="F272" s="726"/>
      <c r="G272" s="666"/>
      <c r="H272" s="266"/>
      <c r="I272" s="266"/>
      <c r="J272" s="1049"/>
      <c r="K272" s="727"/>
      <c r="L272" s="727"/>
      <c r="M272" s="727"/>
      <c r="N272" s="727"/>
      <c r="O272" s="727"/>
      <c r="P272" s="1321"/>
      <c r="Q272" s="1329"/>
      <c r="R272" s="254"/>
      <c r="S272" s="703"/>
      <c r="T272" s="728"/>
      <c r="U272" s="431"/>
      <c r="V272" s="499"/>
      <c r="W272" s="741"/>
      <c r="X272" s="51"/>
      <c r="Y272" s="51"/>
      <c r="Z272" s="645" t="str">
        <f t="shared" ref="Z272:Z289" si="100">IF(AND(E272="",F272=""),"","["&amp;RIGHT(LEFT(E272,3),2)&amp;RIGHT(LEFT(F272,2),1)&amp;"]")</f>
        <v/>
      </c>
      <c r="AA272" s="1037" t="str">
        <f t="shared" si="81"/>
        <v/>
      </c>
      <c r="AB272" s="1037" t="str">
        <f t="shared" si="82"/>
        <v/>
      </c>
      <c r="AC272" s="1037" t="str">
        <f>IF(Z272="","",VLOOKUP(Z272,リスト!BN:BO,2,0))</f>
        <v/>
      </c>
      <c r="AD272" s="1037" t="str">
        <f t="shared" si="79"/>
        <v/>
      </c>
      <c r="AE272" s="1037" t="str">
        <f>IF(AD272="","",VLOOKUP(AD272,リスト!BW:BX,2,0))</f>
        <v/>
      </c>
      <c r="AF272" s="1037" t="str">
        <f t="shared" si="76"/>
        <v/>
      </c>
      <c r="AG272" s="685" t="str">
        <f t="shared" ref="AG272:AG289" si="101">IF(OR(Z272="",AA272=1),"",
IF(AND(AD272&gt;0,AF272&lt;AD272,AH272&lt;=ROUND((K272-1)*AE272,0)),ROUND(AH272,0),
IF(AND(AD272&gt;0,AF272&lt;AD272),ROUND((K272-1)*AE272,0),
"")))</f>
        <v/>
      </c>
      <c r="AH272" s="646" t="str">
        <f t="shared" ref="AH272:AH289" si="102">IF(OR(Z272="",AA272=1),"",
IF(AND(AD272&gt;0,AF272&lt;AD272),K272-ROUND((K272-1)*AE272*AF272,0),1
))</f>
        <v/>
      </c>
      <c r="AI272" s="646" t="str">
        <f t="shared" ref="AI272:AI289" si="103">IF(OR(Z272="",AA272=1),"",
IF(S272="",AG272,
IF(S272="2：廃棄等",SUM(AH272,T272),
IF(S272="1：売却",AH272-T272,
IF(AND(T272="",AG272=""),"",SUM(T272,AG272))))))</f>
        <v/>
      </c>
      <c r="AJ272" s="647" t="str">
        <f t="shared" ref="AJ272:AJ289" si="104">IF(AND(AI272="",AG272=""),"",
IF(OR(S272="1：売却",S272="2：廃棄等"),SUM(AI272)-SUM(AG272),""))</f>
        <v/>
      </c>
      <c r="AK272" s="647" t="str">
        <f t="shared" ref="AK272:AK289" si="105">IF(OR(AA272=1,L272=""),"",
IF(AND(AD272&gt;0,L272&gt;0,AF272&lt;AD272),L272-ROUND(L272*AE272*AF272,0),""
))</f>
        <v/>
      </c>
      <c r="AL272" s="647" t="str">
        <f t="shared" si="80"/>
        <v/>
      </c>
      <c r="AM272" s="647" t="str">
        <f t="shared" si="77"/>
        <v/>
      </c>
      <c r="AN272" s="647" t="str">
        <f t="shared" ref="AN272:AN289" si="106">IF(R272="","",IF(AI272="","",ROUND(AI272*R272%,0)))</f>
        <v/>
      </c>
      <c r="AO272" s="647" t="str">
        <f t="shared" ref="AO272:AO289" si="107">IF(R272="","",IF(AJ272="","",ROUND(AJ272*R272%,0)))</f>
        <v/>
      </c>
      <c r="AP272" s="647" t="str">
        <f t="shared" ref="AP272:AP289" si="108">IF(R272="","",IF(AH272="","",ROUND(AH272*R272%,0)))</f>
        <v/>
      </c>
      <c r="AQ272" s="647" t="str">
        <f t="shared" si="78"/>
        <v/>
      </c>
      <c r="AR272" s="647" t="str">
        <f t="shared" ref="AR272:AR289" si="109">IF(R272="","",IF(N272="","",ROUND(N272*R272%,0)))</f>
        <v/>
      </c>
      <c r="AS272" s="647" t="str">
        <f t="shared" ref="AS272:AS289" si="110">IF(R272="","",IF(O272="","",ROUND(O272*R272%,0)))</f>
        <v/>
      </c>
      <c r="AT272" s="1323" t="str">
        <f t="shared" si="83"/>
        <v/>
      </c>
      <c r="AU272" s="1323" t="str">
        <f t="shared" si="84"/>
        <v/>
      </c>
    </row>
    <row r="273" spans="3:47" s="5" customFormat="1" ht="28.15" hidden="1" customHeight="1" outlineLevel="1">
      <c r="C273" s="649">
        <v>255</v>
      </c>
      <c r="D273" s="1134"/>
      <c r="E273" s="729"/>
      <c r="F273" s="726"/>
      <c r="G273" s="705"/>
      <c r="H273" s="257"/>
      <c r="I273" s="257"/>
      <c r="J273" s="1049"/>
      <c r="K273" s="735"/>
      <c r="L273" s="735"/>
      <c r="M273" s="736"/>
      <c r="N273" s="735"/>
      <c r="O273" s="727"/>
      <c r="P273" s="1321"/>
      <c r="Q273" s="1329"/>
      <c r="R273" s="254"/>
      <c r="S273" s="703"/>
      <c r="T273" s="728"/>
      <c r="U273" s="431"/>
      <c r="V273" s="499"/>
      <c r="W273" s="741"/>
      <c r="X273" s="51"/>
      <c r="Y273" s="51"/>
      <c r="Z273" s="645" t="str">
        <f t="shared" si="100"/>
        <v/>
      </c>
      <c r="AA273" s="1037" t="str">
        <f t="shared" si="81"/>
        <v/>
      </c>
      <c r="AB273" s="1037" t="str">
        <f t="shared" si="82"/>
        <v/>
      </c>
      <c r="AC273" s="1037" t="str">
        <f>IF(Z273="","",VLOOKUP(Z273,リスト!BN:BO,2,0))</f>
        <v/>
      </c>
      <c r="AD273" s="1037" t="str">
        <f t="shared" si="79"/>
        <v/>
      </c>
      <c r="AE273" s="1037" t="str">
        <f>IF(AD273="","",VLOOKUP(AD273,リスト!BW:BX,2,0))</f>
        <v/>
      </c>
      <c r="AF273" s="1037" t="str">
        <f t="shared" si="76"/>
        <v/>
      </c>
      <c r="AG273" s="685" t="str">
        <f t="shared" si="101"/>
        <v/>
      </c>
      <c r="AH273" s="646" t="str">
        <f t="shared" si="102"/>
        <v/>
      </c>
      <c r="AI273" s="646" t="str">
        <f t="shared" si="103"/>
        <v/>
      </c>
      <c r="AJ273" s="647" t="str">
        <f t="shared" si="104"/>
        <v/>
      </c>
      <c r="AK273" s="647" t="str">
        <f t="shared" si="105"/>
        <v/>
      </c>
      <c r="AL273" s="647" t="str">
        <f t="shared" si="80"/>
        <v/>
      </c>
      <c r="AM273" s="647" t="str">
        <f t="shared" si="77"/>
        <v/>
      </c>
      <c r="AN273" s="647" t="str">
        <f t="shared" si="106"/>
        <v/>
      </c>
      <c r="AO273" s="647" t="str">
        <f t="shared" si="107"/>
        <v/>
      </c>
      <c r="AP273" s="647" t="str">
        <f t="shared" si="108"/>
        <v/>
      </c>
      <c r="AQ273" s="647" t="str">
        <f t="shared" si="78"/>
        <v/>
      </c>
      <c r="AR273" s="647" t="str">
        <f t="shared" si="109"/>
        <v/>
      </c>
      <c r="AS273" s="647" t="str">
        <f t="shared" si="110"/>
        <v/>
      </c>
      <c r="AT273" s="1323" t="str">
        <f t="shared" si="83"/>
        <v/>
      </c>
      <c r="AU273" s="1323" t="str">
        <f t="shared" si="84"/>
        <v/>
      </c>
    </row>
    <row r="274" spans="3:47" s="5" customFormat="1" ht="28.15" hidden="1" customHeight="1" outlineLevel="1">
      <c r="C274" s="649">
        <v>256</v>
      </c>
      <c r="D274" s="1133"/>
      <c r="E274" s="670"/>
      <c r="F274" s="726"/>
      <c r="G274" s="705"/>
      <c r="H274" s="255"/>
      <c r="I274" s="255"/>
      <c r="J274" s="1049"/>
      <c r="K274" s="735"/>
      <c r="L274" s="735"/>
      <c r="M274" s="736"/>
      <c r="N274" s="735"/>
      <c r="O274" s="727"/>
      <c r="P274" s="1321"/>
      <c r="Q274" s="1329"/>
      <c r="R274" s="254"/>
      <c r="S274" s="703"/>
      <c r="T274" s="728"/>
      <c r="U274" s="431"/>
      <c r="V274" s="499"/>
      <c r="W274" s="741"/>
      <c r="X274" s="51"/>
      <c r="Y274" s="51"/>
      <c r="Z274" s="645" t="str">
        <f t="shared" si="100"/>
        <v/>
      </c>
      <c r="AA274" s="1037" t="str">
        <f t="shared" si="81"/>
        <v/>
      </c>
      <c r="AB274" s="1037" t="str">
        <f t="shared" si="82"/>
        <v/>
      </c>
      <c r="AC274" s="1037" t="str">
        <f>IF(Z274="","",VLOOKUP(Z274,リスト!BN:BO,2,0))</f>
        <v/>
      </c>
      <c r="AD274" s="1037" t="str">
        <f t="shared" si="79"/>
        <v/>
      </c>
      <c r="AE274" s="1037" t="str">
        <f>IF(AD274="","",VLOOKUP(AD274,リスト!BW:BX,2,0))</f>
        <v/>
      </c>
      <c r="AF274" s="1037" t="str">
        <f t="shared" si="76"/>
        <v/>
      </c>
      <c r="AG274" s="685" t="str">
        <f t="shared" si="101"/>
        <v/>
      </c>
      <c r="AH274" s="646" t="str">
        <f t="shared" si="102"/>
        <v/>
      </c>
      <c r="AI274" s="646" t="str">
        <f t="shared" si="103"/>
        <v/>
      </c>
      <c r="AJ274" s="647" t="str">
        <f t="shared" si="104"/>
        <v/>
      </c>
      <c r="AK274" s="647" t="str">
        <f t="shared" si="105"/>
        <v/>
      </c>
      <c r="AL274" s="647" t="str">
        <f t="shared" si="80"/>
        <v/>
      </c>
      <c r="AM274" s="647" t="str">
        <f t="shared" si="77"/>
        <v/>
      </c>
      <c r="AN274" s="647" t="str">
        <f t="shared" si="106"/>
        <v/>
      </c>
      <c r="AO274" s="647" t="str">
        <f t="shared" si="107"/>
        <v/>
      </c>
      <c r="AP274" s="647" t="str">
        <f t="shared" si="108"/>
        <v/>
      </c>
      <c r="AQ274" s="647" t="str">
        <f t="shared" si="78"/>
        <v/>
      </c>
      <c r="AR274" s="647" t="str">
        <f t="shared" si="109"/>
        <v/>
      </c>
      <c r="AS274" s="647" t="str">
        <f t="shared" si="110"/>
        <v/>
      </c>
      <c r="AT274" s="1323" t="str">
        <f t="shared" si="83"/>
        <v/>
      </c>
      <c r="AU274" s="1323" t="str">
        <f t="shared" si="84"/>
        <v/>
      </c>
    </row>
    <row r="275" spans="3:47" s="5" customFormat="1" ht="28.15" hidden="1" customHeight="1" outlineLevel="1">
      <c r="C275" s="649">
        <v>257</v>
      </c>
      <c r="D275" s="1134"/>
      <c r="E275" s="729"/>
      <c r="F275" s="726"/>
      <c r="G275" s="705"/>
      <c r="H275" s="257"/>
      <c r="I275" s="257"/>
      <c r="J275" s="1049"/>
      <c r="K275" s="735"/>
      <c r="L275" s="735"/>
      <c r="M275" s="736"/>
      <c r="N275" s="735"/>
      <c r="O275" s="727"/>
      <c r="P275" s="1321"/>
      <c r="Q275" s="1329"/>
      <c r="R275" s="254"/>
      <c r="S275" s="703"/>
      <c r="T275" s="728"/>
      <c r="U275" s="431"/>
      <c r="V275" s="499"/>
      <c r="W275" s="741"/>
      <c r="X275" s="51"/>
      <c r="Y275" s="51"/>
      <c r="Z275" s="645" t="str">
        <f t="shared" si="100"/>
        <v/>
      </c>
      <c r="AA275" s="1037" t="str">
        <f t="shared" si="81"/>
        <v/>
      </c>
      <c r="AB275" s="1037" t="str">
        <f t="shared" si="82"/>
        <v/>
      </c>
      <c r="AC275" s="1037" t="str">
        <f>IF(Z275="","",VLOOKUP(Z275,リスト!BN:BO,2,0))</f>
        <v/>
      </c>
      <c r="AD275" s="1037" t="str">
        <f t="shared" si="79"/>
        <v/>
      </c>
      <c r="AE275" s="1037" t="str">
        <f>IF(AD275="","",VLOOKUP(AD275,リスト!BW:BX,2,0))</f>
        <v/>
      </c>
      <c r="AF275" s="1037" t="str">
        <f t="shared" ref="AF275:AF318" si="111">IF(Z275="","",調査年-I275)</f>
        <v/>
      </c>
      <c r="AG275" s="685" t="str">
        <f t="shared" si="101"/>
        <v/>
      </c>
      <c r="AH275" s="646" t="str">
        <f t="shared" si="102"/>
        <v/>
      </c>
      <c r="AI275" s="646" t="str">
        <f t="shared" si="103"/>
        <v/>
      </c>
      <c r="AJ275" s="647" t="str">
        <f t="shared" si="104"/>
        <v/>
      </c>
      <c r="AK275" s="647" t="str">
        <f t="shared" si="105"/>
        <v/>
      </c>
      <c r="AL275" s="647" t="str">
        <f t="shared" si="80"/>
        <v/>
      </c>
      <c r="AM275" s="647" t="str">
        <f t="shared" ref="AM275:AM318" si="112">IF(R275="","",IF(OR(I275=調査年,AH275=""),"",ROUND(AH275*R275%,0)))</f>
        <v/>
      </c>
      <c r="AN275" s="647" t="str">
        <f t="shared" si="106"/>
        <v/>
      </c>
      <c r="AO275" s="647" t="str">
        <f t="shared" si="107"/>
        <v/>
      </c>
      <c r="AP275" s="647" t="str">
        <f t="shared" si="108"/>
        <v/>
      </c>
      <c r="AQ275" s="647" t="str">
        <f t="shared" ref="AQ275:AQ318" si="113">IF(OR(R275="",AND(OR(I275&lt;&gt;調査年,AA275=0),M275="",AL275="")),"",
SUM(
IF(AND(I275=調査年,AA275=1),ROUND(K275*R275%,0),),
ROUND(M275*R275%,0),
ROUND(SUM(AL275)*R275%,0),
))</f>
        <v/>
      </c>
      <c r="AR275" s="647" t="str">
        <f t="shared" si="109"/>
        <v/>
      </c>
      <c r="AS275" s="647" t="str">
        <f t="shared" si="110"/>
        <v/>
      </c>
      <c r="AT275" s="1323" t="str">
        <f t="shared" si="83"/>
        <v/>
      </c>
      <c r="AU275" s="1323" t="str">
        <f t="shared" si="84"/>
        <v/>
      </c>
    </row>
    <row r="276" spans="3:47" s="5" customFormat="1" ht="28.15" hidden="1" customHeight="1" outlineLevel="1">
      <c r="C276" s="649">
        <v>258</v>
      </c>
      <c r="D276" s="1133"/>
      <c r="E276" s="670"/>
      <c r="F276" s="726"/>
      <c r="G276" s="705"/>
      <c r="H276" s="255"/>
      <c r="I276" s="255"/>
      <c r="J276" s="1049"/>
      <c r="K276" s="735"/>
      <c r="L276" s="735"/>
      <c r="M276" s="736"/>
      <c r="N276" s="735"/>
      <c r="O276" s="727"/>
      <c r="P276" s="1321"/>
      <c r="Q276" s="1329"/>
      <c r="R276" s="254"/>
      <c r="S276" s="703"/>
      <c r="T276" s="728"/>
      <c r="U276" s="431"/>
      <c r="V276" s="499"/>
      <c r="W276" s="741"/>
      <c r="X276" s="51"/>
      <c r="Y276" s="51"/>
      <c r="Z276" s="645" t="str">
        <f t="shared" si="100"/>
        <v/>
      </c>
      <c r="AA276" s="1037" t="str">
        <f t="shared" si="81"/>
        <v/>
      </c>
      <c r="AB276" s="1037" t="str">
        <f t="shared" si="82"/>
        <v/>
      </c>
      <c r="AC276" s="1037" t="str">
        <f>IF(Z276="","",VLOOKUP(Z276,リスト!BN:BO,2,0))</f>
        <v/>
      </c>
      <c r="AD276" s="1037" t="str">
        <f t="shared" ref="AD276:AD318" si="114">IF(AB276=1,3,IF(G276="2：中古",MIN(AC276,H276),AC276))</f>
        <v/>
      </c>
      <c r="AE276" s="1037" t="str">
        <f>IF(AD276="","",VLOOKUP(AD276,リスト!BW:BX,2,0))</f>
        <v/>
      </c>
      <c r="AF276" s="1037" t="str">
        <f t="shared" si="111"/>
        <v/>
      </c>
      <c r="AG276" s="685" t="str">
        <f t="shared" si="101"/>
        <v/>
      </c>
      <c r="AH276" s="646" t="str">
        <f t="shared" si="102"/>
        <v/>
      </c>
      <c r="AI276" s="646" t="str">
        <f t="shared" si="103"/>
        <v/>
      </c>
      <c r="AJ276" s="647" t="str">
        <f t="shared" si="104"/>
        <v/>
      </c>
      <c r="AK276" s="647" t="str">
        <f t="shared" si="105"/>
        <v/>
      </c>
      <c r="AL276" s="647" t="str">
        <f t="shared" ref="AL276:AL318" si="115">IF(OR(Z276="",AA276=1),IF(AND(AA276=1,AF276=0),L276,""),
IF(AND(AD276&gt;0,AF276&lt;AD276,SUM(AK276)&gt;0,AK276&lt;=ROUND(L276*AE276,0)),ROUND(AK276,0),
IF(AND(AD276&gt;0,AF276&lt;AD276,SUM(L276)&gt;0),ROUND(L276*AE276,0),"")))</f>
        <v/>
      </c>
      <c r="AM276" s="647" t="str">
        <f t="shared" si="112"/>
        <v/>
      </c>
      <c r="AN276" s="647" t="str">
        <f t="shared" si="106"/>
        <v/>
      </c>
      <c r="AO276" s="647" t="str">
        <f t="shared" si="107"/>
        <v/>
      </c>
      <c r="AP276" s="647" t="str">
        <f t="shared" si="108"/>
        <v/>
      </c>
      <c r="AQ276" s="647" t="str">
        <f t="shared" si="113"/>
        <v/>
      </c>
      <c r="AR276" s="647" t="str">
        <f t="shared" si="109"/>
        <v/>
      </c>
      <c r="AS276" s="647" t="str">
        <f t="shared" si="110"/>
        <v/>
      </c>
      <c r="AT276" s="1323" t="str">
        <f t="shared" si="83"/>
        <v/>
      </c>
      <c r="AU276" s="1323" t="str">
        <f t="shared" si="84"/>
        <v/>
      </c>
    </row>
    <row r="277" spans="3:47" s="5" customFormat="1" ht="28.15" hidden="1" customHeight="1" outlineLevel="1">
      <c r="C277" s="649">
        <v>259</v>
      </c>
      <c r="D277" s="1134"/>
      <c r="E277" s="729"/>
      <c r="F277" s="726"/>
      <c r="G277" s="705"/>
      <c r="H277" s="257"/>
      <c r="I277" s="257"/>
      <c r="J277" s="1049"/>
      <c r="K277" s="735"/>
      <c r="L277" s="735"/>
      <c r="M277" s="736"/>
      <c r="N277" s="735"/>
      <c r="O277" s="727"/>
      <c r="P277" s="1321"/>
      <c r="Q277" s="1329"/>
      <c r="R277" s="254"/>
      <c r="S277" s="703"/>
      <c r="T277" s="728"/>
      <c r="U277" s="431"/>
      <c r="V277" s="499"/>
      <c r="W277" s="741"/>
      <c r="X277" s="51"/>
      <c r="Y277" s="51"/>
      <c r="Z277" s="645" t="str">
        <f t="shared" si="100"/>
        <v/>
      </c>
      <c r="AA277" s="1037" t="str">
        <f t="shared" ref="AA277:AA318" si="116">IF(Z277="","",IF(K277+L277&lt;100000,1,0))</f>
        <v/>
      </c>
      <c r="AB277" s="1037" t="str">
        <f t="shared" ref="AB277:AB318" si="117">IF(Z277="","",IF(AND(AA277=0,K277+L277&lt;200000),1,))</f>
        <v/>
      </c>
      <c r="AC277" s="1037" t="str">
        <f>IF(Z277="","",VLOOKUP(Z277,リスト!BN:BO,2,0))</f>
        <v/>
      </c>
      <c r="AD277" s="1037" t="str">
        <f t="shared" si="114"/>
        <v/>
      </c>
      <c r="AE277" s="1037" t="str">
        <f>IF(AD277="","",VLOOKUP(AD277,リスト!BW:BX,2,0))</f>
        <v/>
      </c>
      <c r="AF277" s="1037" t="str">
        <f t="shared" si="111"/>
        <v/>
      </c>
      <c r="AG277" s="685" t="str">
        <f t="shared" si="101"/>
        <v/>
      </c>
      <c r="AH277" s="646" t="str">
        <f t="shared" si="102"/>
        <v/>
      </c>
      <c r="AI277" s="646" t="str">
        <f t="shared" si="103"/>
        <v/>
      </c>
      <c r="AJ277" s="647" t="str">
        <f t="shared" si="104"/>
        <v/>
      </c>
      <c r="AK277" s="647" t="str">
        <f t="shared" si="105"/>
        <v/>
      </c>
      <c r="AL277" s="647" t="str">
        <f t="shared" si="115"/>
        <v/>
      </c>
      <c r="AM277" s="647" t="str">
        <f t="shared" si="112"/>
        <v/>
      </c>
      <c r="AN277" s="647" t="str">
        <f t="shared" si="106"/>
        <v/>
      </c>
      <c r="AO277" s="647" t="str">
        <f t="shared" si="107"/>
        <v/>
      </c>
      <c r="AP277" s="647" t="str">
        <f t="shared" si="108"/>
        <v/>
      </c>
      <c r="AQ277" s="647" t="str">
        <f t="shared" si="113"/>
        <v/>
      </c>
      <c r="AR277" s="647" t="str">
        <f t="shared" si="109"/>
        <v/>
      </c>
      <c r="AS277" s="647" t="str">
        <f t="shared" si="110"/>
        <v/>
      </c>
      <c r="AT277" s="1323" t="str">
        <f t="shared" ref="AT277:AT318" si="118">IF(R277="","",IF(P277="","",ROUND(P277*R277%,0)))</f>
        <v/>
      </c>
      <c r="AU277" s="1323" t="str">
        <f t="shared" ref="AU277:AU318" si="119">IF(R277="","",IF(Q277="","",ROUND(Q277*R277%,0)))</f>
        <v/>
      </c>
    </row>
    <row r="278" spans="3:47" s="5" customFormat="1" ht="28.15" hidden="1" customHeight="1" outlineLevel="1">
      <c r="C278" s="649">
        <v>260</v>
      </c>
      <c r="D278" s="1133"/>
      <c r="E278" s="670"/>
      <c r="F278" s="726"/>
      <c r="G278" s="705"/>
      <c r="H278" s="255"/>
      <c r="I278" s="255"/>
      <c r="J278" s="1049"/>
      <c r="K278" s="735"/>
      <c r="L278" s="735"/>
      <c r="M278" s="736"/>
      <c r="N278" s="735"/>
      <c r="O278" s="727"/>
      <c r="P278" s="1321"/>
      <c r="Q278" s="1329"/>
      <c r="R278" s="254"/>
      <c r="S278" s="703"/>
      <c r="T278" s="728"/>
      <c r="U278" s="431"/>
      <c r="V278" s="499"/>
      <c r="W278" s="741"/>
      <c r="X278" s="51"/>
      <c r="Y278" s="51"/>
      <c r="Z278" s="645" t="str">
        <f t="shared" si="100"/>
        <v/>
      </c>
      <c r="AA278" s="1037" t="str">
        <f t="shared" si="116"/>
        <v/>
      </c>
      <c r="AB278" s="1037" t="str">
        <f t="shared" si="117"/>
        <v/>
      </c>
      <c r="AC278" s="1037" t="str">
        <f>IF(Z278="","",VLOOKUP(Z278,リスト!BN:BO,2,0))</f>
        <v/>
      </c>
      <c r="AD278" s="1037" t="str">
        <f t="shared" si="114"/>
        <v/>
      </c>
      <c r="AE278" s="1037" t="str">
        <f>IF(AD278="","",VLOOKUP(AD278,リスト!BW:BX,2,0))</f>
        <v/>
      </c>
      <c r="AF278" s="1037" t="str">
        <f t="shared" si="111"/>
        <v/>
      </c>
      <c r="AG278" s="685" t="str">
        <f t="shared" si="101"/>
        <v/>
      </c>
      <c r="AH278" s="646" t="str">
        <f t="shared" si="102"/>
        <v/>
      </c>
      <c r="AI278" s="646" t="str">
        <f t="shared" si="103"/>
        <v/>
      </c>
      <c r="AJ278" s="647" t="str">
        <f t="shared" si="104"/>
        <v/>
      </c>
      <c r="AK278" s="647" t="str">
        <f t="shared" si="105"/>
        <v/>
      </c>
      <c r="AL278" s="647" t="str">
        <f t="shared" si="115"/>
        <v/>
      </c>
      <c r="AM278" s="647" t="str">
        <f t="shared" si="112"/>
        <v/>
      </c>
      <c r="AN278" s="647" t="str">
        <f t="shared" si="106"/>
        <v/>
      </c>
      <c r="AO278" s="647" t="str">
        <f t="shared" si="107"/>
        <v/>
      </c>
      <c r="AP278" s="647" t="str">
        <f t="shared" si="108"/>
        <v/>
      </c>
      <c r="AQ278" s="647" t="str">
        <f t="shared" si="113"/>
        <v/>
      </c>
      <c r="AR278" s="647" t="str">
        <f t="shared" si="109"/>
        <v/>
      </c>
      <c r="AS278" s="647" t="str">
        <f t="shared" si="110"/>
        <v/>
      </c>
      <c r="AT278" s="1323" t="str">
        <f t="shared" si="118"/>
        <v/>
      </c>
      <c r="AU278" s="1323" t="str">
        <f t="shared" si="119"/>
        <v/>
      </c>
    </row>
    <row r="279" spans="3:47" s="5" customFormat="1" ht="28.15" hidden="1" customHeight="1" outlineLevel="1">
      <c r="C279" s="649">
        <v>261</v>
      </c>
      <c r="D279" s="1134"/>
      <c r="E279" s="729"/>
      <c r="F279" s="726"/>
      <c r="G279" s="705"/>
      <c r="H279" s="257"/>
      <c r="I279" s="257"/>
      <c r="J279" s="1049"/>
      <c r="K279" s="735"/>
      <c r="L279" s="735"/>
      <c r="M279" s="736"/>
      <c r="N279" s="735"/>
      <c r="O279" s="727"/>
      <c r="P279" s="1321"/>
      <c r="Q279" s="1329"/>
      <c r="R279" s="254"/>
      <c r="S279" s="703"/>
      <c r="T279" s="728"/>
      <c r="U279" s="431"/>
      <c r="V279" s="499"/>
      <c r="W279" s="741"/>
      <c r="X279" s="51"/>
      <c r="Y279" s="51"/>
      <c r="Z279" s="645" t="str">
        <f t="shared" si="100"/>
        <v/>
      </c>
      <c r="AA279" s="1037" t="str">
        <f t="shared" si="116"/>
        <v/>
      </c>
      <c r="AB279" s="1037" t="str">
        <f t="shared" si="117"/>
        <v/>
      </c>
      <c r="AC279" s="1037" t="str">
        <f>IF(Z279="","",VLOOKUP(Z279,リスト!BN:BO,2,0))</f>
        <v/>
      </c>
      <c r="AD279" s="1037" t="str">
        <f t="shared" si="114"/>
        <v/>
      </c>
      <c r="AE279" s="1037" t="str">
        <f>IF(AD279="","",VLOOKUP(AD279,リスト!BW:BX,2,0))</f>
        <v/>
      </c>
      <c r="AF279" s="1037" t="str">
        <f t="shared" si="111"/>
        <v/>
      </c>
      <c r="AG279" s="685" t="str">
        <f t="shared" si="101"/>
        <v/>
      </c>
      <c r="AH279" s="646" t="str">
        <f t="shared" si="102"/>
        <v/>
      </c>
      <c r="AI279" s="646" t="str">
        <f t="shared" si="103"/>
        <v/>
      </c>
      <c r="AJ279" s="647" t="str">
        <f t="shared" si="104"/>
        <v/>
      </c>
      <c r="AK279" s="647" t="str">
        <f t="shared" si="105"/>
        <v/>
      </c>
      <c r="AL279" s="647" t="str">
        <f t="shared" si="115"/>
        <v/>
      </c>
      <c r="AM279" s="647" t="str">
        <f t="shared" si="112"/>
        <v/>
      </c>
      <c r="AN279" s="647" t="str">
        <f t="shared" si="106"/>
        <v/>
      </c>
      <c r="AO279" s="647" t="str">
        <f t="shared" si="107"/>
        <v/>
      </c>
      <c r="AP279" s="647" t="str">
        <f t="shared" si="108"/>
        <v/>
      </c>
      <c r="AQ279" s="647" t="str">
        <f t="shared" si="113"/>
        <v/>
      </c>
      <c r="AR279" s="647" t="str">
        <f t="shared" si="109"/>
        <v/>
      </c>
      <c r="AS279" s="647" t="str">
        <f t="shared" si="110"/>
        <v/>
      </c>
      <c r="AT279" s="1323" t="str">
        <f t="shared" si="118"/>
        <v/>
      </c>
      <c r="AU279" s="1323" t="str">
        <f t="shared" si="119"/>
        <v/>
      </c>
    </row>
    <row r="280" spans="3:47" s="5" customFormat="1" ht="28.15" hidden="1" customHeight="1" outlineLevel="1">
      <c r="C280" s="649">
        <v>262</v>
      </c>
      <c r="D280" s="1133"/>
      <c r="E280" s="670"/>
      <c r="F280" s="726"/>
      <c r="G280" s="705"/>
      <c r="H280" s="255"/>
      <c r="I280" s="255"/>
      <c r="J280" s="1049"/>
      <c r="K280" s="735"/>
      <c r="L280" s="735"/>
      <c r="M280" s="736"/>
      <c r="N280" s="735"/>
      <c r="O280" s="727"/>
      <c r="P280" s="1321"/>
      <c r="Q280" s="1329"/>
      <c r="R280" s="254"/>
      <c r="S280" s="703"/>
      <c r="T280" s="728"/>
      <c r="U280" s="431"/>
      <c r="V280" s="499"/>
      <c r="W280" s="741"/>
      <c r="X280" s="51"/>
      <c r="Y280" s="51"/>
      <c r="Z280" s="645" t="str">
        <f t="shared" si="100"/>
        <v/>
      </c>
      <c r="AA280" s="1037" t="str">
        <f t="shared" si="116"/>
        <v/>
      </c>
      <c r="AB280" s="1037" t="str">
        <f t="shared" si="117"/>
        <v/>
      </c>
      <c r="AC280" s="1037" t="str">
        <f>IF(Z280="","",VLOOKUP(Z280,リスト!BN:BO,2,0))</f>
        <v/>
      </c>
      <c r="AD280" s="1037" t="str">
        <f t="shared" si="114"/>
        <v/>
      </c>
      <c r="AE280" s="1037" t="str">
        <f>IF(AD280="","",VLOOKUP(AD280,リスト!BW:BX,2,0))</f>
        <v/>
      </c>
      <c r="AF280" s="1037" t="str">
        <f t="shared" si="111"/>
        <v/>
      </c>
      <c r="AG280" s="685" t="str">
        <f t="shared" si="101"/>
        <v/>
      </c>
      <c r="AH280" s="646" t="str">
        <f t="shared" si="102"/>
        <v/>
      </c>
      <c r="AI280" s="646" t="str">
        <f t="shared" si="103"/>
        <v/>
      </c>
      <c r="AJ280" s="647" t="str">
        <f t="shared" si="104"/>
        <v/>
      </c>
      <c r="AK280" s="647" t="str">
        <f t="shared" si="105"/>
        <v/>
      </c>
      <c r="AL280" s="647" t="str">
        <f t="shared" si="115"/>
        <v/>
      </c>
      <c r="AM280" s="647" t="str">
        <f t="shared" si="112"/>
        <v/>
      </c>
      <c r="AN280" s="647" t="str">
        <f t="shared" si="106"/>
        <v/>
      </c>
      <c r="AO280" s="647" t="str">
        <f t="shared" si="107"/>
        <v/>
      </c>
      <c r="AP280" s="647" t="str">
        <f t="shared" si="108"/>
        <v/>
      </c>
      <c r="AQ280" s="647" t="str">
        <f t="shared" si="113"/>
        <v/>
      </c>
      <c r="AR280" s="647" t="str">
        <f t="shared" si="109"/>
        <v/>
      </c>
      <c r="AS280" s="647" t="str">
        <f t="shared" si="110"/>
        <v/>
      </c>
      <c r="AT280" s="1323" t="str">
        <f t="shared" si="118"/>
        <v/>
      </c>
      <c r="AU280" s="1323" t="str">
        <f t="shared" si="119"/>
        <v/>
      </c>
    </row>
    <row r="281" spans="3:47" s="5" customFormat="1" ht="28.15" hidden="1" customHeight="1" outlineLevel="1">
      <c r="C281" s="649">
        <v>263</v>
      </c>
      <c r="D281" s="1134"/>
      <c r="E281" s="729"/>
      <c r="F281" s="726"/>
      <c r="G281" s="705"/>
      <c r="H281" s="257"/>
      <c r="I281" s="257"/>
      <c r="J281" s="1049"/>
      <c r="K281" s="735"/>
      <c r="L281" s="735"/>
      <c r="M281" s="736"/>
      <c r="N281" s="735"/>
      <c r="O281" s="727"/>
      <c r="P281" s="1321"/>
      <c r="Q281" s="1329"/>
      <c r="R281" s="254"/>
      <c r="S281" s="703"/>
      <c r="T281" s="728"/>
      <c r="U281" s="431"/>
      <c r="V281" s="499"/>
      <c r="W281" s="741"/>
      <c r="X281" s="51"/>
      <c r="Y281" s="51"/>
      <c r="Z281" s="645" t="str">
        <f t="shared" si="100"/>
        <v/>
      </c>
      <c r="AA281" s="1037" t="str">
        <f t="shared" si="116"/>
        <v/>
      </c>
      <c r="AB281" s="1037" t="str">
        <f t="shared" si="117"/>
        <v/>
      </c>
      <c r="AC281" s="1037" t="str">
        <f>IF(Z281="","",VLOOKUP(Z281,リスト!BN:BO,2,0))</f>
        <v/>
      </c>
      <c r="AD281" s="1037" t="str">
        <f t="shared" si="114"/>
        <v/>
      </c>
      <c r="AE281" s="1037" t="str">
        <f>IF(AD281="","",VLOOKUP(AD281,リスト!BW:BX,2,0))</f>
        <v/>
      </c>
      <c r="AF281" s="1037" t="str">
        <f t="shared" si="111"/>
        <v/>
      </c>
      <c r="AG281" s="685" t="str">
        <f t="shared" si="101"/>
        <v/>
      </c>
      <c r="AH281" s="646" t="str">
        <f t="shared" si="102"/>
        <v/>
      </c>
      <c r="AI281" s="646" t="str">
        <f t="shared" si="103"/>
        <v/>
      </c>
      <c r="AJ281" s="647" t="str">
        <f t="shared" si="104"/>
        <v/>
      </c>
      <c r="AK281" s="647" t="str">
        <f t="shared" si="105"/>
        <v/>
      </c>
      <c r="AL281" s="647" t="str">
        <f t="shared" si="115"/>
        <v/>
      </c>
      <c r="AM281" s="647" t="str">
        <f t="shared" si="112"/>
        <v/>
      </c>
      <c r="AN281" s="647" t="str">
        <f t="shared" si="106"/>
        <v/>
      </c>
      <c r="AO281" s="647" t="str">
        <f t="shared" si="107"/>
        <v/>
      </c>
      <c r="AP281" s="647" t="str">
        <f t="shared" si="108"/>
        <v/>
      </c>
      <c r="AQ281" s="647" t="str">
        <f t="shared" si="113"/>
        <v/>
      </c>
      <c r="AR281" s="647" t="str">
        <f t="shared" si="109"/>
        <v/>
      </c>
      <c r="AS281" s="647" t="str">
        <f t="shared" si="110"/>
        <v/>
      </c>
      <c r="AT281" s="1323" t="str">
        <f t="shared" si="118"/>
        <v/>
      </c>
      <c r="AU281" s="1323" t="str">
        <f t="shared" si="119"/>
        <v/>
      </c>
    </row>
    <row r="282" spans="3:47" s="5" customFormat="1" ht="28.15" hidden="1" customHeight="1" outlineLevel="1">
      <c r="C282" s="649">
        <v>264</v>
      </c>
      <c r="D282" s="1133"/>
      <c r="E282" s="670"/>
      <c r="F282" s="726"/>
      <c r="G282" s="705"/>
      <c r="H282" s="255"/>
      <c r="I282" s="255"/>
      <c r="J282" s="1049"/>
      <c r="K282" s="735"/>
      <c r="L282" s="735"/>
      <c r="M282" s="736"/>
      <c r="N282" s="735"/>
      <c r="O282" s="727"/>
      <c r="P282" s="1321"/>
      <c r="Q282" s="1329"/>
      <c r="R282" s="254"/>
      <c r="S282" s="703"/>
      <c r="T282" s="728"/>
      <c r="U282" s="431"/>
      <c r="V282" s="499"/>
      <c r="W282" s="741"/>
      <c r="X282" s="51"/>
      <c r="Y282" s="51"/>
      <c r="Z282" s="645" t="str">
        <f t="shared" si="100"/>
        <v/>
      </c>
      <c r="AA282" s="1037" t="str">
        <f t="shared" si="116"/>
        <v/>
      </c>
      <c r="AB282" s="1037" t="str">
        <f t="shared" si="117"/>
        <v/>
      </c>
      <c r="AC282" s="1037" t="str">
        <f>IF(Z282="","",VLOOKUP(Z282,リスト!BN:BO,2,0))</f>
        <v/>
      </c>
      <c r="AD282" s="1037" t="str">
        <f t="shared" si="114"/>
        <v/>
      </c>
      <c r="AE282" s="1037" t="str">
        <f>IF(AD282="","",VLOOKUP(AD282,リスト!BW:BX,2,0))</f>
        <v/>
      </c>
      <c r="AF282" s="1037" t="str">
        <f t="shared" si="111"/>
        <v/>
      </c>
      <c r="AG282" s="685" t="str">
        <f t="shared" si="101"/>
        <v/>
      </c>
      <c r="AH282" s="646" t="str">
        <f t="shared" si="102"/>
        <v/>
      </c>
      <c r="AI282" s="646" t="str">
        <f t="shared" si="103"/>
        <v/>
      </c>
      <c r="AJ282" s="647" t="str">
        <f t="shared" si="104"/>
        <v/>
      </c>
      <c r="AK282" s="647" t="str">
        <f t="shared" si="105"/>
        <v/>
      </c>
      <c r="AL282" s="647" t="str">
        <f t="shared" si="115"/>
        <v/>
      </c>
      <c r="AM282" s="647" t="str">
        <f t="shared" si="112"/>
        <v/>
      </c>
      <c r="AN282" s="647" t="str">
        <f t="shared" si="106"/>
        <v/>
      </c>
      <c r="AO282" s="647" t="str">
        <f t="shared" si="107"/>
        <v/>
      </c>
      <c r="AP282" s="647" t="str">
        <f t="shared" si="108"/>
        <v/>
      </c>
      <c r="AQ282" s="647" t="str">
        <f t="shared" si="113"/>
        <v/>
      </c>
      <c r="AR282" s="647" t="str">
        <f t="shared" si="109"/>
        <v/>
      </c>
      <c r="AS282" s="647" t="str">
        <f t="shared" si="110"/>
        <v/>
      </c>
      <c r="AT282" s="1323" t="str">
        <f t="shared" si="118"/>
        <v/>
      </c>
      <c r="AU282" s="1323" t="str">
        <f t="shared" si="119"/>
        <v/>
      </c>
    </row>
    <row r="283" spans="3:47" s="5" customFormat="1" ht="28.15" hidden="1" customHeight="1" outlineLevel="1">
      <c r="C283" s="649">
        <v>265</v>
      </c>
      <c r="D283" s="1134"/>
      <c r="E283" s="729"/>
      <c r="F283" s="726"/>
      <c r="G283" s="705"/>
      <c r="H283" s="257"/>
      <c r="I283" s="257"/>
      <c r="J283" s="1050"/>
      <c r="K283" s="735"/>
      <c r="L283" s="735"/>
      <c r="M283" s="736"/>
      <c r="N283" s="735"/>
      <c r="O283" s="727"/>
      <c r="P283" s="1321"/>
      <c r="Q283" s="1329"/>
      <c r="R283" s="254"/>
      <c r="S283" s="703"/>
      <c r="T283" s="728"/>
      <c r="U283" s="431"/>
      <c r="V283" s="499"/>
      <c r="W283" s="741"/>
      <c r="X283" s="51"/>
      <c r="Y283" s="51"/>
      <c r="Z283" s="645" t="str">
        <f t="shared" si="100"/>
        <v/>
      </c>
      <c r="AA283" s="1037" t="str">
        <f t="shared" si="116"/>
        <v/>
      </c>
      <c r="AB283" s="1037" t="str">
        <f t="shared" si="117"/>
        <v/>
      </c>
      <c r="AC283" s="1037" t="str">
        <f>IF(Z283="","",VLOOKUP(Z283,リスト!BN:BO,2,0))</f>
        <v/>
      </c>
      <c r="AD283" s="1037" t="str">
        <f t="shared" si="114"/>
        <v/>
      </c>
      <c r="AE283" s="1037" t="str">
        <f>IF(AD283="","",VLOOKUP(AD283,リスト!BW:BX,2,0))</f>
        <v/>
      </c>
      <c r="AF283" s="1037" t="str">
        <f t="shared" si="111"/>
        <v/>
      </c>
      <c r="AG283" s="685" t="str">
        <f t="shared" si="101"/>
        <v/>
      </c>
      <c r="AH283" s="646" t="str">
        <f t="shared" si="102"/>
        <v/>
      </c>
      <c r="AI283" s="646" t="str">
        <f t="shared" si="103"/>
        <v/>
      </c>
      <c r="AJ283" s="647" t="str">
        <f t="shared" si="104"/>
        <v/>
      </c>
      <c r="AK283" s="647" t="str">
        <f t="shared" si="105"/>
        <v/>
      </c>
      <c r="AL283" s="647" t="str">
        <f t="shared" si="115"/>
        <v/>
      </c>
      <c r="AM283" s="647" t="str">
        <f t="shared" si="112"/>
        <v/>
      </c>
      <c r="AN283" s="647" t="str">
        <f t="shared" si="106"/>
        <v/>
      </c>
      <c r="AO283" s="647" t="str">
        <f t="shared" si="107"/>
        <v/>
      </c>
      <c r="AP283" s="647" t="str">
        <f t="shared" si="108"/>
        <v/>
      </c>
      <c r="AQ283" s="647" t="str">
        <f t="shared" si="113"/>
        <v/>
      </c>
      <c r="AR283" s="647" t="str">
        <f t="shared" si="109"/>
        <v/>
      </c>
      <c r="AS283" s="647" t="str">
        <f t="shared" si="110"/>
        <v/>
      </c>
      <c r="AT283" s="1323" t="str">
        <f t="shared" si="118"/>
        <v/>
      </c>
      <c r="AU283" s="1323" t="str">
        <f t="shared" si="119"/>
        <v/>
      </c>
    </row>
    <row r="284" spans="3:47" s="5" customFormat="1" ht="28.15" hidden="1" customHeight="1" outlineLevel="1">
      <c r="C284" s="649">
        <v>266</v>
      </c>
      <c r="D284" s="1133"/>
      <c r="E284" s="670"/>
      <c r="F284" s="726"/>
      <c r="G284" s="705"/>
      <c r="H284" s="255"/>
      <c r="I284" s="255"/>
      <c r="J284" s="1051"/>
      <c r="K284" s="735"/>
      <c r="L284" s="735"/>
      <c r="M284" s="736"/>
      <c r="N284" s="735"/>
      <c r="O284" s="727"/>
      <c r="P284" s="1321"/>
      <c r="Q284" s="1329"/>
      <c r="R284" s="254"/>
      <c r="S284" s="703"/>
      <c r="T284" s="728"/>
      <c r="U284" s="431"/>
      <c r="V284" s="499"/>
      <c r="W284" s="741"/>
      <c r="X284" s="51"/>
      <c r="Y284" s="51"/>
      <c r="Z284" s="645" t="str">
        <f t="shared" si="100"/>
        <v/>
      </c>
      <c r="AA284" s="1037" t="str">
        <f t="shared" si="116"/>
        <v/>
      </c>
      <c r="AB284" s="1037" t="str">
        <f t="shared" si="117"/>
        <v/>
      </c>
      <c r="AC284" s="1037" t="str">
        <f>IF(Z284="","",VLOOKUP(Z284,リスト!BN:BO,2,0))</f>
        <v/>
      </c>
      <c r="AD284" s="1037" t="str">
        <f t="shared" si="114"/>
        <v/>
      </c>
      <c r="AE284" s="1037" t="str">
        <f>IF(AD284="","",VLOOKUP(AD284,リスト!BW:BX,2,0))</f>
        <v/>
      </c>
      <c r="AF284" s="1037" t="str">
        <f t="shared" si="111"/>
        <v/>
      </c>
      <c r="AG284" s="685" t="str">
        <f t="shared" si="101"/>
        <v/>
      </c>
      <c r="AH284" s="646" t="str">
        <f t="shared" si="102"/>
        <v/>
      </c>
      <c r="AI284" s="646" t="str">
        <f t="shared" si="103"/>
        <v/>
      </c>
      <c r="AJ284" s="647" t="str">
        <f t="shared" si="104"/>
        <v/>
      </c>
      <c r="AK284" s="647" t="str">
        <f t="shared" si="105"/>
        <v/>
      </c>
      <c r="AL284" s="647" t="str">
        <f t="shared" si="115"/>
        <v/>
      </c>
      <c r="AM284" s="647" t="str">
        <f t="shared" si="112"/>
        <v/>
      </c>
      <c r="AN284" s="647" t="str">
        <f t="shared" si="106"/>
        <v/>
      </c>
      <c r="AO284" s="647" t="str">
        <f t="shared" si="107"/>
        <v/>
      </c>
      <c r="AP284" s="647" t="str">
        <f t="shared" si="108"/>
        <v/>
      </c>
      <c r="AQ284" s="647" t="str">
        <f t="shared" si="113"/>
        <v/>
      </c>
      <c r="AR284" s="647" t="str">
        <f t="shared" si="109"/>
        <v/>
      </c>
      <c r="AS284" s="647" t="str">
        <f t="shared" si="110"/>
        <v/>
      </c>
      <c r="AT284" s="1323" t="str">
        <f t="shared" si="118"/>
        <v/>
      </c>
      <c r="AU284" s="1323" t="str">
        <f t="shared" si="119"/>
        <v/>
      </c>
    </row>
    <row r="285" spans="3:47" s="5" customFormat="1" ht="28.15" hidden="1" customHeight="1" outlineLevel="1">
      <c r="C285" s="649">
        <v>267</v>
      </c>
      <c r="D285" s="1133"/>
      <c r="E285" s="670"/>
      <c r="F285" s="726"/>
      <c r="G285" s="705"/>
      <c r="H285" s="255"/>
      <c r="I285" s="255"/>
      <c r="J285" s="1051"/>
      <c r="K285" s="735"/>
      <c r="L285" s="735"/>
      <c r="M285" s="736"/>
      <c r="N285" s="735"/>
      <c r="O285" s="727"/>
      <c r="P285" s="1321"/>
      <c r="Q285" s="1329"/>
      <c r="R285" s="254"/>
      <c r="S285" s="703"/>
      <c r="T285" s="728"/>
      <c r="U285" s="431"/>
      <c r="V285" s="499"/>
      <c r="W285" s="741"/>
      <c r="X285" s="51"/>
      <c r="Y285" s="51"/>
      <c r="Z285" s="645" t="str">
        <f t="shared" si="100"/>
        <v/>
      </c>
      <c r="AA285" s="1037" t="str">
        <f t="shared" si="116"/>
        <v/>
      </c>
      <c r="AB285" s="1037" t="str">
        <f t="shared" si="117"/>
        <v/>
      </c>
      <c r="AC285" s="1037" t="str">
        <f>IF(Z285="","",VLOOKUP(Z285,リスト!BN:BO,2,0))</f>
        <v/>
      </c>
      <c r="AD285" s="1037" t="str">
        <f t="shared" si="114"/>
        <v/>
      </c>
      <c r="AE285" s="1037" t="str">
        <f>IF(AD285="","",VLOOKUP(AD285,リスト!BW:BX,2,0))</f>
        <v/>
      </c>
      <c r="AF285" s="1037" t="str">
        <f t="shared" si="111"/>
        <v/>
      </c>
      <c r="AG285" s="685" t="str">
        <f t="shared" si="101"/>
        <v/>
      </c>
      <c r="AH285" s="646" t="str">
        <f t="shared" si="102"/>
        <v/>
      </c>
      <c r="AI285" s="646" t="str">
        <f t="shared" si="103"/>
        <v/>
      </c>
      <c r="AJ285" s="647" t="str">
        <f t="shared" si="104"/>
        <v/>
      </c>
      <c r="AK285" s="647" t="str">
        <f t="shared" si="105"/>
        <v/>
      </c>
      <c r="AL285" s="647" t="str">
        <f t="shared" si="115"/>
        <v/>
      </c>
      <c r="AM285" s="647" t="str">
        <f t="shared" si="112"/>
        <v/>
      </c>
      <c r="AN285" s="647" t="str">
        <f t="shared" si="106"/>
        <v/>
      </c>
      <c r="AO285" s="647" t="str">
        <f t="shared" si="107"/>
        <v/>
      </c>
      <c r="AP285" s="647" t="str">
        <f t="shared" si="108"/>
        <v/>
      </c>
      <c r="AQ285" s="647" t="str">
        <f t="shared" si="113"/>
        <v/>
      </c>
      <c r="AR285" s="647" t="str">
        <f t="shared" si="109"/>
        <v/>
      </c>
      <c r="AS285" s="647" t="str">
        <f t="shared" si="110"/>
        <v/>
      </c>
      <c r="AT285" s="1323" t="str">
        <f t="shared" si="118"/>
        <v/>
      </c>
      <c r="AU285" s="1323" t="str">
        <f t="shared" si="119"/>
        <v/>
      </c>
    </row>
    <row r="286" spans="3:47" s="5" customFormat="1" ht="28.15" hidden="1" customHeight="1" outlineLevel="1">
      <c r="C286" s="649">
        <v>268</v>
      </c>
      <c r="D286" s="1133"/>
      <c r="E286" s="670"/>
      <c r="F286" s="726"/>
      <c r="G286" s="705"/>
      <c r="H286" s="255"/>
      <c r="I286" s="255"/>
      <c r="J286" s="1051"/>
      <c r="K286" s="735"/>
      <c r="L286" s="735"/>
      <c r="M286" s="736"/>
      <c r="N286" s="735"/>
      <c r="O286" s="727"/>
      <c r="P286" s="1321"/>
      <c r="Q286" s="1329"/>
      <c r="R286" s="254"/>
      <c r="S286" s="703"/>
      <c r="T286" s="728"/>
      <c r="U286" s="431"/>
      <c r="V286" s="499"/>
      <c r="W286" s="741"/>
      <c r="X286" s="51"/>
      <c r="Y286" s="51"/>
      <c r="Z286" s="645" t="str">
        <f t="shared" si="100"/>
        <v/>
      </c>
      <c r="AA286" s="1037" t="str">
        <f t="shared" si="116"/>
        <v/>
      </c>
      <c r="AB286" s="1037" t="str">
        <f t="shared" si="117"/>
        <v/>
      </c>
      <c r="AC286" s="1037" t="str">
        <f>IF(Z286="","",VLOOKUP(Z286,リスト!BN:BO,2,0))</f>
        <v/>
      </c>
      <c r="AD286" s="1037" t="str">
        <f t="shared" si="114"/>
        <v/>
      </c>
      <c r="AE286" s="1037" t="str">
        <f>IF(AD286="","",VLOOKUP(AD286,リスト!BW:BX,2,0))</f>
        <v/>
      </c>
      <c r="AF286" s="1037" t="str">
        <f t="shared" si="111"/>
        <v/>
      </c>
      <c r="AG286" s="685" t="str">
        <f t="shared" si="101"/>
        <v/>
      </c>
      <c r="AH286" s="646" t="str">
        <f t="shared" si="102"/>
        <v/>
      </c>
      <c r="AI286" s="646" t="str">
        <f t="shared" si="103"/>
        <v/>
      </c>
      <c r="AJ286" s="647" t="str">
        <f t="shared" si="104"/>
        <v/>
      </c>
      <c r="AK286" s="647" t="str">
        <f t="shared" si="105"/>
        <v/>
      </c>
      <c r="AL286" s="647" t="str">
        <f t="shared" si="115"/>
        <v/>
      </c>
      <c r="AM286" s="647" t="str">
        <f t="shared" si="112"/>
        <v/>
      </c>
      <c r="AN286" s="647" t="str">
        <f t="shared" si="106"/>
        <v/>
      </c>
      <c r="AO286" s="647" t="str">
        <f t="shared" si="107"/>
        <v/>
      </c>
      <c r="AP286" s="647" t="str">
        <f t="shared" si="108"/>
        <v/>
      </c>
      <c r="AQ286" s="647" t="str">
        <f t="shared" si="113"/>
        <v/>
      </c>
      <c r="AR286" s="647" t="str">
        <f t="shared" si="109"/>
        <v/>
      </c>
      <c r="AS286" s="647" t="str">
        <f t="shared" si="110"/>
        <v/>
      </c>
      <c r="AT286" s="1323" t="str">
        <f t="shared" si="118"/>
        <v/>
      </c>
      <c r="AU286" s="1323" t="str">
        <f t="shared" si="119"/>
        <v/>
      </c>
    </row>
    <row r="287" spans="3:47" s="5" customFormat="1" ht="28.15" hidden="1" customHeight="1" outlineLevel="1">
      <c r="C287" s="649">
        <v>269</v>
      </c>
      <c r="D287" s="1133"/>
      <c r="E287" s="670"/>
      <c r="F287" s="726"/>
      <c r="G287" s="705"/>
      <c r="H287" s="255"/>
      <c r="I287" s="255"/>
      <c r="J287" s="1051"/>
      <c r="K287" s="735"/>
      <c r="L287" s="735"/>
      <c r="M287" s="736"/>
      <c r="N287" s="735"/>
      <c r="O287" s="727"/>
      <c r="P287" s="1321"/>
      <c r="Q287" s="1329"/>
      <c r="R287" s="254"/>
      <c r="S287" s="703"/>
      <c r="T287" s="728"/>
      <c r="U287" s="431"/>
      <c r="V287" s="499"/>
      <c r="W287" s="741"/>
      <c r="X287" s="51"/>
      <c r="Y287" s="51"/>
      <c r="Z287" s="645" t="str">
        <f t="shared" si="100"/>
        <v/>
      </c>
      <c r="AA287" s="1037" t="str">
        <f t="shared" si="116"/>
        <v/>
      </c>
      <c r="AB287" s="1037" t="str">
        <f t="shared" si="117"/>
        <v/>
      </c>
      <c r="AC287" s="1037" t="str">
        <f>IF(Z287="","",VLOOKUP(Z287,リスト!BN:BO,2,0))</f>
        <v/>
      </c>
      <c r="AD287" s="1037" t="str">
        <f t="shared" si="114"/>
        <v/>
      </c>
      <c r="AE287" s="1037" t="str">
        <f>IF(AD287="","",VLOOKUP(AD287,リスト!BW:BX,2,0))</f>
        <v/>
      </c>
      <c r="AF287" s="1037" t="str">
        <f t="shared" si="111"/>
        <v/>
      </c>
      <c r="AG287" s="685" t="str">
        <f t="shared" si="101"/>
        <v/>
      </c>
      <c r="AH287" s="646" t="str">
        <f t="shared" si="102"/>
        <v/>
      </c>
      <c r="AI287" s="646" t="str">
        <f t="shared" si="103"/>
        <v/>
      </c>
      <c r="AJ287" s="647" t="str">
        <f t="shared" si="104"/>
        <v/>
      </c>
      <c r="AK287" s="647" t="str">
        <f t="shared" si="105"/>
        <v/>
      </c>
      <c r="AL287" s="647" t="str">
        <f t="shared" si="115"/>
        <v/>
      </c>
      <c r="AM287" s="647" t="str">
        <f t="shared" si="112"/>
        <v/>
      </c>
      <c r="AN287" s="647" t="str">
        <f t="shared" si="106"/>
        <v/>
      </c>
      <c r="AO287" s="647" t="str">
        <f t="shared" si="107"/>
        <v/>
      </c>
      <c r="AP287" s="647" t="str">
        <f t="shared" si="108"/>
        <v/>
      </c>
      <c r="AQ287" s="647" t="str">
        <f t="shared" si="113"/>
        <v/>
      </c>
      <c r="AR287" s="647" t="str">
        <f t="shared" si="109"/>
        <v/>
      </c>
      <c r="AS287" s="647" t="str">
        <f t="shared" si="110"/>
        <v/>
      </c>
      <c r="AT287" s="1323" t="str">
        <f t="shared" si="118"/>
        <v/>
      </c>
      <c r="AU287" s="1323" t="str">
        <f t="shared" si="119"/>
        <v/>
      </c>
    </row>
    <row r="288" spans="3:47" s="5" customFormat="1" ht="28.15" hidden="1" customHeight="1" outlineLevel="1">
      <c r="C288" s="649">
        <v>270</v>
      </c>
      <c r="D288" s="1133"/>
      <c r="E288" s="670"/>
      <c r="F288" s="726"/>
      <c r="G288" s="705"/>
      <c r="H288" s="255"/>
      <c r="I288" s="255"/>
      <c r="J288" s="1051"/>
      <c r="K288" s="735"/>
      <c r="L288" s="735"/>
      <c r="M288" s="736"/>
      <c r="N288" s="735"/>
      <c r="O288" s="727"/>
      <c r="P288" s="1321"/>
      <c r="Q288" s="1329"/>
      <c r="R288" s="254"/>
      <c r="S288" s="703"/>
      <c r="T288" s="728"/>
      <c r="U288" s="431"/>
      <c r="V288" s="499"/>
      <c r="W288" s="741"/>
      <c r="X288" s="51"/>
      <c r="Y288" s="51"/>
      <c r="Z288" s="645" t="str">
        <f t="shared" si="100"/>
        <v/>
      </c>
      <c r="AA288" s="1037" t="str">
        <f t="shared" si="116"/>
        <v/>
      </c>
      <c r="AB288" s="1037" t="str">
        <f t="shared" si="117"/>
        <v/>
      </c>
      <c r="AC288" s="1037" t="str">
        <f>IF(Z288="","",VLOOKUP(Z288,リスト!BN:BO,2,0))</f>
        <v/>
      </c>
      <c r="AD288" s="1037" t="str">
        <f t="shared" si="114"/>
        <v/>
      </c>
      <c r="AE288" s="1037" t="str">
        <f>IF(AD288="","",VLOOKUP(AD288,リスト!BW:BX,2,0))</f>
        <v/>
      </c>
      <c r="AF288" s="1037" t="str">
        <f t="shared" si="111"/>
        <v/>
      </c>
      <c r="AG288" s="685" t="str">
        <f t="shared" si="101"/>
        <v/>
      </c>
      <c r="AH288" s="646" t="str">
        <f t="shared" si="102"/>
        <v/>
      </c>
      <c r="AI288" s="646" t="str">
        <f t="shared" si="103"/>
        <v/>
      </c>
      <c r="AJ288" s="647" t="str">
        <f t="shared" si="104"/>
        <v/>
      </c>
      <c r="AK288" s="647" t="str">
        <f t="shared" si="105"/>
        <v/>
      </c>
      <c r="AL288" s="647" t="str">
        <f t="shared" si="115"/>
        <v/>
      </c>
      <c r="AM288" s="647" t="str">
        <f t="shared" si="112"/>
        <v/>
      </c>
      <c r="AN288" s="647" t="str">
        <f t="shared" si="106"/>
        <v/>
      </c>
      <c r="AO288" s="647" t="str">
        <f t="shared" si="107"/>
        <v/>
      </c>
      <c r="AP288" s="647" t="str">
        <f t="shared" si="108"/>
        <v/>
      </c>
      <c r="AQ288" s="647" t="str">
        <f t="shared" si="113"/>
        <v/>
      </c>
      <c r="AR288" s="647" t="str">
        <f t="shared" si="109"/>
        <v/>
      </c>
      <c r="AS288" s="647" t="str">
        <f t="shared" si="110"/>
        <v/>
      </c>
      <c r="AT288" s="1323" t="str">
        <f t="shared" si="118"/>
        <v/>
      </c>
      <c r="AU288" s="1323" t="str">
        <f t="shared" si="119"/>
        <v/>
      </c>
    </row>
    <row r="289" spans="3:47" s="5" customFormat="1" ht="28.15" hidden="1" customHeight="1" outlineLevel="1">
      <c r="C289" s="649">
        <v>271</v>
      </c>
      <c r="D289" s="1133"/>
      <c r="E289" s="670"/>
      <c r="F289" s="726"/>
      <c r="G289" s="705"/>
      <c r="H289" s="255"/>
      <c r="I289" s="255"/>
      <c r="J289" s="1051"/>
      <c r="K289" s="735"/>
      <c r="L289" s="735"/>
      <c r="M289" s="736"/>
      <c r="N289" s="735"/>
      <c r="O289" s="727"/>
      <c r="P289" s="1321"/>
      <c r="Q289" s="1329"/>
      <c r="R289" s="254"/>
      <c r="S289" s="703"/>
      <c r="T289" s="728"/>
      <c r="U289" s="431"/>
      <c r="V289" s="499"/>
      <c r="W289" s="741"/>
      <c r="X289" s="51"/>
      <c r="Y289" s="51"/>
      <c r="Z289" s="645" t="str">
        <f t="shared" si="100"/>
        <v/>
      </c>
      <c r="AA289" s="1037" t="str">
        <f t="shared" si="116"/>
        <v/>
      </c>
      <c r="AB289" s="1037" t="str">
        <f t="shared" si="117"/>
        <v/>
      </c>
      <c r="AC289" s="1037" t="str">
        <f>IF(Z289="","",VLOOKUP(Z289,リスト!BN:BO,2,0))</f>
        <v/>
      </c>
      <c r="AD289" s="1037" t="str">
        <f t="shared" si="114"/>
        <v/>
      </c>
      <c r="AE289" s="1037" t="str">
        <f>IF(AD289="","",VLOOKUP(AD289,リスト!BW:BX,2,0))</f>
        <v/>
      </c>
      <c r="AF289" s="1037" t="str">
        <f t="shared" si="111"/>
        <v/>
      </c>
      <c r="AG289" s="685" t="str">
        <f t="shared" si="101"/>
        <v/>
      </c>
      <c r="AH289" s="646" t="str">
        <f t="shared" si="102"/>
        <v/>
      </c>
      <c r="AI289" s="646" t="str">
        <f t="shared" si="103"/>
        <v/>
      </c>
      <c r="AJ289" s="647" t="str">
        <f t="shared" si="104"/>
        <v/>
      </c>
      <c r="AK289" s="647" t="str">
        <f t="shared" si="105"/>
        <v/>
      </c>
      <c r="AL289" s="647" t="str">
        <f t="shared" si="115"/>
        <v/>
      </c>
      <c r="AM289" s="647" t="str">
        <f t="shared" si="112"/>
        <v/>
      </c>
      <c r="AN289" s="647" t="str">
        <f t="shared" si="106"/>
        <v/>
      </c>
      <c r="AO289" s="647" t="str">
        <f t="shared" si="107"/>
        <v/>
      </c>
      <c r="AP289" s="647" t="str">
        <f t="shared" si="108"/>
        <v/>
      </c>
      <c r="AQ289" s="647" t="str">
        <f t="shared" si="113"/>
        <v/>
      </c>
      <c r="AR289" s="647" t="str">
        <f t="shared" si="109"/>
        <v/>
      </c>
      <c r="AS289" s="647" t="str">
        <f t="shared" si="110"/>
        <v/>
      </c>
      <c r="AT289" s="1323" t="str">
        <f t="shared" si="118"/>
        <v/>
      </c>
      <c r="AU289" s="1323" t="str">
        <f t="shared" si="119"/>
        <v/>
      </c>
    </row>
    <row r="290" spans="3:47" s="5" customFormat="1" ht="28.15" hidden="1" customHeight="1" outlineLevel="1">
      <c r="C290" s="649">
        <v>272</v>
      </c>
      <c r="D290" s="1133"/>
      <c r="E290" s="670"/>
      <c r="F290" s="726"/>
      <c r="G290" s="666"/>
      <c r="H290" s="266"/>
      <c r="I290" s="266"/>
      <c r="J290" s="1049"/>
      <c r="K290" s="727"/>
      <c r="L290" s="727"/>
      <c r="M290" s="727"/>
      <c r="N290" s="727"/>
      <c r="O290" s="727"/>
      <c r="P290" s="1321"/>
      <c r="Q290" s="1329"/>
      <c r="R290" s="254"/>
      <c r="S290" s="703"/>
      <c r="T290" s="728"/>
      <c r="U290" s="431"/>
      <c r="V290" s="499"/>
      <c r="W290" s="741"/>
      <c r="X290" s="51"/>
      <c r="Y290" s="51"/>
      <c r="Z290" s="645" t="str">
        <f t="shared" si="1"/>
        <v/>
      </c>
      <c r="AA290" s="1037" t="str">
        <f t="shared" si="116"/>
        <v/>
      </c>
      <c r="AB290" s="1037" t="str">
        <f t="shared" si="117"/>
        <v/>
      </c>
      <c r="AC290" s="1037" t="str">
        <f>IF(Z290="","",VLOOKUP(Z290,リスト!BN:BO,2,0))</f>
        <v/>
      </c>
      <c r="AD290" s="1037" t="str">
        <f t="shared" si="114"/>
        <v/>
      </c>
      <c r="AE290" s="1037" t="str">
        <f>IF(AD290="","",VLOOKUP(AD290,リスト!BW:BX,2,0))</f>
        <v/>
      </c>
      <c r="AF290" s="1037" t="str">
        <f t="shared" si="111"/>
        <v/>
      </c>
      <c r="AG290" s="685" t="str">
        <f t="shared" si="3"/>
        <v/>
      </c>
      <c r="AH290" s="646" t="str">
        <f t="shared" si="4"/>
        <v/>
      </c>
      <c r="AI290" s="646" t="str">
        <f t="shared" ref="AI290:AI318" si="120">IF(OR(Z290="",AA290=1),"",
IF(S290="",AG290,
IF(S290="2：廃棄等",SUM(AH290,T290),
IF(S290="1：売却",AH290-T290,
IF(AND(T290="",AG290=""),"",SUM(T290,AG290))))))</f>
        <v/>
      </c>
      <c r="AJ290" s="647" t="str">
        <f t="shared" ref="AJ290:AJ318" si="121">IF(AND(AI290="",AG290=""),"",
IF(OR(S290="1：売却",S290="2：廃棄等"),SUM(AI290)-SUM(AG290),""))</f>
        <v/>
      </c>
      <c r="AK290" s="647" t="str">
        <f t="shared" si="5"/>
        <v/>
      </c>
      <c r="AL290" s="647" t="str">
        <f t="shared" si="115"/>
        <v/>
      </c>
      <c r="AM290" s="647" t="str">
        <f t="shared" si="112"/>
        <v/>
      </c>
      <c r="AN290" s="647" t="str">
        <f t="shared" si="7"/>
        <v/>
      </c>
      <c r="AO290" s="647" t="str">
        <f t="shared" si="8"/>
        <v/>
      </c>
      <c r="AP290" s="647" t="str">
        <f t="shared" si="9"/>
        <v/>
      </c>
      <c r="AQ290" s="647" t="str">
        <f t="shared" si="113"/>
        <v/>
      </c>
      <c r="AR290" s="647" t="str">
        <f t="shared" si="10"/>
        <v/>
      </c>
      <c r="AS290" s="647" t="str">
        <f t="shared" si="16"/>
        <v/>
      </c>
      <c r="AT290" s="1323" t="str">
        <f t="shared" si="118"/>
        <v/>
      </c>
      <c r="AU290" s="1323" t="str">
        <f t="shared" si="119"/>
        <v/>
      </c>
    </row>
    <row r="291" spans="3:47" s="5" customFormat="1" ht="28.15" hidden="1" customHeight="1" outlineLevel="1">
      <c r="C291" s="649">
        <v>273</v>
      </c>
      <c r="D291" s="1134"/>
      <c r="E291" s="729"/>
      <c r="F291" s="726"/>
      <c r="G291" s="705"/>
      <c r="H291" s="257"/>
      <c r="I291" s="257"/>
      <c r="J291" s="1049"/>
      <c r="K291" s="735"/>
      <c r="L291" s="735"/>
      <c r="M291" s="736"/>
      <c r="N291" s="735"/>
      <c r="O291" s="727"/>
      <c r="P291" s="1321"/>
      <c r="Q291" s="1329"/>
      <c r="R291" s="254"/>
      <c r="S291" s="703"/>
      <c r="T291" s="728"/>
      <c r="U291" s="431"/>
      <c r="V291" s="499"/>
      <c r="W291" s="741"/>
      <c r="X291" s="51"/>
      <c r="Y291" s="51"/>
      <c r="Z291" s="645" t="str">
        <f t="shared" si="1"/>
        <v/>
      </c>
      <c r="AA291" s="1037" t="str">
        <f t="shared" si="116"/>
        <v/>
      </c>
      <c r="AB291" s="1037" t="str">
        <f t="shared" si="117"/>
        <v/>
      </c>
      <c r="AC291" s="1037" t="str">
        <f>IF(Z291="","",VLOOKUP(Z291,リスト!BN:BO,2,0))</f>
        <v/>
      </c>
      <c r="AD291" s="1037" t="str">
        <f t="shared" si="114"/>
        <v/>
      </c>
      <c r="AE291" s="1037" t="str">
        <f>IF(AD291="","",VLOOKUP(AD291,リスト!BW:BX,2,0))</f>
        <v/>
      </c>
      <c r="AF291" s="1037" t="str">
        <f t="shared" si="111"/>
        <v/>
      </c>
      <c r="AG291" s="685" t="str">
        <f t="shared" si="3"/>
        <v/>
      </c>
      <c r="AH291" s="646" t="str">
        <f t="shared" si="4"/>
        <v/>
      </c>
      <c r="AI291" s="646" t="str">
        <f t="shared" si="120"/>
        <v/>
      </c>
      <c r="AJ291" s="647" t="str">
        <f t="shared" si="121"/>
        <v/>
      </c>
      <c r="AK291" s="647" t="str">
        <f t="shared" si="5"/>
        <v/>
      </c>
      <c r="AL291" s="647" t="str">
        <f t="shared" si="115"/>
        <v/>
      </c>
      <c r="AM291" s="647" t="str">
        <f t="shared" si="112"/>
        <v/>
      </c>
      <c r="AN291" s="647" t="str">
        <f t="shared" si="7"/>
        <v/>
      </c>
      <c r="AO291" s="647" t="str">
        <f t="shared" si="8"/>
        <v/>
      </c>
      <c r="AP291" s="647" t="str">
        <f t="shared" si="9"/>
        <v/>
      </c>
      <c r="AQ291" s="647" t="str">
        <f t="shared" si="113"/>
        <v/>
      </c>
      <c r="AR291" s="647" t="str">
        <f t="shared" si="10"/>
        <v/>
      </c>
      <c r="AS291" s="647" t="str">
        <f t="shared" si="16"/>
        <v/>
      </c>
      <c r="AT291" s="1323" t="str">
        <f t="shared" si="118"/>
        <v/>
      </c>
      <c r="AU291" s="1323" t="str">
        <f t="shared" si="119"/>
        <v/>
      </c>
    </row>
    <row r="292" spans="3:47" s="5" customFormat="1" ht="28.15" hidden="1" customHeight="1" outlineLevel="1">
      <c r="C292" s="649">
        <v>274</v>
      </c>
      <c r="D292" s="1133"/>
      <c r="E292" s="670"/>
      <c r="F292" s="726"/>
      <c r="G292" s="705"/>
      <c r="H292" s="255"/>
      <c r="I292" s="255"/>
      <c r="J292" s="1049"/>
      <c r="K292" s="735"/>
      <c r="L292" s="735"/>
      <c r="M292" s="736"/>
      <c r="N292" s="735"/>
      <c r="O292" s="727"/>
      <c r="P292" s="1321"/>
      <c r="Q292" s="1329"/>
      <c r="R292" s="254"/>
      <c r="S292" s="703"/>
      <c r="T292" s="728"/>
      <c r="U292" s="431"/>
      <c r="V292" s="499"/>
      <c r="W292" s="741"/>
      <c r="X292" s="51"/>
      <c r="Y292" s="51"/>
      <c r="Z292" s="645" t="str">
        <f t="shared" si="1"/>
        <v/>
      </c>
      <c r="AA292" s="1037" t="str">
        <f t="shared" si="116"/>
        <v/>
      </c>
      <c r="AB292" s="1037" t="str">
        <f t="shared" si="117"/>
        <v/>
      </c>
      <c r="AC292" s="1037" t="str">
        <f>IF(Z292="","",VLOOKUP(Z292,リスト!BN:BO,2,0))</f>
        <v/>
      </c>
      <c r="AD292" s="1037" t="str">
        <f t="shared" si="114"/>
        <v/>
      </c>
      <c r="AE292" s="1037" t="str">
        <f>IF(AD292="","",VLOOKUP(AD292,リスト!BW:BX,2,0))</f>
        <v/>
      </c>
      <c r="AF292" s="1037" t="str">
        <f t="shared" si="111"/>
        <v/>
      </c>
      <c r="AG292" s="685" t="str">
        <f t="shared" si="3"/>
        <v/>
      </c>
      <c r="AH292" s="646" t="str">
        <f t="shared" si="4"/>
        <v/>
      </c>
      <c r="AI292" s="646" t="str">
        <f t="shared" si="120"/>
        <v/>
      </c>
      <c r="AJ292" s="647" t="str">
        <f t="shared" si="121"/>
        <v/>
      </c>
      <c r="AK292" s="647" t="str">
        <f t="shared" si="5"/>
        <v/>
      </c>
      <c r="AL292" s="647" t="str">
        <f t="shared" si="115"/>
        <v/>
      </c>
      <c r="AM292" s="647" t="str">
        <f t="shared" si="112"/>
        <v/>
      </c>
      <c r="AN292" s="647" t="str">
        <f t="shared" si="7"/>
        <v/>
      </c>
      <c r="AO292" s="647" t="str">
        <f t="shared" si="8"/>
        <v/>
      </c>
      <c r="AP292" s="647" t="str">
        <f t="shared" si="9"/>
        <v/>
      </c>
      <c r="AQ292" s="647" t="str">
        <f t="shared" si="113"/>
        <v/>
      </c>
      <c r="AR292" s="647" t="str">
        <f t="shared" si="10"/>
        <v/>
      </c>
      <c r="AS292" s="647" t="str">
        <f t="shared" si="16"/>
        <v/>
      </c>
      <c r="AT292" s="1323" t="str">
        <f t="shared" si="118"/>
        <v/>
      </c>
      <c r="AU292" s="1323" t="str">
        <f t="shared" si="119"/>
        <v/>
      </c>
    </row>
    <row r="293" spans="3:47" s="5" customFormat="1" ht="28.15" hidden="1" customHeight="1" outlineLevel="1">
      <c r="C293" s="649">
        <v>275</v>
      </c>
      <c r="D293" s="1134"/>
      <c r="E293" s="729"/>
      <c r="F293" s="726"/>
      <c r="G293" s="705"/>
      <c r="H293" s="257"/>
      <c r="I293" s="257"/>
      <c r="J293" s="1049"/>
      <c r="K293" s="735"/>
      <c r="L293" s="735"/>
      <c r="M293" s="736"/>
      <c r="N293" s="735"/>
      <c r="O293" s="727"/>
      <c r="P293" s="1321"/>
      <c r="Q293" s="1329"/>
      <c r="R293" s="254"/>
      <c r="S293" s="703"/>
      <c r="T293" s="728"/>
      <c r="U293" s="431"/>
      <c r="V293" s="499"/>
      <c r="W293" s="741"/>
      <c r="X293" s="51"/>
      <c r="Y293" s="51"/>
      <c r="Z293" s="645" t="str">
        <f t="shared" si="1"/>
        <v/>
      </c>
      <c r="AA293" s="1037" t="str">
        <f t="shared" si="116"/>
        <v/>
      </c>
      <c r="AB293" s="1037" t="str">
        <f t="shared" si="117"/>
        <v/>
      </c>
      <c r="AC293" s="1037" t="str">
        <f>IF(Z293="","",VLOOKUP(Z293,リスト!BN:BO,2,0))</f>
        <v/>
      </c>
      <c r="AD293" s="1037" t="str">
        <f t="shared" si="114"/>
        <v/>
      </c>
      <c r="AE293" s="1037" t="str">
        <f>IF(AD293="","",VLOOKUP(AD293,リスト!BW:BX,2,0))</f>
        <v/>
      </c>
      <c r="AF293" s="1037" t="str">
        <f t="shared" si="111"/>
        <v/>
      </c>
      <c r="AG293" s="685" t="str">
        <f t="shared" si="3"/>
        <v/>
      </c>
      <c r="AH293" s="646" t="str">
        <f t="shared" si="4"/>
        <v/>
      </c>
      <c r="AI293" s="646" t="str">
        <f t="shared" si="120"/>
        <v/>
      </c>
      <c r="AJ293" s="647" t="str">
        <f t="shared" si="121"/>
        <v/>
      </c>
      <c r="AK293" s="647" t="str">
        <f t="shared" si="5"/>
        <v/>
      </c>
      <c r="AL293" s="647" t="str">
        <f t="shared" si="115"/>
        <v/>
      </c>
      <c r="AM293" s="647" t="str">
        <f t="shared" si="112"/>
        <v/>
      </c>
      <c r="AN293" s="647" t="str">
        <f t="shared" si="7"/>
        <v/>
      </c>
      <c r="AO293" s="647" t="str">
        <f t="shared" si="8"/>
        <v/>
      </c>
      <c r="AP293" s="647" t="str">
        <f t="shared" si="9"/>
        <v/>
      </c>
      <c r="AQ293" s="647" t="str">
        <f t="shared" si="113"/>
        <v/>
      </c>
      <c r="AR293" s="647" t="str">
        <f t="shared" si="10"/>
        <v/>
      </c>
      <c r="AS293" s="647" t="str">
        <f t="shared" si="16"/>
        <v/>
      </c>
      <c r="AT293" s="1323" t="str">
        <f t="shared" si="118"/>
        <v/>
      </c>
      <c r="AU293" s="1323" t="str">
        <f t="shared" si="119"/>
        <v/>
      </c>
    </row>
    <row r="294" spans="3:47" s="5" customFormat="1" ht="28.15" hidden="1" customHeight="1" outlineLevel="1">
      <c r="C294" s="649">
        <v>276</v>
      </c>
      <c r="D294" s="1133"/>
      <c r="E294" s="670"/>
      <c r="F294" s="726"/>
      <c r="G294" s="705"/>
      <c r="H294" s="255"/>
      <c r="I294" s="255"/>
      <c r="J294" s="1049"/>
      <c r="K294" s="735"/>
      <c r="L294" s="735"/>
      <c r="M294" s="736"/>
      <c r="N294" s="735"/>
      <c r="O294" s="727"/>
      <c r="P294" s="1321"/>
      <c r="Q294" s="1329"/>
      <c r="R294" s="254"/>
      <c r="S294" s="703"/>
      <c r="T294" s="728"/>
      <c r="U294" s="431"/>
      <c r="V294" s="499"/>
      <c r="W294" s="741"/>
      <c r="X294" s="51"/>
      <c r="Y294" s="51"/>
      <c r="Z294" s="645" t="str">
        <f t="shared" si="1"/>
        <v/>
      </c>
      <c r="AA294" s="1037" t="str">
        <f t="shared" si="116"/>
        <v/>
      </c>
      <c r="AB294" s="1037" t="str">
        <f t="shared" si="117"/>
        <v/>
      </c>
      <c r="AC294" s="1037" t="str">
        <f>IF(Z294="","",VLOOKUP(Z294,リスト!BN:BO,2,0))</f>
        <v/>
      </c>
      <c r="AD294" s="1037" t="str">
        <f t="shared" si="114"/>
        <v/>
      </c>
      <c r="AE294" s="1037" t="str">
        <f>IF(AD294="","",VLOOKUP(AD294,リスト!BW:BX,2,0))</f>
        <v/>
      </c>
      <c r="AF294" s="1037" t="str">
        <f t="shared" si="111"/>
        <v/>
      </c>
      <c r="AG294" s="685" t="str">
        <f t="shared" si="3"/>
        <v/>
      </c>
      <c r="AH294" s="646" t="str">
        <f t="shared" si="4"/>
        <v/>
      </c>
      <c r="AI294" s="646" t="str">
        <f t="shared" si="120"/>
        <v/>
      </c>
      <c r="AJ294" s="647" t="str">
        <f t="shared" si="121"/>
        <v/>
      </c>
      <c r="AK294" s="647" t="str">
        <f t="shared" si="5"/>
        <v/>
      </c>
      <c r="AL294" s="647" t="str">
        <f t="shared" si="115"/>
        <v/>
      </c>
      <c r="AM294" s="647" t="str">
        <f t="shared" si="112"/>
        <v/>
      </c>
      <c r="AN294" s="647" t="str">
        <f t="shared" si="7"/>
        <v/>
      </c>
      <c r="AO294" s="647" t="str">
        <f t="shared" si="8"/>
        <v/>
      </c>
      <c r="AP294" s="647" t="str">
        <f t="shared" si="9"/>
        <v/>
      </c>
      <c r="AQ294" s="647" t="str">
        <f t="shared" si="113"/>
        <v/>
      </c>
      <c r="AR294" s="647" t="str">
        <f t="shared" si="10"/>
        <v/>
      </c>
      <c r="AS294" s="647" t="str">
        <f t="shared" si="16"/>
        <v/>
      </c>
      <c r="AT294" s="1323" t="str">
        <f t="shared" si="118"/>
        <v/>
      </c>
      <c r="AU294" s="1323" t="str">
        <f t="shared" si="119"/>
        <v/>
      </c>
    </row>
    <row r="295" spans="3:47" s="5" customFormat="1" ht="28.15" hidden="1" customHeight="1" outlineLevel="1">
      <c r="C295" s="649">
        <v>277</v>
      </c>
      <c r="D295" s="1134"/>
      <c r="E295" s="729"/>
      <c r="F295" s="726"/>
      <c r="G295" s="705"/>
      <c r="H295" s="257"/>
      <c r="I295" s="257"/>
      <c r="J295" s="1049"/>
      <c r="K295" s="735"/>
      <c r="L295" s="735"/>
      <c r="M295" s="736"/>
      <c r="N295" s="735"/>
      <c r="O295" s="727"/>
      <c r="P295" s="1321"/>
      <c r="Q295" s="1329"/>
      <c r="R295" s="254"/>
      <c r="S295" s="703"/>
      <c r="T295" s="728"/>
      <c r="U295" s="431"/>
      <c r="V295" s="499"/>
      <c r="W295" s="741"/>
      <c r="X295" s="51"/>
      <c r="Y295" s="51"/>
      <c r="Z295" s="645" t="str">
        <f t="shared" si="1"/>
        <v/>
      </c>
      <c r="AA295" s="1037" t="str">
        <f t="shared" si="116"/>
        <v/>
      </c>
      <c r="AB295" s="1037" t="str">
        <f t="shared" si="117"/>
        <v/>
      </c>
      <c r="AC295" s="1037" t="str">
        <f>IF(Z295="","",VLOOKUP(Z295,リスト!BN:BO,2,0))</f>
        <v/>
      </c>
      <c r="AD295" s="1037" t="str">
        <f t="shared" si="114"/>
        <v/>
      </c>
      <c r="AE295" s="1037" t="str">
        <f>IF(AD295="","",VLOOKUP(AD295,リスト!BW:BX,2,0))</f>
        <v/>
      </c>
      <c r="AF295" s="1037" t="str">
        <f t="shared" si="111"/>
        <v/>
      </c>
      <c r="AG295" s="685" t="str">
        <f t="shared" si="3"/>
        <v/>
      </c>
      <c r="AH295" s="646" t="str">
        <f t="shared" si="4"/>
        <v/>
      </c>
      <c r="AI295" s="646" t="str">
        <f t="shared" si="120"/>
        <v/>
      </c>
      <c r="AJ295" s="647" t="str">
        <f t="shared" si="121"/>
        <v/>
      </c>
      <c r="AK295" s="647" t="str">
        <f t="shared" si="5"/>
        <v/>
      </c>
      <c r="AL295" s="647" t="str">
        <f t="shared" si="115"/>
        <v/>
      </c>
      <c r="AM295" s="647" t="str">
        <f t="shared" si="112"/>
        <v/>
      </c>
      <c r="AN295" s="647" t="str">
        <f t="shared" si="7"/>
        <v/>
      </c>
      <c r="AO295" s="647" t="str">
        <f t="shared" si="8"/>
        <v/>
      </c>
      <c r="AP295" s="647" t="str">
        <f t="shared" si="9"/>
        <v/>
      </c>
      <c r="AQ295" s="647" t="str">
        <f t="shared" si="113"/>
        <v/>
      </c>
      <c r="AR295" s="647" t="str">
        <f t="shared" si="10"/>
        <v/>
      </c>
      <c r="AS295" s="647" t="str">
        <f t="shared" si="16"/>
        <v/>
      </c>
      <c r="AT295" s="1323" t="str">
        <f t="shared" si="118"/>
        <v/>
      </c>
      <c r="AU295" s="1323" t="str">
        <f t="shared" si="119"/>
        <v/>
      </c>
    </row>
    <row r="296" spans="3:47" s="5" customFormat="1" ht="28.15" hidden="1" customHeight="1" outlineLevel="1">
      <c r="C296" s="649">
        <v>278</v>
      </c>
      <c r="D296" s="1133"/>
      <c r="E296" s="670"/>
      <c r="F296" s="726"/>
      <c r="G296" s="705"/>
      <c r="H296" s="255"/>
      <c r="I296" s="255"/>
      <c r="J296" s="1049"/>
      <c r="K296" s="735"/>
      <c r="L296" s="735"/>
      <c r="M296" s="736"/>
      <c r="N296" s="735"/>
      <c r="O296" s="727"/>
      <c r="P296" s="1321"/>
      <c r="Q296" s="1329"/>
      <c r="R296" s="254"/>
      <c r="S296" s="703"/>
      <c r="T296" s="728"/>
      <c r="U296" s="431"/>
      <c r="V296" s="499"/>
      <c r="W296" s="741"/>
      <c r="X296" s="51"/>
      <c r="Y296" s="51"/>
      <c r="Z296" s="645" t="str">
        <f t="shared" si="1"/>
        <v/>
      </c>
      <c r="AA296" s="1037" t="str">
        <f t="shared" si="116"/>
        <v/>
      </c>
      <c r="AB296" s="1037" t="str">
        <f t="shared" si="117"/>
        <v/>
      </c>
      <c r="AC296" s="1037" t="str">
        <f>IF(Z296="","",VLOOKUP(Z296,リスト!BN:BO,2,0))</f>
        <v/>
      </c>
      <c r="AD296" s="1037" t="str">
        <f t="shared" si="114"/>
        <v/>
      </c>
      <c r="AE296" s="1037" t="str">
        <f>IF(AD296="","",VLOOKUP(AD296,リスト!BW:BX,2,0))</f>
        <v/>
      </c>
      <c r="AF296" s="1037" t="str">
        <f t="shared" si="111"/>
        <v/>
      </c>
      <c r="AG296" s="685" t="str">
        <f t="shared" si="3"/>
        <v/>
      </c>
      <c r="AH296" s="646" t="str">
        <f t="shared" si="4"/>
        <v/>
      </c>
      <c r="AI296" s="646" t="str">
        <f t="shared" si="120"/>
        <v/>
      </c>
      <c r="AJ296" s="647" t="str">
        <f t="shared" si="121"/>
        <v/>
      </c>
      <c r="AK296" s="647" t="str">
        <f t="shared" si="5"/>
        <v/>
      </c>
      <c r="AL296" s="647" t="str">
        <f t="shared" si="115"/>
        <v/>
      </c>
      <c r="AM296" s="647" t="str">
        <f t="shared" si="112"/>
        <v/>
      </c>
      <c r="AN296" s="647" t="str">
        <f t="shared" si="7"/>
        <v/>
      </c>
      <c r="AO296" s="647" t="str">
        <f t="shared" si="8"/>
        <v/>
      </c>
      <c r="AP296" s="647" t="str">
        <f t="shared" si="9"/>
        <v/>
      </c>
      <c r="AQ296" s="647" t="str">
        <f t="shared" si="113"/>
        <v/>
      </c>
      <c r="AR296" s="647" t="str">
        <f t="shared" si="10"/>
        <v/>
      </c>
      <c r="AS296" s="647" t="str">
        <f t="shared" si="16"/>
        <v/>
      </c>
      <c r="AT296" s="1323" t="str">
        <f t="shared" si="118"/>
        <v/>
      </c>
      <c r="AU296" s="1323" t="str">
        <f t="shared" si="119"/>
        <v/>
      </c>
    </row>
    <row r="297" spans="3:47" s="5" customFormat="1" ht="28.15" hidden="1" customHeight="1" outlineLevel="1">
      <c r="C297" s="649">
        <v>279</v>
      </c>
      <c r="D297" s="1134"/>
      <c r="E297" s="729"/>
      <c r="F297" s="726"/>
      <c r="G297" s="705"/>
      <c r="H297" s="257"/>
      <c r="I297" s="257"/>
      <c r="J297" s="1049"/>
      <c r="K297" s="735"/>
      <c r="L297" s="735"/>
      <c r="M297" s="736"/>
      <c r="N297" s="735"/>
      <c r="O297" s="727"/>
      <c r="P297" s="1321"/>
      <c r="Q297" s="1329"/>
      <c r="R297" s="254"/>
      <c r="S297" s="703"/>
      <c r="T297" s="728"/>
      <c r="U297" s="431"/>
      <c r="V297" s="499"/>
      <c r="W297" s="741"/>
      <c r="X297" s="51"/>
      <c r="Y297" s="51"/>
      <c r="Z297" s="645" t="str">
        <f t="shared" si="1"/>
        <v/>
      </c>
      <c r="AA297" s="1037" t="str">
        <f t="shared" si="116"/>
        <v/>
      </c>
      <c r="AB297" s="1037" t="str">
        <f t="shared" si="117"/>
        <v/>
      </c>
      <c r="AC297" s="1037" t="str">
        <f>IF(Z297="","",VLOOKUP(Z297,リスト!BN:BO,2,0))</f>
        <v/>
      </c>
      <c r="AD297" s="1037" t="str">
        <f t="shared" si="114"/>
        <v/>
      </c>
      <c r="AE297" s="1037" t="str">
        <f>IF(AD297="","",VLOOKUP(AD297,リスト!BW:BX,2,0))</f>
        <v/>
      </c>
      <c r="AF297" s="1037" t="str">
        <f t="shared" si="111"/>
        <v/>
      </c>
      <c r="AG297" s="685" t="str">
        <f t="shared" si="3"/>
        <v/>
      </c>
      <c r="AH297" s="646" t="str">
        <f t="shared" si="4"/>
        <v/>
      </c>
      <c r="AI297" s="646" t="str">
        <f t="shared" si="120"/>
        <v/>
      </c>
      <c r="AJ297" s="647" t="str">
        <f t="shared" si="121"/>
        <v/>
      </c>
      <c r="AK297" s="647" t="str">
        <f t="shared" si="5"/>
        <v/>
      </c>
      <c r="AL297" s="647" t="str">
        <f t="shared" si="115"/>
        <v/>
      </c>
      <c r="AM297" s="647" t="str">
        <f t="shared" si="112"/>
        <v/>
      </c>
      <c r="AN297" s="647" t="str">
        <f t="shared" si="7"/>
        <v/>
      </c>
      <c r="AO297" s="647" t="str">
        <f t="shared" si="8"/>
        <v/>
      </c>
      <c r="AP297" s="647" t="str">
        <f t="shared" si="9"/>
        <v/>
      </c>
      <c r="AQ297" s="647" t="str">
        <f t="shared" si="113"/>
        <v/>
      </c>
      <c r="AR297" s="647" t="str">
        <f t="shared" si="10"/>
        <v/>
      </c>
      <c r="AS297" s="647" t="str">
        <f t="shared" si="16"/>
        <v/>
      </c>
      <c r="AT297" s="1323" t="str">
        <f t="shared" si="118"/>
        <v/>
      </c>
      <c r="AU297" s="1323" t="str">
        <f t="shared" si="119"/>
        <v/>
      </c>
    </row>
    <row r="298" spans="3:47" s="5" customFormat="1" ht="28.15" hidden="1" customHeight="1" outlineLevel="1">
      <c r="C298" s="649">
        <v>280</v>
      </c>
      <c r="D298" s="1133"/>
      <c r="E298" s="670"/>
      <c r="F298" s="726"/>
      <c r="G298" s="705"/>
      <c r="H298" s="255"/>
      <c r="I298" s="255"/>
      <c r="J298" s="1049"/>
      <c r="K298" s="735"/>
      <c r="L298" s="735"/>
      <c r="M298" s="736"/>
      <c r="N298" s="735"/>
      <c r="O298" s="727"/>
      <c r="P298" s="1321"/>
      <c r="Q298" s="1329"/>
      <c r="R298" s="254"/>
      <c r="S298" s="703"/>
      <c r="T298" s="728"/>
      <c r="U298" s="431"/>
      <c r="V298" s="499"/>
      <c r="W298" s="741"/>
      <c r="X298" s="51"/>
      <c r="Y298" s="51"/>
      <c r="Z298" s="645" t="str">
        <f t="shared" ref="Z298:Z307" si="122">IF(AND(E298="",F298=""),"","["&amp;RIGHT(LEFT(E298,3),2)&amp;RIGHT(LEFT(F298,2),1)&amp;"]")</f>
        <v/>
      </c>
      <c r="AA298" s="1037" t="str">
        <f t="shared" si="116"/>
        <v/>
      </c>
      <c r="AB298" s="1037" t="str">
        <f t="shared" si="117"/>
        <v/>
      </c>
      <c r="AC298" s="1037" t="str">
        <f>IF(Z298="","",VLOOKUP(Z298,リスト!BN:BO,2,0))</f>
        <v/>
      </c>
      <c r="AD298" s="1037" t="str">
        <f t="shared" si="114"/>
        <v/>
      </c>
      <c r="AE298" s="1037" t="str">
        <f>IF(AD298="","",VLOOKUP(AD298,リスト!BW:BX,2,0))</f>
        <v/>
      </c>
      <c r="AF298" s="1037" t="str">
        <f t="shared" si="111"/>
        <v/>
      </c>
      <c r="AG298" s="685" t="str">
        <f t="shared" ref="AG298:AG307" si="123">IF(OR(Z298="",AA298=1),"",
IF(AND(AD298&gt;0,AF298&lt;AD298,AH298&lt;=ROUND((K298-1)*AE298,0)),ROUND(AH298,0),
IF(AND(AD298&gt;0,AF298&lt;AD298),ROUND((K298-1)*AE298,0),
"")))</f>
        <v/>
      </c>
      <c r="AH298" s="646" t="str">
        <f t="shared" ref="AH298:AH307" si="124">IF(OR(Z298="",AA298=1),"",
IF(AND(AD298&gt;0,AF298&lt;AD298),K298-ROUND((K298-1)*AE298*AF298,0),1
))</f>
        <v/>
      </c>
      <c r="AI298" s="646" t="str">
        <f t="shared" ref="AI298:AI307" si="125">IF(OR(Z298="",AA298=1),"",
IF(S298="",AG298,
IF(S298="2：廃棄等",SUM(AH298,T298),
IF(S298="1：売却",AH298-T298,
IF(AND(T298="",AG298=""),"",SUM(T298,AG298))))))</f>
        <v/>
      </c>
      <c r="AJ298" s="647" t="str">
        <f t="shared" ref="AJ298:AJ307" si="126">IF(AND(AI298="",AG298=""),"",
IF(OR(S298="1：売却",S298="2：廃棄等"),SUM(AI298)-SUM(AG298),""))</f>
        <v/>
      </c>
      <c r="AK298" s="647" t="str">
        <f t="shared" ref="AK298:AK307" si="127">IF(OR(AA298=1,L298=""),"",
IF(AND(AD298&gt;0,L298&gt;0,AF298&lt;AD298),L298-ROUND(L298*AE298*AF298,0),""
))</f>
        <v/>
      </c>
      <c r="AL298" s="647" t="str">
        <f t="shared" si="115"/>
        <v/>
      </c>
      <c r="AM298" s="647" t="str">
        <f t="shared" si="112"/>
        <v/>
      </c>
      <c r="AN298" s="647" t="str">
        <f t="shared" ref="AN298:AN307" si="128">IF(R298="","",IF(AI298="","",ROUND(AI298*R298%,0)))</f>
        <v/>
      </c>
      <c r="AO298" s="647" t="str">
        <f t="shared" ref="AO298:AO307" si="129">IF(R298="","",IF(AJ298="","",ROUND(AJ298*R298%,0)))</f>
        <v/>
      </c>
      <c r="AP298" s="647" t="str">
        <f t="shared" ref="AP298:AP307" si="130">IF(R298="","",IF(AH298="","",ROUND(AH298*R298%,0)))</f>
        <v/>
      </c>
      <c r="AQ298" s="647" t="str">
        <f t="shared" si="113"/>
        <v/>
      </c>
      <c r="AR298" s="647" t="str">
        <f t="shared" ref="AR298:AR307" si="131">IF(R298="","",IF(N298="","",ROUND(N298*R298%,0)))</f>
        <v/>
      </c>
      <c r="AS298" s="647" t="str">
        <f t="shared" ref="AS298:AS307" si="132">IF(R298="","",IF(O298="","",ROUND(O298*R298%,0)))</f>
        <v/>
      </c>
      <c r="AT298" s="1323" t="str">
        <f t="shared" si="118"/>
        <v/>
      </c>
      <c r="AU298" s="1323" t="str">
        <f t="shared" si="119"/>
        <v/>
      </c>
    </row>
    <row r="299" spans="3:47" s="5" customFormat="1" ht="28.15" hidden="1" customHeight="1" outlineLevel="1">
      <c r="C299" s="649">
        <v>281</v>
      </c>
      <c r="D299" s="1134"/>
      <c r="E299" s="729"/>
      <c r="F299" s="726"/>
      <c r="G299" s="705"/>
      <c r="H299" s="257"/>
      <c r="I299" s="257"/>
      <c r="J299" s="1049"/>
      <c r="K299" s="735"/>
      <c r="L299" s="735"/>
      <c r="M299" s="736"/>
      <c r="N299" s="735"/>
      <c r="O299" s="727"/>
      <c r="P299" s="1321"/>
      <c r="Q299" s="1329"/>
      <c r="R299" s="254"/>
      <c r="S299" s="703"/>
      <c r="T299" s="728"/>
      <c r="U299" s="431"/>
      <c r="V299" s="499"/>
      <c r="W299" s="741"/>
      <c r="X299" s="51"/>
      <c r="Y299" s="51"/>
      <c r="Z299" s="645" t="str">
        <f t="shared" si="122"/>
        <v/>
      </c>
      <c r="AA299" s="1037" t="str">
        <f t="shared" si="116"/>
        <v/>
      </c>
      <c r="AB299" s="1037" t="str">
        <f t="shared" si="117"/>
        <v/>
      </c>
      <c r="AC299" s="1037" t="str">
        <f>IF(Z299="","",VLOOKUP(Z299,リスト!BN:BO,2,0))</f>
        <v/>
      </c>
      <c r="AD299" s="1037" t="str">
        <f t="shared" si="114"/>
        <v/>
      </c>
      <c r="AE299" s="1037" t="str">
        <f>IF(AD299="","",VLOOKUP(AD299,リスト!BW:BX,2,0))</f>
        <v/>
      </c>
      <c r="AF299" s="1037" t="str">
        <f t="shared" si="111"/>
        <v/>
      </c>
      <c r="AG299" s="685" t="str">
        <f t="shared" si="123"/>
        <v/>
      </c>
      <c r="AH299" s="646" t="str">
        <f t="shared" si="124"/>
        <v/>
      </c>
      <c r="AI299" s="646" t="str">
        <f t="shared" si="125"/>
        <v/>
      </c>
      <c r="AJ299" s="647" t="str">
        <f t="shared" si="126"/>
        <v/>
      </c>
      <c r="AK299" s="647" t="str">
        <f t="shared" si="127"/>
        <v/>
      </c>
      <c r="AL299" s="647" t="str">
        <f t="shared" si="115"/>
        <v/>
      </c>
      <c r="AM299" s="647" t="str">
        <f t="shared" si="112"/>
        <v/>
      </c>
      <c r="AN299" s="647" t="str">
        <f t="shared" si="128"/>
        <v/>
      </c>
      <c r="AO299" s="647" t="str">
        <f t="shared" si="129"/>
        <v/>
      </c>
      <c r="AP299" s="647" t="str">
        <f t="shared" si="130"/>
        <v/>
      </c>
      <c r="AQ299" s="647" t="str">
        <f t="shared" si="113"/>
        <v/>
      </c>
      <c r="AR299" s="647" t="str">
        <f t="shared" si="131"/>
        <v/>
      </c>
      <c r="AS299" s="647" t="str">
        <f t="shared" si="132"/>
        <v/>
      </c>
      <c r="AT299" s="1323" t="str">
        <f t="shared" si="118"/>
        <v/>
      </c>
      <c r="AU299" s="1323" t="str">
        <f t="shared" si="119"/>
        <v/>
      </c>
    </row>
    <row r="300" spans="3:47" s="5" customFormat="1" ht="28.15" hidden="1" customHeight="1" outlineLevel="1">
      <c r="C300" s="649">
        <v>282</v>
      </c>
      <c r="D300" s="1133"/>
      <c r="E300" s="670"/>
      <c r="F300" s="726"/>
      <c r="G300" s="705"/>
      <c r="H300" s="255"/>
      <c r="I300" s="255"/>
      <c r="J300" s="1049"/>
      <c r="K300" s="735"/>
      <c r="L300" s="735"/>
      <c r="M300" s="736"/>
      <c r="N300" s="735"/>
      <c r="O300" s="727"/>
      <c r="P300" s="1321"/>
      <c r="Q300" s="1329"/>
      <c r="R300" s="254"/>
      <c r="S300" s="703"/>
      <c r="T300" s="728"/>
      <c r="U300" s="431"/>
      <c r="V300" s="499"/>
      <c r="W300" s="741"/>
      <c r="X300" s="51"/>
      <c r="Y300" s="51"/>
      <c r="Z300" s="645" t="str">
        <f t="shared" si="122"/>
        <v/>
      </c>
      <c r="AA300" s="1037" t="str">
        <f t="shared" si="116"/>
        <v/>
      </c>
      <c r="AB300" s="1037" t="str">
        <f t="shared" si="117"/>
        <v/>
      </c>
      <c r="AC300" s="1037" t="str">
        <f>IF(Z300="","",VLOOKUP(Z300,リスト!BN:BO,2,0))</f>
        <v/>
      </c>
      <c r="AD300" s="1037" t="str">
        <f t="shared" si="114"/>
        <v/>
      </c>
      <c r="AE300" s="1037" t="str">
        <f>IF(AD300="","",VLOOKUP(AD300,リスト!BW:BX,2,0))</f>
        <v/>
      </c>
      <c r="AF300" s="1037" t="str">
        <f t="shared" si="111"/>
        <v/>
      </c>
      <c r="AG300" s="685" t="str">
        <f t="shared" si="123"/>
        <v/>
      </c>
      <c r="AH300" s="646" t="str">
        <f t="shared" si="124"/>
        <v/>
      </c>
      <c r="AI300" s="646" t="str">
        <f t="shared" si="125"/>
        <v/>
      </c>
      <c r="AJ300" s="647" t="str">
        <f t="shared" si="126"/>
        <v/>
      </c>
      <c r="AK300" s="647" t="str">
        <f t="shared" si="127"/>
        <v/>
      </c>
      <c r="AL300" s="647" t="str">
        <f t="shared" si="115"/>
        <v/>
      </c>
      <c r="AM300" s="647" t="str">
        <f t="shared" si="112"/>
        <v/>
      </c>
      <c r="AN300" s="647" t="str">
        <f t="shared" si="128"/>
        <v/>
      </c>
      <c r="AO300" s="647" t="str">
        <f t="shared" si="129"/>
        <v/>
      </c>
      <c r="AP300" s="647" t="str">
        <f t="shared" si="130"/>
        <v/>
      </c>
      <c r="AQ300" s="647" t="str">
        <f t="shared" si="113"/>
        <v/>
      </c>
      <c r="AR300" s="647" t="str">
        <f t="shared" si="131"/>
        <v/>
      </c>
      <c r="AS300" s="647" t="str">
        <f t="shared" si="132"/>
        <v/>
      </c>
      <c r="AT300" s="1323" t="str">
        <f t="shared" si="118"/>
        <v/>
      </c>
      <c r="AU300" s="1323" t="str">
        <f t="shared" si="119"/>
        <v/>
      </c>
    </row>
    <row r="301" spans="3:47" s="5" customFormat="1" ht="28.15" hidden="1" customHeight="1" outlineLevel="1">
      <c r="C301" s="649">
        <v>283</v>
      </c>
      <c r="D301" s="1134"/>
      <c r="E301" s="729"/>
      <c r="F301" s="726"/>
      <c r="G301" s="705"/>
      <c r="H301" s="257"/>
      <c r="I301" s="257"/>
      <c r="J301" s="1050"/>
      <c r="K301" s="735"/>
      <c r="L301" s="735"/>
      <c r="M301" s="736"/>
      <c r="N301" s="735"/>
      <c r="O301" s="727"/>
      <c r="P301" s="1321"/>
      <c r="Q301" s="1329"/>
      <c r="R301" s="254"/>
      <c r="S301" s="703"/>
      <c r="T301" s="728"/>
      <c r="U301" s="431"/>
      <c r="V301" s="499"/>
      <c r="W301" s="741"/>
      <c r="X301" s="51"/>
      <c r="Y301" s="51"/>
      <c r="Z301" s="645" t="str">
        <f t="shared" si="122"/>
        <v/>
      </c>
      <c r="AA301" s="1037" t="str">
        <f t="shared" si="116"/>
        <v/>
      </c>
      <c r="AB301" s="1037" t="str">
        <f t="shared" si="117"/>
        <v/>
      </c>
      <c r="AC301" s="1037" t="str">
        <f>IF(Z301="","",VLOOKUP(Z301,リスト!BN:BO,2,0))</f>
        <v/>
      </c>
      <c r="AD301" s="1037" t="str">
        <f t="shared" si="114"/>
        <v/>
      </c>
      <c r="AE301" s="1037" t="str">
        <f>IF(AD301="","",VLOOKUP(AD301,リスト!BW:BX,2,0))</f>
        <v/>
      </c>
      <c r="AF301" s="1037" t="str">
        <f t="shared" si="111"/>
        <v/>
      </c>
      <c r="AG301" s="685" t="str">
        <f t="shared" si="123"/>
        <v/>
      </c>
      <c r="AH301" s="646" t="str">
        <f t="shared" si="124"/>
        <v/>
      </c>
      <c r="AI301" s="646" t="str">
        <f t="shared" si="125"/>
        <v/>
      </c>
      <c r="AJ301" s="647" t="str">
        <f t="shared" si="126"/>
        <v/>
      </c>
      <c r="AK301" s="647" t="str">
        <f t="shared" si="127"/>
        <v/>
      </c>
      <c r="AL301" s="647" t="str">
        <f t="shared" si="115"/>
        <v/>
      </c>
      <c r="AM301" s="647" t="str">
        <f t="shared" si="112"/>
        <v/>
      </c>
      <c r="AN301" s="647" t="str">
        <f t="shared" si="128"/>
        <v/>
      </c>
      <c r="AO301" s="647" t="str">
        <f t="shared" si="129"/>
        <v/>
      </c>
      <c r="AP301" s="647" t="str">
        <f t="shared" si="130"/>
        <v/>
      </c>
      <c r="AQ301" s="647" t="str">
        <f t="shared" si="113"/>
        <v/>
      </c>
      <c r="AR301" s="647" t="str">
        <f t="shared" si="131"/>
        <v/>
      </c>
      <c r="AS301" s="647" t="str">
        <f t="shared" si="132"/>
        <v/>
      </c>
      <c r="AT301" s="1323" t="str">
        <f t="shared" si="118"/>
        <v/>
      </c>
      <c r="AU301" s="1323" t="str">
        <f t="shared" si="119"/>
        <v/>
      </c>
    </row>
    <row r="302" spans="3:47" s="5" customFormat="1" ht="28.15" hidden="1" customHeight="1" outlineLevel="1">
      <c r="C302" s="649">
        <v>284</v>
      </c>
      <c r="D302" s="1133"/>
      <c r="E302" s="670"/>
      <c r="F302" s="726"/>
      <c r="G302" s="705"/>
      <c r="H302" s="255"/>
      <c r="I302" s="255"/>
      <c r="J302" s="1051"/>
      <c r="K302" s="735"/>
      <c r="L302" s="735"/>
      <c r="M302" s="736"/>
      <c r="N302" s="735"/>
      <c r="O302" s="727"/>
      <c r="P302" s="1321"/>
      <c r="Q302" s="1329"/>
      <c r="R302" s="254"/>
      <c r="S302" s="703"/>
      <c r="T302" s="728"/>
      <c r="U302" s="431"/>
      <c r="V302" s="499"/>
      <c r="W302" s="741"/>
      <c r="X302" s="51"/>
      <c r="Y302" s="51"/>
      <c r="Z302" s="645" t="str">
        <f t="shared" si="122"/>
        <v/>
      </c>
      <c r="AA302" s="1037" t="str">
        <f t="shared" si="116"/>
        <v/>
      </c>
      <c r="AB302" s="1037" t="str">
        <f t="shared" si="117"/>
        <v/>
      </c>
      <c r="AC302" s="1037" t="str">
        <f>IF(Z302="","",VLOOKUP(Z302,リスト!BN:BO,2,0))</f>
        <v/>
      </c>
      <c r="AD302" s="1037" t="str">
        <f t="shared" si="114"/>
        <v/>
      </c>
      <c r="AE302" s="1037" t="str">
        <f>IF(AD302="","",VLOOKUP(AD302,リスト!BW:BX,2,0))</f>
        <v/>
      </c>
      <c r="AF302" s="1037" t="str">
        <f t="shared" si="111"/>
        <v/>
      </c>
      <c r="AG302" s="685" t="str">
        <f t="shared" si="123"/>
        <v/>
      </c>
      <c r="AH302" s="646" t="str">
        <f t="shared" si="124"/>
        <v/>
      </c>
      <c r="AI302" s="646" t="str">
        <f t="shared" si="125"/>
        <v/>
      </c>
      <c r="AJ302" s="647" t="str">
        <f t="shared" si="126"/>
        <v/>
      </c>
      <c r="AK302" s="647" t="str">
        <f t="shared" si="127"/>
        <v/>
      </c>
      <c r="AL302" s="647" t="str">
        <f t="shared" si="115"/>
        <v/>
      </c>
      <c r="AM302" s="647" t="str">
        <f t="shared" si="112"/>
        <v/>
      </c>
      <c r="AN302" s="647" t="str">
        <f t="shared" si="128"/>
        <v/>
      </c>
      <c r="AO302" s="647" t="str">
        <f t="shared" si="129"/>
        <v/>
      </c>
      <c r="AP302" s="647" t="str">
        <f t="shared" si="130"/>
        <v/>
      </c>
      <c r="AQ302" s="647" t="str">
        <f t="shared" si="113"/>
        <v/>
      </c>
      <c r="AR302" s="647" t="str">
        <f t="shared" si="131"/>
        <v/>
      </c>
      <c r="AS302" s="647" t="str">
        <f t="shared" si="132"/>
        <v/>
      </c>
      <c r="AT302" s="1323" t="str">
        <f t="shared" si="118"/>
        <v/>
      </c>
      <c r="AU302" s="1323" t="str">
        <f t="shared" si="119"/>
        <v/>
      </c>
    </row>
    <row r="303" spans="3:47" s="5" customFormat="1" ht="28.15" hidden="1" customHeight="1" outlineLevel="1">
      <c r="C303" s="649">
        <v>285</v>
      </c>
      <c r="D303" s="1133"/>
      <c r="E303" s="670"/>
      <c r="F303" s="726"/>
      <c r="G303" s="705"/>
      <c r="H303" s="255"/>
      <c r="I303" s="255"/>
      <c r="J303" s="1051"/>
      <c r="K303" s="735"/>
      <c r="L303" s="735"/>
      <c r="M303" s="736"/>
      <c r="N303" s="735"/>
      <c r="O303" s="727"/>
      <c r="P303" s="1321"/>
      <c r="Q303" s="1329"/>
      <c r="R303" s="254"/>
      <c r="S303" s="703"/>
      <c r="T303" s="728"/>
      <c r="U303" s="431"/>
      <c r="V303" s="499"/>
      <c r="W303" s="741"/>
      <c r="X303" s="51"/>
      <c r="Y303" s="51"/>
      <c r="Z303" s="645" t="str">
        <f t="shared" si="122"/>
        <v/>
      </c>
      <c r="AA303" s="1037" t="str">
        <f t="shared" si="116"/>
        <v/>
      </c>
      <c r="AB303" s="1037" t="str">
        <f t="shared" si="117"/>
        <v/>
      </c>
      <c r="AC303" s="1037" t="str">
        <f>IF(Z303="","",VLOOKUP(Z303,リスト!BN:BO,2,0))</f>
        <v/>
      </c>
      <c r="AD303" s="1037" t="str">
        <f t="shared" si="114"/>
        <v/>
      </c>
      <c r="AE303" s="1037" t="str">
        <f>IF(AD303="","",VLOOKUP(AD303,リスト!BW:BX,2,0))</f>
        <v/>
      </c>
      <c r="AF303" s="1037" t="str">
        <f t="shared" si="111"/>
        <v/>
      </c>
      <c r="AG303" s="685" t="str">
        <f t="shared" si="123"/>
        <v/>
      </c>
      <c r="AH303" s="646" t="str">
        <f t="shared" si="124"/>
        <v/>
      </c>
      <c r="AI303" s="646" t="str">
        <f t="shared" si="125"/>
        <v/>
      </c>
      <c r="AJ303" s="647" t="str">
        <f t="shared" si="126"/>
        <v/>
      </c>
      <c r="AK303" s="647" t="str">
        <f t="shared" si="127"/>
        <v/>
      </c>
      <c r="AL303" s="647" t="str">
        <f t="shared" si="115"/>
        <v/>
      </c>
      <c r="AM303" s="647" t="str">
        <f t="shared" si="112"/>
        <v/>
      </c>
      <c r="AN303" s="647" t="str">
        <f t="shared" si="128"/>
        <v/>
      </c>
      <c r="AO303" s="647" t="str">
        <f t="shared" si="129"/>
        <v/>
      </c>
      <c r="AP303" s="647" t="str">
        <f t="shared" si="130"/>
        <v/>
      </c>
      <c r="AQ303" s="647" t="str">
        <f t="shared" si="113"/>
        <v/>
      </c>
      <c r="AR303" s="647" t="str">
        <f t="shared" si="131"/>
        <v/>
      </c>
      <c r="AS303" s="647" t="str">
        <f t="shared" si="132"/>
        <v/>
      </c>
      <c r="AT303" s="1323" t="str">
        <f t="shared" si="118"/>
        <v/>
      </c>
      <c r="AU303" s="1323" t="str">
        <f t="shared" si="119"/>
        <v/>
      </c>
    </row>
    <row r="304" spans="3:47" s="5" customFormat="1" ht="28.15" hidden="1" customHeight="1" outlineLevel="1">
      <c r="C304" s="649">
        <v>286</v>
      </c>
      <c r="D304" s="1133"/>
      <c r="E304" s="670"/>
      <c r="F304" s="726"/>
      <c r="G304" s="705"/>
      <c r="H304" s="255"/>
      <c r="I304" s="255"/>
      <c r="J304" s="1051"/>
      <c r="K304" s="735"/>
      <c r="L304" s="735"/>
      <c r="M304" s="736"/>
      <c r="N304" s="735"/>
      <c r="O304" s="727"/>
      <c r="P304" s="1321"/>
      <c r="Q304" s="1329"/>
      <c r="R304" s="254"/>
      <c r="S304" s="703"/>
      <c r="T304" s="728"/>
      <c r="U304" s="431"/>
      <c r="V304" s="499"/>
      <c r="W304" s="741"/>
      <c r="X304" s="51"/>
      <c r="Y304" s="51"/>
      <c r="Z304" s="645" t="str">
        <f t="shared" si="122"/>
        <v/>
      </c>
      <c r="AA304" s="1037" t="str">
        <f t="shared" si="116"/>
        <v/>
      </c>
      <c r="AB304" s="1037" t="str">
        <f t="shared" si="117"/>
        <v/>
      </c>
      <c r="AC304" s="1037" t="str">
        <f>IF(Z304="","",VLOOKUP(Z304,リスト!BN:BO,2,0))</f>
        <v/>
      </c>
      <c r="AD304" s="1037" t="str">
        <f t="shared" si="114"/>
        <v/>
      </c>
      <c r="AE304" s="1037" t="str">
        <f>IF(AD304="","",VLOOKUP(AD304,リスト!BW:BX,2,0))</f>
        <v/>
      </c>
      <c r="AF304" s="1037" t="str">
        <f t="shared" si="111"/>
        <v/>
      </c>
      <c r="AG304" s="685" t="str">
        <f t="shared" si="123"/>
        <v/>
      </c>
      <c r="AH304" s="646" t="str">
        <f t="shared" si="124"/>
        <v/>
      </c>
      <c r="AI304" s="646" t="str">
        <f t="shared" si="125"/>
        <v/>
      </c>
      <c r="AJ304" s="647" t="str">
        <f t="shared" si="126"/>
        <v/>
      </c>
      <c r="AK304" s="647" t="str">
        <f t="shared" si="127"/>
        <v/>
      </c>
      <c r="AL304" s="647" t="str">
        <f t="shared" si="115"/>
        <v/>
      </c>
      <c r="AM304" s="647" t="str">
        <f t="shared" si="112"/>
        <v/>
      </c>
      <c r="AN304" s="647" t="str">
        <f t="shared" si="128"/>
        <v/>
      </c>
      <c r="AO304" s="647" t="str">
        <f t="shared" si="129"/>
        <v/>
      </c>
      <c r="AP304" s="647" t="str">
        <f t="shared" si="130"/>
        <v/>
      </c>
      <c r="AQ304" s="647" t="str">
        <f t="shared" si="113"/>
        <v/>
      </c>
      <c r="AR304" s="647" t="str">
        <f t="shared" si="131"/>
        <v/>
      </c>
      <c r="AS304" s="647" t="str">
        <f t="shared" si="132"/>
        <v/>
      </c>
      <c r="AT304" s="1323" t="str">
        <f t="shared" si="118"/>
        <v/>
      </c>
      <c r="AU304" s="1323" t="str">
        <f t="shared" si="119"/>
        <v/>
      </c>
    </row>
    <row r="305" spans="2:47" s="5" customFormat="1" ht="28.15" hidden="1" customHeight="1" outlineLevel="1">
      <c r="C305" s="649">
        <v>287</v>
      </c>
      <c r="D305" s="1133"/>
      <c r="E305" s="670"/>
      <c r="F305" s="726"/>
      <c r="G305" s="705"/>
      <c r="H305" s="255"/>
      <c r="I305" s="255"/>
      <c r="J305" s="1051"/>
      <c r="K305" s="735"/>
      <c r="L305" s="735"/>
      <c r="M305" s="736"/>
      <c r="N305" s="735"/>
      <c r="O305" s="727"/>
      <c r="P305" s="1321"/>
      <c r="Q305" s="1329"/>
      <c r="R305" s="254"/>
      <c r="S305" s="703"/>
      <c r="T305" s="728"/>
      <c r="U305" s="431"/>
      <c r="V305" s="499"/>
      <c r="W305" s="741"/>
      <c r="X305" s="51"/>
      <c r="Y305" s="51"/>
      <c r="Z305" s="645" t="str">
        <f t="shared" si="122"/>
        <v/>
      </c>
      <c r="AA305" s="1037" t="str">
        <f t="shared" si="116"/>
        <v/>
      </c>
      <c r="AB305" s="1037" t="str">
        <f t="shared" si="117"/>
        <v/>
      </c>
      <c r="AC305" s="1037" t="str">
        <f>IF(Z305="","",VLOOKUP(Z305,リスト!BN:BO,2,0))</f>
        <v/>
      </c>
      <c r="AD305" s="1037" t="str">
        <f t="shared" si="114"/>
        <v/>
      </c>
      <c r="AE305" s="1037" t="str">
        <f>IF(AD305="","",VLOOKUP(AD305,リスト!BW:BX,2,0))</f>
        <v/>
      </c>
      <c r="AF305" s="1037" t="str">
        <f t="shared" si="111"/>
        <v/>
      </c>
      <c r="AG305" s="685" t="str">
        <f t="shared" si="123"/>
        <v/>
      </c>
      <c r="AH305" s="646" t="str">
        <f t="shared" si="124"/>
        <v/>
      </c>
      <c r="AI305" s="646" t="str">
        <f t="shared" si="125"/>
        <v/>
      </c>
      <c r="AJ305" s="647" t="str">
        <f t="shared" si="126"/>
        <v/>
      </c>
      <c r="AK305" s="647" t="str">
        <f t="shared" si="127"/>
        <v/>
      </c>
      <c r="AL305" s="647" t="str">
        <f t="shared" si="115"/>
        <v/>
      </c>
      <c r="AM305" s="647" t="str">
        <f t="shared" si="112"/>
        <v/>
      </c>
      <c r="AN305" s="647" t="str">
        <f t="shared" si="128"/>
        <v/>
      </c>
      <c r="AO305" s="647" t="str">
        <f t="shared" si="129"/>
        <v/>
      </c>
      <c r="AP305" s="647" t="str">
        <f t="shared" si="130"/>
        <v/>
      </c>
      <c r="AQ305" s="647" t="str">
        <f t="shared" si="113"/>
        <v/>
      </c>
      <c r="AR305" s="647" t="str">
        <f t="shared" si="131"/>
        <v/>
      </c>
      <c r="AS305" s="647" t="str">
        <f t="shared" si="132"/>
        <v/>
      </c>
      <c r="AT305" s="1323" t="str">
        <f t="shared" si="118"/>
        <v/>
      </c>
      <c r="AU305" s="1323" t="str">
        <f t="shared" si="119"/>
        <v/>
      </c>
    </row>
    <row r="306" spans="2:47" s="5" customFormat="1" ht="28.15" hidden="1" customHeight="1" outlineLevel="1">
      <c r="C306" s="649">
        <v>288</v>
      </c>
      <c r="D306" s="1133"/>
      <c r="E306" s="670"/>
      <c r="F306" s="726"/>
      <c r="G306" s="705"/>
      <c r="H306" s="255"/>
      <c r="I306" s="255"/>
      <c r="J306" s="1051"/>
      <c r="K306" s="735"/>
      <c r="L306" s="735"/>
      <c r="M306" s="736"/>
      <c r="N306" s="735"/>
      <c r="O306" s="727"/>
      <c r="P306" s="1321"/>
      <c r="Q306" s="1329"/>
      <c r="R306" s="254"/>
      <c r="S306" s="703"/>
      <c r="T306" s="728"/>
      <c r="U306" s="431"/>
      <c r="V306" s="499"/>
      <c r="W306" s="741"/>
      <c r="X306" s="51"/>
      <c r="Y306" s="51"/>
      <c r="Z306" s="645" t="str">
        <f t="shared" si="122"/>
        <v/>
      </c>
      <c r="AA306" s="1037" t="str">
        <f t="shared" si="116"/>
        <v/>
      </c>
      <c r="AB306" s="1037" t="str">
        <f t="shared" si="117"/>
        <v/>
      </c>
      <c r="AC306" s="1037" t="str">
        <f>IF(Z306="","",VLOOKUP(Z306,リスト!BN:BO,2,0))</f>
        <v/>
      </c>
      <c r="AD306" s="1037" t="str">
        <f t="shared" si="114"/>
        <v/>
      </c>
      <c r="AE306" s="1037" t="str">
        <f>IF(AD306="","",VLOOKUP(AD306,リスト!BW:BX,2,0))</f>
        <v/>
      </c>
      <c r="AF306" s="1037" t="str">
        <f t="shared" si="111"/>
        <v/>
      </c>
      <c r="AG306" s="685" t="str">
        <f t="shared" si="123"/>
        <v/>
      </c>
      <c r="AH306" s="646" t="str">
        <f t="shared" si="124"/>
        <v/>
      </c>
      <c r="AI306" s="646" t="str">
        <f t="shared" si="125"/>
        <v/>
      </c>
      <c r="AJ306" s="647" t="str">
        <f t="shared" si="126"/>
        <v/>
      </c>
      <c r="AK306" s="647" t="str">
        <f t="shared" si="127"/>
        <v/>
      </c>
      <c r="AL306" s="647" t="str">
        <f t="shared" si="115"/>
        <v/>
      </c>
      <c r="AM306" s="647" t="str">
        <f t="shared" si="112"/>
        <v/>
      </c>
      <c r="AN306" s="647" t="str">
        <f t="shared" si="128"/>
        <v/>
      </c>
      <c r="AO306" s="647" t="str">
        <f t="shared" si="129"/>
        <v/>
      </c>
      <c r="AP306" s="647" t="str">
        <f t="shared" si="130"/>
        <v/>
      </c>
      <c r="AQ306" s="647" t="str">
        <f t="shared" si="113"/>
        <v/>
      </c>
      <c r="AR306" s="647" t="str">
        <f t="shared" si="131"/>
        <v/>
      </c>
      <c r="AS306" s="647" t="str">
        <f t="shared" si="132"/>
        <v/>
      </c>
      <c r="AT306" s="1323" t="str">
        <f t="shared" si="118"/>
        <v/>
      </c>
      <c r="AU306" s="1323" t="str">
        <f t="shared" si="119"/>
        <v/>
      </c>
    </row>
    <row r="307" spans="2:47" s="5" customFormat="1" ht="28.15" hidden="1" customHeight="1" outlineLevel="1">
      <c r="C307" s="649">
        <v>289</v>
      </c>
      <c r="D307" s="1133"/>
      <c r="E307" s="670"/>
      <c r="F307" s="726"/>
      <c r="G307" s="705"/>
      <c r="H307" s="255"/>
      <c r="I307" s="255"/>
      <c r="J307" s="1051"/>
      <c r="K307" s="735"/>
      <c r="L307" s="735"/>
      <c r="M307" s="736"/>
      <c r="N307" s="735"/>
      <c r="O307" s="727"/>
      <c r="P307" s="1321"/>
      <c r="Q307" s="1329"/>
      <c r="R307" s="254"/>
      <c r="S307" s="703"/>
      <c r="T307" s="728"/>
      <c r="U307" s="431"/>
      <c r="V307" s="499"/>
      <c r="W307" s="741"/>
      <c r="X307" s="51"/>
      <c r="Y307" s="51"/>
      <c r="Z307" s="645" t="str">
        <f t="shared" si="122"/>
        <v/>
      </c>
      <c r="AA307" s="1037" t="str">
        <f t="shared" si="116"/>
        <v/>
      </c>
      <c r="AB307" s="1037" t="str">
        <f t="shared" si="117"/>
        <v/>
      </c>
      <c r="AC307" s="1037" t="str">
        <f>IF(Z307="","",VLOOKUP(Z307,リスト!BN:BO,2,0))</f>
        <v/>
      </c>
      <c r="AD307" s="1037" t="str">
        <f t="shared" si="114"/>
        <v/>
      </c>
      <c r="AE307" s="1037" t="str">
        <f>IF(AD307="","",VLOOKUP(AD307,リスト!BW:BX,2,0))</f>
        <v/>
      </c>
      <c r="AF307" s="1037" t="str">
        <f t="shared" si="111"/>
        <v/>
      </c>
      <c r="AG307" s="685" t="str">
        <f t="shared" si="123"/>
        <v/>
      </c>
      <c r="AH307" s="646" t="str">
        <f t="shared" si="124"/>
        <v/>
      </c>
      <c r="AI307" s="646" t="str">
        <f t="shared" si="125"/>
        <v/>
      </c>
      <c r="AJ307" s="647" t="str">
        <f t="shared" si="126"/>
        <v/>
      </c>
      <c r="AK307" s="647" t="str">
        <f t="shared" si="127"/>
        <v/>
      </c>
      <c r="AL307" s="647" t="str">
        <f t="shared" si="115"/>
        <v/>
      </c>
      <c r="AM307" s="647" t="str">
        <f t="shared" si="112"/>
        <v/>
      </c>
      <c r="AN307" s="647" t="str">
        <f t="shared" si="128"/>
        <v/>
      </c>
      <c r="AO307" s="647" t="str">
        <f t="shared" si="129"/>
        <v/>
      </c>
      <c r="AP307" s="647" t="str">
        <f t="shared" si="130"/>
        <v/>
      </c>
      <c r="AQ307" s="647" t="str">
        <f t="shared" si="113"/>
        <v/>
      </c>
      <c r="AR307" s="647" t="str">
        <f t="shared" si="131"/>
        <v/>
      </c>
      <c r="AS307" s="647" t="str">
        <f t="shared" si="132"/>
        <v/>
      </c>
      <c r="AT307" s="1323" t="str">
        <f t="shared" si="118"/>
        <v/>
      </c>
      <c r="AU307" s="1323" t="str">
        <f t="shared" si="119"/>
        <v/>
      </c>
    </row>
    <row r="308" spans="2:47" s="5" customFormat="1" ht="28.15" hidden="1" customHeight="1" outlineLevel="1">
      <c r="C308" s="649">
        <v>290</v>
      </c>
      <c r="D308" s="1133"/>
      <c r="E308" s="670"/>
      <c r="F308" s="726"/>
      <c r="G308" s="705"/>
      <c r="H308" s="255"/>
      <c r="I308" s="255"/>
      <c r="J308" s="1049"/>
      <c r="K308" s="735"/>
      <c r="L308" s="735"/>
      <c r="M308" s="736"/>
      <c r="N308" s="735"/>
      <c r="O308" s="727"/>
      <c r="P308" s="1321"/>
      <c r="Q308" s="1329"/>
      <c r="R308" s="254"/>
      <c r="S308" s="703"/>
      <c r="T308" s="728"/>
      <c r="U308" s="431"/>
      <c r="V308" s="499"/>
      <c r="W308" s="741"/>
      <c r="X308" s="51"/>
      <c r="Y308" s="51"/>
      <c r="Z308" s="645" t="str">
        <f t="shared" si="1"/>
        <v/>
      </c>
      <c r="AA308" s="1037" t="str">
        <f t="shared" si="116"/>
        <v/>
      </c>
      <c r="AB308" s="1037" t="str">
        <f t="shared" si="117"/>
        <v/>
      </c>
      <c r="AC308" s="1037" t="str">
        <f>IF(Z308="","",VLOOKUP(Z308,リスト!BN:BO,2,0))</f>
        <v/>
      </c>
      <c r="AD308" s="1037" t="str">
        <f t="shared" si="114"/>
        <v/>
      </c>
      <c r="AE308" s="1037" t="str">
        <f>IF(AD308="","",VLOOKUP(AD308,リスト!BW:BX,2,0))</f>
        <v/>
      </c>
      <c r="AF308" s="1037" t="str">
        <f t="shared" si="111"/>
        <v/>
      </c>
      <c r="AG308" s="685" t="str">
        <f t="shared" si="3"/>
        <v/>
      </c>
      <c r="AH308" s="646" t="str">
        <f t="shared" si="4"/>
        <v/>
      </c>
      <c r="AI308" s="646" t="str">
        <f t="shared" si="120"/>
        <v/>
      </c>
      <c r="AJ308" s="647" t="str">
        <f t="shared" si="121"/>
        <v/>
      </c>
      <c r="AK308" s="647" t="str">
        <f t="shared" si="5"/>
        <v/>
      </c>
      <c r="AL308" s="647" t="str">
        <f t="shared" si="115"/>
        <v/>
      </c>
      <c r="AM308" s="647" t="str">
        <f t="shared" si="112"/>
        <v/>
      </c>
      <c r="AN308" s="647" t="str">
        <f t="shared" si="7"/>
        <v/>
      </c>
      <c r="AO308" s="647" t="str">
        <f t="shared" si="8"/>
        <v/>
      </c>
      <c r="AP308" s="647" t="str">
        <f t="shared" si="9"/>
        <v/>
      </c>
      <c r="AQ308" s="647" t="str">
        <f t="shared" si="113"/>
        <v/>
      </c>
      <c r="AR308" s="647" t="str">
        <f t="shared" si="10"/>
        <v/>
      </c>
      <c r="AS308" s="647" t="str">
        <f t="shared" si="16"/>
        <v/>
      </c>
      <c r="AT308" s="1323" t="str">
        <f t="shared" si="118"/>
        <v/>
      </c>
      <c r="AU308" s="1323" t="str">
        <f t="shared" si="119"/>
        <v/>
      </c>
    </row>
    <row r="309" spans="2:47" s="5" customFormat="1" ht="28.15" hidden="1" customHeight="1" outlineLevel="1">
      <c r="C309" s="649">
        <v>291</v>
      </c>
      <c r="D309" s="1134"/>
      <c r="E309" s="729"/>
      <c r="F309" s="726"/>
      <c r="G309" s="705"/>
      <c r="H309" s="257"/>
      <c r="I309" s="257"/>
      <c r="J309" s="1049"/>
      <c r="K309" s="735"/>
      <c r="L309" s="735"/>
      <c r="M309" s="736"/>
      <c r="N309" s="735"/>
      <c r="O309" s="727"/>
      <c r="P309" s="1321"/>
      <c r="Q309" s="1329"/>
      <c r="R309" s="254"/>
      <c r="S309" s="703"/>
      <c r="T309" s="728"/>
      <c r="U309" s="431"/>
      <c r="V309" s="499"/>
      <c r="W309" s="741"/>
      <c r="X309" s="51"/>
      <c r="Y309" s="51"/>
      <c r="Z309" s="645" t="str">
        <f t="shared" si="1"/>
        <v/>
      </c>
      <c r="AA309" s="1037" t="str">
        <f t="shared" si="116"/>
        <v/>
      </c>
      <c r="AB309" s="1037" t="str">
        <f t="shared" si="117"/>
        <v/>
      </c>
      <c r="AC309" s="1037" t="str">
        <f>IF(Z309="","",VLOOKUP(Z309,リスト!BN:BO,2,0))</f>
        <v/>
      </c>
      <c r="AD309" s="1037" t="str">
        <f t="shared" si="114"/>
        <v/>
      </c>
      <c r="AE309" s="1037" t="str">
        <f>IF(AD309="","",VLOOKUP(AD309,リスト!BW:BX,2,0))</f>
        <v/>
      </c>
      <c r="AF309" s="1037" t="str">
        <f t="shared" si="111"/>
        <v/>
      </c>
      <c r="AG309" s="685" t="str">
        <f t="shared" si="3"/>
        <v/>
      </c>
      <c r="AH309" s="646" t="str">
        <f t="shared" si="4"/>
        <v/>
      </c>
      <c r="AI309" s="646" t="str">
        <f t="shared" si="120"/>
        <v/>
      </c>
      <c r="AJ309" s="647" t="str">
        <f t="shared" si="121"/>
        <v/>
      </c>
      <c r="AK309" s="647" t="str">
        <f t="shared" si="5"/>
        <v/>
      </c>
      <c r="AL309" s="647" t="str">
        <f t="shared" si="115"/>
        <v/>
      </c>
      <c r="AM309" s="647" t="str">
        <f t="shared" si="112"/>
        <v/>
      </c>
      <c r="AN309" s="647" t="str">
        <f t="shared" si="7"/>
        <v/>
      </c>
      <c r="AO309" s="647" t="str">
        <f t="shared" si="8"/>
        <v/>
      </c>
      <c r="AP309" s="647" t="str">
        <f t="shared" si="9"/>
        <v/>
      </c>
      <c r="AQ309" s="647" t="str">
        <f t="shared" si="113"/>
        <v/>
      </c>
      <c r="AR309" s="647" t="str">
        <f t="shared" si="10"/>
        <v/>
      </c>
      <c r="AS309" s="647" t="str">
        <f t="shared" si="16"/>
        <v/>
      </c>
      <c r="AT309" s="1323" t="str">
        <f t="shared" si="118"/>
        <v/>
      </c>
      <c r="AU309" s="1323" t="str">
        <f t="shared" si="119"/>
        <v/>
      </c>
    </row>
    <row r="310" spans="2:47" s="5" customFormat="1" ht="28.15" hidden="1" customHeight="1" outlineLevel="1">
      <c r="C310" s="649">
        <v>292</v>
      </c>
      <c r="D310" s="1133"/>
      <c r="E310" s="670"/>
      <c r="F310" s="726"/>
      <c r="G310" s="705"/>
      <c r="H310" s="255"/>
      <c r="I310" s="255"/>
      <c r="J310" s="1049"/>
      <c r="K310" s="735"/>
      <c r="L310" s="735"/>
      <c r="M310" s="736"/>
      <c r="N310" s="735"/>
      <c r="O310" s="727"/>
      <c r="P310" s="1321"/>
      <c r="Q310" s="1329"/>
      <c r="R310" s="254"/>
      <c r="S310" s="703"/>
      <c r="T310" s="728"/>
      <c r="U310" s="431"/>
      <c r="V310" s="499"/>
      <c r="W310" s="741"/>
      <c r="X310" s="51"/>
      <c r="Y310" s="51"/>
      <c r="Z310" s="645" t="str">
        <f t="shared" si="1"/>
        <v/>
      </c>
      <c r="AA310" s="1037" t="str">
        <f t="shared" si="116"/>
        <v/>
      </c>
      <c r="AB310" s="1037" t="str">
        <f t="shared" si="117"/>
        <v/>
      </c>
      <c r="AC310" s="1037" t="str">
        <f>IF(Z310="","",VLOOKUP(Z310,リスト!BN:BO,2,0))</f>
        <v/>
      </c>
      <c r="AD310" s="1037" t="str">
        <f t="shared" si="114"/>
        <v/>
      </c>
      <c r="AE310" s="1037" t="str">
        <f>IF(AD310="","",VLOOKUP(AD310,リスト!BW:BX,2,0))</f>
        <v/>
      </c>
      <c r="AF310" s="1037" t="str">
        <f t="shared" si="111"/>
        <v/>
      </c>
      <c r="AG310" s="685" t="str">
        <f t="shared" si="3"/>
        <v/>
      </c>
      <c r="AH310" s="646" t="str">
        <f t="shared" si="4"/>
        <v/>
      </c>
      <c r="AI310" s="646" t="str">
        <f t="shared" si="120"/>
        <v/>
      </c>
      <c r="AJ310" s="647" t="str">
        <f t="shared" si="121"/>
        <v/>
      </c>
      <c r="AK310" s="647" t="str">
        <f t="shared" si="5"/>
        <v/>
      </c>
      <c r="AL310" s="647" t="str">
        <f t="shared" si="115"/>
        <v/>
      </c>
      <c r="AM310" s="647" t="str">
        <f t="shared" si="112"/>
        <v/>
      </c>
      <c r="AN310" s="647" t="str">
        <f t="shared" si="7"/>
        <v/>
      </c>
      <c r="AO310" s="647" t="str">
        <f t="shared" si="8"/>
        <v/>
      </c>
      <c r="AP310" s="647" t="str">
        <f t="shared" si="9"/>
        <v/>
      </c>
      <c r="AQ310" s="647" t="str">
        <f t="shared" si="113"/>
        <v/>
      </c>
      <c r="AR310" s="647" t="str">
        <f t="shared" si="10"/>
        <v/>
      </c>
      <c r="AS310" s="647" t="str">
        <f t="shared" si="16"/>
        <v/>
      </c>
      <c r="AT310" s="1323" t="str">
        <f t="shared" si="118"/>
        <v/>
      </c>
      <c r="AU310" s="1323" t="str">
        <f t="shared" si="119"/>
        <v/>
      </c>
    </row>
    <row r="311" spans="2:47" s="5" customFormat="1" ht="28.15" hidden="1" customHeight="1" outlineLevel="1">
      <c r="C311" s="649">
        <v>293</v>
      </c>
      <c r="D311" s="1134"/>
      <c r="E311" s="729"/>
      <c r="F311" s="726"/>
      <c r="G311" s="705"/>
      <c r="H311" s="257"/>
      <c r="I311" s="257"/>
      <c r="J311" s="1050"/>
      <c r="K311" s="735"/>
      <c r="L311" s="735"/>
      <c r="M311" s="736"/>
      <c r="N311" s="735"/>
      <c r="O311" s="727"/>
      <c r="P311" s="1321"/>
      <c r="Q311" s="1329"/>
      <c r="R311" s="254"/>
      <c r="S311" s="703"/>
      <c r="T311" s="728"/>
      <c r="U311" s="431"/>
      <c r="V311" s="499"/>
      <c r="W311" s="741"/>
      <c r="X311" s="51"/>
      <c r="Y311" s="51"/>
      <c r="Z311" s="645" t="str">
        <f t="shared" si="1"/>
        <v/>
      </c>
      <c r="AA311" s="1037" t="str">
        <f t="shared" si="116"/>
        <v/>
      </c>
      <c r="AB311" s="1037" t="str">
        <f t="shared" si="117"/>
        <v/>
      </c>
      <c r="AC311" s="1037" t="str">
        <f>IF(Z311="","",VLOOKUP(Z311,リスト!BN:BO,2,0))</f>
        <v/>
      </c>
      <c r="AD311" s="1037" t="str">
        <f t="shared" si="114"/>
        <v/>
      </c>
      <c r="AE311" s="1037" t="str">
        <f>IF(AD311="","",VLOOKUP(AD311,リスト!BW:BX,2,0))</f>
        <v/>
      </c>
      <c r="AF311" s="1037" t="str">
        <f t="shared" si="111"/>
        <v/>
      </c>
      <c r="AG311" s="685" t="str">
        <f t="shared" si="3"/>
        <v/>
      </c>
      <c r="AH311" s="646" t="str">
        <f t="shared" si="4"/>
        <v/>
      </c>
      <c r="AI311" s="646" t="str">
        <f t="shared" si="120"/>
        <v/>
      </c>
      <c r="AJ311" s="647" t="str">
        <f t="shared" si="121"/>
        <v/>
      </c>
      <c r="AK311" s="647" t="str">
        <f t="shared" si="5"/>
        <v/>
      </c>
      <c r="AL311" s="647" t="str">
        <f t="shared" si="115"/>
        <v/>
      </c>
      <c r="AM311" s="647" t="str">
        <f t="shared" si="112"/>
        <v/>
      </c>
      <c r="AN311" s="647" t="str">
        <f t="shared" si="7"/>
        <v/>
      </c>
      <c r="AO311" s="647" t="str">
        <f t="shared" si="8"/>
        <v/>
      </c>
      <c r="AP311" s="647" t="str">
        <f t="shared" si="9"/>
        <v/>
      </c>
      <c r="AQ311" s="647" t="str">
        <f t="shared" si="113"/>
        <v/>
      </c>
      <c r="AR311" s="647" t="str">
        <f t="shared" si="10"/>
        <v/>
      </c>
      <c r="AS311" s="647" t="str">
        <f t="shared" si="16"/>
        <v/>
      </c>
      <c r="AT311" s="1323" t="str">
        <f t="shared" si="118"/>
        <v/>
      </c>
      <c r="AU311" s="1323" t="str">
        <f t="shared" si="119"/>
        <v/>
      </c>
    </row>
    <row r="312" spans="2:47" s="5" customFormat="1" ht="28.15" hidden="1" customHeight="1" outlineLevel="1">
      <c r="C312" s="649">
        <v>294</v>
      </c>
      <c r="D312" s="1133"/>
      <c r="E312" s="670"/>
      <c r="F312" s="726"/>
      <c r="G312" s="705"/>
      <c r="H312" s="255"/>
      <c r="I312" s="255"/>
      <c r="J312" s="1051"/>
      <c r="K312" s="735"/>
      <c r="L312" s="735"/>
      <c r="M312" s="736"/>
      <c r="N312" s="735"/>
      <c r="O312" s="727"/>
      <c r="P312" s="1321"/>
      <c r="Q312" s="1329"/>
      <c r="R312" s="254"/>
      <c r="S312" s="703"/>
      <c r="T312" s="728"/>
      <c r="U312" s="431"/>
      <c r="V312" s="499"/>
      <c r="W312" s="741"/>
      <c r="X312" s="51"/>
      <c r="Y312" s="51"/>
      <c r="Z312" s="645" t="str">
        <f t="shared" si="1"/>
        <v/>
      </c>
      <c r="AA312" s="1037" t="str">
        <f t="shared" si="116"/>
        <v/>
      </c>
      <c r="AB312" s="1037" t="str">
        <f t="shared" si="117"/>
        <v/>
      </c>
      <c r="AC312" s="1037" t="str">
        <f>IF(Z312="","",VLOOKUP(Z312,リスト!BN:BO,2,0))</f>
        <v/>
      </c>
      <c r="AD312" s="1037" t="str">
        <f t="shared" si="114"/>
        <v/>
      </c>
      <c r="AE312" s="1037" t="str">
        <f>IF(AD312="","",VLOOKUP(AD312,リスト!BW:BX,2,0))</f>
        <v/>
      </c>
      <c r="AF312" s="1037" t="str">
        <f t="shared" si="111"/>
        <v/>
      </c>
      <c r="AG312" s="685" t="str">
        <f t="shared" si="3"/>
        <v/>
      </c>
      <c r="AH312" s="646" t="str">
        <f t="shared" si="4"/>
        <v/>
      </c>
      <c r="AI312" s="646" t="str">
        <f t="shared" si="120"/>
        <v/>
      </c>
      <c r="AJ312" s="647" t="str">
        <f t="shared" si="121"/>
        <v/>
      </c>
      <c r="AK312" s="647" t="str">
        <f t="shared" si="5"/>
        <v/>
      </c>
      <c r="AL312" s="647" t="str">
        <f t="shared" si="115"/>
        <v/>
      </c>
      <c r="AM312" s="647" t="str">
        <f t="shared" si="112"/>
        <v/>
      </c>
      <c r="AN312" s="647" t="str">
        <f t="shared" si="7"/>
        <v/>
      </c>
      <c r="AO312" s="647" t="str">
        <f t="shared" si="8"/>
        <v/>
      </c>
      <c r="AP312" s="647" t="str">
        <f t="shared" si="9"/>
        <v/>
      </c>
      <c r="AQ312" s="647" t="str">
        <f t="shared" si="113"/>
        <v/>
      </c>
      <c r="AR312" s="647" t="str">
        <f t="shared" si="10"/>
        <v/>
      </c>
      <c r="AS312" s="647" t="str">
        <f t="shared" si="16"/>
        <v/>
      </c>
      <c r="AT312" s="1323" t="str">
        <f t="shared" si="118"/>
        <v/>
      </c>
      <c r="AU312" s="1323" t="str">
        <f t="shared" si="119"/>
        <v/>
      </c>
    </row>
    <row r="313" spans="2:47" s="5" customFormat="1" ht="28.15" hidden="1" customHeight="1" outlineLevel="1">
      <c r="C313" s="649">
        <v>295</v>
      </c>
      <c r="D313" s="1133"/>
      <c r="E313" s="670"/>
      <c r="F313" s="726"/>
      <c r="G313" s="705"/>
      <c r="H313" s="255"/>
      <c r="I313" s="255"/>
      <c r="J313" s="1051"/>
      <c r="K313" s="735"/>
      <c r="L313" s="735"/>
      <c r="M313" s="736"/>
      <c r="N313" s="735"/>
      <c r="O313" s="727"/>
      <c r="P313" s="1321"/>
      <c r="Q313" s="1329"/>
      <c r="R313" s="254"/>
      <c r="S313" s="703"/>
      <c r="T313" s="728"/>
      <c r="U313" s="431"/>
      <c r="V313" s="499"/>
      <c r="W313" s="741"/>
      <c r="X313" s="51"/>
      <c r="Y313" s="51"/>
      <c r="Z313" s="645" t="str">
        <f t="shared" si="1"/>
        <v/>
      </c>
      <c r="AA313" s="1037" t="str">
        <f t="shared" si="116"/>
        <v/>
      </c>
      <c r="AB313" s="1037" t="str">
        <f t="shared" si="117"/>
        <v/>
      </c>
      <c r="AC313" s="1037" t="str">
        <f>IF(Z313="","",VLOOKUP(Z313,リスト!BN:BO,2,0))</f>
        <v/>
      </c>
      <c r="AD313" s="1037" t="str">
        <f t="shared" si="114"/>
        <v/>
      </c>
      <c r="AE313" s="1037" t="str">
        <f>IF(AD313="","",VLOOKUP(AD313,リスト!BW:BX,2,0))</f>
        <v/>
      </c>
      <c r="AF313" s="1037" t="str">
        <f t="shared" si="111"/>
        <v/>
      </c>
      <c r="AG313" s="685" t="str">
        <f t="shared" si="3"/>
        <v/>
      </c>
      <c r="AH313" s="646" t="str">
        <f t="shared" si="4"/>
        <v/>
      </c>
      <c r="AI313" s="646" t="str">
        <f t="shared" si="120"/>
        <v/>
      </c>
      <c r="AJ313" s="647" t="str">
        <f t="shared" si="121"/>
        <v/>
      </c>
      <c r="AK313" s="647" t="str">
        <f t="shared" si="5"/>
        <v/>
      </c>
      <c r="AL313" s="647" t="str">
        <f t="shared" si="115"/>
        <v/>
      </c>
      <c r="AM313" s="647" t="str">
        <f t="shared" si="112"/>
        <v/>
      </c>
      <c r="AN313" s="647" t="str">
        <f t="shared" si="7"/>
        <v/>
      </c>
      <c r="AO313" s="647" t="str">
        <f t="shared" si="8"/>
        <v/>
      </c>
      <c r="AP313" s="647" t="str">
        <f t="shared" si="9"/>
        <v/>
      </c>
      <c r="AQ313" s="647" t="str">
        <f t="shared" si="113"/>
        <v/>
      </c>
      <c r="AR313" s="647" t="str">
        <f t="shared" si="10"/>
        <v/>
      </c>
      <c r="AS313" s="647" t="str">
        <f t="shared" si="16"/>
        <v/>
      </c>
      <c r="AT313" s="1323" t="str">
        <f t="shared" si="118"/>
        <v/>
      </c>
      <c r="AU313" s="1323" t="str">
        <f t="shared" si="119"/>
        <v/>
      </c>
    </row>
    <row r="314" spans="2:47" s="5" customFormat="1" ht="28.15" hidden="1" customHeight="1" outlineLevel="1">
      <c r="C314" s="649">
        <v>296</v>
      </c>
      <c r="D314" s="1133"/>
      <c r="E314" s="670"/>
      <c r="F314" s="726"/>
      <c r="G314" s="705"/>
      <c r="H314" s="255"/>
      <c r="I314" s="255"/>
      <c r="J314" s="1051"/>
      <c r="K314" s="735"/>
      <c r="L314" s="735"/>
      <c r="M314" s="736"/>
      <c r="N314" s="735"/>
      <c r="O314" s="727"/>
      <c r="P314" s="1321"/>
      <c r="Q314" s="1329"/>
      <c r="R314" s="254"/>
      <c r="S314" s="703"/>
      <c r="T314" s="728"/>
      <c r="U314" s="431"/>
      <c r="V314" s="499"/>
      <c r="W314" s="741"/>
      <c r="X314" s="51"/>
      <c r="Y314" s="51"/>
      <c r="Z314" s="645" t="str">
        <f t="shared" si="1"/>
        <v/>
      </c>
      <c r="AA314" s="1037" t="str">
        <f t="shared" si="116"/>
        <v/>
      </c>
      <c r="AB314" s="1037" t="str">
        <f t="shared" si="117"/>
        <v/>
      </c>
      <c r="AC314" s="1037" t="str">
        <f>IF(Z314="","",VLOOKUP(Z314,リスト!BN:BO,2,0))</f>
        <v/>
      </c>
      <c r="AD314" s="1037" t="str">
        <f t="shared" si="114"/>
        <v/>
      </c>
      <c r="AE314" s="1037" t="str">
        <f>IF(AD314="","",VLOOKUP(AD314,リスト!BW:BX,2,0))</f>
        <v/>
      </c>
      <c r="AF314" s="1037" t="str">
        <f t="shared" si="111"/>
        <v/>
      </c>
      <c r="AG314" s="685" t="str">
        <f t="shared" si="3"/>
        <v/>
      </c>
      <c r="AH314" s="646" t="str">
        <f t="shared" si="4"/>
        <v/>
      </c>
      <c r="AI314" s="646" t="str">
        <f t="shared" si="120"/>
        <v/>
      </c>
      <c r="AJ314" s="647" t="str">
        <f t="shared" si="121"/>
        <v/>
      </c>
      <c r="AK314" s="647" t="str">
        <f t="shared" si="5"/>
        <v/>
      </c>
      <c r="AL314" s="647" t="str">
        <f t="shared" si="115"/>
        <v/>
      </c>
      <c r="AM314" s="647" t="str">
        <f t="shared" si="112"/>
        <v/>
      </c>
      <c r="AN314" s="647" t="str">
        <f t="shared" si="7"/>
        <v/>
      </c>
      <c r="AO314" s="647" t="str">
        <f t="shared" si="8"/>
        <v/>
      </c>
      <c r="AP314" s="647" t="str">
        <f t="shared" si="9"/>
        <v/>
      </c>
      <c r="AQ314" s="647" t="str">
        <f t="shared" si="113"/>
        <v/>
      </c>
      <c r="AR314" s="647" t="str">
        <f t="shared" si="10"/>
        <v/>
      </c>
      <c r="AS314" s="647" t="str">
        <f t="shared" si="16"/>
        <v/>
      </c>
      <c r="AT314" s="1323" t="str">
        <f t="shared" si="118"/>
        <v/>
      </c>
      <c r="AU314" s="1323" t="str">
        <f t="shared" si="119"/>
        <v/>
      </c>
    </row>
    <row r="315" spans="2:47" s="5" customFormat="1" ht="28.15" hidden="1" customHeight="1" outlineLevel="1">
      <c r="C315" s="649">
        <v>297</v>
      </c>
      <c r="D315" s="1133"/>
      <c r="E315" s="670"/>
      <c r="F315" s="726"/>
      <c r="G315" s="705"/>
      <c r="H315" s="255"/>
      <c r="I315" s="255"/>
      <c r="J315" s="1051"/>
      <c r="K315" s="735"/>
      <c r="L315" s="735"/>
      <c r="M315" s="736"/>
      <c r="N315" s="735"/>
      <c r="O315" s="727"/>
      <c r="P315" s="1321"/>
      <c r="Q315" s="1329"/>
      <c r="R315" s="254"/>
      <c r="S315" s="703"/>
      <c r="T315" s="728"/>
      <c r="U315" s="431"/>
      <c r="V315" s="499"/>
      <c r="W315" s="741"/>
      <c r="X315" s="51"/>
      <c r="Y315" s="51"/>
      <c r="Z315" s="645" t="str">
        <f t="shared" si="1"/>
        <v/>
      </c>
      <c r="AA315" s="1037" t="str">
        <f t="shared" si="116"/>
        <v/>
      </c>
      <c r="AB315" s="1037" t="str">
        <f t="shared" si="117"/>
        <v/>
      </c>
      <c r="AC315" s="1037" t="str">
        <f>IF(Z315="","",VLOOKUP(Z315,リスト!BN:BO,2,0))</f>
        <v/>
      </c>
      <c r="AD315" s="1037" t="str">
        <f t="shared" si="114"/>
        <v/>
      </c>
      <c r="AE315" s="1037" t="str">
        <f>IF(AD315="","",VLOOKUP(AD315,リスト!BW:BX,2,0))</f>
        <v/>
      </c>
      <c r="AF315" s="1037" t="str">
        <f t="shared" si="111"/>
        <v/>
      </c>
      <c r="AG315" s="685" t="str">
        <f t="shared" si="3"/>
        <v/>
      </c>
      <c r="AH315" s="646" t="str">
        <f t="shared" si="4"/>
        <v/>
      </c>
      <c r="AI315" s="646" t="str">
        <f t="shared" si="120"/>
        <v/>
      </c>
      <c r="AJ315" s="647" t="str">
        <f t="shared" si="121"/>
        <v/>
      </c>
      <c r="AK315" s="647" t="str">
        <f t="shared" si="5"/>
        <v/>
      </c>
      <c r="AL315" s="647" t="str">
        <f t="shared" si="115"/>
        <v/>
      </c>
      <c r="AM315" s="647" t="str">
        <f t="shared" si="112"/>
        <v/>
      </c>
      <c r="AN315" s="647" t="str">
        <f t="shared" si="7"/>
        <v/>
      </c>
      <c r="AO315" s="647" t="str">
        <f t="shared" si="8"/>
        <v/>
      </c>
      <c r="AP315" s="647" t="str">
        <f t="shared" si="9"/>
        <v/>
      </c>
      <c r="AQ315" s="647" t="str">
        <f t="shared" si="113"/>
        <v/>
      </c>
      <c r="AR315" s="647" t="str">
        <f t="shared" si="10"/>
        <v/>
      </c>
      <c r="AS315" s="647" t="str">
        <f t="shared" si="16"/>
        <v/>
      </c>
      <c r="AT315" s="1323" t="str">
        <f t="shared" si="118"/>
        <v/>
      </c>
      <c r="AU315" s="1323" t="str">
        <f t="shared" si="119"/>
        <v/>
      </c>
    </row>
    <row r="316" spans="2:47" s="5" customFormat="1" ht="28.15" hidden="1" customHeight="1" outlineLevel="1">
      <c r="C316" s="649">
        <v>298</v>
      </c>
      <c r="D316" s="1133"/>
      <c r="E316" s="670"/>
      <c r="F316" s="726"/>
      <c r="G316" s="705"/>
      <c r="H316" s="255"/>
      <c r="I316" s="255"/>
      <c r="J316" s="1051"/>
      <c r="K316" s="735"/>
      <c r="L316" s="735"/>
      <c r="M316" s="736"/>
      <c r="N316" s="735"/>
      <c r="O316" s="727"/>
      <c r="P316" s="1321"/>
      <c r="Q316" s="1329"/>
      <c r="R316" s="254"/>
      <c r="S316" s="703"/>
      <c r="T316" s="728"/>
      <c r="U316" s="431"/>
      <c r="V316" s="499"/>
      <c r="W316" s="741"/>
      <c r="X316" s="51"/>
      <c r="Y316" s="51"/>
      <c r="Z316" s="645" t="str">
        <f t="shared" si="1"/>
        <v/>
      </c>
      <c r="AA316" s="1037" t="str">
        <f t="shared" si="116"/>
        <v/>
      </c>
      <c r="AB316" s="1037" t="str">
        <f t="shared" si="117"/>
        <v/>
      </c>
      <c r="AC316" s="1037" t="str">
        <f>IF(Z316="","",VLOOKUP(Z316,リスト!BN:BO,2,0))</f>
        <v/>
      </c>
      <c r="AD316" s="1037" t="str">
        <f t="shared" si="114"/>
        <v/>
      </c>
      <c r="AE316" s="1037" t="str">
        <f>IF(AD316="","",VLOOKUP(AD316,リスト!BW:BX,2,0))</f>
        <v/>
      </c>
      <c r="AF316" s="1037" t="str">
        <f t="shared" si="111"/>
        <v/>
      </c>
      <c r="AG316" s="685" t="str">
        <f t="shared" si="3"/>
        <v/>
      </c>
      <c r="AH316" s="646" t="str">
        <f t="shared" si="4"/>
        <v/>
      </c>
      <c r="AI316" s="646" t="str">
        <f t="shared" si="120"/>
        <v/>
      </c>
      <c r="AJ316" s="647" t="str">
        <f t="shared" si="121"/>
        <v/>
      </c>
      <c r="AK316" s="647" t="str">
        <f t="shared" si="5"/>
        <v/>
      </c>
      <c r="AL316" s="647" t="str">
        <f t="shared" si="115"/>
        <v/>
      </c>
      <c r="AM316" s="647" t="str">
        <f t="shared" si="112"/>
        <v/>
      </c>
      <c r="AN316" s="647" t="str">
        <f t="shared" si="7"/>
        <v/>
      </c>
      <c r="AO316" s="647" t="str">
        <f t="shared" si="8"/>
        <v/>
      </c>
      <c r="AP316" s="647" t="str">
        <f t="shared" si="9"/>
        <v/>
      </c>
      <c r="AQ316" s="647" t="str">
        <f t="shared" si="113"/>
        <v/>
      </c>
      <c r="AR316" s="647" t="str">
        <f t="shared" si="10"/>
        <v/>
      </c>
      <c r="AS316" s="647" t="str">
        <f t="shared" si="16"/>
        <v/>
      </c>
      <c r="AT316" s="1323" t="str">
        <f t="shared" si="118"/>
        <v/>
      </c>
      <c r="AU316" s="1323" t="str">
        <f t="shared" si="119"/>
        <v/>
      </c>
    </row>
    <row r="317" spans="2:47" s="5" customFormat="1" ht="28.15" hidden="1" customHeight="1" outlineLevel="1">
      <c r="C317" s="649">
        <v>299</v>
      </c>
      <c r="D317" s="1133"/>
      <c r="E317" s="670"/>
      <c r="F317" s="726"/>
      <c r="G317" s="705"/>
      <c r="H317" s="255"/>
      <c r="I317" s="255"/>
      <c r="J317" s="1051"/>
      <c r="K317" s="735"/>
      <c r="L317" s="735"/>
      <c r="M317" s="736"/>
      <c r="N317" s="735"/>
      <c r="O317" s="727"/>
      <c r="P317" s="1321"/>
      <c r="Q317" s="1329"/>
      <c r="R317" s="254"/>
      <c r="S317" s="703"/>
      <c r="T317" s="728"/>
      <c r="U317" s="431"/>
      <c r="V317" s="499"/>
      <c r="W317" s="741"/>
      <c r="X317" s="51"/>
      <c r="Y317" s="51"/>
      <c r="Z317" s="645" t="str">
        <f t="shared" si="1"/>
        <v/>
      </c>
      <c r="AA317" s="1037" t="str">
        <f t="shared" si="116"/>
        <v/>
      </c>
      <c r="AB317" s="1037" t="str">
        <f t="shared" si="117"/>
        <v/>
      </c>
      <c r="AC317" s="1037" t="str">
        <f>IF(Z317="","",VLOOKUP(Z317,リスト!BN:BO,2,0))</f>
        <v/>
      </c>
      <c r="AD317" s="1037" t="str">
        <f t="shared" si="114"/>
        <v/>
      </c>
      <c r="AE317" s="1037" t="str">
        <f>IF(AD317="","",VLOOKUP(AD317,リスト!BW:BX,2,0))</f>
        <v/>
      </c>
      <c r="AF317" s="1037" t="str">
        <f t="shared" si="111"/>
        <v/>
      </c>
      <c r="AG317" s="685" t="str">
        <f t="shared" si="3"/>
        <v/>
      </c>
      <c r="AH317" s="646" t="str">
        <f t="shared" si="4"/>
        <v/>
      </c>
      <c r="AI317" s="646" t="str">
        <f t="shared" si="120"/>
        <v/>
      </c>
      <c r="AJ317" s="647" t="str">
        <f t="shared" si="121"/>
        <v/>
      </c>
      <c r="AK317" s="647" t="str">
        <f t="shared" si="5"/>
        <v/>
      </c>
      <c r="AL317" s="647" t="str">
        <f t="shared" si="115"/>
        <v/>
      </c>
      <c r="AM317" s="647" t="str">
        <f t="shared" si="112"/>
        <v/>
      </c>
      <c r="AN317" s="647" t="str">
        <f t="shared" si="7"/>
        <v/>
      </c>
      <c r="AO317" s="647" t="str">
        <f t="shared" si="8"/>
        <v/>
      </c>
      <c r="AP317" s="647" t="str">
        <f t="shared" si="9"/>
        <v/>
      </c>
      <c r="AQ317" s="647" t="str">
        <f t="shared" si="113"/>
        <v/>
      </c>
      <c r="AR317" s="647" t="str">
        <f t="shared" si="10"/>
        <v/>
      </c>
      <c r="AS317" s="647" t="str">
        <f t="shared" si="16"/>
        <v/>
      </c>
      <c r="AT317" s="1323" t="str">
        <f t="shared" si="118"/>
        <v/>
      </c>
      <c r="AU317" s="1323" t="str">
        <f t="shared" si="119"/>
        <v/>
      </c>
    </row>
    <row r="318" spans="2:47" s="5" customFormat="1" ht="28.15" hidden="1" customHeight="1" outlineLevel="1" thickBot="1">
      <c r="C318" s="652">
        <v>300</v>
      </c>
      <c r="D318" s="1132"/>
      <c r="E318" s="696"/>
      <c r="F318" s="737"/>
      <c r="G318" s="707"/>
      <c r="H318" s="258"/>
      <c r="I318" s="258"/>
      <c r="J318" s="1052"/>
      <c r="K318" s="259"/>
      <c r="L318" s="259"/>
      <c r="M318" s="738"/>
      <c r="N318" s="259"/>
      <c r="O318" s="123"/>
      <c r="P318" s="1321"/>
      <c r="Q318" s="1329"/>
      <c r="R318" s="260"/>
      <c r="S318" s="708"/>
      <c r="T318" s="739"/>
      <c r="U318" s="431"/>
      <c r="V318" s="499"/>
      <c r="W318" s="742"/>
      <c r="X318" s="51"/>
      <c r="Y318" s="51"/>
      <c r="Z318" s="645" t="str">
        <f t="shared" si="1"/>
        <v/>
      </c>
      <c r="AA318" s="1037" t="str">
        <f t="shared" si="116"/>
        <v/>
      </c>
      <c r="AB318" s="1037" t="str">
        <f t="shared" si="117"/>
        <v/>
      </c>
      <c r="AC318" s="1037" t="str">
        <f>IF(Z318="","",VLOOKUP(Z318,リスト!BN:BO,2,0))</f>
        <v/>
      </c>
      <c r="AD318" s="1037" t="str">
        <f t="shared" si="114"/>
        <v/>
      </c>
      <c r="AE318" s="1037" t="str">
        <f>IF(AD318="","",VLOOKUP(AD318,リスト!BW:BX,2,0))</f>
        <v/>
      </c>
      <c r="AF318" s="1037" t="str">
        <f t="shared" si="111"/>
        <v/>
      </c>
      <c r="AG318" s="685" t="str">
        <f t="shared" si="3"/>
        <v/>
      </c>
      <c r="AH318" s="646" t="str">
        <f t="shared" si="4"/>
        <v/>
      </c>
      <c r="AI318" s="646" t="str">
        <f t="shared" si="120"/>
        <v/>
      </c>
      <c r="AJ318" s="647" t="str">
        <f t="shared" si="121"/>
        <v/>
      </c>
      <c r="AK318" s="647" t="str">
        <f t="shared" si="5"/>
        <v/>
      </c>
      <c r="AL318" s="647" t="str">
        <f t="shared" si="115"/>
        <v/>
      </c>
      <c r="AM318" s="647" t="str">
        <f t="shared" si="112"/>
        <v/>
      </c>
      <c r="AN318" s="647" t="str">
        <f t="shared" si="7"/>
        <v/>
      </c>
      <c r="AO318" s="647" t="str">
        <f t="shared" si="8"/>
        <v/>
      </c>
      <c r="AP318" s="647" t="str">
        <f t="shared" si="9"/>
        <v/>
      </c>
      <c r="AQ318" s="647" t="str">
        <f t="shared" si="113"/>
        <v/>
      </c>
      <c r="AR318" s="647" t="str">
        <f t="shared" si="10"/>
        <v/>
      </c>
      <c r="AS318" s="647" t="str">
        <f t="shared" si="16"/>
        <v/>
      </c>
      <c r="AT318" s="1323" t="str">
        <f t="shared" si="118"/>
        <v/>
      </c>
      <c r="AU318" s="1323" t="str">
        <f t="shared" si="119"/>
        <v/>
      </c>
    </row>
    <row r="319" spans="2:47" s="54" customFormat="1" ht="14.25" customHeight="1">
      <c r="B319" s="61"/>
      <c r="C319" s="686"/>
      <c r="D319" s="686"/>
      <c r="E319" s="686"/>
      <c r="F319" s="686"/>
      <c r="G319" s="686"/>
      <c r="H319" s="687"/>
      <c r="I319" s="687"/>
      <c r="J319" s="687"/>
      <c r="K319" s="718"/>
      <c r="M319" s="719"/>
      <c r="N319" s="719"/>
      <c r="O319" s="719"/>
      <c r="P319" s="85"/>
      <c r="Q319" s="60"/>
      <c r="R319" s="719"/>
      <c r="V319" s="981"/>
      <c r="W319" s="51"/>
      <c r="X319" s="51"/>
      <c r="Y319" s="51"/>
      <c r="AT319" s="60"/>
      <c r="AU319" s="60"/>
    </row>
    <row r="320" spans="2:47" s="54" customFormat="1" ht="14.25" customHeight="1">
      <c r="B320" s="61"/>
      <c r="C320" s="686"/>
      <c r="D320" s="686"/>
      <c r="E320" s="686"/>
      <c r="F320" s="686"/>
      <c r="G320" s="686"/>
      <c r="H320" s="687"/>
      <c r="I320" s="687"/>
      <c r="J320" s="687"/>
      <c r="K320" s="718"/>
      <c r="M320" s="719"/>
      <c r="N320" s="719"/>
      <c r="O320" s="719"/>
      <c r="P320" s="85"/>
      <c r="Q320" s="60"/>
      <c r="R320" s="719"/>
      <c r="V320" s="981"/>
      <c r="W320" s="51"/>
      <c r="X320" s="51"/>
      <c r="Y320" s="51"/>
      <c r="AT320" s="60"/>
      <c r="AU320" s="60"/>
    </row>
    <row r="321" spans="1:47" s="55" customFormat="1" ht="14.25" customHeight="1">
      <c r="A321" s="718"/>
      <c r="B321" s="62"/>
      <c r="N321" s="50"/>
      <c r="O321" s="50"/>
      <c r="P321" s="50"/>
      <c r="Q321" s="50"/>
      <c r="R321" s="50"/>
      <c r="S321" s="50"/>
      <c r="T321" s="50"/>
      <c r="V321" s="989"/>
      <c r="W321" s="51"/>
      <c r="X321" s="51"/>
      <c r="Y321" s="51"/>
      <c r="AT321" s="1324"/>
      <c r="AU321" s="1324"/>
    </row>
    <row r="322" spans="1:47" s="55" customFormat="1" ht="14.25" customHeight="1">
      <c r="A322" s="718"/>
      <c r="B322" s="62"/>
      <c r="C322" s="83"/>
      <c r="D322" s="83"/>
      <c r="E322" s="83"/>
      <c r="F322" s="83"/>
      <c r="G322" s="83"/>
      <c r="H322" s="83"/>
      <c r="I322" s="83"/>
      <c r="J322" s="83"/>
      <c r="K322" s="83"/>
      <c r="L322" s="83"/>
      <c r="M322" s="83"/>
      <c r="N322" s="50"/>
      <c r="O322" s="50"/>
      <c r="P322" s="50"/>
      <c r="Q322" s="50"/>
      <c r="R322" s="50"/>
      <c r="S322" s="83"/>
      <c r="T322" s="83"/>
      <c r="V322" s="989"/>
      <c r="W322" s="51"/>
      <c r="X322" s="51"/>
      <c r="Y322" s="51"/>
      <c r="AT322" s="1324"/>
      <c r="AU322" s="1324"/>
    </row>
    <row r="323" spans="1:47" s="55" customFormat="1" ht="14.25" customHeight="1">
      <c r="A323" s="718"/>
      <c r="B323" s="62"/>
      <c r="C323" s="82"/>
      <c r="D323" s="83"/>
      <c r="E323" s="83"/>
      <c r="F323" s="720"/>
      <c r="G323" s="85"/>
      <c r="H323" s="85"/>
      <c r="I323" s="85"/>
      <c r="J323" s="83"/>
      <c r="K323" s="83"/>
      <c r="L323" s="83"/>
      <c r="M323" s="83"/>
      <c r="N323" s="50"/>
      <c r="O323" s="50"/>
      <c r="P323" s="50"/>
      <c r="Q323" s="50"/>
      <c r="R323" s="50"/>
      <c r="S323" s="83"/>
      <c r="T323" s="83"/>
      <c r="U323" s="717"/>
      <c r="V323" s="990"/>
      <c r="W323" s="51"/>
      <c r="X323" s="51"/>
      <c r="Y323" s="51"/>
      <c r="Z323" s="314"/>
      <c r="AA323" s="314"/>
      <c r="AB323" s="314"/>
      <c r="AC323" s="314"/>
      <c r="AD323" s="314"/>
      <c r="AE323" s="314"/>
      <c r="AF323" s="314"/>
      <c r="AG323" s="314"/>
      <c r="AH323" s="314"/>
      <c r="AI323" s="314"/>
      <c r="AJ323" s="314"/>
      <c r="AK323" s="314"/>
      <c r="AL323" s="314"/>
      <c r="AM323" s="314"/>
      <c r="AN323" s="314"/>
      <c r="AO323" s="314"/>
      <c r="AP323" s="314"/>
      <c r="AQ323" s="314"/>
      <c r="AR323" s="314"/>
      <c r="AS323" s="314"/>
      <c r="AT323" s="314"/>
      <c r="AU323" s="314"/>
    </row>
    <row r="324" spans="1:47" s="55" customFormat="1" ht="14.25" customHeight="1">
      <c r="B324" s="62"/>
      <c r="C324" s="82"/>
      <c r="D324" s="83"/>
      <c r="E324" s="83"/>
      <c r="F324" s="720"/>
      <c r="G324" s="85"/>
      <c r="H324" s="85"/>
      <c r="I324" s="85"/>
      <c r="J324" s="83"/>
      <c r="K324" s="83"/>
      <c r="L324" s="83"/>
      <c r="M324" s="83"/>
      <c r="N324" s="50"/>
      <c r="O324" s="50"/>
      <c r="P324" s="50"/>
      <c r="Q324" s="50"/>
      <c r="R324" s="50"/>
      <c r="S324" s="83"/>
      <c r="T324" s="83"/>
      <c r="U324" s="717"/>
      <c r="V324" s="990"/>
      <c r="W324" s="51"/>
      <c r="X324" s="51"/>
      <c r="Y324" s="51"/>
      <c r="Z324" s="314"/>
      <c r="AA324" s="314"/>
      <c r="AB324" s="314"/>
      <c r="AC324" s="314"/>
      <c r="AD324" s="314"/>
      <c r="AE324" s="314"/>
      <c r="AF324" s="314"/>
      <c r="AG324" s="314"/>
      <c r="AH324" s="314"/>
      <c r="AI324" s="314"/>
      <c r="AJ324" s="314"/>
      <c r="AK324" s="314"/>
      <c r="AL324" s="314"/>
      <c r="AM324" s="314"/>
      <c r="AN324" s="314"/>
      <c r="AO324" s="314"/>
      <c r="AP324" s="314"/>
      <c r="AQ324" s="314"/>
      <c r="AR324" s="314"/>
      <c r="AS324" s="314"/>
      <c r="AT324" s="314"/>
      <c r="AU324" s="314"/>
    </row>
    <row r="325" spans="1:47" s="55" customFormat="1" ht="14.25" customHeight="1">
      <c r="B325" s="62"/>
      <c r="C325" s="82"/>
      <c r="D325" s="83"/>
      <c r="E325" s="83"/>
      <c r="F325" s="82"/>
      <c r="G325" s="83"/>
      <c r="H325" s="83"/>
      <c r="I325" s="83"/>
      <c r="J325" s="83"/>
      <c r="K325" s="83"/>
      <c r="L325" s="83"/>
      <c r="M325" s="83"/>
      <c r="N325" s="50"/>
      <c r="O325" s="50"/>
      <c r="P325" s="50"/>
      <c r="Q325" s="50"/>
      <c r="R325" s="50"/>
      <c r="S325" s="50"/>
      <c r="T325" s="50"/>
      <c r="U325" s="717"/>
      <c r="V325" s="990"/>
      <c r="W325" s="51"/>
      <c r="X325" s="51"/>
      <c r="Y325" s="51"/>
      <c r="Z325" s="314"/>
      <c r="AA325" s="314"/>
      <c r="AB325" s="314"/>
      <c r="AC325" s="314"/>
      <c r="AD325" s="314"/>
      <c r="AE325" s="314"/>
      <c r="AF325" s="314"/>
      <c r="AG325" s="314"/>
      <c r="AH325" s="314"/>
      <c r="AI325" s="314"/>
      <c r="AJ325" s="314"/>
      <c r="AK325" s="314"/>
      <c r="AL325" s="314"/>
      <c r="AM325" s="314"/>
      <c r="AN325" s="314"/>
      <c r="AO325" s="314"/>
      <c r="AP325" s="314"/>
      <c r="AQ325" s="314"/>
      <c r="AR325" s="314"/>
      <c r="AS325" s="314"/>
      <c r="AT325" s="314"/>
      <c r="AU325" s="314"/>
    </row>
    <row r="326" spans="1:47" s="55" customFormat="1" ht="14.25" customHeight="1">
      <c r="B326" s="62"/>
      <c r="C326" s="82"/>
      <c r="D326" s="83"/>
      <c r="E326" s="83"/>
      <c r="F326" s="82"/>
      <c r="G326" s="83"/>
      <c r="H326" s="83"/>
      <c r="I326" s="83"/>
      <c r="J326" s="83"/>
      <c r="K326" s="83"/>
      <c r="L326" s="83"/>
      <c r="M326" s="83"/>
      <c r="N326" s="50"/>
      <c r="O326" s="50"/>
      <c r="P326" s="50"/>
      <c r="Q326" s="50"/>
      <c r="R326" s="50"/>
      <c r="S326" s="50"/>
      <c r="T326" s="50"/>
      <c r="V326" s="989"/>
      <c r="W326" s="51"/>
      <c r="X326" s="51"/>
      <c r="Y326" s="51"/>
      <c r="Z326" s="314"/>
      <c r="AA326" s="314"/>
      <c r="AB326" s="314"/>
      <c r="AC326" s="314"/>
      <c r="AD326" s="314"/>
      <c r="AE326" s="314"/>
      <c r="AF326" s="314"/>
      <c r="AG326" s="314"/>
      <c r="AH326" s="314"/>
      <c r="AI326" s="314"/>
      <c r="AJ326" s="314"/>
      <c r="AK326" s="314"/>
      <c r="AL326" s="314"/>
      <c r="AM326" s="314"/>
      <c r="AN326" s="314"/>
      <c r="AO326" s="314"/>
      <c r="AP326" s="314"/>
      <c r="AQ326" s="314"/>
      <c r="AR326" s="314"/>
      <c r="AS326" s="314"/>
      <c r="AT326" s="314"/>
      <c r="AU326" s="314"/>
    </row>
    <row r="327" spans="1:47" s="55" customFormat="1" ht="14.25" customHeight="1">
      <c r="B327" s="62"/>
      <c r="C327" s="82"/>
      <c r="D327" s="83"/>
      <c r="E327" s="83"/>
      <c r="F327" s="82"/>
      <c r="G327" s="83"/>
      <c r="H327" s="83"/>
      <c r="I327" s="83"/>
      <c r="J327" s="83"/>
      <c r="K327" s="83"/>
      <c r="L327" s="83"/>
      <c r="M327" s="83"/>
      <c r="N327" s="50"/>
      <c r="O327" s="50"/>
      <c r="P327" s="50"/>
      <c r="Q327" s="50"/>
      <c r="R327" s="50"/>
      <c r="S327" s="50"/>
      <c r="T327" s="50"/>
      <c r="V327" s="989"/>
      <c r="W327" s="51"/>
      <c r="X327" s="51"/>
      <c r="Y327" s="51"/>
      <c r="Z327" s="314"/>
      <c r="AA327" s="314"/>
      <c r="AB327" s="314"/>
      <c r="AC327" s="314"/>
      <c r="AD327" s="314"/>
      <c r="AE327" s="314"/>
      <c r="AF327" s="314"/>
      <c r="AG327" s="314"/>
      <c r="AH327" s="314"/>
      <c r="AI327" s="314"/>
      <c r="AJ327" s="314"/>
      <c r="AK327" s="314"/>
      <c r="AL327" s="314"/>
      <c r="AM327" s="314"/>
      <c r="AN327" s="314"/>
      <c r="AO327" s="314"/>
      <c r="AP327" s="314"/>
      <c r="AQ327" s="314"/>
      <c r="AR327" s="314"/>
      <c r="AS327" s="314"/>
      <c r="AT327" s="314"/>
      <c r="AU327" s="314"/>
    </row>
    <row r="328" spans="1:47" s="55" customFormat="1" ht="14.25" customHeight="1">
      <c r="B328" s="62"/>
      <c r="C328" s="82"/>
      <c r="D328" s="83"/>
      <c r="E328" s="83"/>
      <c r="F328" s="82"/>
      <c r="G328" s="83"/>
      <c r="H328" s="83"/>
      <c r="I328" s="83"/>
      <c r="J328" s="83"/>
      <c r="K328" s="83"/>
      <c r="L328" s="67"/>
      <c r="M328" s="83"/>
      <c r="N328" s="50"/>
      <c r="O328" s="50"/>
      <c r="P328" s="50"/>
      <c r="Q328" s="50"/>
      <c r="R328" s="50"/>
      <c r="S328" s="50"/>
      <c r="T328" s="50"/>
      <c r="U328" s="54"/>
      <c r="V328" s="981"/>
      <c r="W328" s="51"/>
      <c r="X328" s="51"/>
      <c r="Y328" s="51"/>
      <c r="Z328" s="314"/>
      <c r="AA328" s="314"/>
      <c r="AB328" s="314"/>
      <c r="AC328" s="314"/>
      <c r="AD328" s="314"/>
      <c r="AE328" s="314"/>
      <c r="AF328" s="314"/>
      <c r="AG328" s="314"/>
      <c r="AH328" s="314"/>
      <c r="AI328" s="314"/>
      <c r="AJ328" s="314"/>
      <c r="AK328" s="314"/>
      <c r="AL328" s="314"/>
      <c r="AM328" s="314"/>
      <c r="AN328" s="314"/>
      <c r="AO328" s="314"/>
      <c r="AP328" s="314"/>
      <c r="AQ328" s="314"/>
      <c r="AR328" s="314"/>
      <c r="AS328" s="314"/>
      <c r="AT328" s="314"/>
      <c r="AU328" s="314"/>
    </row>
    <row r="329" spans="1:47" s="55" customFormat="1" ht="14.25" customHeight="1">
      <c r="B329" s="62"/>
      <c r="C329" s="82"/>
      <c r="D329" s="83"/>
      <c r="E329" s="83"/>
      <c r="F329" s="82"/>
      <c r="G329" s="83"/>
      <c r="H329" s="83"/>
      <c r="I329" s="83"/>
      <c r="J329" s="83"/>
      <c r="K329" s="83"/>
      <c r="L329" s="67"/>
      <c r="M329" s="83"/>
      <c r="N329" s="50"/>
      <c r="O329" s="50"/>
      <c r="P329" s="50"/>
      <c r="Q329" s="50"/>
      <c r="R329" s="50"/>
      <c r="S329" s="50"/>
      <c r="T329" s="50"/>
      <c r="V329" s="989"/>
      <c r="W329" s="51"/>
      <c r="X329" s="51"/>
      <c r="Y329" s="51"/>
      <c r="Z329" s="314"/>
      <c r="AA329" s="314"/>
      <c r="AB329" s="314"/>
      <c r="AC329" s="314"/>
      <c r="AD329" s="314"/>
      <c r="AE329" s="314"/>
      <c r="AF329" s="314"/>
      <c r="AG329" s="314"/>
      <c r="AH329" s="314"/>
      <c r="AI329" s="314"/>
      <c r="AJ329" s="314"/>
      <c r="AK329" s="314"/>
      <c r="AL329" s="314"/>
      <c r="AM329" s="314"/>
      <c r="AN329" s="314"/>
      <c r="AO329" s="314"/>
      <c r="AP329" s="314"/>
      <c r="AQ329" s="314"/>
      <c r="AR329" s="314"/>
      <c r="AS329" s="314"/>
      <c r="AT329" s="314"/>
      <c r="AU329" s="314"/>
    </row>
    <row r="330" spans="1:47" s="55" customFormat="1" ht="14.25" customHeight="1">
      <c r="B330" s="721"/>
      <c r="C330" s="83"/>
      <c r="D330" s="83"/>
      <c r="E330" s="85"/>
      <c r="F330" s="83"/>
      <c r="G330" s="83"/>
      <c r="H330" s="83"/>
      <c r="I330" s="83"/>
      <c r="J330" s="86"/>
      <c r="K330" s="86"/>
      <c r="L330" s="86"/>
      <c r="M330" s="83"/>
      <c r="N330" s="50"/>
      <c r="O330" s="50"/>
      <c r="P330" s="50"/>
      <c r="Q330" s="50"/>
      <c r="R330" s="50"/>
      <c r="S330" s="50"/>
      <c r="T330" s="50"/>
      <c r="V330" s="989"/>
      <c r="W330" s="51"/>
      <c r="X330" s="51"/>
      <c r="Y330" s="51"/>
      <c r="AT330" s="1324"/>
      <c r="AU330" s="1324"/>
    </row>
    <row r="331" spans="1:47" ht="14.25" customHeight="1">
      <c r="E331" s="5"/>
      <c r="F331" s="455"/>
      <c r="G331" s="49"/>
      <c r="H331" s="49"/>
      <c r="I331" s="49"/>
    </row>
    <row r="332" spans="1:47" ht="14.25" customHeight="1">
      <c r="F332" s="455"/>
      <c r="G332" s="49"/>
      <c r="H332" s="49"/>
      <c r="I332" s="49"/>
    </row>
  </sheetData>
  <sheetProtection sheet="1" objects="1" scenarios="1" selectLockedCells="1"/>
  <mergeCells count="51">
    <mergeCell ref="AS13:AS17"/>
    <mergeCell ref="AI13:AI17"/>
    <mergeCell ref="AK13:AK17"/>
    <mergeCell ref="AL13:AL17"/>
    <mergeCell ref="AM13:AM17"/>
    <mergeCell ref="AN13:AN17"/>
    <mergeCell ref="AP13:AP17"/>
    <mergeCell ref="AO14:AO17"/>
    <mergeCell ref="AK11:AL12"/>
    <mergeCell ref="C12:C18"/>
    <mergeCell ref="D12:D18"/>
    <mergeCell ref="E12:E18"/>
    <mergeCell ref="F12:F18"/>
    <mergeCell ref="G12:G14"/>
    <mergeCell ref="T14:T15"/>
    <mergeCell ref="AD13:AD17"/>
    <mergeCell ref="AE13:AE17"/>
    <mergeCell ref="AF13:AF17"/>
    <mergeCell ref="AG13:AG17"/>
    <mergeCell ref="AH13:AH17"/>
    <mergeCell ref="G15:G18"/>
    <mergeCell ref="I15:I18"/>
    <mergeCell ref="J15:J18"/>
    <mergeCell ref="R12:R18"/>
    <mergeCell ref="S14:S18"/>
    <mergeCell ref="O12:O13"/>
    <mergeCell ref="H12:H18"/>
    <mergeCell ref="I12:J14"/>
    <mergeCell ref="K12:K13"/>
    <mergeCell ref="L12:L13"/>
    <mergeCell ref="M12:M13"/>
    <mergeCell ref="N12:N13"/>
    <mergeCell ref="S12:T13"/>
    <mergeCell ref="P12:Q14"/>
    <mergeCell ref="P15:P16"/>
    <mergeCell ref="AM11:AU12"/>
    <mergeCell ref="Q15:Q16"/>
    <mergeCell ref="P17:P18"/>
    <mergeCell ref="Q17:Q18"/>
    <mergeCell ref="AT13:AT17"/>
    <mergeCell ref="AU13:AU17"/>
    <mergeCell ref="W12:W18"/>
    <mergeCell ref="Z13:Z17"/>
    <mergeCell ref="AA13:AA16"/>
    <mergeCell ref="AB13:AB16"/>
    <mergeCell ref="Z11:AG12"/>
    <mergeCell ref="AJ14:AJ17"/>
    <mergeCell ref="AH11:AJ12"/>
    <mergeCell ref="AQ13:AQ17"/>
    <mergeCell ref="AR13:AR17"/>
    <mergeCell ref="AC13:AC17"/>
  </mergeCells>
  <phoneticPr fontId="3"/>
  <dataValidations count="8">
    <dataValidation type="whole" allowBlank="1" showInputMessage="1" showErrorMessage="1" error="1～100の値を入力してください。" sqref="R19:R318" xr:uid="{00000000-0002-0000-0900-000000000000}">
      <formula1>1</formula1>
      <formula2>100</formula2>
    </dataValidation>
    <dataValidation type="list" showInputMessage="1" showErrorMessage="1" sqref="F19:F318" xr:uid="{00000000-0002-0000-0900-000001000000}">
      <formula1>INDIRECT($E19)</formula1>
    </dataValidation>
    <dataValidation type="whole" allowBlank="1" showInputMessage="1" showErrorMessage="1" sqref="H19:H318" xr:uid="{00000000-0002-0000-0900-000002000000}">
      <formula1>2</formula1>
      <formula2>99</formula2>
    </dataValidation>
    <dataValidation type="whole" allowBlank="1" showInputMessage="1" showErrorMessage="1" sqref="I19:I318" xr:uid="{00000000-0002-0000-0900-000003000000}">
      <formula1>1700</formula1>
      <formula2>9999</formula2>
    </dataValidation>
    <dataValidation type="whole" allowBlank="1" showInputMessage="1" showErrorMessage="1" sqref="J19:J318" xr:uid="{00000000-0002-0000-0900-000004000000}">
      <formula1>1</formula1>
      <formula2>12</formula2>
    </dataValidation>
    <dataValidation type="whole" operator="greaterThan" allowBlank="1" showInputMessage="1" showErrorMessage="1" error="整数を入力してください。" sqref="K19:Q318" xr:uid="{00000000-0002-0000-0900-000005000000}">
      <formula1>0</formula1>
    </dataValidation>
    <dataValidation type="list" allowBlank="1" showInputMessage="1" showErrorMessage="1" sqref="W19:W318" xr:uid="{00000000-0002-0000-0900-000006000000}">
      <formula1>"○"</formula1>
    </dataValidation>
    <dataValidation type="whole" operator="greaterThanOrEqual" allowBlank="1" showInputMessage="1" showErrorMessage="1" sqref="T19:T318" xr:uid="{00000000-0002-0000-0900-000007000000}">
      <formula1>0</formula1>
    </dataValidation>
  </dataValidations>
  <printOptions horizontalCentered="1" verticalCentered="1"/>
  <pageMargins left="0" right="0" top="0" bottom="0" header="0" footer="0.19685039370078741"/>
  <pageSetup paperSize="9" scale="60" fitToWidth="0" fitToHeight="0" pageOrder="overThenDown" orientation="landscape" cellComments="asDisplayed" r:id="rId1"/>
  <headerFooter scaleWithDoc="0"/>
  <colBreaks count="1" manualBreakCount="1">
    <brk id="21" max="329" man="1"/>
  </colBreaks>
  <drawing r:id="rId2"/>
  <legacyDrawing r:id="rId3"/>
  <legacyDrawingHF r:id="rId4"/>
  <controls>
    <mc:AlternateContent xmlns:mc="http://schemas.openxmlformats.org/markup-compatibility/2006">
      <mc:Choice Requires="x14">
        <control shapeId="9218" r:id="rId5" name="Label1">
          <controlPr defaultSize="0" print="0" autoLine="0" r:id="rId6">
            <anchor moveWithCells="1">
              <from>
                <xdr:col>7</xdr:col>
                <xdr:colOff>19050</xdr:colOff>
                <xdr:row>0</xdr:row>
                <xdr:rowOff>228600</xdr:rowOff>
              </from>
              <to>
                <xdr:col>8</xdr:col>
                <xdr:colOff>485775</xdr:colOff>
                <xdr:row>1</xdr:row>
                <xdr:rowOff>200025</xdr:rowOff>
              </to>
            </anchor>
          </controlPr>
        </control>
      </mc:Choice>
      <mc:Fallback>
        <control shapeId="9218" r:id="rId5" name="Label1"/>
      </mc:Fallback>
    </mc:AlternateContent>
    <mc:AlternateContent xmlns:mc="http://schemas.openxmlformats.org/markup-compatibility/2006">
      <mc:Choice Requires="x14">
        <control shapeId="9219" r:id="rId7" name="txt_hyouji">
          <controlPr locked="0" defaultSize="0" print="0" autoLine="0" r:id="rId8">
            <anchor moveWithCells="1">
              <from>
                <xdr:col>7</xdr:col>
                <xdr:colOff>19050</xdr:colOff>
                <xdr:row>1</xdr:row>
                <xdr:rowOff>200025</xdr:rowOff>
              </from>
              <to>
                <xdr:col>8</xdr:col>
                <xdr:colOff>485775</xdr:colOff>
                <xdr:row>2</xdr:row>
                <xdr:rowOff>142875</xdr:rowOff>
              </to>
            </anchor>
          </controlPr>
        </control>
      </mc:Choice>
      <mc:Fallback>
        <control shapeId="9219" r:id="rId7" name="txt_hyouji"/>
      </mc:Fallback>
    </mc:AlternateContent>
    <mc:AlternateContent xmlns:mc="http://schemas.openxmlformats.org/markup-compatibility/2006">
      <mc:Choice Requires="x14">
        <control shapeId="9220" r:id="rId9" name="btnKoushin1">
          <controlPr defaultSize="0" print="0" autoLine="0" r:id="rId10">
            <anchor moveWithCells="1">
              <from>
                <xdr:col>8</xdr:col>
                <xdr:colOff>542925</xdr:colOff>
                <xdr:row>0</xdr:row>
                <xdr:rowOff>228600</xdr:rowOff>
              </from>
              <to>
                <xdr:col>10</xdr:col>
                <xdr:colOff>609600</xdr:colOff>
                <xdr:row>2</xdr:row>
                <xdr:rowOff>142875</xdr:rowOff>
              </to>
            </anchor>
          </controlPr>
        </control>
      </mc:Choice>
      <mc:Fallback>
        <control shapeId="9220" r:id="rId9"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900-000008000000}">
          <x14:formula1>
            <xm:f>リスト!$AB$5:$AB$6</xm:f>
          </x14:formula1>
          <xm:sqref>G19:G318</xm:sqref>
        </x14:dataValidation>
        <x14:dataValidation type="list" allowBlank="1" showInputMessage="1" showErrorMessage="1" xr:uid="{00000000-0002-0000-0900-000009000000}">
          <x14:formula1>
            <xm:f>リスト!$AD$5:$AD$6</xm:f>
          </x14:formula1>
          <xm:sqref>S19:S318</xm:sqref>
        </x14:dataValidation>
        <x14:dataValidation type="list" allowBlank="1" showInputMessage="1" showErrorMessage="1" xr:uid="{00000000-0002-0000-0900-00000A000000}">
          <x14:formula1>
            <xm:f>リスト!$W$5:$W$17</xm:f>
          </x14:formula1>
          <xm:sqref>E19:E318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C93"/>
  <sheetViews>
    <sheetView showGridLines="0" zoomScale="85" zoomScaleNormal="85" zoomScaleSheetLayoutView="85" workbookViewId="0">
      <selection activeCell="E18" sqref="E18"/>
    </sheetView>
  </sheetViews>
  <sheetFormatPr defaultColWidth="2.625" defaultRowHeight="14.25" customHeight="1" outlineLevelRow="1" outlineLevelCol="1"/>
  <cols>
    <col min="1" max="3" width="2.625" style="89" customWidth="1"/>
    <col min="4" max="4" width="20.75" style="89" customWidth="1"/>
    <col min="5" max="5" width="21.125" style="89" customWidth="1"/>
    <col min="6" max="6" width="10.625" style="89" customWidth="1"/>
    <col min="7" max="23" width="2.625" style="89" customWidth="1"/>
    <col min="24" max="25" width="2.625" style="89" customWidth="1" outlineLevel="1"/>
    <col min="26" max="27" width="2.625" style="89" outlineLevel="1"/>
    <col min="28" max="29" width="20.75" style="89" customWidth="1" outlineLevel="1"/>
    <col min="30" max="16384" width="2.625" style="89"/>
  </cols>
  <sheetData>
    <row r="1" spans="1:29" ht="14.25" customHeight="1">
      <c r="A1" s="52"/>
      <c r="B1" s="52"/>
      <c r="C1" s="52"/>
      <c r="D1" s="52"/>
      <c r="E1" s="52"/>
      <c r="F1" s="52"/>
      <c r="G1" s="52"/>
      <c r="H1" s="52"/>
      <c r="I1" s="52"/>
      <c r="J1" s="52"/>
      <c r="K1" s="52"/>
      <c r="L1" s="52"/>
      <c r="M1" s="52"/>
      <c r="N1" s="52"/>
      <c r="O1" s="52"/>
      <c r="P1" s="52"/>
      <c r="Q1" s="52"/>
      <c r="R1" s="52"/>
      <c r="S1" s="52"/>
      <c r="T1" s="52"/>
      <c r="U1" s="52"/>
      <c r="V1" s="52"/>
      <c r="W1" s="52"/>
      <c r="X1" s="5"/>
      <c r="Y1" s="309" t="s">
        <v>511</v>
      </c>
    </row>
    <row r="2" spans="1:29" ht="20.100000000000001" customHeight="1">
      <c r="A2" s="633" t="s">
        <v>744</v>
      </c>
      <c r="B2" s="52"/>
      <c r="C2" s="52"/>
      <c r="D2" s="52"/>
      <c r="E2" s="52"/>
      <c r="F2" s="52"/>
      <c r="G2" s="52"/>
      <c r="H2" s="52"/>
      <c r="I2" s="52"/>
      <c r="J2" s="52"/>
      <c r="K2" s="52"/>
      <c r="L2" s="52"/>
      <c r="M2" s="52"/>
      <c r="N2" s="52"/>
      <c r="O2" s="52"/>
      <c r="P2" s="52"/>
      <c r="Q2" s="52"/>
      <c r="R2" s="52"/>
      <c r="S2" s="52"/>
      <c r="T2" s="52"/>
      <c r="U2" s="52"/>
      <c r="V2" s="52"/>
      <c r="W2" s="52"/>
      <c r="X2" s="499"/>
    </row>
    <row r="3" spans="1:29" ht="14.25" customHeight="1">
      <c r="A3" s="634"/>
      <c r="B3" s="52"/>
      <c r="C3" s="52"/>
      <c r="D3" s="52"/>
      <c r="E3" s="52"/>
      <c r="F3" s="52"/>
      <c r="G3" s="52"/>
      <c r="H3" s="52"/>
      <c r="I3" s="52"/>
      <c r="J3" s="52"/>
      <c r="K3" s="52"/>
      <c r="L3" s="52"/>
      <c r="M3" s="52"/>
      <c r="N3" s="52"/>
      <c r="O3" s="52"/>
      <c r="P3" s="52"/>
      <c r="Q3" s="52"/>
      <c r="R3" s="52"/>
      <c r="S3" s="52"/>
      <c r="T3" s="52"/>
      <c r="U3" s="52"/>
      <c r="V3" s="52"/>
      <c r="W3" s="52"/>
      <c r="X3" s="499"/>
    </row>
    <row r="4" spans="1:29" ht="14.25" customHeight="1">
      <c r="A4" s="7"/>
      <c r="B4" s="7" t="s">
        <v>735</v>
      </c>
      <c r="C4" s="7"/>
      <c r="D4" s="7"/>
      <c r="E4" s="7"/>
      <c r="F4" s="7"/>
      <c r="G4" s="7"/>
      <c r="H4" s="7"/>
      <c r="I4" s="7"/>
      <c r="J4" s="7"/>
      <c r="K4" s="7"/>
      <c r="L4" s="7"/>
      <c r="M4" s="7"/>
      <c r="N4" s="7"/>
      <c r="O4" s="7"/>
      <c r="P4" s="7"/>
      <c r="Q4" s="7"/>
      <c r="R4" s="7"/>
      <c r="S4" s="7"/>
      <c r="T4" s="7"/>
      <c r="U4" s="7"/>
      <c r="V4" s="7"/>
      <c r="W4" s="743"/>
      <c r="X4" s="499"/>
    </row>
    <row r="5" spans="1:29" ht="14.25" customHeight="1">
      <c r="A5" s="7"/>
      <c r="B5" s="7" t="s">
        <v>736</v>
      </c>
      <c r="C5" s="7"/>
      <c r="D5" s="7"/>
      <c r="E5" s="7"/>
      <c r="F5" s="7"/>
      <c r="G5" s="7"/>
      <c r="H5" s="7"/>
      <c r="I5" s="7"/>
      <c r="J5" s="7"/>
      <c r="K5" s="7"/>
      <c r="L5" s="7"/>
      <c r="M5" s="7"/>
      <c r="N5" s="7"/>
      <c r="O5" s="7"/>
      <c r="P5" s="7"/>
      <c r="Q5" s="7"/>
      <c r="R5" s="7"/>
      <c r="S5" s="7"/>
      <c r="T5" s="7"/>
      <c r="U5" s="7"/>
      <c r="V5" s="7"/>
      <c r="W5" s="743"/>
      <c r="X5" s="499"/>
    </row>
    <row r="6" spans="1:29" ht="14.25" customHeight="1">
      <c r="A6" s="7"/>
      <c r="B6" s="620" t="s">
        <v>559</v>
      </c>
      <c r="C6" s="7"/>
      <c r="D6" s="7"/>
      <c r="E6" s="7"/>
      <c r="F6" s="7"/>
      <c r="G6" s="7"/>
      <c r="H6" s="7"/>
      <c r="I6" s="7"/>
      <c r="J6" s="7"/>
      <c r="K6" s="7"/>
      <c r="L6" s="7"/>
      <c r="M6" s="7"/>
      <c r="N6" s="7"/>
      <c r="O6" s="7"/>
      <c r="P6" s="7"/>
      <c r="Q6" s="7"/>
      <c r="R6" s="7"/>
      <c r="S6" s="7"/>
      <c r="T6" s="7"/>
      <c r="U6" s="7"/>
      <c r="V6" s="7"/>
      <c r="W6" s="743"/>
      <c r="X6" s="499"/>
    </row>
    <row r="7" spans="1:29" ht="14.25" customHeight="1">
      <c r="A7" s="7"/>
      <c r="B7" s="620" t="s">
        <v>560</v>
      </c>
      <c r="C7" s="7"/>
      <c r="D7" s="7"/>
      <c r="E7" s="7"/>
      <c r="F7" s="7"/>
      <c r="G7" s="7"/>
      <c r="H7" s="7"/>
      <c r="I7" s="7"/>
      <c r="J7" s="7"/>
      <c r="K7" s="7"/>
      <c r="L7" s="7"/>
      <c r="M7" s="7"/>
      <c r="N7" s="7"/>
      <c r="O7" s="7"/>
      <c r="P7" s="7"/>
      <c r="Q7" s="7"/>
      <c r="R7" s="7"/>
      <c r="S7" s="7"/>
      <c r="T7" s="7"/>
      <c r="U7" s="7"/>
      <c r="V7" s="7"/>
      <c r="W7" s="743"/>
      <c r="X7" s="499"/>
    </row>
    <row r="8" spans="1:29" ht="14.25" customHeight="1">
      <c r="A8" s="7"/>
      <c r="B8" s="620"/>
      <c r="C8" s="7"/>
      <c r="D8" s="7"/>
      <c r="E8" s="7"/>
      <c r="F8" s="7"/>
      <c r="G8" s="7"/>
      <c r="H8" s="7"/>
      <c r="I8" s="7"/>
      <c r="J8" s="7"/>
      <c r="K8" s="7"/>
      <c r="L8" s="7"/>
      <c r="M8" s="7"/>
      <c r="N8" s="7"/>
      <c r="O8" s="7"/>
      <c r="P8" s="7"/>
      <c r="Q8" s="7"/>
      <c r="R8" s="7"/>
      <c r="S8" s="7"/>
      <c r="T8" s="7"/>
      <c r="U8" s="7"/>
      <c r="V8" s="7"/>
      <c r="W8" s="743"/>
      <c r="X8" s="499"/>
    </row>
    <row r="9" spans="1:29" ht="14.25" customHeight="1">
      <c r="A9" s="7"/>
      <c r="B9" s="7"/>
      <c r="C9" s="7"/>
      <c r="D9" s="7"/>
      <c r="E9" s="7"/>
      <c r="F9" s="7"/>
      <c r="G9" s="7"/>
      <c r="H9" s="7"/>
      <c r="I9" s="7"/>
      <c r="J9" s="7"/>
      <c r="K9" s="7"/>
      <c r="L9" s="7"/>
      <c r="M9" s="7"/>
      <c r="N9" s="7"/>
      <c r="O9" s="7"/>
      <c r="P9" s="7"/>
      <c r="Q9" s="7"/>
      <c r="R9" s="7"/>
      <c r="S9" s="7"/>
      <c r="T9" s="7"/>
      <c r="U9" s="7"/>
      <c r="V9" s="7"/>
      <c r="W9" s="743"/>
      <c r="X9" s="499"/>
    </row>
    <row r="10" spans="1:29" ht="14.25" customHeight="1">
      <c r="A10" s="7"/>
      <c r="B10" s="7"/>
      <c r="C10" s="7"/>
      <c r="D10" s="7"/>
      <c r="E10" s="7"/>
      <c r="F10" s="7"/>
      <c r="G10" s="7"/>
      <c r="H10" s="7"/>
      <c r="I10" s="7"/>
      <c r="J10" s="7"/>
      <c r="K10" s="7"/>
      <c r="L10" s="7"/>
      <c r="M10" s="7"/>
      <c r="N10" s="7"/>
      <c r="O10" s="7"/>
      <c r="P10" s="7"/>
      <c r="Q10" s="7"/>
      <c r="R10" s="7"/>
      <c r="S10" s="7"/>
      <c r="T10" s="7"/>
      <c r="U10" s="7"/>
      <c r="V10" s="7"/>
      <c r="W10" s="743"/>
      <c r="X10" s="499"/>
    </row>
    <row r="11" spans="1:29" ht="14.25" customHeight="1">
      <c r="A11" s="7"/>
      <c r="B11" s="7"/>
      <c r="C11" s="7"/>
      <c r="D11" s="7"/>
      <c r="E11" s="7"/>
      <c r="F11" s="7"/>
      <c r="G11" s="7"/>
      <c r="H11" s="7"/>
      <c r="I11" s="7"/>
      <c r="J11" s="7"/>
      <c r="K11" s="7"/>
      <c r="L11" s="7"/>
      <c r="M11" s="7"/>
      <c r="N11" s="7"/>
      <c r="O11" s="7"/>
      <c r="P11" s="7"/>
      <c r="Q11" s="7"/>
      <c r="R11" s="7"/>
      <c r="S11" s="7"/>
      <c r="T11" s="7"/>
      <c r="U11" s="7"/>
      <c r="V11" s="7"/>
      <c r="W11" s="743"/>
      <c r="X11" s="499"/>
    </row>
    <row r="12" spans="1:29" ht="20.100000000000001" customHeight="1" thickBot="1">
      <c r="A12" s="634"/>
      <c r="B12" s="52"/>
      <c r="C12" s="52"/>
      <c r="D12" s="52"/>
      <c r="E12" s="52"/>
      <c r="F12" s="52"/>
      <c r="G12" s="52"/>
      <c r="H12" s="52"/>
      <c r="I12" s="52"/>
      <c r="J12" s="52"/>
      <c r="K12" s="52"/>
      <c r="L12" s="52"/>
      <c r="M12" s="52"/>
      <c r="N12" s="52"/>
      <c r="O12" s="52"/>
      <c r="P12" s="52"/>
      <c r="Q12" s="52"/>
      <c r="R12" s="52"/>
      <c r="S12" s="52"/>
      <c r="T12" s="52"/>
      <c r="U12" s="52"/>
      <c r="V12" s="52"/>
      <c r="W12" s="743"/>
      <c r="X12" s="499"/>
      <c r="Y12" s="744" t="s">
        <v>301</v>
      </c>
    </row>
    <row r="13" spans="1:29" ht="14.1" customHeight="1">
      <c r="A13" s="52"/>
      <c r="B13" s="2040" t="s">
        <v>770</v>
      </c>
      <c r="C13" s="1790"/>
      <c r="D13" s="1790"/>
      <c r="E13" s="2033" t="s">
        <v>771</v>
      </c>
      <c r="F13" s="2036" t="s">
        <v>852</v>
      </c>
      <c r="G13" s="2065" t="s">
        <v>137</v>
      </c>
      <c r="H13" s="2066"/>
      <c r="I13" s="2066"/>
      <c r="J13" s="2066"/>
      <c r="K13" s="2066"/>
      <c r="L13" s="2066"/>
      <c r="M13" s="2066"/>
      <c r="N13" s="2066"/>
      <c r="O13" s="2066"/>
      <c r="P13" s="2066"/>
      <c r="Q13" s="2066"/>
      <c r="R13" s="2066"/>
      <c r="S13" s="2066"/>
      <c r="T13" s="2066"/>
      <c r="U13" s="2066"/>
      <c r="V13" s="2067"/>
      <c r="W13" s="314"/>
      <c r="X13" s="499"/>
      <c r="Z13" s="2074" t="s">
        <v>151</v>
      </c>
      <c r="AA13" s="2075"/>
      <c r="AB13" s="2075"/>
      <c r="AC13" s="2076" t="s">
        <v>355</v>
      </c>
    </row>
    <row r="14" spans="1:29" ht="14.1" customHeight="1">
      <c r="A14" s="52"/>
      <c r="B14" s="2041"/>
      <c r="C14" s="2042"/>
      <c r="D14" s="2042"/>
      <c r="E14" s="2081"/>
      <c r="F14" s="2037"/>
      <c r="G14" s="2068"/>
      <c r="H14" s="2069"/>
      <c r="I14" s="2069"/>
      <c r="J14" s="2069"/>
      <c r="K14" s="2069"/>
      <c r="L14" s="2069"/>
      <c r="M14" s="2069"/>
      <c r="N14" s="2069"/>
      <c r="O14" s="2069"/>
      <c r="P14" s="2069"/>
      <c r="Q14" s="2069"/>
      <c r="R14" s="2069"/>
      <c r="S14" s="2069"/>
      <c r="T14" s="2069"/>
      <c r="U14" s="2069"/>
      <c r="V14" s="2070"/>
      <c r="W14" s="314"/>
      <c r="X14" s="499"/>
      <c r="Z14" s="2075"/>
      <c r="AA14" s="2075"/>
      <c r="AB14" s="2075"/>
      <c r="AC14" s="2077"/>
    </row>
    <row r="15" spans="1:29" ht="14.1" customHeight="1">
      <c r="A15" s="52"/>
      <c r="B15" s="2041"/>
      <c r="C15" s="2042"/>
      <c r="D15" s="2042"/>
      <c r="E15" s="2081"/>
      <c r="F15" s="2038"/>
      <c r="G15" s="2068"/>
      <c r="H15" s="2069"/>
      <c r="I15" s="2069"/>
      <c r="J15" s="2069"/>
      <c r="K15" s="2069"/>
      <c r="L15" s="2069"/>
      <c r="M15" s="2069"/>
      <c r="N15" s="2069"/>
      <c r="O15" s="2069"/>
      <c r="P15" s="2069"/>
      <c r="Q15" s="2069"/>
      <c r="R15" s="2069"/>
      <c r="S15" s="2069"/>
      <c r="T15" s="2069"/>
      <c r="U15" s="2069"/>
      <c r="V15" s="2070"/>
      <c r="W15" s="314"/>
      <c r="X15" s="499"/>
      <c r="Z15" s="2075"/>
      <c r="AA15" s="2075"/>
      <c r="AB15" s="2075"/>
      <c r="AC15" s="2078" t="s">
        <v>853</v>
      </c>
    </row>
    <row r="16" spans="1:29" ht="14.1" customHeight="1">
      <c r="A16" s="52"/>
      <c r="B16" s="2041"/>
      <c r="C16" s="2042"/>
      <c r="D16" s="2042"/>
      <c r="E16" s="2081"/>
      <c r="F16" s="2038"/>
      <c r="G16" s="2068"/>
      <c r="H16" s="2069"/>
      <c r="I16" s="2069"/>
      <c r="J16" s="2069"/>
      <c r="K16" s="2069"/>
      <c r="L16" s="2069"/>
      <c r="M16" s="2069"/>
      <c r="N16" s="2069"/>
      <c r="O16" s="2069"/>
      <c r="P16" s="2069"/>
      <c r="Q16" s="2069"/>
      <c r="R16" s="2069"/>
      <c r="S16" s="2069"/>
      <c r="T16" s="2069"/>
      <c r="U16" s="2069"/>
      <c r="V16" s="2070"/>
      <c r="W16" s="314"/>
      <c r="X16" s="499"/>
      <c r="Z16" s="2075"/>
      <c r="AA16" s="2075"/>
      <c r="AB16" s="2075"/>
      <c r="AC16" s="2079"/>
    </row>
    <row r="17" spans="1:29" ht="14.1" customHeight="1" thickBot="1">
      <c r="A17" s="52"/>
      <c r="B17" s="2043"/>
      <c r="C17" s="2044"/>
      <c r="D17" s="2044"/>
      <c r="E17" s="2082"/>
      <c r="F17" s="2039"/>
      <c r="G17" s="2071"/>
      <c r="H17" s="2072"/>
      <c r="I17" s="2072"/>
      <c r="J17" s="2072"/>
      <c r="K17" s="2072"/>
      <c r="L17" s="2072"/>
      <c r="M17" s="2072"/>
      <c r="N17" s="2072"/>
      <c r="O17" s="2072"/>
      <c r="P17" s="2072"/>
      <c r="Q17" s="2072"/>
      <c r="R17" s="2072"/>
      <c r="S17" s="2072"/>
      <c r="T17" s="2072"/>
      <c r="U17" s="2072"/>
      <c r="V17" s="2073"/>
      <c r="W17" s="314"/>
      <c r="X17" s="499"/>
      <c r="Z17" s="2075"/>
      <c r="AA17" s="2075"/>
      <c r="AB17" s="2075"/>
      <c r="AC17" s="2080"/>
    </row>
    <row r="18" spans="1:29" ht="27" customHeight="1" thickTop="1" thickBot="1">
      <c r="A18" s="52"/>
      <c r="B18" s="745"/>
      <c r="C18" s="746"/>
      <c r="D18" s="747" t="s">
        <v>138</v>
      </c>
      <c r="E18" s="154"/>
      <c r="F18" s="752"/>
      <c r="G18" s="2016" t="s">
        <v>789</v>
      </c>
      <c r="H18" s="2017"/>
      <c r="I18" s="2017"/>
      <c r="J18" s="2017"/>
      <c r="K18" s="2017"/>
      <c r="L18" s="2017"/>
      <c r="M18" s="2017"/>
      <c r="N18" s="2017"/>
      <c r="O18" s="2017"/>
      <c r="P18" s="2017"/>
      <c r="Q18" s="2017"/>
      <c r="R18" s="2017"/>
      <c r="S18" s="2017"/>
      <c r="T18" s="2017"/>
      <c r="U18" s="2017"/>
      <c r="V18" s="2018"/>
      <c r="W18" s="314"/>
      <c r="X18" s="499"/>
      <c r="Z18" s="2062" t="s">
        <v>191</v>
      </c>
      <c r="AA18" s="2063"/>
      <c r="AB18" s="2064"/>
      <c r="AC18" s="995">
        <f>IF(E18&gt;0,ROUND( E18 * F18 / 100,0), IF(E18=0,ROUND( SUMPRODUCT(E19:E48,F19:F48 / 100),0), ""))</f>
        <v>0</v>
      </c>
    </row>
    <row r="19" spans="1:29" ht="27" customHeight="1" thickTop="1">
      <c r="A19" s="52"/>
      <c r="B19" s="2045" t="s">
        <v>191</v>
      </c>
      <c r="C19" s="2046"/>
      <c r="D19" s="761"/>
      <c r="E19" s="753"/>
      <c r="F19" s="754"/>
      <c r="G19" s="2019"/>
      <c r="H19" s="2019"/>
      <c r="I19" s="2019"/>
      <c r="J19" s="2019"/>
      <c r="K19" s="2019"/>
      <c r="L19" s="2019"/>
      <c r="M19" s="2019"/>
      <c r="N19" s="2019"/>
      <c r="O19" s="2019"/>
      <c r="P19" s="2019"/>
      <c r="Q19" s="2019"/>
      <c r="R19" s="2019"/>
      <c r="S19" s="2019"/>
      <c r="T19" s="2019"/>
      <c r="U19" s="2019"/>
      <c r="V19" s="2020"/>
      <c r="W19" s="314"/>
      <c r="X19" s="499"/>
      <c r="Z19" s="748"/>
      <c r="AA19" s="748"/>
      <c r="AB19" s="749"/>
      <c r="AC19" s="750"/>
    </row>
    <row r="20" spans="1:29" ht="27" customHeight="1">
      <c r="A20" s="52"/>
      <c r="B20" s="2047"/>
      <c r="C20" s="2046"/>
      <c r="D20" s="761"/>
      <c r="E20" s="755"/>
      <c r="F20" s="756"/>
      <c r="G20" s="2019"/>
      <c r="H20" s="2019"/>
      <c r="I20" s="2019"/>
      <c r="J20" s="2019"/>
      <c r="K20" s="2019"/>
      <c r="L20" s="2019"/>
      <c r="M20" s="2019"/>
      <c r="N20" s="2019"/>
      <c r="O20" s="2019"/>
      <c r="P20" s="2019"/>
      <c r="Q20" s="2019"/>
      <c r="R20" s="2019"/>
      <c r="S20" s="2019"/>
      <c r="T20" s="2019"/>
      <c r="U20" s="2019"/>
      <c r="V20" s="2020"/>
      <c r="W20" s="314"/>
      <c r="X20" s="499"/>
      <c r="Z20" s="748"/>
      <c r="AA20" s="748"/>
      <c r="AB20" s="749"/>
      <c r="AC20" s="750"/>
    </row>
    <row r="21" spans="1:29" ht="27" customHeight="1">
      <c r="A21" s="52"/>
      <c r="B21" s="2047"/>
      <c r="C21" s="2046"/>
      <c r="D21" s="761"/>
      <c r="E21" s="755"/>
      <c r="F21" s="756"/>
      <c r="G21" s="2019"/>
      <c r="H21" s="2019"/>
      <c r="I21" s="2019"/>
      <c r="J21" s="2019"/>
      <c r="K21" s="2019"/>
      <c r="L21" s="2019"/>
      <c r="M21" s="2019"/>
      <c r="N21" s="2019"/>
      <c r="O21" s="2019"/>
      <c r="P21" s="2019"/>
      <c r="Q21" s="2019"/>
      <c r="R21" s="2019"/>
      <c r="S21" s="2019"/>
      <c r="T21" s="2019"/>
      <c r="U21" s="2019"/>
      <c r="V21" s="2020"/>
      <c r="W21" s="314"/>
      <c r="X21" s="499"/>
      <c r="Z21" s="748"/>
      <c r="AA21" s="748"/>
      <c r="AB21" s="749"/>
      <c r="AC21" s="750"/>
    </row>
    <row r="22" spans="1:29" ht="27" customHeight="1">
      <c r="A22" s="52"/>
      <c r="B22" s="2047"/>
      <c r="C22" s="2046"/>
      <c r="D22" s="761"/>
      <c r="E22" s="755"/>
      <c r="F22" s="756"/>
      <c r="G22" s="2019"/>
      <c r="H22" s="2019"/>
      <c r="I22" s="2019"/>
      <c r="J22" s="2019"/>
      <c r="K22" s="2019"/>
      <c r="L22" s="2019"/>
      <c r="M22" s="2019"/>
      <c r="N22" s="2019"/>
      <c r="O22" s="2019"/>
      <c r="P22" s="2019"/>
      <c r="Q22" s="2019"/>
      <c r="R22" s="2019"/>
      <c r="S22" s="2019"/>
      <c r="T22" s="2019"/>
      <c r="U22" s="2019"/>
      <c r="V22" s="2020"/>
      <c r="W22" s="314"/>
      <c r="X22" s="499"/>
      <c r="Z22" s="748"/>
      <c r="AA22" s="748"/>
      <c r="AB22" s="749"/>
      <c r="AC22" s="750"/>
    </row>
    <row r="23" spans="1:29" ht="27" customHeight="1">
      <c r="A23" s="52"/>
      <c r="B23" s="2047"/>
      <c r="C23" s="2046"/>
      <c r="D23" s="761"/>
      <c r="E23" s="755"/>
      <c r="F23" s="756"/>
      <c r="G23" s="2019"/>
      <c r="H23" s="2019"/>
      <c r="I23" s="2019"/>
      <c r="J23" s="2019"/>
      <c r="K23" s="2019"/>
      <c r="L23" s="2019"/>
      <c r="M23" s="2019"/>
      <c r="N23" s="2019"/>
      <c r="O23" s="2019"/>
      <c r="P23" s="2019"/>
      <c r="Q23" s="2019"/>
      <c r="R23" s="2019"/>
      <c r="S23" s="2019"/>
      <c r="T23" s="2019"/>
      <c r="U23" s="2019"/>
      <c r="V23" s="2020"/>
      <c r="W23" s="314"/>
      <c r="X23" s="499"/>
      <c r="Z23" s="748"/>
      <c r="AA23" s="748"/>
      <c r="AB23" s="749"/>
      <c r="AC23" s="750"/>
    </row>
    <row r="24" spans="1:29" ht="27" customHeight="1">
      <c r="A24" s="52"/>
      <c r="B24" s="2047"/>
      <c r="C24" s="2046"/>
      <c r="D24" s="761"/>
      <c r="E24" s="755"/>
      <c r="F24" s="756"/>
      <c r="G24" s="2019"/>
      <c r="H24" s="2019"/>
      <c r="I24" s="2019"/>
      <c r="J24" s="2019"/>
      <c r="K24" s="2019"/>
      <c r="L24" s="2019"/>
      <c r="M24" s="2019"/>
      <c r="N24" s="2019"/>
      <c r="O24" s="2019"/>
      <c r="P24" s="2019"/>
      <c r="Q24" s="2019"/>
      <c r="R24" s="2019"/>
      <c r="S24" s="2019"/>
      <c r="T24" s="2019"/>
      <c r="U24" s="2019"/>
      <c r="V24" s="2020"/>
      <c r="W24" s="314"/>
      <c r="X24" s="499"/>
      <c r="Z24" s="748"/>
      <c r="AA24" s="748"/>
      <c r="AB24" s="749"/>
      <c r="AC24" s="750"/>
    </row>
    <row r="25" spans="1:29" ht="27" customHeight="1" collapsed="1">
      <c r="A25" s="52"/>
      <c r="B25" s="2048"/>
      <c r="C25" s="2049"/>
      <c r="D25" s="761"/>
      <c r="E25" s="757"/>
      <c r="F25" s="758"/>
      <c r="G25" s="2021"/>
      <c r="H25" s="2021"/>
      <c r="I25" s="2021"/>
      <c r="J25" s="2021"/>
      <c r="K25" s="2021"/>
      <c r="L25" s="2021"/>
      <c r="M25" s="2021"/>
      <c r="N25" s="2021"/>
      <c r="O25" s="2021"/>
      <c r="P25" s="2021"/>
      <c r="Q25" s="2021"/>
      <c r="R25" s="2021"/>
      <c r="S25" s="2021"/>
      <c r="T25" s="2021"/>
      <c r="U25" s="2021"/>
      <c r="V25" s="2022"/>
      <c r="W25" s="314"/>
      <c r="X25" s="499"/>
      <c r="Z25" s="748"/>
      <c r="AA25" s="748"/>
      <c r="AB25" s="749"/>
      <c r="AC25" s="750"/>
    </row>
    <row r="26" spans="1:29" ht="27" hidden="1" customHeight="1" outlineLevel="1">
      <c r="A26" s="52"/>
      <c r="B26" s="2050"/>
      <c r="C26" s="2051"/>
      <c r="D26" s="761"/>
      <c r="E26" s="755"/>
      <c r="F26" s="759"/>
      <c r="G26" s="2052"/>
      <c r="H26" s="2053"/>
      <c r="I26" s="2053"/>
      <c r="J26" s="2053"/>
      <c r="K26" s="2053"/>
      <c r="L26" s="2053"/>
      <c r="M26" s="2053"/>
      <c r="N26" s="2053"/>
      <c r="O26" s="2053"/>
      <c r="P26" s="2053"/>
      <c r="Q26" s="2053"/>
      <c r="R26" s="2053"/>
      <c r="S26" s="2053"/>
      <c r="T26" s="2053"/>
      <c r="U26" s="2053"/>
      <c r="V26" s="2054"/>
      <c r="W26" s="314"/>
      <c r="X26" s="499"/>
      <c r="Z26" s="748"/>
      <c r="AA26" s="748"/>
      <c r="AB26" s="749"/>
      <c r="AC26" s="750"/>
    </row>
    <row r="27" spans="1:29" ht="27" hidden="1" customHeight="1" outlineLevel="1">
      <c r="A27" s="52"/>
      <c r="B27" s="2047"/>
      <c r="C27" s="2046"/>
      <c r="D27" s="761"/>
      <c r="E27" s="755"/>
      <c r="F27" s="759"/>
      <c r="G27" s="2047"/>
      <c r="H27" s="2055"/>
      <c r="I27" s="2055"/>
      <c r="J27" s="2055"/>
      <c r="K27" s="2055"/>
      <c r="L27" s="2055"/>
      <c r="M27" s="2055"/>
      <c r="N27" s="2055"/>
      <c r="O27" s="2055"/>
      <c r="P27" s="2055"/>
      <c r="Q27" s="2055"/>
      <c r="R27" s="2055"/>
      <c r="S27" s="2055"/>
      <c r="T27" s="2055"/>
      <c r="U27" s="2055"/>
      <c r="V27" s="1705"/>
      <c r="W27" s="314"/>
      <c r="X27" s="499"/>
      <c r="Z27" s="748"/>
      <c r="AA27" s="748"/>
      <c r="AB27" s="749"/>
      <c r="AC27" s="750"/>
    </row>
    <row r="28" spans="1:29" ht="27" hidden="1" customHeight="1" outlineLevel="1">
      <c r="A28" s="52"/>
      <c r="B28" s="2047"/>
      <c r="C28" s="2046"/>
      <c r="D28" s="761"/>
      <c r="E28" s="755"/>
      <c r="F28" s="759"/>
      <c r="G28" s="2047"/>
      <c r="H28" s="2055"/>
      <c r="I28" s="2055"/>
      <c r="J28" s="2055"/>
      <c r="K28" s="2055"/>
      <c r="L28" s="2055"/>
      <c r="M28" s="2055"/>
      <c r="N28" s="2055"/>
      <c r="O28" s="2055"/>
      <c r="P28" s="2055"/>
      <c r="Q28" s="2055"/>
      <c r="R28" s="2055"/>
      <c r="S28" s="2055"/>
      <c r="T28" s="2055"/>
      <c r="U28" s="2055"/>
      <c r="V28" s="1705"/>
      <c r="W28" s="314"/>
      <c r="X28" s="499"/>
      <c r="Z28" s="748"/>
      <c r="AA28" s="748"/>
      <c r="AB28" s="749"/>
      <c r="AC28" s="750"/>
    </row>
    <row r="29" spans="1:29" ht="27" hidden="1" customHeight="1" outlineLevel="1">
      <c r="A29" s="52"/>
      <c r="B29" s="2047"/>
      <c r="C29" s="2046"/>
      <c r="D29" s="761"/>
      <c r="E29" s="755"/>
      <c r="F29" s="759"/>
      <c r="G29" s="2047"/>
      <c r="H29" s="2055"/>
      <c r="I29" s="2055"/>
      <c r="J29" s="2055"/>
      <c r="K29" s="2055"/>
      <c r="L29" s="2055"/>
      <c r="M29" s="2055"/>
      <c r="N29" s="2055"/>
      <c r="O29" s="2055"/>
      <c r="P29" s="2055"/>
      <c r="Q29" s="2055"/>
      <c r="R29" s="2055"/>
      <c r="S29" s="2055"/>
      <c r="T29" s="2055"/>
      <c r="U29" s="2055"/>
      <c r="V29" s="1705"/>
      <c r="W29" s="314"/>
      <c r="X29" s="499"/>
      <c r="Z29" s="748"/>
      <c r="AA29" s="748"/>
      <c r="AB29" s="749"/>
      <c r="AC29" s="750"/>
    </row>
    <row r="30" spans="1:29" ht="27" hidden="1" customHeight="1" outlineLevel="1">
      <c r="A30" s="52"/>
      <c r="B30" s="2047"/>
      <c r="C30" s="2046"/>
      <c r="D30" s="761"/>
      <c r="E30" s="755"/>
      <c r="F30" s="759"/>
      <c r="G30" s="2047"/>
      <c r="H30" s="2055"/>
      <c r="I30" s="2055"/>
      <c r="J30" s="2055"/>
      <c r="K30" s="2055"/>
      <c r="L30" s="2055"/>
      <c r="M30" s="2055"/>
      <c r="N30" s="2055"/>
      <c r="O30" s="2055"/>
      <c r="P30" s="2055"/>
      <c r="Q30" s="2055"/>
      <c r="R30" s="2055"/>
      <c r="S30" s="2055"/>
      <c r="T30" s="2055"/>
      <c r="U30" s="2055"/>
      <c r="V30" s="1705"/>
      <c r="W30" s="314"/>
      <c r="X30" s="499"/>
      <c r="Z30" s="748"/>
      <c r="AA30" s="748"/>
      <c r="AB30" s="749"/>
      <c r="AC30" s="750"/>
    </row>
    <row r="31" spans="1:29" ht="27" hidden="1" customHeight="1" outlineLevel="1">
      <c r="A31" s="52"/>
      <c r="B31" s="2047"/>
      <c r="C31" s="2046"/>
      <c r="D31" s="761"/>
      <c r="E31" s="755"/>
      <c r="F31" s="759"/>
      <c r="G31" s="2047"/>
      <c r="H31" s="2055"/>
      <c r="I31" s="2055"/>
      <c r="J31" s="2055"/>
      <c r="K31" s="2055"/>
      <c r="L31" s="2055"/>
      <c r="M31" s="2055"/>
      <c r="N31" s="2055"/>
      <c r="O31" s="2055"/>
      <c r="P31" s="2055"/>
      <c r="Q31" s="2055"/>
      <c r="R31" s="2055"/>
      <c r="S31" s="2055"/>
      <c r="T31" s="2055"/>
      <c r="U31" s="2055"/>
      <c r="V31" s="1705"/>
      <c r="W31" s="314"/>
      <c r="X31" s="499"/>
      <c r="Z31" s="748"/>
      <c r="AA31" s="748"/>
      <c r="AB31" s="749"/>
      <c r="AC31" s="750"/>
    </row>
    <row r="32" spans="1:29" ht="27" hidden="1" customHeight="1" outlineLevel="1">
      <c r="A32" s="52"/>
      <c r="B32" s="2047"/>
      <c r="C32" s="2046"/>
      <c r="D32" s="761"/>
      <c r="E32" s="755"/>
      <c r="F32" s="759"/>
      <c r="G32" s="2047"/>
      <c r="H32" s="2055"/>
      <c r="I32" s="2055"/>
      <c r="J32" s="2055"/>
      <c r="K32" s="2055"/>
      <c r="L32" s="2055"/>
      <c r="M32" s="2055"/>
      <c r="N32" s="2055"/>
      <c r="O32" s="2055"/>
      <c r="P32" s="2055"/>
      <c r="Q32" s="2055"/>
      <c r="R32" s="2055"/>
      <c r="S32" s="2055"/>
      <c r="T32" s="2055"/>
      <c r="U32" s="2055"/>
      <c r="V32" s="1705"/>
      <c r="W32" s="314"/>
      <c r="X32" s="499"/>
      <c r="Z32" s="748"/>
      <c r="AA32" s="748"/>
      <c r="AB32" s="749"/>
      <c r="AC32" s="750"/>
    </row>
    <row r="33" spans="1:29" ht="27" hidden="1" customHeight="1" outlineLevel="1">
      <c r="A33" s="52"/>
      <c r="B33" s="2047"/>
      <c r="C33" s="2046"/>
      <c r="D33" s="761"/>
      <c r="E33" s="755"/>
      <c r="F33" s="759"/>
      <c r="G33" s="2047"/>
      <c r="H33" s="2055"/>
      <c r="I33" s="2055"/>
      <c r="J33" s="2055"/>
      <c r="K33" s="2055"/>
      <c r="L33" s="2055"/>
      <c r="M33" s="2055"/>
      <c r="N33" s="2055"/>
      <c r="O33" s="2055"/>
      <c r="P33" s="2055"/>
      <c r="Q33" s="2055"/>
      <c r="R33" s="2055"/>
      <c r="S33" s="2055"/>
      <c r="T33" s="2055"/>
      <c r="U33" s="2055"/>
      <c r="V33" s="1705"/>
      <c r="W33" s="314"/>
      <c r="X33" s="499"/>
      <c r="Z33" s="748"/>
      <c r="AA33" s="748"/>
      <c r="AB33" s="749"/>
      <c r="AC33" s="750"/>
    </row>
    <row r="34" spans="1:29" ht="27" hidden="1" customHeight="1" outlineLevel="1">
      <c r="A34" s="52"/>
      <c r="B34" s="2047"/>
      <c r="C34" s="2046"/>
      <c r="D34" s="761"/>
      <c r="E34" s="755"/>
      <c r="F34" s="759"/>
      <c r="G34" s="2047"/>
      <c r="H34" s="2055"/>
      <c r="I34" s="2055"/>
      <c r="J34" s="2055"/>
      <c r="K34" s="2055"/>
      <c r="L34" s="2055"/>
      <c r="M34" s="2055"/>
      <c r="N34" s="2055"/>
      <c r="O34" s="2055"/>
      <c r="P34" s="2055"/>
      <c r="Q34" s="2055"/>
      <c r="R34" s="2055"/>
      <c r="S34" s="2055"/>
      <c r="T34" s="2055"/>
      <c r="U34" s="2055"/>
      <c r="V34" s="1705"/>
      <c r="W34" s="314"/>
      <c r="X34" s="499"/>
      <c r="Z34" s="748"/>
      <c r="AA34" s="748"/>
      <c r="AB34" s="749"/>
      <c r="AC34" s="750"/>
    </row>
    <row r="35" spans="1:29" ht="27" hidden="1" customHeight="1" outlineLevel="1">
      <c r="A35" s="52"/>
      <c r="B35" s="2047"/>
      <c r="C35" s="2046"/>
      <c r="D35" s="761"/>
      <c r="E35" s="755"/>
      <c r="F35" s="759"/>
      <c r="G35" s="2047"/>
      <c r="H35" s="2055"/>
      <c r="I35" s="2055"/>
      <c r="J35" s="2055"/>
      <c r="K35" s="2055"/>
      <c r="L35" s="2055"/>
      <c r="M35" s="2055"/>
      <c r="N35" s="2055"/>
      <c r="O35" s="2055"/>
      <c r="P35" s="2055"/>
      <c r="Q35" s="2055"/>
      <c r="R35" s="2055"/>
      <c r="S35" s="2055"/>
      <c r="T35" s="2055"/>
      <c r="U35" s="2055"/>
      <c r="V35" s="1705"/>
      <c r="W35" s="314"/>
      <c r="X35" s="499"/>
      <c r="Z35" s="748"/>
      <c r="AA35" s="748"/>
      <c r="AB35" s="749"/>
      <c r="AC35" s="750"/>
    </row>
    <row r="36" spans="1:29" ht="27" hidden="1" customHeight="1" outlineLevel="1">
      <c r="A36" s="52"/>
      <c r="B36" s="2047"/>
      <c r="C36" s="2046"/>
      <c r="D36" s="761"/>
      <c r="E36" s="755"/>
      <c r="F36" s="759"/>
      <c r="G36" s="2047"/>
      <c r="H36" s="2055"/>
      <c r="I36" s="2055"/>
      <c r="J36" s="2055"/>
      <c r="K36" s="2055"/>
      <c r="L36" s="2055"/>
      <c r="M36" s="2055"/>
      <c r="N36" s="2055"/>
      <c r="O36" s="2055"/>
      <c r="P36" s="2055"/>
      <c r="Q36" s="2055"/>
      <c r="R36" s="2055"/>
      <c r="S36" s="2055"/>
      <c r="T36" s="2055"/>
      <c r="U36" s="2055"/>
      <c r="V36" s="1705"/>
      <c r="W36" s="314"/>
      <c r="X36" s="499"/>
      <c r="Z36" s="748"/>
      <c r="AA36" s="748"/>
      <c r="AB36" s="749"/>
      <c r="AC36" s="750"/>
    </row>
    <row r="37" spans="1:29" ht="27" hidden="1" customHeight="1" outlineLevel="1">
      <c r="A37" s="52"/>
      <c r="B37" s="2047"/>
      <c r="C37" s="2046"/>
      <c r="D37" s="761"/>
      <c r="E37" s="755"/>
      <c r="F37" s="759"/>
      <c r="G37" s="2047"/>
      <c r="H37" s="2055"/>
      <c r="I37" s="2055"/>
      <c r="J37" s="2055"/>
      <c r="K37" s="2055"/>
      <c r="L37" s="2055"/>
      <c r="M37" s="2055"/>
      <c r="N37" s="2055"/>
      <c r="O37" s="2055"/>
      <c r="P37" s="2055"/>
      <c r="Q37" s="2055"/>
      <c r="R37" s="2055"/>
      <c r="S37" s="2055"/>
      <c r="T37" s="2055"/>
      <c r="U37" s="2055"/>
      <c r="V37" s="1705"/>
      <c r="W37" s="314"/>
      <c r="X37" s="499"/>
      <c r="Z37" s="748"/>
      <c r="AA37" s="748"/>
      <c r="AB37" s="749"/>
      <c r="AC37" s="750"/>
    </row>
    <row r="38" spans="1:29" ht="27" hidden="1" customHeight="1" outlineLevel="1">
      <c r="A38" s="52"/>
      <c r="B38" s="2047"/>
      <c r="C38" s="2046"/>
      <c r="D38" s="761"/>
      <c r="E38" s="755"/>
      <c r="F38" s="759"/>
      <c r="G38" s="2047"/>
      <c r="H38" s="2055"/>
      <c r="I38" s="2055"/>
      <c r="J38" s="2055"/>
      <c r="K38" s="2055"/>
      <c r="L38" s="2055"/>
      <c r="M38" s="2055"/>
      <c r="N38" s="2055"/>
      <c r="O38" s="2055"/>
      <c r="P38" s="2055"/>
      <c r="Q38" s="2055"/>
      <c r="R38" s="2055"/>
      <c r="S38" s="2055"/>
      <c r="T38" s="2055"/>
      <c r="U38" s="2055"/>
      <c r="V38" s="1705"/>
      <c r="W38" s="314"/>
      <c r="X38" s="499"/>
      <c r="Z38" s="748"/>
      <c r="AA38" s="748"/>
      <c r="AB38" s="749"/>
      <c r="AC38" s="750"/>
    </row>
    <row r="39" spans="1:29" ht="27" hidden="1" customHeight="1" outlineLevel="1">
      <c r="A39" s="52"/>
      <c r="B39" s="2047"/>
      <c r="C39" s="2046"/>
      <c r="D39" s="761"/>
      <c r="E39" s="755"/>
      <c r="F39" s="759"/>
      <c r="G39" s="2047"/>
      <c r="H39" s="2055"/>
      <c r="I39" s="2055"/>
      <c r="J39" s="2055"/>
      <c r="K39" s="2055"/>
      <c r="L39" s="2055"/>
      <c r="M39" s="2055"/>
      <c r="N39" s="2055"/>
      <c r="O39" s="2055"/>
      <c r="P39" s="2055"/>
      <c r="Q39" s="2055"/>
      <c r="R39" s="2055"/>
      <c r="S39" s="2055"/>
      <c r="T39" s="2055"/>
      <c r="U39" s="2055"/>
      <c r="V39" s="1705"/>
      <c r="W39" s="314"/>
      <c r="X39" s="499"/>
      <c r="Z39" s="748"/>
      <c r="AA39" s="748"/>
      <c r="AB39" s="749"/>
      <c r="AC39" s="750"/>
    </row>
    <row r="40" spans="1:29" ht="27" hidden="1" customHeight="1" outlineLevel="1">
      <c r="A40" s="52"/>
      <c r="B40" s="2047"/>
      <c r="C40" s="2046"/>
      <c r="D40" s="761"/>
      <c r="E40" s="755"/>
      <c r="F40" s="759"/>
      <c r="G40" s="2047"/>
      <c r="H40" s="2055"/>
      <c r="I40" s="2055"/>
      <c r="J40" s="2055"/>
      <c r="K40" s="2055"/>
      <c r="L40" s="2055"/>
      <c r="M40" s="2055"/>
      <c r="N40" s="2055"/>
      <c r="O40" s="2055"/>
      <c r="P40" s="2055"/>
      <c r="Q40" s="2055"/>
      <c r="R40" s="2055"/>
      <c r="S40" s="2055"/>
      <c r="T40" s="2055"/>
      <c r="U40" s="2055"/>
      <c r="V40" s="1705"/>
      <c r="W40" s="314"/>
      <c r="X40" s="499"/>
      <c r="Z40" s="748"/>
      <c r="AA40" s="748"/>
      <c r="AB40" s="749"/>
      <c r="AC40" s="750"/>
    </row>
    <row r="41" spans="1:29" ht="27" hidden="1" customHeight="1" outlineLevel="1">
      <c r="A41" s="52"/>
      <c r="B41" s="2047"/>
      <c r="C41" s="2046"/>
      <c r="D41" s="761"/>
      <c r="E41" s="755"/>
      <c r="F41" s="759"/>
      <c r="G41" s="2047"/>
      <c r="H41" s="2055"/>
      <c r="I41" s="2055"/>
      <c r="J41" s="2055"/>
      <c r="K41" s="2055"/>
      <c r="L41" s="2055"/>
      <c r="M41" s="2055"/>
      <c r="N41" s="2055"/>
      <c r="O41" s="2055"/>
      <c r="P41" s="2055"/>
      <c r="Q41" s="2055"/>
      <c r="R41" s="2055"/>
      <c r="S41" s="2055"/>
      <c r="T41" s="2055"/>
      <c r="U41" s="2055"/>
      <c r="V41" s="1705"/>
      <c r="W41" s="314"/>
      <c r="X41" s="499"/>
      <c r="Z41" s="748"/>
      <c r="AA41" s="748"/>
      <c r="AB41" s="749"/>
      <c r="AC41" s="750"/>
    </row>
    <row r="42" spans="1:29" ht="27" hidden="1" customHeight="1" outlineLevel="1">
      <c r="A42" s="52"/>
      <c r="B42" s="2047"/>
      <c r="C42" s="2046"/>
      <c r="D42" s="761"/>
      <c r="E42" s="755"/>
      <c r="F42" s="759"/>
      <c r="G42" s="2047"/>
      <c r="H42" s="2055"/>
      <c r="I42" s="2055"/>
      <c r="J42" s="2055"/>
      <c r="K42" s="2055"/>
      <c r="L42" s="2055"/>
      <c r="M42" s="2055"/>
      <c r="N42" s="2055"/>
      <c r="O42" s="2055"/>
      <c r="P42" s="2055"/>
      <c r="Q42" s="2055"/>
      <c r="R42" s="2055"/>
      <c r="S42" s="2055"/>
      <c r="T42" s="2055"/>
      <c r="U42" s="2055"/>
      <c r="V42" s="1705"/>
      <c r="W42" s="314"/>
      <c r="X42" s="499"/>
      <c r="Z42" s="748"/>
      <c r="AA42" s="748"/>
      <c r="AB42" s="749"/>
      <c r="AC42" s="750"/>
    </row>
    <row r="43" spans="1:29" ht="27" hidden="1" customHeight="1" outlineLevel="1">
      <c r="A43" s="52"/>
      <c r="B43" s="2047"/>
      <c r="C43" s="2046"/>
      <c r="D43" s="761"/>
      <c r="E43" s="755"/>
      <c r="F43" s="759"/>
      <c r="G43" s="2047"/>
      <c r="H43" s="2055"/>
      <c r="I43" s="2055"/>
      <c r="J43" s="2055"/>
      <c r="K43" s="2055"/>
      <c r="L43" s="2055"/>
      <c r="M43" s="2055"/>
      <c r="N43" s="2055"/>
      <c r="O43" s="2055"/>
      <c r="P43" s="2055"/>
      <c r="Q43" s="2055"/>
      <c r="R43" s="2055"/>
      <c r="S43" s="2055"/>
      <c r="T43" s="2055"/>
      <c r="U43" s="2055"/>
      <c r="V43" s="1705"/>
      <c r="W43" s="314"/>
      <c r="X43" s="499"/>
      <c r="Z43" s="748"/>
      <c r="AA43" s="748"/>
      <c r="AB43" s="749"/>
      <c r="AC43" s="750"/>
    </row>
    <row r="44" spans="1:29" ht="27" hidden="1" customHeight="1" outlineLevel="1">
      <c r="A44" s="52"/>
      <c r="B44" s="2047"/>
      <c r="C44" s="2046"/>
      <c r="D44" s="761"/>
      <c r="E44" s="755"/>
      <c r="F44" s="759"/>
      <c r="G44" s="2047"/>
      <c r="H44" s="2055"/>
      <c r="I44" s="2055"/>
      <c r="J44" s="2055"/>
      <c r="K44" s="2055"/>
      <c r="L44" s="2055"/>
      <c r="M44" s="2055"/>
      <c r="N44" s="2055"/>
      <c r="O44" s="2055"/>
      <c r="P44" s="2055"/>
      <c r="Q44" s="2055"/>
      <c r="R44" s="2055"/>
      <c r="S44" s="2055"/>
      <c r="T44" s="2055"/>
      <c r="U44" s="2055"/>
      <c r="V44" s="1705"/>
      <c r="W44" s="314"/>
      <c r="X44" s="499"/>
      <c r="Z44" s="748"/>
      <c r="AA44" s="748"/>
      <c r="AB44" s="749"/>
      <c r="AC44" s="750"/>
    </row>
    <row r="45" spans="1:29" ht="27" hidden="1" customHeight="1" outlineLevel="1">
      <c r="A45" s="52"/>
      <c r="B45" s="2047"/>
      <c r="C45" s="2046"/>
      <c r="D45" s="761"/>
      <c r="E45" s="755"/>
      <c r="F45" s="759"/>
      <c r="G45" s="2047"/>
      <c r="H45" s="2055"/>
      <c r="I45" s="2055"/>
      <c r="J45" s="2055"/>
      <c r="K45" s="2055"/>
      <c r="L45" s="2055"/>
      <c r="M45" s="2055"/>
      <c r="N45" s="2055"/>
      <c r="O45" s="2055"/>
      <c r="P45" s="2055"/>
      <c r="Q45" s="2055"/>
      <c r="R45" s="2055"/>
      <c r="S45" s="2055"/>
      <c r="T45" s="2055"/>
      <c r="U45" s="2055"/>
      <c r="V45" s="1705"/>
      <c r="W45" s="314"/>
      <c r="X45" s="499"/>
      <c r="Z45" s="748"/>
      <c r="AA45" s="748"/>
      <c r="AB45" s="749"/>
      <c r="AC45" s="750"/>
    </row>
    <row r="46" spans="1:29" ht="27" hidden="1" customHeight="1" outlineLevel="1">
      <c r="A46" s="52"/>
      <c r="B46" s="2047"/>
      <c r="C46" s="2046"/>
      <c r="D46" s="761"/>
      <c r="E46" s="755"/>
      <c r="F46" s="759"/>
      <c r="G46" s="2047"/>
      <c r="H46" s="2055"/>
      <c r="I46" s="2055"/>
      <c r="J46" s="2055"/>
      <c r="K46" s="2055"/>
      <c r="L46" s="2055"/>
      <c r="M46" s="2055"/>
      <c r="N46" s="2055"/>
      <c r="O46" s="2055"/>
      <c r="P46" s="2055"/>
      <c r="Q46" s="2055"/>
      <c r="R46" s="2055"/>
      <c r="S46" s="2055"/>
      <c r="T46" s="2055"/>
      <c r="U46" s="2055"/>
      <c r="V46" s="1705"/>
      <c r="W46" s="314"/>
      <c r="X46" s="499"/>
      <c r="Z46" s="748"/>
      <c r="AA46" s="748"/>
      <c r="AB46" s="749"/>
      <c r="AC46" s="750"/>
    </row>
    <row r="47" spans="1:29" ht="27" hidden="1" customHeight="1" outlineLevel="1">
      <c r="A47" s="52"/>
      <c r="B47" s="2047"/>
      <c r="C47" s="2046"/>
      <c r="D47" s="761"/>
      <c r="E47" s="755"/>
      <c r="F47" s="759"/>
      <c r="G47" s="2047"/>
      <c r="H47" s="2055"/>
      <c r="I47" s="2055"/>
      <c r="J47" s="2055"/>
      <c r="K47" s="2055"/>
      <c r="L47" s="2055"/>
      <c r="M47" s="2055"/>
      <c r="N47" s="2055"/>
      <c r="O47" s="2055"/>
      <c r="P47" s="2055"/>
      <c r="Q47" s="2055"/>
      <c r="R47" s="2055"/>
      <c r="S47" s="2055"/>
      <c r="T47" s="2055"/>
      <c r="U47" s="2055"/>
      <c r="V47" s="1705"/>
      <c r="W47" s="314"/>
      <c r="X47" s="499"/>
      <c r="Z47" s="748"/>
      <c r="AA47" s="748"/>
      <c r="AB47" s="749"/>
      <c r="AC47" s="750"/>
    </row>
    <row r="48" spans="1:29" ht="27" hidden="1" customHeight="1" outlineLevel="1" thickBot="1">
      <c r="A48" s="52"/>
      <c r="B48" s="2048"/>
      <c r="C48" s="2049"/>
      <c r="D48" s="762"/>
      <c r="E48" s="760"/>
      <c r="F48" s="140"/>
      <c r="G48" s="2056"/>
      <c r="H48" s="2057"/>
      <c r="I48" s="2057"/>
      <c r="J48" s="2057"/>
      <c r="K48" s="2057"/>
      <c r="L48" s="2057"/>
      <c r="M48" s="2057"/>
      <c r="N48" s="2057"/>
      <c r="O48" s="2057"/>
      <c r="P48" s="2057"/>
      <c r="Q48" s="2057"/>
      <c r="R48" s="2057"/>
      <c r="S48" s="2057"/>
      <c r="T48" s="2057"/>
      <c r="U48" s="2057"/>
      <c r="V48" s="1644"/>
      <c r="W48" s="314"/>
      <c r="X48" s="499"/>
      <c r="Z48" s="748"/>
      <c r="AA48" s="748"/>
      <c r="AB48" s="749"/>
      <c r="AC48" s="750"/>
    </row>
    <row r="49" spans="1:29" ht="20.100000000000001" customHeight="1">
      <c r="X49" s="499"/>
    </row>
    <row r="50" spans="1:29" ht="14.25" customHeight="1">
      <c r="X50" s="499"/>
    </row>
    <row r="51" spans="1:29" ht="14.25" customHeight="1">
      <c r="X51" s="499"/>
    </row>
    <row r="52" spans="1:29" ht="14.25" customHeight="1">
      <c r="X52" s="499"/>
    </row>
    <row r="53" spans="1:29" ht="14.25" customHeight="1">
      <c r="X53" s="499"/>
    </row>
    <row r="54" spans="1:29" ht="14.25" customHeight="1">
      <c r="X54" s="499"/>
    </row>
    <row r="55" spans="1:29" ht="19.5" thickBot="1">
      <c r="X55" s="499"/>
      <c r="Y55" s="744" t="s">
        <v>561</v>
      </c>
    </row>
    <row r="56" spans="1:29" ht="14.1" customHeight="1">
      <c r="A56" s="52"/>
      <c r="B56" s="2040" t="s">
        <v>770</v>
      </c>
      <c r="C56" s="1790"/>
      <c r="D56" s="1790"/>
      <c r="E56" s="2033" t="s">
        <v>79</v>
      </c>
      <c r="F56" s="2036" t="s">
        <v>852</v>
      </c>
      <c r="G56" s="2065" t="s">
        <v>137</v>
      </c>
      <c r="H56" s="2066"/>
      <c r="I56" s="2066"/>
      <c r="J56" s="2066"/>
      <c r="K56" s="2066"/>
      <c r="L56" s="2066"/>
      <c r="M56" s="2066"/>
      <c r="N56" s="2066"/>
      <c r="O56" s="2066"/>
      <c r="P56" s="2066"/>
      <c r="Q56" s="2066"/>
      <c r="R56" s="2066"/>
      <c r="S56" s="2066"/>
      <c r="T56" s="2066"/>
      <c r="U56" s="2066"/>
      <c r="V56" s="2067"/>
      <c r="X56" s="499"/>
      <c r="Z56" s="2074" t="s">
        <v>151</v>
      </c>
      <c r="AA56" s="2075"/>
      <c r="AB56" s="2075"/>
      <c r="AC56" s="2076" t="s">
        <v>355</v>
      </c>
    </row>
    <row r="57" spans="1:29" ht="14.1" customHeight="1">
      <c r="A57" s="52"/>
      <c r="B57" s="2041"/>
      <c r="C57" s="2042"/>
      <c r="D57" s="2042"/>
      <c r="E57" s="2034"/>
      <c r="F57" s="2037"/>
      <c r="G57" s="2068"/>
      <c r="H57" s="2069"/>
      <c r="I57" s="2069"/>
      <c r="J57" s="2069"/>
      <c r="K57" s="2069"/>
      <c r="L57" s="2069"/>
      <c r="M57" s="2069"/>
      <c r="N57" s="2069"/>
      <c r="O57" s="2069"/>
      <c r="P57" s="2069"/>
      <c r="Q57" s="2069"/>
      <c r="R57" s="2069"/>
      <c r="S57" s="2069"/>
      <c r="T57" s="2069"/>
      <c r="U57" s="2069"/>
      <c r="V57" s="2070"/>
      <c r="X57" s="499"/>
      <c r="Z57" s="2075"/>
      <c r="AA57" s="2075"/>
      <c r="AB57" s="2075"/>
      <c r="AC57" s="2077"/>
    </row>
    <row r="58" spans="1:29" ht="14.1" customHeight="1">
      <c r="A58" s="52"/>
      <c r="B58" s="2041"/>
      <c r="C58" s="2042"/>
      <c r="D58" s="2042"/>
      <c r="E58" s="2034"/>
      <c r="F58" s="2038"/>
      <c r="G58" s="2068"/>
      <c r="H58" s="2069"/>
      <c r="I58" s="2069"/>
      <c r="J58" s="2069"/>
      <c r="K58" s="2069"/>
      <c r="L58" s="2069"/>
      <c r="M58" s="2069"/>
      <c r="N58" s="2069"/>
      <c r="O58" s="2069"/>
      <c r="P58" s="2069"/>
      <c r="Q58" s="2069"/>
      <c r="R58" s="2069"/>
      <c r="S58" s="2069"/>
      <c r="T58" s="2069"/>
      <c r="U58" s="2069"/>
      <c r="V58" s="2070"/>
      <c r="X58" s="499"/>
      <c r="Z58" s="2075"/>
      <c r="AA58" s="2075"/>
      <c r="AB58" s="2075"/>
      <c r="AC58" s="2078" t="s">
        <v>853</v>
      </c>
    </row>
    <row r="59" spans="1:29" ht="14.1" customHeight="1">
      <c r="A59" s="52"/>
      <c r="B59" s="2041"/>
      <c r="C59" s="2042"/>
      <c r="D59" s="2042"/>
      <c r="E59" s="2034"/>
      <c r="F59" s="2038"/>
      <c r="G59" s="2068"/>
      <c r="H59" s="2069"/>
      <c r="I59" s="2069"/>
      <c r="J59" s="2069"/>
      <c r="K59" s="2069"/>
      <c r="L59" s="2069"/>
      <c r="M59" s="2069"/>
      <c r="N59" s="2069"/>
      <c r="O59" s="2069"/>
      <c r="P59" s="2069"/>
      <c r="Q59" s="2069"/>
      <c r="R59" s="2069"/>
      <c r="S59" s="2069"/>
      <c r="T59" s="2069"/>
      <c r="U59" s="2069"/>
      <c r="V59" s="2070"/>
      <c r="X59" s="499"/>
      <c r="Z59" s="2075"/>
      <c r="AA59" s="2075"/>
      <c r="AB59" s="2075"/>
      <c r="AC59" s="2079"/>
    </row>
    <row r="60" spans="1:29" ht="14.1" customHeight="1" thickBot="1">
      <c r="A60" s="52"/>
      <c r="B60" s="2043"/>
      <c r="C60" s="2044"/>
      <c r="D60" s="2044"/>
      <c r="E60" s="2035"/>
      <c r="F60" s="2039"/>
      <c r="G60" s="2071"/>
      <c r="H60" s="2072"/>
      <c r="I60" s="2072"/>
      <c r="J60" s="2072"/>
      <c r="K60" s="2072"/>
      <c r="L60" s="2072"/>
      <c r="M60" s="2072"/>
      <c r="N60" s="2072"/>
      <c r="O60" s="2072"/>
      <c r="P60" s="2072"/>
      <c r="Q60" s="2072"/>
      <c r="R60" s="2072"/>
      <c r="S60" s="2072"/>
      <c r="T60" s="2072"/>
      <c r="U60" s="2072"/>
      <c r="V60" s="2073"/>
      <c r="X60" s="499"/>
      <c r="Z60" s="2075"/>
      <c r="AA60" s="2075"/>
      <c r="AB60" s="2075"/>
      <c r="AC60" s="2080"/>
    </row>
    <row r="61" spans="1:29" ht="27" customHeight="1" thickTop="1" thickBot="1">
      <c r="A61" s="52"/>
      <c r="B61" s="745"/>
      <c r="C61" s="746"/>
      <c r="D61" s="747" t="s">
        <v>138</v>
      </c>
      <c r="E61" s="763"/>
      <c r="F61" s="752"/>
      <c r="G61" s="2016" t="s">
        <v>790</v>
      </c>
      <c r="H61" s="2017"/>
      <c r="I61" s="2017"/>
      <c r="J61" s="2017"/>
      <c r="K61" s="2017"/>
      <c r="L61" s="2017"/>
      <c r="M61" s="2017"/>
      <c r="N61" s="2017"/>
      <c r="O61" s="2017"/>
      <c r="P61" s="2017"/>
      <c r="Q61" s="2017"/>
      <c r="R61" s="2017"/>
      <c r="S61" s="2017"/>
      <c r="T61" s="2017"/>
      <c r="U61" s="2017"/>
      <c r="V61" s="2018"/>
      <c r="X61" s="499"/>
      <c r="Z61" s="2031" t="s">
        <v>139</v>
      </c>
      <c r="AA61" s="1558"/>
      <c r="AB61" s="2032"/>
      <c r="AC61" s="995">
        <f>IF(E61&gt;0,ROUND( E61 * F61 / 100,0), IF(E61=0,ROUND( SUMPRODUCT(E62:E91,F62:F91 / 100),0), ""))</f>
        <v>0</v>
      </c>
    </row>
    <row r="62" spans="1:29" ht="27" customHeight="1" thickTop="1">
      <c r="A62" s="52"/>
      <c r="B62" s="2011" t="s">
        <v>139</v>
      </c>
      <c r="C62" s="2058"/>
      <c r="D62" s="768"/>
      <c r="E62" s="764"/>
      <c r="F62" s="754"/>
      <c r="G62" s="2019"/>
      <c r="H62" s="2019"/>
      <c r="I62" s="2019"/>
      <c r="J62" s="2019"/>
      <c r="K62" s="2019"/>
      <c r="L62" s="2019"/>
      <c r="M62" s="2019"/>
      <c r="N62" s="2019"/>
      <c r="O62" s="2019"/>
      <c r="P62" s="2019"/>
      <c r="Q62" s="2019"/>
      <c r="R62" s="2019"/>
      <c r="S62" s="2019"/>
      <c r="T62" s="2019"/>
      <c r="U62" s="2019"/>
      <c r="V62" s="2020"/>
      <c r="X62" s="499"/>
      <c r="Z62" s="748"/>
      <c r="AA62" s="748"/>
      <c r="AB62" s="749"/>
      <c r="AC62" s="750"/>
    </row>
    <row r="63" spans="1:29" ht="27" customHeight="1">
      <c r="A63" s="52"/>
      <c r="B63" s="2059"/>
      <c r="C63" s="2058"/>
      <c r="D63" s="768"/>
      <c r="E63" s="765"/>
      <c r="F63" s="756"/>
      <c r="G63" s="2019"/>
      <c r="H63" s="2019"/>
      <c r="I63" s="2019"/>
      <c r="J63" s="2019"/>
      <c r="K63" s="2019"/>
      <c r="L63" s="2019"/>
      <c r="M63" s="2019"/>
      <c r="N63" s="2019"/>
      <c r="O63" s="2019"/>
      <c r="P63" s="2019"/>
      <c r="Q63" s="2019"/>
      <c r="R63" s="2019"/>
      <c r="S63" s="2019"/>
      <c r="T63" s="2019"/>
      <c r="U63" s="2019"/>
      <c r="V63" s="2020"/>
      <c r="X63" s="499"/>
      <c r="Z63" s="748"/>
      <c r="AA63" s="748"/>
      <c r="AB63" s="749"/>
      <c r="AC63" s="750"/>
    </row>
    <row r="64" spans="1:29" ht="27" customHeight="1">
      <c r="A64" s="52"/>
      <c r="B64" s="2059"/>
      <c r="C64" s="2058"/>
      <c r="D64" s="768"/>
      <c r="E64" s="765"/>
      <c r="F64" s="756"/>
      <c r="G64" s="2019"/>
      <c r="H64" s="2019"/>
      <c r="I64" s="2019"/>
      <c r="J64" s="2019"/>
      <c r="K64" s="2019"/>
      <c r="L64" s="2019"/>
      <c r="M64" s="2019"/>
      <c r="N64" s="2019"/>
      <c r="O64" s="2019"/>
      <c r="P64" s="2019"/>
      <c r="Q64" s="2019"/>
      <c r="R64" s="2019"/>
      <c r="S64" s="2019"/>
      <c r="T64" s="2019"/>
      <c r="U64" s="2019"/>
      <c r="V64" s="2020"/>
      <c r="X64" s="499"/>
      <c r="Z64" s="748"/>
      <c r="AA64" s="748"/>
      <c r="AB64" s="749"/>
      <c r="AC64" s="750"/>
    </row>
    <row r="65" spans="1:29" ht="27" customHeight="1">
      <c r="A65" s="52"/>
      <c r="B65" s="2059"/>
      <c r="C65" s="2058"/>
      <c r="D65" s="768"/>
      <c r="E65" s="765"/>
      <c r="F65" s="756"/>
      <c r="G65" s="2019"/>
      <c r="H65" s="2019"/>
      <c r="I65" s="2019"/>
      <c r="J65" s="2019"/>
      <c r="K65" s="2019"/>
      <c r="L65" s="2019"/>
      <c r="M65" s="2019"/>
      <c r="N65" s="2019"/>
      <c r="O65" s="2019"/>
      <c r="P65" s="2019"/>
      <c r="Q65" s="2019"/>
      <c r="R65" s="2019"/>
      <c r="S65" s="2019"/>
      <c r="T65" s="2019"/>
      <c r="U65" s="2019"/>
      <c r="V65" s="2020"/>
      <c r="X65" s="499"/>
      <c r="Z65" s="748"/>
      <c r="AA65" s="748"/>
      <c r="AB65" s="749"/>
      <c r="AC65" s="750"/>
    </row>
    <row r="66" spans="1:29" ht="27" customHeight="1">
      <c r="A66" s="52"/>
      <c r="B66" s="2059"/>
      <c r="C66" s="2058"/>
      <c r="D66" s="768"/>
      <c r="E66" s="765"/>
      <c r="F66" s="756"/>
      <c r="G66" s="2019"/>
      <c r="H66" s="2019"/>
      <c r="I66" s="2019"/>
      <c r="J66" s="2019"/>
      <c r="K66" s="2019"/>
      <c r="L66" s="2019"/>
      <c r="M66" s="2019"/>
      <c r="N66" s="2019"/>
      <c r="O66" s="2019"/>
      <c r="P66" s="2019"/>
      <c r="Q66" s="2019"/>
      <c r="R66" s="2019"/>
      <c r="S66" s="2019"/>
      <c r="T66" s="2019"/>
      <c r="U66" s="2019"/>
      <c r="V66" s="2020"/>
      <c r="X66" s="499"/>
      <c r="Z66" s="751"/>
      <c r="AA66" s="751"/>
      <c r="AB66" s="749"/>
      <c r="AC66" s="750"/>
    </row>
    <row r="67" spans="1:29" ht="27" customHeight="1">
      <c r="A67" s="52"/>
      <c r="B67" s="2059"/>
      <c r="C67" s="2058"/>
      <c r="D67" s="768"/>
      <c r="E67" s="765"/>
      <c r="F67" s="756"/>
      <c r="G67" s="2019"/>
      <c r="H67" s="2019"/>
      <c r="I67" s="2019"/>
      <c r="J67" s="2019"/>
      <c r="K67" s="2019"/>
      <c r="L67" s="2019"/>
      <c r="M67" s="2019"/>
      <c r="N67" s="2019"/>
      <c r="O67" s="2019"/>
      <c r="P67" s="2019"/>
      <c r="Q67" s="2019"/>
      <c r="R67" s="2019"/>
      <c r="S67" s="2019"/>
      <c r="T67" s="2019"/>
      <c r="U67" s="2019"/>
      <c r="V67" s="2020"/>
      <c r="X67" s="499"/>
      <c r="Z67" s="751"/>
      <c r="AA67" s="751"/>
      <c r="AB67" s="749"/>
      <c r="AC67" s="750"/>
    </row>
    <row r="68" spans="1:29" ht="27" customHeight="1" collapsed="1">
      <c r="A68" s="52"/>
      <c r="B68" s="2060"/>
      <c r="C68" s="2061"/>
      <c r="D68" s="768"/>
      <c r="E68" s="766"/>
      <c r="F68" s="758"/>
      <c r="G68" s="2021"/>
      <c r="H68" s="2021"/>
      <c r="I68" s="2021"/>
      <c r="J68" s="2021"/>
      <c r="K68" s="2021"/>
      <c r="L68" s="2021"/>
      <c r="M68" s="2021"/>
      <c r="N68" s="2021"/>
      <c r="O68" s="2021"/>
      <c r="P68" s="2021"/>
      <c r="Q68" s="2021"/>
      <c r="R68" s="2021"/>
      <c r="S68" s="2021"/>
      <c r="T68" s="2021"/>
      <c r="U68" s="2021"/>
      <c r="V68" s="2022"/>
      <c r="X68" s="499"/>
      <c r="Z68" s="748"/>
      <c r="AA68" s="748"/>
      <c r="AB68" s="749"/>
      <c r="AC68" s="750"/>
    </row>
    <row r="69" spans="1:29" ht="27" hidden="1" customHeight="1" outlineLevel="1">
      <c r="A69" s="52"/>
      <c r="B69" s="2009"/>
      <c r="C69" s="2010"/>
      <c r="D69" s="769"/>
      <c r="E69" s="765"/>
      <c r="F69" s="759"/>
      <c r="G69" s="2023"/>
      <c r="H69" s="2024"/>
      <c r="I69" s="2024"/>
      <c r="J69" s="2024"/>
      <c r="K69" s="2024"/>
      <c r="L69" s="2024"/>
      <c r="M69" s="2024"/>
      <c r="N69" s="2024"/>
      <c r="O69" s="2024"/>
      <c r="P69" s="2024"/>
      <c r="Q69" s="2024"/>
      <c r="R69" s="2024"/>
      <c r="S69" s="2024"/>
      <c r="T69" s="2024"/>
      <c r="U69" s="2024"/>
      <c r="V69" s="2025"/>
      <c r="X69" s="499"/>
      <c r="Z69" s="748"/>
      <c r="AA69" s="748"/>
      <c r="AB69" s="749"/>
      <c r="AC69" s="750"/>
    </row>
    <row r="70" spans="1:29" ht="27" hidden="1" customHeight="1" outlineLevel="1">
      <c r="A70" s="52"/>
      <c r="B70" s="2011"/>
      <c r="C70" s="2012"/>
      <c r="D70" s="769"/>
      <c r="E70" s="765"/>
      <c r="F70" s="759"/>
      <c r="G70" s="2026"/>
      <c r="H70" s="2019"/>
      <c r="I70" s="2019"/>
      <c r="J70" s="2019"/>
      <c r="K70" s="2019"/>
      <c r="L70" s="2019"/>
      <c r="M70" s="2019"/>
      <c r="N70" s="2019"/>
      <c r="O70" s="2019"/>
      <c r="P70" s="2019"/>
      <c r="Q70" s="2019"/>
      <c r="R70" s="2019"/>
      <c r="S70" s="2019"/>
      <c r="T70" s="2019"/>
      <c r="U70" s="2019"/>
      <c r="V70" s="2020"/>
      <c r="X70" s="499"/>
      <c r="Z70" s="748"/>
      <c r="AA70" s="748"/>
      <c r="AB70" s="749"/>
      <c r="AC70" s="750"/>
    </row>
    <row r="71" spans="1:29" ht="27" hidden="1" customHeight="1" outlineLevel="1">
      <c r="A71" s="52"/>
      <c r="B71" s="2011"/>
      <c r="C71" s="2012"/>
      <c r="D71" s="769"/>
      <c r="E71" s="765"/>
      <c r="F71" s="759"/>
      <c r="G71" s="2026"/>
      <c r="H71" s="2019"/>
      <c r="I71" s="2019"/>
      <c r="J71" s="2019"/>
      <c r="K71" s="2019"/>
      <c r="L71" s="2019"/>
      <c r="M71" s="2019"/>
      <c r="N71" s="2019"/>
      <c r="O71" s="2019"/>
      <c r="P71" s="2019"/>
      <c r="Q71" s="2019"/>
      <c r="R71" s="2019"/>
      <c r="S71" s="2019"/>
      <c r="T71" s="2019"/>
      <c r="U71" s="2019"/>
      <c r="V71" s="2020"/>
      <c r="X71" s="499"/>
      <c r="Z71" s="748"/>
      <c r="AA71" s="748"/>
      <c r="AB71" s="749"/>
      <c r="AC71" s="750"/>
    </row>
    <row r="72" spans="1:29" ht="27" hidden="1" customHeight="1" outlineLevel="1">
      <c r="A72" s="52"/>
      <c r="B72" s="2011"/>
      <c r="C72" s="2012"/>
      <c r="D72" s="769"/>
      <c r="E72" s="765"/>
      <c r="F72" s="759"/>
      <c r="G72" s="2026"/>
      <c r="H72" s="2019"/>
      <c r="I72" s="2019"/>
      <c r="J72" s="2019"/>
      <c r="K72" s="2019"/>
      <c r="L72" s="2019"/>
      <c r="M72" s="2019"/>
      <c r="N72" s="2019"/>
      <c r="O72" s="2019"/>
      <c r="P72" s="2019"/>
      <c r="Q72" s="2019"/>
      <c r="R72" s="2019"/>
      <c r="S72" s="2019"/>
      <c r="T72" s="2019"/>
      <c r="U72" s="2019"/>
      <c r="V72" s="2020"/>
      <c r="X72" s="499"/>
      <c r="Z72" s="748"/>
      <c r="AA72" s="748"/>
      <c r="AB72" s="749"/>
      <c r="AC72" s="750"/>
    </row>
    <row r="73" spans="1:29" ht="27" hidden="1" customHeight="1" outlineLevel="1">
      <c r="A73" s="52"/>
      <c r="B73" s="2011"/>
      <c r="C73" s="2012"/>
      <c r="D73" s="769"/>
      <c r="E73" s="765"/>
      <c r="F73" s="759"/>
      <c r="G73" s="2026"/>
      <c r="H73" s="2019"/>
      <c r="I73" s="2019"/>
      <c r="J73" s="2019"/>
      <c r="K73" s="2019"/>
      <c r="L73" s="2019"/>
      <c r="M73" s="2019"/>
      <c r="N73" s="2019"/>
      <c r="O73" s="2019"/>
      <c r="P73" s="2019"/>
      <c r="Q73" s="2019"/>
      <c r="R73" s="2019"/>
      <c r="S73" s="2019"/>
      <c r="T73" s="2019"/>
      <c r="U73" s="2019"/>
      <c r="V73" s="2020"/>
      <c r="X73" s="499"/>
      <c r="Z73" s="748"/>
      <c r="AA73" s="748"/>
      <c r="AB73" s="749"/>
      <c r="AC73" s="750"/>
    </row>
    <row r="74" spans="1:29" ht="27" hidden="1" customHeight="1" outlineLevel="1">
      <c r="A74" s="52"/>
      <c r="B74" s="2011"/>
      <c r="C74" s="2012"/>
      <c r="D74" s="769"/>
      <c r="E74" s="765"/>
      <c r="F74" s="759"/>
      <c r="G74" s="2026"/>
      <c r="H74" s="2019"/>
      <c r="I74" s="2019"/>
      <c r="J74" s="2019"/>
      <c r="K74" s="2019"/>
      <c r="L74" s="2019"/>
      <c r="M74" s="2019"/>
      <c r="N74" s="2019"/>
      <c r="O74" s="2019"/>
      <c r="P74" s="2019"/>
      <c r="Q74" s="2019"/>
      <c r="R74" s="2019"/>
      <c r="S74" s="2019"/>
      <c r="T74" s="2019"/>
      <c r="U74" s="2019"/>
      <c r="V74" s="2020"/>
      <c r="X74" s="499"/>
      <c r="Z74" s="751"/>
      <c r="AA74" s="751"/>
      <c r="AB74" s="749"/>
      <c r="AC74" s="750"/>
    </row>
    <row r="75" spans="1:29" ht="27" hidden="1" customHeight="1" outlineLevel="1">
      <c r="A75" s="52"/>
      <c r="B75" s="2011"/>
      <c r="C75" s="2012"/>
      <c r="D75" s="769"/>
      <c r="E75" s="765"/>
      <c r="F75" s="759"/>
      <c r="G75" s="2026"/>
      <c r="H75" s="2019"/>
      <c r="I75" s="2019"/>
      <c r="J75" s="2019"/>
      <c r="K75" s="2019"/>
      <c r="L75" s="2019"/>
      <c r="M75" s="2019"/>
      <c r="N75" s="2019"/>
      <c r="O75" s="2019"/>
      <c r="P75" s="2019"/>
      <c r="Q75" s="2019"/>
      <c r="R75" s="2019"/>
      <c r="S75" s="2019"/>
      <c r="T75" s="2019"/>
      <c r="U75" s="2019"/>
      <c r="V75" s="2020"/>
      <c r="X75" s="499"/>
      <c r="Z75" s="751"/>
      <c r="AA75" s="751"/>
      <c r="AB75" s="749"/>
      <c r="AC75" s="750"/>
    </row>
    <row r="76" spans="1:29" ht="27" hidden="1" customHeight="1" outlineLevel="1">
      <c r="A76" s="52"/>
      <c r="B76" s="2011"/>
      <c r="C76" s="2012"/>
      <c r="D76" s="769"/>
      <c r="E76" s="765"/>
      <c r="F76" s="759"/>
      <c r="G76" s="2026"/>
      <c r="H76" s="2019"/>
      <c r="I76" s="2019"/>
      <c r="J76" s="2019"/>
      <c r="K76" s="2019"/>
      <c r="L76" s="2019"/>
      <c r="M76" s="2019"/>
      <c r="N76" s="2019"/>
      <c r="O76" s="2019"/>
      <c r="P76" s="2019"/>
      <c r="Q76" s="2019"/>
      <c r="R76" s="2019"/>
      <c r="S76" s="2019"/>
      <c r="T76" s="2019"/>
      <c r="U76" s="2019"/>
      <c r="V76" s="2020"/>
      <c r="X76" s="499"/>
      <c r="Z76" s="748"/>
      <c r="AA76" s="748"/>
      <c r="AB76" s="749"/>
      <c r="AC76" s="750"/>
    </row>
    <row r="77" spans="1:29" ht="27" hidden="1" customHeight="1" outlineLevel="1">
      <c r="A77" s="52"/>
      <c r="B77" s="2011"/>
      <c r="C77" s="2012"/>
      <c r="D77" s="769"/>
      <c r="E77" s="765"/>
      <c r="F77" s="759"/>
      <c r="G77" s="2026"/>
      <c r="H77" s="2019"/>
      <c r="I77" s="2019"/>
      <c r="J77" s="2019"/>
      <c r="K77" s="2019"/>
      <c r="L77" s="2019"/>
      <c r="M77" s="2019"/>
      <c r="N77" s="2019"/>
      <c r="O77" s="2019"/>
      <c r="P77" s="2019"/>
      <c r="Q77" s="2019"/>
      <c r="R77" s="2019"/>
      <c r="S77" s="2019"/>
      <c r="T77" s="2019"/>
      <c r="U77" s="2019"/>
      <c r="V77" s="2020"/>
      <c r="X77" s="499"/>
      <c r="Z77" s="748"/>
      <c r="AA77" s="748"/>
      <c r="AB77" s="749"/>
      <c r="AC77" s="750"/>
    </row>
    <row r="78" spans="1:29" ht="27" hidden="1" customHeight="1" outlineLevel="1">
      <c r="A78" s="52"/>
      <c r="B78" s="2011"/>
      <c r="C78" s="2012"/>
      <c r="D78" s="769"/>
      <c r="E78" s="765"/>
      <c r="F78" s="759"/>
      <c r="G78" s="2026"/>
      <c r="H78" s="2019"/>
      <c r="I78" s="2019"/>
      <c r="J78" s="2019"/>
      <c r="K78" s="2019"/>
      <c r="L78" s="2019"/>
      <c r="M78" s="2019"/>
      <c r="N78" s="2019"/>
      <c r="O78" s="2019"/>
      <c r="P78" s="2019"/>
      <c r="Q78" s="2019"/>
      <c r="R78" s="2019"/>
      <c r="S78" s="2019"/>
      <c r="T78" s="2019"/>
      <c r="U78" s="2019"/>
      <c r="V78" s="2020"/>
      <c r="X78" s="499"/>
      <c r="Z78" s="748"/>
      <c r="AA78" s="748"/>
      <c r="AB78" s="749"/>
      <c r="AC78" s="750"/>
    </row>
    <row r="79" spans="1:29" ht="27" hidden="1" customHeight="1" outlineLevel="1">
      <c r="A79" s="52"/>
      <c r="B79" s="2011"/>
      <c r="C79" s="2012"/>
      <c r="D79" s="769"/>
      <c r="E79" s="765"/>
      <c r="F79" s="759"/>
      <c r="G79" s="2026"/>
      <c r="H79" s="2019"/>
      <c r="I79" s="2019"/>
      <c r="J79" s="2019"/>
      <c r="K79" s="2019"/>
      <c r="L79" s="2019"/>
      <c r="M79" s="2019"/>
      <c r="N79" s="2019"/>
      <c r="O79" s="2019"/>
      <c r="P79" s="2019"/>
      <c r="Q79" s="2019"/>
      <c r="R79" s="2019"/>
      <c r="S79" s="2019"/>
      <c r="T79" s="2019"/>
      <c r="U79" s="2019"/>
      <c r="V79" s="2020"/>
      <c r="X79" s="499"/>
      <c r="Z79" s="751"/>
      <c r="AA79" s="751"/>
      <c r="AB79" s="749"/>
      <c r="AC79" s="750"/>
    </row>
    <row r="80" spans="1:29" ht="27" hidden="1" customHeight="1" outlineLevel="1">
      <c r="A80" s="52"/>
      <c r="B80" s="2011"/>
      <c r="C80" s="2012"/>
      <c r="D80" s="769"/>
      <c r="E80" s="765"/>
      <c r="F80" s="759"/>
      <c r="G80" s="2026"/>
      <c r="H80" s="2019"/>
      <c r="I80" s="2019"/>
      <c r="J80" s="2019"/>
      <c r="K80" s="2019"/>
      <c r="L80" s="2019"/>
      <c r="M80" s="2019"/>
      <c r="N80" s="2019"/>
      <c r="O80" s="2019"/>
      <c r="P80" s="2019"/>
      <c r="Q80" s="2019"/>
      <c r="R80" s="2019"/>
      <c r="S80" s="2019"/>
      <c r="T80" s="2019"/>
      <c r="U80" s="2019"/>
      <c r="V80" s="2020"/>
      <c r="X80" s="499"/>
      <c r="Z80" s="751"/>
      <c r="AA80" s="751"/>
      <c r="AB80" s="749"/>
      <c r="AC80" s="750"/>
    </row>
    <row r="81" spans="1:29" ht="27" hidden="1" customHeight="1" outlineLevel="1">
      <c r="A81" s="52"/>
      <c r="B81" s="2011"/>
      <c r="C81" s="2012"/>
      <c r="D81" s="769"/>
      <c r="E81" s="765"/>
      <c r="F81" s="759"/>
      <c r="G81" s="2026"/>
      <c r="H81" s="2019"/>
      <c r="I81" s="2019"/>
      <c r="J81" s="2019"/>
      <c r="K81" s="2019"/>
      <c r="L81" s="2019"/>
      <c r="M81" s="2019"/>
      <c r="N81" s="2019"/>
      <c r="O81" s="2019"/>
      <c r="P81" s="2019"/>
      <c r="Q81" s="2019"/>
      <c r="R81" s="2019"/>
      <c r="S81" s="2019"/>
      <c r="T81" s="2019"/>
      <c r="U81" s="2019"/>
      <c r="V81" s="2020"/>
      <c r="X81" s="499"/>
      <c r="Z81" s="748"/>
      <c r="AA81" s="748"/>
      <c r="AB81" s="749"/>
      <c r="AC81" s="750"/>
    </row>
    <row r="82" spans="1:29" ht="27" hidden="1" customHeight="1" outlineLevel="1">
      <c r="A82" s="52"/>
      <c r="B82" s="2011"/>
      <c r="C82" s="2012"/>
      <c r="D82" s="769"/>
      <c r="E82" s="765"/>
      <c r="F82" s="759"/>
      <c r="G82" s="2026"/>
      <c r="H82" s="2019"/>
      <c r="I82" s="2019"/>
      <c r="J82" s="2019"/>
      <c r="K82" s="2019"/>
      <c r="L82" s="2019"/>
      <c r="M82" s="2019"/>
      <c r="N82" s="2019"/>
      <c r="O82" s="2019"/>
      <c r="P82" s="2019"/>
      <c r="Q82" s="2019"/>
      <c r="R82" s="2019"/>
      <c r="S82" s="2019"/>
      <c r="T82" s="2019"/>
      <c r="U82" s="2019"/>
      <c r="V82" s="2020"/>
      <c r="X82" s="499"/>
      <c r="Z82" s="748"/>
      <c r="AA82" s="748"/>
      <c r="AB82" s="749"/>
      <c r="AC82" s="750"/>
    </row>
    <row r="83" spans="1:29" ht="27" hidden="1" customHeight="1" outlineLevel="1">
      <c r="A83" s="52"/>
      <c r="B83" s="2011"/>
      <c r="C83" s="2012"/>
      <c r="D83" s="769"/>
      <c r="E83" s="765"/>
      <c r="F83" s="759"/>
      <c r="G83" s="2026"/>
      <c r="H83" s="2019"/>
      <c r="I83" s="2019"/>
      <c r="J83" s="2019"/>
      <c r="K83" s="2019"/>
      <c r="L83" s="2019"/>
      <c r="M83" s="2019"/>
      <c r="N83" s="2019"/>
      <c r="O83" s="2019"/>
      <c r="P83" s="2019"/>
      <c r="Q83" s="2019"/>
      <c r="R83" s="2019"/>
      <c r="S83" s="2019"/>
      <c r="T83" s="2019"/>
      <c r="U83" s="2019"/>
      <c r="V83" s="2020"/>
      <c r="X83" s="499"/>
      <c r="Z83" s="748"/>
      <c r="AA83" s="748"/>
      <c r="AB83" s="749"/>
      <c r="AC83" s="750"/>
    </row>
    <row r="84" spans="1:29" ht="27" hidden="1" customHeight="1" outlineLevel="1">
      <c r="A84" s="52"/>
      <c r="B84" s="2011"/>
      <c r="C84" s="2012"/>
      <c r="D84" s="769"/>
      <c r="E84" s="765"/>
      <c r="F84" s="759"/>
      <c r="G84" s="2026"/>
      <c r="H84" s="2019"/>
      <c r="I84" s="2019"/>
      <c r="J84" s="2019"/>
      <c r="K84" s="2019"/>
      <c r="L84" s="2019"/>
      <c r="M84" s="2019"/>
      <c r="N84" s="2019"/>
      <c r="O84" s="2019"/>
      <c r="P84" s="2019"/>
      <c r="Q84" s="2019"/>
      <c r="R84" s="2019"/>
      <c r="S84" s="2019"/>
      <c r="T84" s="2019"/>
      <c r="U84" s="2019"/>
      <c r="V84" s="2020"/>
      <c r="X84" s="499"/>
      <c r="Z84" s="751"/>
      <c r="AA84" s="751"/>
      <c r="AB84" s="749"/>
      <c r="AC84" s="750"/>
    </row>
    <row r="85" spans="1:29" ht="27" hidden="1" customHeight="1" outlineLevel="1">
      <c r="A85" s="52"/>
      <c r="B85" s="2011"/>
      <c r="C85" s="2012"/>
      <c r="D85" s="769"/>
      <c r="E85" s="765"/>
      <c r="F85" s="759"/>
      <c r="G85" s="2026"/>
      <c r="H85" s="2019"/>
      <c r="I85" s="2019"/>
      <c r="J85" s="2019"/>
      <c r="K85" s="2019"/>
      <c r="L85" s="2019"/>
      <c r="M85" s="2019"/>
      <c r="N85" s="2019"/>
      <c r="O85" s="2019"/>
      <c r="P85" s="2019"/>
      <c r="Q85" s="2019"/>
      <c r="R85" s="2019"/>
      <c r="S85" s="2019"/>
      <c r="T85" s="2019"/>
      <c r="U85" s="2019"/>
      <c r="V85" s="2020"/>
      <c r="X85" s="499"/>
      <c r="Z85" s="751"/>
      <c r="AA85" s="751"/>
      <c r="AB85" s="749"/>
      <c r="AC85" s="750"/>
    </row>
    <row r="86" spans="1:29" ht="27" hidden="1" customHeight="1" outlineLevel="1">
      <c r="A86" s="52"/>
      <c r="B86" s="2011"/>
      <c r="C86" s="2012"/>
      <c r="D86" s="769"/>
      <c r="E86" s="765"/>
      <c r="F86" s="759"/>
      <c r="G86" s="2026"/>
      <c r="H86" s="2019"/>
      <c r="I86" s="2019"/>
      <c r="J86" s="2019"/>
      <c r="K86" s="2019"/>
      <c r="L86" s="2019"/>
      <c r="M86" s="2019"/>
      <c r="N86" s="2019"/>
      <c r="O86" s="2019"/>
      <c r="P86" s="2019"/>
      <c r="Q86" s="2019"/>
      <c r="R86" s="2019"/>
      <c r="S86" s="2019"/>
      <c r="T86" s="2019"/>
      <c r="U86" s="2019"/>
      <c r="V86" s="2020"/>
      <c r="X86" s="499"/>
      <c r="Z86" s="748"/>
      <c r="AA86" s="748"/>
      <c r="AB86" s="749"/>
      <c r="AC86" s="750"/>
    </row>
    <row r="87" spans="1:29" ht="27" hidden="1" customHeight="1" outlineLevel="1">
      <c r="A87" s="52"/>
      <c r="B87" s="2013"/>
      <c r="C87" s="2012"/>
      <c r="D87" s="769"/>
      <c r="E87" s="765"/>
      <c r="F87" s="759"/>
      <c r="G87" s="2027"/>
      <c r="H87" s="2019"/>
      <c r="I87" s="2019"/>
      <c r="J87" s="2019"/>
      <c r="K87" s="2019"/>
      <c r="L87" s="2019"/>
      <c r="M87" s="2019"/>
      <c r="N87" s="2019"/>
      <c r="O87" s="2019"/>
      <c r="P87" s="2019"/>
      <c r="Q87" s="2019"/>
      <c r="R87" s="2019"/>
      <c r="S87" s="2019"/>
      <c r="T87" s="2019"/>
      <c r="U87" s="2019"/>
      <c r="V87" s="2020"/>
      <c r="X87" s="499"/>
      <c r="Z87" s="748"/>
      <c r="AA87" s="748"/>
      <c r="AB87" s="749"/>
      <c r="AC87" s="750"/>
    </row>
    <row r="88" spans="1:29" ht="27" hidden="1" customHeight="1" outlineLevel="1">
      <c r="A88" s="52"/>
      <c r="B88" s="2013"/>
      <c r="C88" s="2012"/>
      <c r="D88" s="769"/>
      <c r="E88" s="765"/>
      <c r="F88" s="759"/>
      <c r="G88" s="2027"/>
      <c r="H88" s="2019"/>
      <c r="I88" s="2019"/>
      <c r="J88" s="2019"/>
      <c r="K88" s="2019"/>
      <c r="L88" s="2019"/>
      <c r="M88" s="2019"/>
      <c r="N88" s="2019"/>
      <c r="O88" s="2019"/>
      <c r="P88" s="2019"/>
      <c r="Q88" s="2019"/>
      <c r="R88" s="2019"/>
      <c r="S88" s="2019"/>
      <c r="T88" s="2019"/>
      <c r="U88" s="2019"/>
      <c r="V88" s="2020"/>
      <c r="X88" s="499"/>
      <c r="Z88" s="748"/>
      <c r="AA88" s="748"/>
      <c r="AB88" s="749"/>
      <c r="AC88" s="750"/>
    </row>
    <row r="89" spans="1:29" ht="27" hidden="1" customHeight="1" outlineLevel="1">
      <c r="A89" s="52"/>
      <c r="B89" s="2013"/>
      <c r="C89" s="2012"/>
      <c r="D89" s="769"/>
      <c r="E89" s="765"/>
      <c r="F89" s="759"/>
      <c r="G89" s="2027"/>
      <c r="H89" s="2019"/>
      <c r="I89" s="2019"/>
      <c r="J89" s="2019"/>
      <c r="K89" s="2019"/>
      <c r="L89" s="2019"/>
      <c r="M89" s="2019"/>
      <c r="N89" s="2019"/>
      <c r="O89" s="2019"/>
      <c r="P89" s="2019"/>
      <c r="Q89" s="2019"/>
      <c r="R89" s="2019"/>
      <c r="S89" s="2019"/>
      <c r="T89" s="2019"/>
      <c r="U89" s="2019"/>
      <c r="V89" s="2020"/>
      <c r="X89" s="499"/>
      <c r="Z89" s="751"/>
      <c r="AA89" s="751"/>
      <c r="AB89" s="749"/>
      <c r="AC89" s="750"/>
    </row>
    <row r="90" spans="1:29" ht="27" hidden="1" customHeight="1" outlineLevel="1">
      <c r="A90" s="52"/>
      <c r="B90" s="2013"/>
      <c r="C90" s="2012"/>
      <c r="D90" s="769"/>
      <c r="E90" s="765"/>
      <c r="F90" s="759"/>
      <c r="G90" s="2027"/>
      <c r="H90" s="2019"/>
      <c r="I90" s="2019"/>
      <c r="J90" s="2019"/>
      <c r="K90" s="2019"/>
      <c r="L90" s="2019"/>
      <c r="M90" s="2019"/>
      <c r="N90" s="2019"/>
      <c r="O90" s="2019"/>
      <c r="P90" s="2019"/>
      <c r="Q90" s="2019"/>
      <c r="R90" s="2019"/>
      <c r="S90" s="2019"/>
      <c r="T90" s="2019"/>
      <c r="U90" s="2019"/>
      <c r="V90" s="2020"/>
      <c r="X90" s="499"/>
      <c r="Z90" s="751"/>
      <c r="AA90" s="751"/>
      <c r="AB90" s="749"/>
      <c r="AC90" s="750"/>
    </row>
    <row r="91" spans="1:29" ht="27" hidden="1" customHeight="1" outlineLevel="1" thickBot="1">
      <c r="A91" s="52"/>
      <c r="B91" s="2014"/>
      <c r="C91" s="2015"/>
      <c r="D91" s="770"/>
      <c r="E91" s="767"/>
      <c r="F91" s="140"/>
      <c r="G91" s="2028"/>
      <c r="H91" s="2029"/>
      <c r="I91" s="2029"/>
      <c r="J91" s="2029"/>
      <c r="K91" s="2029"/>
      <c r="L91" s="2029"/>
      <c r="M91" s="2029"/>
      <c r="N91" s="2029"/>
      <c r="O91" s="2029"/>
      <c r="P91" s="2029"/>
      <c r="Q91" s="2029"/>
      <c r="R91" s="2029"/>
      <c r="S91" s="2029"/>
      <c r="T91" s="2029"/>
      <c r="U91" s="2029"/>
      <c r="V91" s="2030"/>
      <c r="X91" s="499"/>
      <c r="Z91" s="751"/>
      <c r="AA91" s="751"/>
      <c r="AB91" s="749"/>
      <c r="AC91" s="750"/>
    </row>
    <row r="92" spans="1:29" ht="14.25" customHeight="1">
      <c r="B92" s="314"/>
      <c r="C92" s="314"/>
      <c r="D92" s="314"/>
      <c r="E92" s="314"/>
      <c r="F92" s="314"/>
      <c r="G92" s="314"/>
      <c r="H92" s="314"/>
      <c r="I92" s="314"/>
      <c r="J92" s="314"/>
      <c r="K92" s="314"/>
      <c r="L92" s="314"/>
      <c r="M92" s="314"/>
      <c r="N92" s="314"/>
      <c r="O92" s="314"/>
      <c r="P92" s="314"/>
      <c r="Q92" s="314"/>
      <c r="R92" s="314"/>
      <c r="S92" s="314"/>
      <c r="T92" s="314"/>
      <c r="U92" s="314"/>
      <c r="V92" s="314"/>
      <c r="X92" s="5"/>
    </row>
    <row r="93" spans="1:29" ht="14.25" customHeight="1">
      <c r="X93" s="5"/>
    </row>
  </sheetData>
  <sheetProtection sheet="1" objects="1" scenarios="1" selectLockedCells="1"/>
  <mergeCells count="24">
    <mergeCell ref="F13:F17"/>
    <mergeCell ref="B13:D17"/>
    <mergeCell ref="E13:E17"/>
    <mergeCell ref="AC15:AC17"/>
    <mergeCell ref="AC13:AC14"/>
    <mergeCell ref="G13:V17"/>
    <mergeCell ref="Z13:AB17"/>
    <mergeCell ref="Z18:AB18"/>
    <mergeCell ref="G56:V60"/>
    <mergeCell ref="Z56:AB60"/>
    <mergeCell ref="AC56:AC57"/>
    <mergeCell ref="AC58:AC60"/>
    <mergeCell ref="B19:C25"/>
    <mergeCell ref="B26:C48"/>
    <mergeCell ref="G18:V25"/>
    <mergeCell ref="G26:V48"/>
    <mergeCell ref="B62:C68"/>
    <mergeCell ref="B69:C91"/>
    <mergeCell ref="G61:V68"/>
    <mergeCell ref="G69:V91"/>
    <mergeCell ref="Z61:AB61"/>
    <mergeCell ref="E56:E60"/>
    <mergeCell ref="F56:F60"/>
    <mergeCell ref="B56:D60"/>
  </mergeCells>
  <phoneticPr fontId="3"/>
  <dataValidations count="2">
    <dataValidation type="whole" allowBlank="1" showInputMessage="1" showErrorMessage="1" error="1～100の値を入力してください。" sqref="F61:F91 F18:F48" xr:uid="{00000000-0002-0000-0A00-000000000000}">
      <formula1>1</formula1>
      <formula2>100</formula2>
    </dataValidation>
    <dataValidation type="whole" operator="greaterThan" allowBlank="1" showInputMessage="1" showErrorMessage="1" error="整数を入力してください。" sqref="E18:E48 E61:E91" xr:uid="{00000000-0002-0000-0A00-000001000000}">
      <formula1>0</formula1>
    </dataValidation>
  </dataValidations>
  <printOptions horizontalCentered="1" verticalCentered="1"/>
  <pageMargins left="0" right="0" top="0" bottom="0" header="0" footer="0.19685039370078741"/>
  <pageSetup paperSize="9" scale="60" firstPageNumber="21" fitToWidth="0" fitToHeight="0" orientation="landscape" cellComments="asDisplayed" r:id="rId1"/>
  <headerFooter scaleWithDoc="0"/>
  <drawing r:id="rId2"/>
  <legacyDrawing r:id="rId3"/>
  <controls>
    <mc:AlternateContent xmlns:mc="http://schemas.openxmlformats.org/markup-compatibility/2006">
      <mc:Choice Requires="x14">
        <control shapeId="10241" r:id="rId4" name="Label1">
          <controlPr defaultSize="0" print="0" autoLine="0" r:id="rId5">
            <anchor moveWithCells="1">
              <from>
                <xdr:col>7</xdr:col>
                <xdr:colOff>114300</xdr:colOff>
                <xdr:row>11</xdr:row>
                <xdr:rowOff>9525</xdr:rowOff>
              </from>
              <to>
                <xdr:col>11</xdr:col>
                <xdr:colOff>85725</xdr:colOff>
                <xdr:row>11</xdr:row>
                <xdr:rowOff>219075</xdr:rowOff>
              </to>
            </anchor>
          </controlPr>
        </control>
      </mc:Choice>
      <mc:Fallback>
        <control shapeId="10241" r:id="rId4" name="Label1"/>
      </mc:Fallback>
    </mc:AlternateContent>
    <mc:AlternateContent xmlns:mc="http://schemas.openxmlformats.org/markup-compatibility/2006">
      <mc:Choice Requires="x14">
        <control shapeId="10242" r:id="rId6" name="txt_hyouji1">
          <controlPr locked="0" defaultSize="0" print="0" autoLine="0" r:id="rId7">
            <anchor moveWithCells="1">
              <from>
                <xdr:col>11</xdr:col>
                <xdr:colOff>104775</xdr:colOff>
                <xdr:row>11</xdr:row>
                <xdr:rowOff>9525</xdr:rowOff>
              </from>
              <to>
                <xdr:col>15</xdr:col>
                <xdr:colOff>57150</xdr:colOff>
                <xdr:row>11</xdr:row>
                <xdr:rowOff>219075</xdr:rowOff>
              </to>
            </anchor>
          </controlPr>
        </control>
      </mc:Choice>
      <mc:Fallback>
        <control shapeId="10242" r:id="rId6" name="txt_hyouji1"/>
      </mc:Fallback>
    </mc:AlternateContent>
    <mc:AlternateContent xmlns:mc="http://schemas.openxmlformats.org/markup-compatibility/2006">
      <mc:Choice Requires="x14">
        <control shapeId="10243" r:id="rId8" name="btnKoushin1">
          <controlPr defaultSize="0" print="0" autoLine="0" r:id="rId9">
            <anchor moveWithCells="1">
              <from>
                <xdr:col>15</xdr:col>
                <xdr:colOff>133350</xdr:colOff>
                <xdr:row>10</xdr:row>
                <xdr:rowOff>161925</xdr:rowOff>
              </from>
              <to>
                <xdr:col>22</xdr:col>
                <xdr:colOff>9525</xdr:colOff>
                <xdr:row>12</xdr:row>
                <xdr:rowOff>0</xdr:rowOff>
              </to>
            </anchor>
          </controlPr>
        </control>
      </mc:Choice>
      <mc:Fallback>
        <control shapeId="10243" r:id="rId8" name="btnKoushin1"/>
      </mc:Fallback>
    </mc:AlternateContent>
    <mc:AlternateContent xmlns:mc="http://schemas.openxmlformats.org/markup-compatibility/2006">
      <mc:Choice Requires="x14">
        <control shapeId="10244" r:id="rId10" name="Label2">
          <controlPr defaultSize="0" print="0" autoLine="0" r:id="rId11">
            <anchor moveWithCells="1">
              <from>
                <xdr:col>7</xdr:col>
                <xdr:colOff>114300</xdr:colOff>
                <xdr:row>54</xdr:row>
                <xdr:rowOff>9525</xdr:rowOff>
              </from>
              <to>
                <xdr:col>11</xdr:col>
                <xdr:colOff>85725</xdr:colOff>
                <xdr:row>54</xdr:row>
                <xdr:rowOff>219075</xdr:rowOff>
              </to>
            </anchor>
          </controlPr>
        </control>
      </mc:Choice>
      <mc:Fallback>
        <control shapeId="10244" r:id="rId10" name="Label2"/>
      </mc:Fallback>
    </mc:AlternateContent>
    <mc:AlternateContent xmlns:mc="http://schemas.openxmlformats.org/markup-compatibility/2006">
      <mc:Choice Requires="x14">
        <control shapeId="10245" r:id="rId12" name="txt_hyouji2">
          <controlPr locked="0" defaultSize="0" print="0" autoLine="0" r:id="rId13">
            <anchor moveWithCells="1">
              <from>
                <xdr:col>11</xdr:col>
                <xdr:colOff>104775</xdr:colOff>
                <xdr:row>54</xdr:row>
                <xdr:rowOff>9525</xdr:rowOff>
              </from>
              <to>
                <xdr:col>15</xdr:col>
                <xdr:colOff>57150</xdr:colOff>
                <xdr:row>54</xdr:row>
                <xdr:rowOff>219075</xdr:rowOff>
              </to>
            </anchor>
          </controlPr>
        </control>
      </mc:Choice>
      <mc:Fallback>
        <control shapeId="10245" r:id="rId12" name="txt_hyouji2"/>
      </mc:Fallback>
    </mc:AlternateContent>
    <mc:AlternateContent xmlns:mc="http://schemas.openxmlformats.org/markup-compatibility/2006">
      <mc:Choice Requires="x14">
        <control shapeId="10246" r:id="rId14" name="btnKoushin2">
          <controlPr defaultSize="0" print="0" autoLine="0" r:id="rId15">
            <anchor moveWithCells="1">
              <from>
                <xdr:col>15</xdr:col>
                <xdr:colOff>133350</xdr:colOff>
                <xdr:row>53</xdr:row>
                <xdr:rowOff>161925</xdr:rowOff>
              </from>
              <to>
                <xdr:col>22</xdr:col>
                <xdr:colOff>9525</xdr:colOff>
                <xdr:row>55</xdr:row>
                <xdr:rowOff>0</xdr:rowOff>
              </to>
            </anchor>
          </controlPr>
        </control>
      </mc:Choice>
      <mc:Fallback>
        <control shapeId="10246" r:id="rId14" name="btnKoushi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BG114"/>
  <sheetViews>
    <sheetView showGridLines="0" zoomScale="85" zoomScaleNormal="85" zoomScaleSheetLayoutView="70" workbookViewId="0">
      <selection activeCell="C11" sqref="C11"/>
    </sheetView>
  </sheetViews>
  <sheetFormatPr defaultColWidth="2.75" defaultRowHeight="14.25" customHeight="1" outlineLevelRow="1" outlineLevelCol="1"/>
  <cols>
    <col min="1" max="1" width="2.75" style="88"/>
    <col min="2" max="2" width="2.75" style="771" customWidth="1"/>
    <col min="3" max="3" width="19.25" style="771" customWidth="1"/>
    <col min="4" max="4" width="19" style="771" customWidth="1"/>
    <col min="5" max="13" width="11.25" style="771" customWidth="1"/>
    <col min="14" max="14" width="11.25" style="88" customWidth="1"/>
    <col min="15" max="16" width="2.75" style="88"/>
    <col min="17" max="18" width="2.75" style="88" outlineLevel="1"/>
    <col min="19" max="19" width="19.375" style="88" customWidth="1" outlineLevel="1"/>
    <col min="20" max="21" width="20" style="88" customWidth="1" outlineLevel="1"/>
    <col min="22" max="22" width="17.625" style="88" customWidth="1" outlineLevel="1"/>
    <col min="23" max="26" width="12.5" style="88" customWidth="1" outlineLevel="1"/>
    <col min="27" max="28" width="2.75" style="88" customWidth="1" outlineLevel="1"/>
    <col min="29" max="30" width="2.75" style="87" customWidth="1" outlineLevel="1"/>
    <col min="31" max="45" width="13.625" style="87" customWidth="1" outlineLevel="1"/>
    <col min="46" max="49" width="2.75" style="88" customWidth="1" outlineLevel="1"/>
    <col min="50" max="54" width="13.625" style="88" customWidth="1" outlineLevel="1"/>
    <col min="55" max="58" width="13.625" style="87" customWidth="1" outlineLevel="1"/>
    <col min="59" max="59" width="2.75" style="88" outlineLevel="1"/>
    <col min="60" max="16384" width="2.75" style="88"/>
  </cols>
  <sheetData>
    <row r="1" spans="2:58" ht="18.75">
      <c r="C1" s="308"/>
      <c r="D1" s="308"/>
      <c r="E1" s="308"/>
      <c r="F1" s="308"/>
      <c r="G1" s="308"/>
      <c r="H1" s="308"/>
      <c r="I1" s="308"/>
      <c r="J1" s="308"/>
      <c r="K1" s="308"/>
      <c r="L1" s="308"/>
      <c r="M1" s="308"/>
      <c r="N1" s="308"/>
      <c r="O1" s="308"/>
      <c r="P1" s="5"/>
      <c r="Q1" s="5"/>
      <c r="R1" s="899" t="s">
        <v>400</v>
      </c>
    </row>
    <row r="2" spans="2:58" ht="19.899999999999999" customHeight="1">
      <c r="B2" s="310" t="s">
        <v>140</v>
      </c>
      <c r="C2" s="308"/>
      <c r="D2" s="308"/>
      <c r="E2" s="308"/>
      <c r="F2" s="308"/>
      <c r="G2" s="308"/>
      <c r="H2" s="308"/>
      <c r="I2" s="308"/>
      <c r="J2" s="308"/>
      <c r="K2" s="308"/>
      <c r="L2" s="308"/>
      <c r="M2" s="308"/>
      <c r="N2" s="308"/>
      <c r="O2" s="308"/>
      <c r="P2" s="5"/>
      <c r="Q2" s="963"/>
      <c r="S2" s="310"/>
    </row>
    <row r="3" spans="2:58" ht="12.75" customHeight="1" thickBot="1">
      <c r="B3" s="308"/>
      <c r="C3" s="308"/>
      <c r="D3" s="308"/>
      <c r="E3" s="308"/>
      <c r="F3" s="308"/>
      <c r="G3" s="308"/>
      <c r="H3" s="772"/>
      <c r="I3" s="772"/>
      <c r="J3" s="18"/>
      <c r="K3" s="772"/>
      <c r="L3" s="83"/>
      <c r="M3" s="18"/>
      <c r="N3" s="7"/>
      <c r="O3" s="89"/>
      <c r="P3" s="5"/>
      <c r="Q3" s="963"/>
      <c r="AC3" s="773"/>
      <c r="AV3" s="322"/>
    </row>
    <row r="4" spans="2:58" ht="26.45" customHeight="1" thickTop="1" thickBot="1">
      <c r="B4" s="310" t="s">
        <v>745</v>
      </c>
      <c r="C4" s="308"/>
      <c r="D4" s="308"/>
      <c r="E4" s="308"/>
      <c r="F4" s="308"/>
      <c r="G4" s="308"/>
      <c r="H4" s="772"/>
      <c r="I4" s="772"/>
      <c r="J4" s="18"/>
      <c r="K4" s="772"/>
      <c r="L4" s="83"/>
      <c r="M4" s="18"/>
      <c r="N4" s="7"/>
      <c r="O4" s="89"/>
      <c r="P4" s="5"/>
      <c r="Q4" s="963"/>
      <c r="R4" s="89"/>
      <c r="S4" s="774" t="s">
        <v>562</v>
      </c>
      <c r="T4" s="898"/>
      <c r="AC4" s="773"/>
      <c r="AV4" s="322"/>
    </row>
    <row r="5" spans="2:58" ht="15" thickTop="1">
      <c r="B5" s="312"/>
      <c r="C5" s="775"/>
      <c r="D5" s="18"/>
      <c r="E5" s="18"/>
      <c r="F5" s="18"/>
      <c r="G5" s="772"/>
      <c r="H5" s="772"/>
      <c r="I5" s="772"/>
      <c r="J5" s="18"/>
      <c r="K5" s="772"/>
      <c r="L5" s="83"/>
      <c r="M5" s="18"/>
      <c r="N5" s="7"/>
      <c r="O5" s="89"/>
      <c r="P5" s="5"/>
      <c r="Q5" s="963"/>
      <c r="R5" s="89"/>
    </row>
    <row r="6" spans="2:58" ht="18.75">
      <c r="B6" s="312"/>
      <c r="C6" s="776" t="s">
        <v>563</v>
      </c>
      <c r="D6" s="18"/>
      <c r="E6" s="18"/>
      <c r="F6" s="18"/>
      <c r="G6" s="772"/>
      <c r="H6" s="772"/>
      <c r="I6" s="772"/>
      <c r="J6" s="18"/>
      <c r="K6" s="772"/>
      <c r="L6" s="83"/>
      <c r="M6" s="18"/>
      <c r="N6" s="7"/>
      <c r="O6" s="89"/>
      <c r="P6" s="5"/>
      <c r="Q6" s="963"/>
      <c r="R6" s="89"/>
      <c r="S6" s="777" t="s">
        <v>854</v>
      </c>
      <c r="AC6" s="87" t="s">
        <v>564</v>
      </c>
      <c r="AV6" s="88" t="s">
        <v>565</v>
      </c>
    </row>
    <row r="7" spans="2:58" ht="15" thickBot="1">
      <c r="B7" s="333"/>
      <c r="C7" s="333"/>
      <c r="D7" s="333"/>
      <c r="E7" s="333"/>
      <c r="F7" s="333"/>
      <c r="G7" s="333"/>
      <c r="H7" s="333"/>
      <c r="I7" s="333"/>
      <c r="J7" s="333"/>
      <c r="K7" s="333"/>
      <c r="L7" s="333"/>
      <c r="M7" s="333"/>
      <c r="N7" s="5"/>
      <c r="P7" s="5"/>
      <c r="Q7" s="963"/>
      <c r="AT7" s="314"/>
      <c r="AU7" s="314"/>
    </row>
    <row r="8" spans="2:58" ht="23.25" customHeight="1">
      <c r="B8" s="333"/>
      <c r="C8" s="2086" t="s">
        <v>49</v>
      </c>
      <c r="D8" s="2089" t="s">
        <v>50</v>
      </c>
      <c r="E8" s="2092" t="s">
        <v>51</v>
      </c>
      <c r="F8" s="2095" t="s">
        <v>52</v>
      </c>
      <c r="G8" s="2098" t="s">
        <v>566</v>
      </c>
      <c r="H8" s="2099"/>
      <c r="I8" s="2098" t="s">
        <v>818</v>
      </c>
      <c r="J8" s="2099"/>
      <c r="K8" s="2098" t="s">
        <v>568</v>
      </c>
      <c r="L8" s="2104"/>
      <c r="M8" s="1140"/>
      <c r="N8" s="1140"/>
      <c r="P8" s="5"/>
      <c r="Q8" s="963"/>
      <c r="S8" s="2113" t="s">
        <v>569</v>
      </c>
      <c r="T8" s="2107" t="s">
        <v>49</v>
      </c>
      <c r="U8" s="2110" t="s">
        <v>334</v>
      </c>
      <c r="V8" s="2107" t="s">
        <v>51</v>
      </c>
      <c r="W8" s="2083" t="s">
        <v>570</v>
      </c>
      <c r="X8" s="2116" t="s">
        <v>567</v>
      </c>
      <c r="Y8" s="2116" t="s">
        <v>571</v>
      </c>
      <c r="Z8" s="778"/>
      <c r="AA8" s="1140"/>
      <c r="AB8" s="1140"/>
      <c r="AC8" s="2119"/>
      <c r="AD8" s="2120"/>
      <c r="AE8" s="2083"/>
      <c r="AF8" s="2125" t="s">
        <v>572</v>
      </c>
      <c r="AG8" s="2126"/>
      <c r="AH8" s="2126"/>
      <c r="AI8" s="2126"/>
      <c r="AJ8" s="2126"/>
      <c r="AK8" s="2127"/>
      <c r="AL8" s="2125" t="s">
        <v>573</v>
      </c>
      <c r="AM8" s="2126"/>
      <c r="AN8" s="2126"/>
      <c r="AO8" s="2126"/>
      <c r="AP8" s="2126"/>
      <c r="AQ8" s="2126"/>
      <c r="AR8" s="2126"/>
      <c r="AS8" s="2127"/>
      <c r="AT8" s="314"/>
      <c r="AU8" s="314"/>
      <c r="AV8" s="2119"/>
      <c r="AW8" s="2120"/>
      <c r="AX8" s="2083"/>
      <c r="AY8" s="2139" t="s">
        <v>572</v>
      </c>
      <c r="AZ8" s="2140"/>
      <c r="BA8" s="2143" t="s">
        <v>573</v>
      </c>
      <c r="BB8" s="2143"/>
      <c r="BC8" s="503"/>
      <c r="BD8" s="503"/>
      <c r="BE8" s="503"/>
      <c r="BF8" s="779"/>
    </row>
    <row r="9" spans="2:58" ht="23.25" customHeight="1">
      <c r="B9" s="333"/>
      <c r="C9" s="2087"/>
      <c r="D9" s="2090"/>
      <c r="E9" s="2093"/>
      <c r="F9" s="2096"/>
      <c r="G9" s="2100"/>
      <c r="H9" s="2101"/>
      <c r="I9" s="2100"/>
      <c r="J9" s="2101"/>
      <c r="K9" s="2100"/>
      <c r="L9" s="2105"/>
      <c r="M9" s="1140"/>
      <c r="N9" s="1140"/>
      <c r="P9" s="5"/>
      <c r="Q9" s="963"/>
      <c r="S9" s="2114"/>
      <c r="T9" s="2108"/>
      <c r="U9" s="2111"/>
      <c r="V9" s="2108"/>
      <c r="W9" s="2084"/>
      <c r="X9" s="2117"/>
      <c r="Y9" s="2117"/>
      <c r="Z9" s="778"/>
      <c r="AA9" s="1140"/>
      <c r="AB9" s="1140"/>
      <c r="AC9" s="2121"/>
      <c r="AD9" s="2122"/>
      <c r="AE9" s="2084"/>
      <c r="AF9" s="2125" t="s">
        <v>28</v>
      </c>
      <c r="AG9" s="2127"/>
      <c r="AH9" s="2125" t="s">
        <v>5</v>
      </c>
      <c r="AI9" s="2127"/>
      <c r="AJ9" s="2125" t="s">
        <v>575</v>
      </c>
      <c r="AK9" s="2127"/>
      <c r="AL9" s="2125" t="s">
        <v>28</v>
      </c>
      <c r="AM9" s="2127"/>
      <c r="AN9" s="2125" t="s">
        <v>574</v>
      </c>
      <c r="AO9" s="2127"/>
      <c r="AP9" s="2145" t="s">
        <v>576</v>
      </c>
      <c r="AQ9" s="2127"/>
      <c r="AR9" s="2145" t="s">
        <v>577</v>
      </c>
      <c r="AS9" s="2127"/>
      <c r="AT9" s="314"/>
      <c r="AU9" s="314"/>
      <c r="AV9" s="2121"/>
      <c r="AW9" s="2122"/>
      <c r="AX9" s="2084"/>
      <c r="AY9" s="2141"/>
      <c r="AZ9" s="2142"/>
      <c r="BA9" s="2144"/>
      <c r="BB9" s="2144"/>
      <c r="BC9" s="2128" t="s">
        <v>574</v>
      </c>
      <c r="BD9" s="2129"/>
      <c r="BE9" s="2130" t="s">
        <v>578</v>
      </c>
      <c r="BF9" s="2129"/>
    </row>
    <row r="10" spans="2:58" ht="23.25" customHeight="1" thickBot="1">
      <c r="B10" s="333"/>
      <c r="C10" s="2088"/>
      <c r="D10" s="2091"/>
      <c r="E10" s="2094"/>
      <c r="F10" s="2097"/>
      <c r="G10" s="2102"/>
      <c r="H10" s="2103"/>
      <c r="I10" s="2102"/>
      <c r="J10" s="2103"/>
      <c r="K10" s="2102"/>
      <c r="L10" s="2106"/>
      <c r="M10" s="1140"/>
      <c r="N10" s="1140"/>
      <c r="P10" s="5"/>
      <c r="Q10" s="963"/>
      <c r="S10" s="2115"/>
      <c r="T10" s="2109"/>
      <c r="U10" s="2112"/>
      <c r="V10" s="2109"/>
      <c r="W10" s="2085"/>
      <c r="X10" s="2118"/>
      <c r="Y10" s="2118"/>
      <c r="Z10" s="778"/>
      <c r="AA10" s="1140"/>
      <c r="AB10" s="1140"/>
      <c r="AC10" s="2123"/>
      <c r="AD10" s="2124"/>
      <c r="AE10" s="2085"/>
      <c r="AF10" s="780" t="s">
        <v>153</v>
      </c>
      <c r="AG10" s="780" t="s">
        <v>154</v>
      </c>
      <c r="AH10" s="780" t="s">
        <v>153</v>
      </c>
      <c r="AI10" s="780" t="s">
        <v>154</v>
      </c>
      <c r="AJ10" s="780" t="s">
        <v>153</v>
      </c>
      <c r="AK10" s="780" t="s">
        <v>154</v>
      </c>
      <c r="AL10" s="781" t="s">
        <v>153</v>
      </c>
      <c r="AM10" s="781" t="s">
        <v>154</v>
      </c>
      <c r="AN10" s="781" t="s">
        <v>153</v>
      </c>
      <c r="AO10" s="781" t="s">
        <v>154</v>
      </c>
      <c r="AP10" s="781" t="s">
        <v>153</v>
      </c>
      <c r="AQ10" s="781" t="s">
        <v>154</v>
      </c>
      <c r="AR10" s="781" t="s">
        <v>153</v>
      </c>
      <c r="AS10" s="781" t="s">
        <v>154</v>
      </c>
      <c r="AT10" s="314"/>
      <c r="AU10" s="314"/>
      <c r="AV10" s="2123"/>
      <c r="AW10" s="2124"/>
      <c r="AX10" s="2085"/>
      <c r="AY10" s="782" t="s">
        <v>153</v>
      </c>
      <c r="AZ10" s="782" t="s">
        <v>154</v>
      </c>
      <c r="BA10" s="1139" t="s">
        <v>153</v>
      </c>
      <c r="BB10" s="782" t="s">
        <v>154</v>
      </c>
      <c r="BC10" s="783" t="s">
        <v>153</v>
      </c>
      <c r="BD10" s="783" t="s">
        <v>154</v>
      </c>
      <c r="BE10" s="783" t="s">
        <v>153</v>
      </c>
      <c r="BF10" s="783" t="s">
        <v>154</v>
      </c>
    </row>
    <row r="11" spans="2:58" ht="29.25" customHeight="1" thickTop="1" thickBot="1">
      <c r="B11" s="333"/>
      <c r="C11" s="881"/>
      <c r="D11" s="869"/>
      <c r="E11" s="870"/>
      <c r="F11" s="871"/>
      <c r="G11" s="1090"/>
      <c r="H11" s="878"/>
      <c r="I11" s="1090"/>
      <c r="J11" s="878"/>
      <c r="K11" s="1090"/>
      <c r="L11" s="875"/>
      <c r="M11" s="784"/>
      <c r="N11" s="784"/>
      <c r="P11" s="5"/>
      <c r="Q11" s="963"/>
      <c r="S11" s="1057"/>
      <c r="T11" s="785" t="str">
        <f>IF(C11="","",C11)</f>
        <v/>
      </c>
      <c r="U11" s="1059" t="str">
        <f>IF(D11="","",IF(D11="1：男",1,IF(D11="2：女",2)))</f>
        <v/>
      </c>
      <c r="V11" s="786" t="str">
        <f>IF(E11="","",E11)</f>
        <v/>
      </c>
      <c r="W11" s="787" t="str">
        <f>IF(AND(G11="",H11="",G12=""),"",ROUND(SUM(G11,H11/60)*G12,1))</f>
        <v/>
      </c>
      <c r="X11" s="788" t="str">
        <f>IF(AND(I11="",J11="",I12=""),"",ROUND(SUM(I11,J11/60)*I12,1))</f>
        <v/>
      </c>
      <c r="Y11" s="789" t="str">
        <f>IF(AND(K11="",L11="",K12=""),"",ROUND(SUM(K11,L11/60)*K12,1))</f>
        <v/>
      </c>
      <c r="Z11" s="787"/>
      <c r="AA11" s="99"/>
      <c r="AB11" s="99"/>
      <c r="AC11" s="2131" t="s">
        <v>579</v>
      </c>
      <c r="AD11" s="2132"/>
      <c r="AE11" s="2132"/>
      <c r="AF11" s="790">
        <f>SUM(AF12:AF15)</f>
        <v>0</v>
      </c>
      <c r="AG11" s="790">
        <f>SUM(AG12:AG15)</f>
        <v>0</v>
      </c>
      <c r="AH11" s="791"/>
      <c r="AI11" s="791"/>
      <c r="AJ11" s="791"/>
      <c r="AK11" s="791"/>
      <c r="AL11" s="790">
        <f>SUM(AL16,AL21,AL26)</f>
        <v>0</v>
      </c>
      <c r="AM11" s="790">
        <f>SUM(AM16,AM21,AM26)</f>
        <v>0</v>
      </c>
      <c r="AN11" s="790">
        <f>SUM(AN16,AN21,AN26)</f>
        <v>0</v>
      </c>
      <c r="AO11" s="790">
        <f>SUM(AO16,AO21,AO26)</f>
        <v>0</v>
      </c>
      <c r="AP11" s="790">
        <f>AP12</f>
        <v>0</v>
      </c>
      <c r="AQ11" s="790">
        <f>AQ12</f>
        <v>0</v>
      </c>
      <c r="AR11" s="790">
        <f>SUM(AR12:AR15)</f>
        <v>0</v>
      </c>
      <c r="AS11" s="790">
        <f>SUM(AS12:AS15)</f>
        <v>0</v>
      </c>
      <c r="AT11" s="314"/>
      <c r="AU11" s="314"/>
      <c r="AV11" s="2133" t="s">
        <v>580</v>
      </c>
      <c r="AW11" s="2134"/>
      <c r="AX11" s="2134"/>
      <c r="AY11" s="792">
        <f>SUM(AY12:AY15)</f>
        <v>0</v>
      </c>
      <c r="AZ11" s="792">
        <f>SUM(AZ12:AZ15)</f>
        <v>0</v>
      </c>
      <c r="BA11" s="792">
        <f>ROUND(SUM(BC11,BE11),0)</f>
        <v>0</v>
      </c>
      <c r="BB11" s="792">
        <f>ROUND(SUM(BD11,BF11),0)</f>
        <v>0</v>
      </c>
      <c r="BC11" s="793">
        <f>IFERROR($T$112*($AN11/$AN$36),0)</f>
        <v>0</v>
      </c>
      <c r="BD11" s="794">
        <f>IFERROR($T$113*($AO11/$AO$36),0)</f>
        <v>0</v>
      </c>
      <c r="BE11" s="794">
        <f>SUM(BE12:BE15)</f>
        <v>0</v>
      </c>
      <c r="BF11" s="794">
        <f>SUM(BF12:BF15)</f>
        <v>0</v>
      </c>
    </row>
    <row r="12" spans="2:58" ht="29.25" customHeight="1" thickTop="1" thickBot="1">
      <c r="B12" s="333"/>
      <c r="C12" s="1193"/>
      <c r="D12" s="1194"/>
      <c r="E12" s="1195"/>
      <c r="F12" s="1196"/>
      <c r="G12" s="1091"/>
      <c r="H12" s="1197"/>
      <c r="I12" s="1091"/>
      <c r="J12" s="1197"/>
      <c r="K12" s="1091"/>
      <c r="L12" s="1198"/>
      <c r="M12" s="795"/>
      <c r="N12" s="795"/>
      <c r="P12" s="5"/>
      <c r="Q12" s="963"/>
      <c r="S12" s="1217"/>
      <c r="T12" s="785"/>
      <c r="U12" s="1059"/>
      <c r="V12" s="786"/>
      <c r="W12" s="787"/>
      <c r="X12" s="788"/>
      <c r="Y12" s="789"/>
      <c r="Z12" s="787"/>
      <c r="AA12" s="99"/>
      <c r="AB12" s="99"/>
      <c r="AC12" s="304"/>
      <c r="AD12" s="2135" t="s">
        <v>581</v>
      </c>
      <c r="AE12" s="2136"/>
      <c r="AF12" s="796">
        <f t="shared" ref="AF12:AK15" si="0">SUM(AF17,AF22,AF27)</f>
        <v>0</v>
      </c>
      <c r="AG12" s="796">
        <f t="shared" si="0"/>
        <v>0</v>
      </c>
      <c r="AH12" s="797">
        <f t="shared" si="0"/>
        <v>0</v>
      </c>
      <c r="AI12" s="797">
        <f t="shared" si="0"/>
        <v>0</v>
      </c>
      <c r="AJ12" s="797">
        <f t="shared" si="0"/>
        <v>0</v>
      </c>
      <c r="AK12" s="797">
        <f t="shared" si="0"/>
        <v>0</v>
      </c>
      <c r="AL12" s="798"/>
      <c r="AM12" s="799"/>
      <c r="AN12" s="800"/>
      <c r="AO12" s="800"/>
      <c r="AP12" s="797">
        <f t="shared" ref="AP12:AS15" si="1">SUM(AP17,AP22,AP27)</f>
        <v>0</v>
      </c>
      <c r="AQ12" s="797">
        <f t="shared" si="1"/>
        <v>0</v>
      </c>
      <c r="AR12" s="797">
        <f t="shared" si="1"/>
        <v>0</v>
      </c>
      <c r="AS12" s="797">
        <f t="shared" si="1"/>
        <v>0</v>
      </c>
      <c r="AT12" s="314"/>
      <c r="AU12" s="314"/>
      <c r="AV12" s="199"/>
      <c r="AW12" s="2137" t="s">
        <v>581</v>
      </c>
      <c r="AX12" s="2138"/>
      <c r="AY12" s="1161">
        <f>ROUND(AF12*$T$4,0)</f>
        <v>0</v>
      </c>
      <c r="AZ12" s="1161">
        <f>ROUND(AG12*$T$4,0)</f>
        <v>0</v>
      </c>
      <c r="BA12" s="1162"/>
      <c r="BB12" s="1163"/>
      <c r="BC12" s="1162"/>
      <c r="BD12" s="1162"/>
      <c r="BE12" s="1161">
        <f>(AP12+AR12)*$T$4</f>
        <v>0</v>
      </c>
      <c r="BF12" s="1161">
        <f>(AQ12+AS12)*$T$4</f>
        <v>0</v>
      </c>
    </row>
    <row r="13" spans="2:58" ht="29.25" customHeight="1" thickTop="1">
      <c r="B13" s="333"/>
      <c r="C13" s="879"/>
      <c r="D13" s="869"/>
      <c r="E13" s="870"/>
      <c r="F13" s="871"/>
      <c r="G13" s="1090"/>
      <c r="H13" s="878"/>
      <c r="I13" s="1090"/>
      <c r="J13" s="878"/>
      <c r="K13" s="1090"/>
      <c r="L13" s="875"/>
      <c r="M13" s="784"/>
      <c r="N13" s="784"/>
      <c r="P13" s="5"/>
      <c r="Q13" s="963"/>
      <c r="S13" s="1058"/>
      <c r="T13" s="801" t="str">
        <f>IF(C13="","",C13)</f>
        <v/>
      </c>
      <c r="U13" s="1137" t="str">
        <f>IF(D13="","",IF(D13="1：男",1,IF(D13="2：女",2)))</f>
        <v/>
      </c>
      <c r="V13" s="802" t="str">
        <f>IF(E13="","",E13)</f>
        <v/>
      </c>
      <c r="W13" s="803" t="str">
        <f>IF(AND(G13="",H13="",G14=""),"",ROUND(SUM(G13,H13/60)*G14,1))</f>
        <v/>
      </c>
      <c r="X13" s="804" t="str">
        <f>IF(AND(I13="",J13="",I14=""),"",ROUND(SUM(I13,J13/60)*I14,1))</f>
        <v/>
      </c>
      <c r="Y13" s="805" t="str">
        <f>IF(AND(K13="",L13="",K14=""),"",ROUND(SUM(K13,L13/60)*K14,1))</f>
        <v/>
      </c>
      <c r="Z13" s="787"/>
      <c r="AA13" s="99"/>
      <c r="AB13" s="99"/>
      <c r="AC13" s="304"/>
      <c r="AD13" s="2146" t="s">
        <v>582</v>
      </c>
      <c r="AE13" s="2147"/>
      <c r="AF13" s="806">
        <f t="shared" si="0"/>
        <v>0</v>
      </c>
      <c r="AG13" s="806">
        <f t="shared" si="0"/>
        <v>0</v>
      </c>
      <c r="AH13" s="806">
        <f t="shared" si="0"/>
        <v>0</v>
      </c>
      <c r="AI13" s="806">
        <f t="shared" si="0"/>
        <v>0</v>
      </c>
      <c r="AJ13" s="807"/>
      <c r="AK13" s="807"/>
      <c r="AL13" s="798"/>
      <c r="AM13" s="799"/>
      <c r="AN13" s="799"/>
      <c r="AO13" s="799"/>
      <c r="AP13" s="807"/>
      <c r="AQ13" s="807"/>
      <c r="AR13" s="806">
        <f t="shared" si="1"/>
        <v>0</v>
      </c>
      <c r="AS13" s="806">
        <f t="shared" si="1"/>
        <v>0</v>
      </c>
      <c r="AT13" s="314"/>
      <c r="AU13" s="314"/>
      <c r="AV13" s="199"/>
      <c r="AW13" s="2148" t="s">
        <v>582</v>
      </c>
      <c r="AX13" s="2149"/>
      <c r="AY13" s="1164">
        <f>ROUND(AF13*$T$4*0.9,0)</f>
        <v>0</v>
      </c>
      <c r="AZ13" s="1164">
        <f>ROUND(AG13*$T$4*0.9,0)</f>
        <v>0</v>
      </c>
      <c r="BA13" s="1162"/>
      <c r="BB13" s="1163"/>
      <c r="BC13" s="1162"/>
      <c r="BD13" s="1162"/>
      <c r="BE13" s="1164">
        <f>(AP13+AR13)*$T$4*0.9</f>
        <v>0</v>
      </c>
      <c r="BF13" s="1164">
        <f>(AQ13+AS13)*$T$4*0.9</f>
        <v>0</v>
      </c>
    </row>
    <row r="14" spans="2:58" ht="29.25" customHeight="1" thickBot="1">
      <c r="B14" s="333"/>
      <c r="C14" s="1193"/>
      <c r="D14" s="1194"/>
      <c r="E14" s="1195"/>
      <c r="F14" s="1196"/>
      <c r="G14" s="1091"/>
      <c r="H14" s="1197"/>
      <c r="I14" s="1091"/>
      <c r="J14" s="1197"/>
      <c r="K14" s="1091"/>
      <c r="L14" s="1198"/>
      <c r="M14" s="795"/>
      <c r="N14" s="795"/>
      <c r="P14" s="5"/>
      <c r="Q14" s="963"/>
      <c r="S14" s="1217"/>
      <c r="T14" s="785"/>
      <c r="U14" s="1059"/>
      <c r="V14" s="786"/>
      <c r="W14" s="787"/>
      <c r="X14" s="788"/>
      <c r="Y14" s="789"/>
      <c r="Z14" s="787"/>
      <c r="AA14" s="99"/>
      <c r="AB14" s="99"/>
      <c r="AC14" s="304"/>
      <c r="AD14" s="2146" t="s">
        <v>583</v>
      </c>
      <c r="AE14" s="2147"/>
      <c r="AF14" s="806">
        <f t="shared" si="0"/>
        <v>0</v>
      </c>
      <c r="AG14" s="806">
        <f t="shared" si="0"/>
        <v>0</v>
      </c>
      <c r="AH14" s="806">
        <f t="shared" si="0"/>
        <v>0</v>
      </c>
      <c r="AI14" s="806">
        <f t="shared" si="0"/>
        <v>0</v>
      </c>
      <c r="AJ14" s="807"/>
      <c r="AK14" s="807"/>
      <c r="AL14" s="798"/>
      <c r="AM14" s="799"/>
      <c r="AN14" s="799"/>
      <c r="AO14" s="799"/>
      <c r="AP14" s="807"/>
      <c r="AQ14" s="807"/>
      <c r="AR14" s="806">
        <f t="shared" si="1"/>
        <v>0</v>
      </c>
      <c r="AS14" s="806">
        <f t="shared" si="1"/>
        <v>0</v>
      </c>
      <c r="AT14" s="314"/>
      <c r="AU14" s="314"/>
      <c r="AV14" s="199"/>
      <c r="AW14" s="2148" t="s">
        <v>583</v>
      </c>
      <c r="AX14" s="2149"/>
      <c r="AY14" s="1164">
        <f>ROUND(AF14*$T$4*0.8,0)</f>
        <v>0</v>
      </c>
      <c r="AZ14" s="1164">
        <f>ROUND(AG14*$T$4*0.8,0)</f>
        <v>0</v>
      </c>
      <c r="BA14" s="1162"/>
      <c r="BB14" s="1163"/>
      <c r="BC14" s="1162"/>
      <c r="BD14" s="1162"/>
      <c r="BE14" s="1164">
        <f>(AP14+AR14)*$T$4*0.8</f>
        <v>0</v>
      </c>
      <c r="BF14" s="1164">
        <f>(AQ14+AS14)*$T$4*0.8</f>
        <v>0</v>
      </c>
    </row>
    <row r="15" spans="2:58" ht="29.25" customHeight="1" thickTop="1" thickBot="1">
      <c r="B15" s="333"/>
      <c r="C15" s="879"/>
      <c r="D15" s="869"/>
      <c r="E15" s="870"/>
      <c r="F15" s="871"/>
      <c r="G15" s="1090"/>
      <c r="H15" s="878"/>
      <c r="I15" s="1090"/>
      <c r="J15" s="878"/>
      <c r="K15" s="1090"/>
      <c r="L15" s="875"/>
      <c r="M15" s="784"/>
      <c r="N15" s="784"/>
      <c r="P15" s="5"/>
      <c r="Q15" s="963"/>
      <c r="S15" s="1058"/>
      <c r="T15" s="801" t="str">
        <f>IF(C15="","",C15)</f>
        <v/>
      </c>
      <c r="U15" s="1137" t="str">
        <f>IF(D15="","",IF(D15="1：男",1,IF(D15="2：女",2)))</f>
        <v/>
      </c>
      <c r="V15" s="802" t="str">
        <f>IF(E15="","",E15)</f>
        <v/>
      </c>
      <c r="W15" s="803" t="str">
        <f t="shared" ref="W15" si="2">IF(AND(G15="",H15="",G16=""),"",ROUND(SUM(G15,H15/60)*G16,1))</f>
        <v/>
      </c>
      <c r="X15" s="804" t="str">
        <f t="shared" ref="X15" si="3">IF(AND(I15="",J15="",I16=""),"",ROUND(SUM(I15,J15/60)*I16,1))</f>
        <v/>
      </c>
      <c r="Y15" s="805" t="str">
        <f t="shared" ref="Y15" si="4">IF(AND(K15="",L15="",K16=""),"",ROUND(SUM(K15,L15/60)*K16,1))</f>
        <v/>
      </c>
      <c r="Z15" s="787"/>
      <c r="AA15" s="99"/>
      <c r="AB15" s="99"/>
      <c r="AC15" s="304"/>
      <c r="AD15" s="2150" t="s">
        <v>584</v>
      </c>
      <c r="AE15" s="2151"/>
      <c r="AF15" s="808">
        <f t="shared" si="0"/>
        <v>0</v>
      </c>
      <c r="AG15" s="808">
        <f t="shared" si="0"/>
        <v>0</v>
      </c>
      <c r="AH15" s="809">
        <f t="shared" si="0"/>
        <v>0</v>
      </c>
      <c r="AI15" s="809">
        <f t="shared" si="0"/>
        <v>0</v>
      </c>
      <c r="AJ15" s="810"/>
      <c r="AK15" s="810"/>
      <c r="AL15" s="798"/>
      <c r="AM15" s="799"/>
      <c r="AN15" s="811"/>
      <c r="AO15" s="811"/>
      <c r="AP15" s="810"/>
      <c r="AQ15" s="810"/>
      <c r="AR15" s="809">
        <f t="shared" si="1"/>
        <v>0</v>
      </c>
      <c r="AS15" s="809">
        <f t="shared" si="1"/>
        <v>0</v>
      </c>
      <c r="AT15" s="314"/>
      <c r="AU15" s="314"/>
      <c r="AV15" s="199"/>
      <c r="AW15" s="2152" t="s">
        <v>584</v>
      </c>
      <c r="AX15" s="2153"/>
      <c r="AY15" s="1165">
        <f>ROUND(AF15*$T$4*0.7,0)</f>
        <v>0</v>
      </c>
      <c r="AZ15" s="1165">
        <f>ROUND(AG15*$T$4*0.7,0)</f>
        <v>0</v>
      </c>
      <c r="BA15" s="1162"/>
      <c r="BB15" s="1163"/>
      <c r="BC15" s="1166"/>
      <c r="BD15" s="1166"/>
      <c r="BE15" s="1167">
        <f>(AP15+AR15)*$T$4*0.7</f>
        <v>0</v>
      </c>
      <c r="BF15" s="1167">
        <f>(AQ15+AS15)*$T$4*0.7</f>
        <v>0</v>
      </c>
    </row>
    <row r="16" spans="2:58" ht="29.25" customHeight="1" thickTop="1" thickBot="1">
      <c r="B16" s="333"/>
      <c r="C16" s="1193"/>
      <c r="D16" s="1194"/>
      <c r="E16" s="1195"/>
      <c r="F16" s="1196"/>
      <c r="G16" s="1091"/>
      <c r="H16" s="1197"/>
      <c r="I16" s="1091"/>
      <c r="J16" s="1197"/>
      <c r="K16" s="1091"/>
      <c r="L16" s="1198"/>
      <c r="M16" s="795"/>
      <c r="N16" s="795"/>
      <c r="P16" s="5"/>
      <c r="Q16" s="963"/>
      <c r="S16" s="1217"/>
      <c r="T16" s="785"/>
      <c r="U16" s="1059"/>
      <c r="V16" s="786"/>
      <c r="W16" s="787"/>
      <c r="X16" s="788"/>
      <c r="Y16" s="789"/>
      <c r="Z16" s="787"/>
      <c r="AA16" s="99"/>
      <c r="AB16" s="99"/>
      <c r="AC16" s="812"/>
      <c r="AD16" s="2154" t="s">
        <v>566</v>
      </c>
      <c r="AE16" s="2155"/>
      <c r="AF16" s="813">
        <f>SUM(AF17:AF20)</f>
        <v>0</v>
      </c>
      <c r="AG16" s="813">
        <f>SUM(AG17:AG20)</f>
        <v>0</v>
      </c>
      <c r="AH16" s="791"/>
      <c r="AI16" s="791"/>
      <c r="AJ16" s="791"/>
      <c r="AK16" s="791"/>
      <c r="AL16" s="813">
        <f>AN16+AP16+AR16</f>
        <v>0</v>
      </c>
      <c r="AM16" s="813">
        <f>AO16+AQ16+AS16</f>
        <v>0</v>
      </c>
      <c r="AN16" s="814">
        <f>SUMIFS($W$11:$W$70,$S$11:$S$70,2,$U$11:$U$70,1)</f>
        <v>0</v>
      </c>
      <c r="AO16" s="790">
        <f>SUMIFS($W$11:$W$70,$S$11:$S$70,2,$U$11:$U$70,2)</f>
        <v>0</v>
      </c>
      <c r="AP16" s="790">
        <f>AP17</f>
        <v>0</v>
      </c>
      <c r="AQ16" s="790">
        <f>AQ17</f>
        <v>0</v>
      </c>
      <c r="AR16" s="790">
        <f>SUM(AR17:AR20)</f>
        <v>0</v>
      </c>
      <c r="AS16" s="790">
        <f>SUM(AS17:AS20)</f>
        <v>0</v>
      </c>
      <c r="AT16" s="314"/>
      <c r="AU16" s="314"/>
      <c r="AV16" s="366"/>
      <c r="AW16" s="2156" t="s">
        <v>856</v>
      </c>
      <c r="AX16" s="2157"/>
      <c r="AY16" s="1168">
        <f>SUM(AY17:AY20)</f>
        <v>0</v>
      </c>
      <c r="AZ16" s="1168">
        <f>SUM(AZ17:AZ20)</f>
        <v>0</v>
      </c>
      <c r="BA16" s="1168">
        <f>ROUND(BC16+BE16,0)</f>
        <v>0</v>
      </c>
      <c r="BB16" s="1168">
        <f>ROUND(BD16+BF16,0)</f>
        <v>0</v>
      </c>
      <c r="BC16" s="1169">
        <f>IFERROR($T$112*($AN21/$AN$36),0)</f>
        <v>0</v>
      </c>
      <c r="BD16" s="1169">
        <f>IFERROR($T$113*($AO21/$AO$36),0)</f>
        <v>0</v>
      </c>
      <c r="BE16" s="1170">
        <f>SUM(BE17:BE20)</f>
        <v>0</v>
      </c>
      <c r="BF16" s="1170">
        <f>SUM(BF17:BF20)</f>
        <v>0</v>
      </c>
    </row>
    <row r="17" spans="1:58" ht="29.25" customHeight="1" thickTop="1">
      <c r="B17" s="333"/>
      <c r="C17" s="879"/>
      <c r="D17" s="869"/>
      <c r="E17" s="870"/>
      <c r="F17" s="871"/>
      <c r="G17" s="1090"/>
      <c r="H17" s="878"/>
      <c r="I17" s="1090"/>
      <c r="J17" s="878"/>
      <c r="K17" s="1090"/>
      <c r="L17" s="875"/>
      <c r="M17" s="784"/>
      <c r="N17" s="784"/>
      <c r="P17" s="5"/>
      <c r="Q17" s="963"/>
      <c r="S17" s="1058"/>
      <c r="T17" s="801" t="str">
        <f>IF(C17="","",C17)</f>
        <v/>
      </c>
      <c r="U17" s="1137" t="str">
        <f>IF(D17="","",IF(D17="1：男",1,IF(D17="2：女",2)))</f>
        <v/>
      </c>
      <c r="V17" s="802" t="str">
        <f>IF(E17="","",E17)</f>
        <v/>
      </c>
      <c r="W17" s="803" t="str">
        <f t="shared" ref="W17" si="5">IF(AND(G17="",H17="",G18=""),"",ROUND(SUM(G17,H17/60)*G18,1))</f>
        <v/>
      </c>
      <c r="X17" s="804" t="str">
        <f t="shared" ref="X17" si="6">IF(AND(I17="",J17="",I18=""),"",ROUND(SUM(I17,J17/60)*I18,1))</f>
        <v/>
      </c>
      <c r="Y17" s="805" t="str">
        <f t="shared" ref="Y17" si="7">IF(AND(K17="",L17="",K18=""),"",ROUND(SUM(K17,L17/60)*K18,1))</f>
        <v/>
      </c>
      <c r="Z17" s="787"/>
      <c r="AA17" s="99"/>
      <c r="AB17" s="99"/>
      <c r="AC17" s="812"/>
      <c r="AD17" s="812"/>
      <c r="AE17" s="815" t="s">
        <v>581</v>
      </c>
      <c r="AF17" s="796">
        <f t="shared" ref="AF17:AG20" si="8">AH17+AJ17</f>
        <v>0</v>
      </c>
      <c r="AG17" s="796">
        <f t="shared" si="8"/>
        <v>0</v>
      </c>
      <c r="AH17" s="797">
        <f>SUMIFS($W$11:$W$70,$S$11:$S$70,1,$U$11:$U$70,1,$V$11:$V$70,"&lt;65")</f>
        <v>0</v>
      </c>
      <c r="AI17" s="797">
        <f>SUMIFS($W$11:$W$70,$S$11:$S$70,1,$U$11:$U$70,2,$V$11:$V$70,"&lt;65")</f>
        <v>0</v>
      </c>
      <c r="AJ17" s="797">
        <f>SUMIFS($W$11:$W$70,$S$11:$S$70,3,$U$11:$U$70,1)</f>
        <v>0</v>
      </c>
      <c r="AK17" s="797">
        <f>SUMIFS($W$11:$W$70,$S$11:$S$70,3,$U$11:$U$70,2)</f>
        <v>0</v>
      </c>
      <c r="AL17" s="798"/>
      <c r="AM17" s="799"/>
      <c r="AN17" s="800"/>
      <c r="AO17" s="800"/>
      <c r="AP17" s="797">
        <f>SUMIFS($W$11:$W$70,$S$11:$S$70,4,$U$11:$U$70,1)</f>
        <v>0</v>
      </c>
      <c r="AQ17" s="797">
        <f>SUMIFS($W$11:$W$70,$S$11:$S$70,4,$U$11:$U$70,2)</f>
        <v>0</v>
      </c>
      <c r="AR17" s="797">
        <f>SUMIFS($W$11:$W$70,$S$11:$S$70,5,$U$11:$U$70,1,$V$11:$V$70,"&lt;65")</f>
        <v>0</v>
      </c>
      <c r="AS17" s="797">
        <f>SUMIFS($W$11:$W$70,$S$11:$S$70,5,$U$11:$U$70,2,$V$11:$V$70,"&lt;65")</f>
        <v>0</v>
      </c>
      <c r="AT17" s="314"/>
      <c r="AU17" s="314"/>
      <c r="AV17" s="366"/>
      <c r="AW17" s="816"/>
      <c r="AX17" s="817" t="s">
        <v>581</v>
      </c>
      <c r="AY17" s="1161">
        <f>ROUND(AF22*$T$4,0)</f>
        <v>0</v>
      </c>
      <c r="AZ17" s="1161">
        <f>ROUND(AG22*$T$4,0)</f>
        <v>0</v>
      </c>
      <c r="BA17" s="1162"/>
      <c r="BB17" s="1163"/>
      <c r="BC17" s="1171"/>
      <c r="BD17" s="1171"/>
      <c r="BE17" s="1172">
        <f>(AP22+AR22)*$T$4</f>
        <v>0</v>
      </c>
      <c r="BF17" s="1172">
        <f>(AQ22+AS22)*$T$4</f>
        <v>0</v>
      </c>
    </row>
    <row r="18" spans="1:58" ht="29.25" customHeight="1" thickBot="1">
      <c r="B18" s="333"/>
      <c r="C18" s="1193"/>
      <c r="D18" s="1194"/>
      <c r="E18" s="1195"/>
      <c r="F18" s="1196"/>
      <c r="G18" s="1091"/>
      <c r="H18" s="1197"/>
      <c r="I18" s="1091"/>
      <c r="J18" s="1197"/>
      <c r="K18" s="1091"/>
      <c r="L18" s="1198"/>
      <c r="M18" s="795"/>
      <c r="N18" s="795"/>
      <c r="P18" s="5"/>
      <c r="Q18" s="963"/>
      <c r="S18" s="1217"/>
      <c r="T18" s="785"/>
      <c r="U18" s="1059"/>
      <c r="V18" s="786"/>
      <c r="W18" s="787"/>
      <c r="X18" s="788"/>
      <c r="Y18" s="789"/>
      <c r="Z18" s="787"/>
      <c r="AA18" s="99"/>
      <c r="AB18" s="99"/>
      <c r="AC18" s="812"/>
      <c r="AD18" s="812"/>
      <c r="AE18" s="818" t="s">
        <v>582</v>
      </c>
      <c r="AF18" s="806">
        <f t="shared" si="8"/>
        <v>0</v>
      </c>
      <c r="AG18" s="806">
        <f t="shared" si="8"/>
        <v>0</v>
      </c>
      <c r="AH18" s="806">
        <f>SUMIFS($W$11:$W$70,$S$11:$S$70,1,$U$11:$U$70,1,$V$11:$V$70,"&gt;=65",$V$11:$V$70,"&lt;70")</f>
        <v>0</v>
      </c>
      <c r="AI18" s="806">
        <f>SUMIFS($W$11:$W$70,$S$11:$S$70,1,$U$11:$U$70,2,$V$11:$V$70,"&gt;=65",$V$11:$V$70,"&lt;70")</f>
        <v>0</v>
      </c>
      <c r="AJ18" s="807"/>
      <c r="AK18" s="807"/>
      <c r="AL18" s="798"/>
      <c r="AM18" s="799"/>
      <c r="AN18" s="799"/>
      <c r="AO18" s="799"/>
      <c r="AP18" s="807"/>
      <c r="AQ18" s="807"/>
      <c r="AR18" s="806">
        <f>SUMIFS($W$11:$W$70,$S$11:$S$70,5,$U$11:$U$70,1,$V$11:$V$70,"&gt;=65",$V$11:$V$70,"&lt;70")</f>
        <v>0</v>
      </c>
      <c r="AS18" s="806">
        <f>SUMIFS($W$11:$W$70,$S$11:$S$70,5,$U$11:$U$70,2,$V$11:$V$70,"&gt;=65",$V$11:$V$70,"&lt;70")</f>
        <v>0</v>
      </c>
      <c r="AT18" s="314"/>
      <c r="AU18" s="314"/>
      <c r="AV18" s="366"/>
      <c r="AW18" s="816"/>
      <c r="AX18" s="819" t="s">
        <v>582</v>
      </c>
      <c r="AY18" s="1164">
        <f>ROUND(AF23*$T$4*0.9,0)</f>
        <v>0</v>
      </c>
      <c r="AZ18" s="1164">
        <f>ROUND(AG23*$T$4*0.9,0)</f>
        <v>0</v>
      </c>
      <c r="BA18" s="1162"/>
      <c r="BB18" s="1163"/>
      <c r="BC18" s="1162"/>
      <c r="BD18" s="1162"/>
      <c r="BE18" s="1164">
        <f>(AR23)*$T$4*0.9</f>
        <v>0</v>
      </c>
      <c r="BF18" s="1164">
        <f>(AS23)*$T$4*0.9</f>
        <v>0</v>
      </c>
    </row>
    <row r="19" spans="1:58" ht="29.25" customHeight="1" thickTop="1">
      <c r="B19" s="333"/>
      <c r="C19" s="879"/>
      <c r="D19" s="869"/>
      <c r="E19" s="870"/>
      <c r="F19" s="871"/>
      <c r="G19" s="1090"/>
      <c r="H19" s="878"/>
      <c r="I19" s="1090"/>
      <c r="J19" s="878"/>
      <c r="K19" s="1090"/>
      <c r="L19" s="875"/>
      <c r="M19" s="784"/>
      <c r="N19" s="784"/>
      <c r="P19" s="5"/>
      <c r="Q19" s="963"/>
      <c r="S19" s="1058"/>
      <c r="T19" s="801" t="str">
        <f>IF(C19="","",C19)</f>
        <v/>
      </c>
      <c r="U19" s="1137" t="str">
        <f>IF(D19="","",IF(D19="1：男",1,IF(D19="2：女",2)))</f>
        <v/>
      </c>
      <c r="V19" s="802" t="str">
        <f>IF(E19="","",E19)</f>
        <v/>
      </c>
      <c r="W19" s="803" t="str">
        <f t="shared" ref="W19" si="9">IF(AND(G19="",H19="",G20=""),"",ROUND(SUM(G19,H19/60)*G20,1))</f>
        <v/>
      </c>
      <c r="X19" s="804" t="str">
        <f t="shared" ref="X19" si="10">IF(AND(I19="",J19="",I20=""),"",ROUND(SUM(I19,J19/60)*I20,1))</f>
        <v/>
      </c>
      <c r="Y19" s="805" t="str">
        <f t="shared" ref="Y19" si="11">IF(AND(K19="",L19="",K20=""),"",ROUND(SUM(K19,L19/60)*K20,1))</f>
        <v/>
      </c>
      <c r="Z19" s="787"/>
      <c r="AA19" s="99"/>
      <c r="AB19" s="99"/>
      <c r="AC19" s="820"/>
      <c r="AD19" s="812"/>
      <c r="AE19" s="818" t="s">
        <v>583</v>
      </c>
      <c r="AF19" s="806">
        <f t="shared" si="8"/>
        <v>0</v>
      </c>
      <c r="AG19" s="806">
        <f t="shared" si="8"/>
        <v>0</v>
      </c>
      <c r="AH19" s="806">
        <f>SUMIFS($W$11:$W$70,$S$11:$S$70,1,$U$11:$U$70,1,$V$11:$V$70,"&gt;=70",$V$11:$V$70,"&lt;75")</f>
        <v>0</v>
      </c>
      <c r="AI19" s="806">
        <f>SUMIFS($W$11:$W$70,$S$11:$S$70,1,$U$11:$U$70,2,$V$11:$V$70,"&gt;=70",$V$11:$V$70,"&lt;75")</f>
        <v>0</v>
      </c>
      <c r="AJ19" s="807"/>
      <c r="AK19" s="807"/>
      <c r="AL19" s="798"/>
      <c r="AM19" s="799"/>
      <c r="AN19" s="799"/>
      <c r="AO19" s="799"/>
      <c r="AP19" s="807"/>
      <c r="AQ19" s="807"/>
      <c r="AR19" s="806">
        <f>SUMIFS($W$11:$W$70,$S$11:$S$70,5,$U$11:$U$70,1,$V$11:$V$70,"&gt;=70",$V$11:$V$70,"&lt;75")</f>
        <v>0</v>
      </c>
      <c r="AS19" s="806">
        <f>SUMIFS($W$11:$W$70,$S$11:$S$70,5,$U$11:$U$70,2,$V$11:$V$70,"&gt;=70",$V$11:$V$70,"&lt;75")</f>
        <v>0</v>
      </c>
      <c r="AT19" s="314"/>
      <c r="AU19" s="314"/>
      <c r="AV19" s="366"/>
      <c r="AW19" s="816"/>
      <c r="AX19" s="819" t="s">
        <v>583</v>
      </c>
      <c r="AY19" s="1164">
        <f>ROUND(AF24*$T$4*0.8,0)</f>
        <v>0</v>
      </c>
      <c r="AZ19" s="1164">
        <f>ROUND(AG24*$T$4*0.8,0)</f>
        <v>0</v>
      </c>
      <c r="BA19" s="1162"/>
      <c r="BB19" s="1163"/>
      <c r="BC19" s="1162"/>
      <c r="BD19" s="1162"/>
      <c r="BE19" s="1164">
        <f>(AR24)*$T$4*0.8</f>
        <v>0</v>
      </c>
      <c r="BF19" s="1164">
        <f>(AS24)*$T$4*0.8</f>
        <v>0</v>
      </c>
    </row>
    <row r="20" spans="1:58" ht="29.25" customHeight="1" thickBot="1">
      <c r="B20" s="333"/>
      <c r="C20" s="1193"/>
      <c r="D20" s="1194"/>
      <c r="E20" s="1195"/>
      <c r="F20" s="1196"/>
      <c r="G20" s="1091"/>
      <c r="H20" s="1197"/>
      <c r="I20" s="1091"/>
      <c r="J20" s="1197"/>
      <c r="K20" s="1091"/>
      <c r="L20" s="1198"/>
      <c r="M20" s="795"/>
      <c r="N20" s="795"/>
      <c r="P20" s="5"/>
      <c r="Q20" s="963"/>
      <c r="S20" s="1217"/>
      <c r="T20" s="785"/>
      <c r="U20" s="1059"/>
      <c r="V20" s="786"/>
      <c r="W20" s="787"/>
      <c r="X20" s="788"/>
      <c r="Y20" s="789"/>
      <c r="Z20" s="787"/>
      <c r="AA20" s="99"/>
      <c r="AB20" s="99"/>
      <c r="AC20" s="820"/>
      <c r="AD20" s="821"/>
      <c r="AE20" s="822" t="s">
        <v>584</v>
      </c>
      <c r="AF20" s="808">
        <f t="shared" si="8"/>
        <v>0</v>
      </c>
      <c r="AG20" s="808">
        <f t="shared" si="8"/>
        <v>0</v>
      </c>
      <c r="AH20" s="809">
        <f>SUMIFS($W$11:$W$70,$S$11:$S$70,1,$U$11:$U$70,1,$V$11:$V$70,"&gt;=75")</f>
        <v>0</v>
      </c>
      <c r="AI20" s="809">
        <f>SUMIFS($W$11:$W$70,$S$11:$S$70,1,$U$11:$U$70,2,$V$11:$V$70,"&gt;=75")</f>
        <v>0</v>
      </c>
      <c r="AJ20" s="810"/>
      <c r="AK20" s="810"/>
      <c r="AL20" s="798"/>
      <c r="AM20" s="799"/>
      <c r="AN20" s="811"/>
      <c r="AO20" s="811"/>
      <c r="AP20" s="810"/>
      <c r="AQ20" s="810"/>
      <c r="AR20" s="809">
        <f>SUMIFS($W$11:$W$70,$S$11:$S$70,5,$U$11:$U$70,1,$V$11:$V$70,"&gt;=75")</f>
        <v>0</v>
      </c>
      <c r="AS20" s="809">
        <f>SUMIFS($W$11:$W$70,$S$11:$S$70,5,$U$11:$U$70,2,$V$11:$V$70,"&gt;=75")</f>
        <v>0</v>
      </c>
      <c r="AT20" s="314"/>
      <c r="AU20" s="314"/>
      <c r="AV20" s="366"/>
      <c r="AW20" s="823"/>
      <c r="AX20" s="824" t="s">
        <v>584</v>
      </c>
      <c r="AY20" s="1167">
        <f>ROUND(AF25*$T$4*0.7,0)</f>
        <v>0</v>
      </c>
      <c r="AZ20" s="1167">
        <f>ROUND(AG25*$T$4*0.7,0)</f>
        <v>0</v>
      </c>
      <c r="BA20" s="1166"/>
      <c r="BB20" s="1173"/>
      <c r="BC20" s="1166"/>
      <c r="BD20" s="1166"/>
      <c r="BE20" s="1167">
        <f>(AR25)*$T$4*0.7</f>
        <v>0</v>
      </c>
      <c r="BF20" s="1167">
        <f>(AS25)*$T$4*0.7</f>
        <v>0</v>
      </c>
    </row>
    <row r="21" spans="1:58" ht="29.25" customHeight="1" thickTop="1" thickBot="1">
      <c r="B21" s="333"/>
      <c r="C21" s="879"/>
      <c r="D21" s="869"/>
      <c r="E21" s="870"/>
      <c r="F21" s="871"/>
      <c r="G21" s="1090"/>
      <c r="H21" s="878"/>
      <c r="I21" s="1090"/>
      <c r="J21" s="878"/>
      <c r="K21" s="1090"/>
      <c r="L21" s="875"/>
      <c r="M21" s="784"/>
      <c r="N21" s="784"/>
      <c r="P21" s="5"/>
      <c r="Q21" s="963"/>
      <c r="S21" s="1058"/>
      <c r="T21" s="801" t="str">
        <f>IF(C21="","",C21)</f>
        <v/>
      </c>
      <c r="U21" s="1137" t="str">
        <f>IF(D21="","",IF(D21="1：男",1,IF(D21="2：女",2)))</f>
        <v/>
      </c>
      <c r="V21" s="802" t="str">
        <f>IF(E21="","",E21)</f>
        <v/>
      </c>
      <c r="W21" s="803" t="str">
        <f t="shared" ref="W21" si="12">IF(AND(G21="",H21="",G22=""),"",ROUND(SUM(G21,H21/60)*G22,1))</f>
        <v/>
      </c>
      <c r="X21" s="804" t="str">
        <f t="shared" ref="X21" si="13">IF(AND(I21="",J21="",I22=""),"",ROUND(SUM(I21,J21/60)*I22,1))</f>
        <v/>
      </c>
      <c r="Y21" s="805" t="str">
        <f t="shared" ref="Y21" si="14">IF(AND(K21="",L21="",K22=""),"",ROUND(SUM(K21,L21/60)*K22,1))</f>
        <v/>
      </c>
      <c r="Z21" s="787"/>
      <c r="AA21" s="99"/>
      <c r="AB21" s="99"/>
      <c r="AC21" s="820"/>
      <c r="AD21" s="2158" t="s">
        <v>856</v>
      </c>
      <c r="AE21" s="2159"/>
      <c r="AF21" s="813">
        <f>SUM(AF22:AF25)</f>
        <v>0</v>
      </c>
      <c r="AG21" s="813">
        <f>SUM(AG22:AG25)</f>
        <v>0</v>
      </c>
      <c r="AH21" s="791"/>
      <c r="AI21" s="791"/>
      <c r="AJ21" s="791"/>
      <c r="AK21" s="791"/>
      <c r="AL21" s="813">
        <f>AN21+AP21+AR21</f>
        <v>0</v>
      </c>
      <c r="AM21" s="813">
        <f>AO21+AQ21+AS21</f>
        <v>0</v>
      </c>
      <c r="AN21" s="814">
        <f>SUMIFS($X$11:$X$70,$S$11:$S$70,2,$U$11:$U$70,1)</f>
        <v>0</v>
      </c>
      <c r="AO21" s="790">
        <f>SUMIFS($X$11:$X$70,$S$11:$S$70,2,$U$11:$U$70,2)</f>
        <v>0</v>
      </c>
      <c r="AP21" s="790">
        <f>AP22</f>
        <v>0</v>
      </c>
      <c r="AQ21" s="790">
        <f>AQ22</f>
        <v>0</v>
      </c>
      <c r="AR21" s="790">
        <f>SUM(AR22:AR25)</f>
        <v>0</v>
      </c>
      <c r="AS21" s="790">
        <f>SUM(AS22:AS25)</f>
        <v>0</v>
      </c>
      <c r="AT21" s="314"/>
      <c r="AU21" s="314"/>
      <c r="AV21" s="199"/>
      <c r="AW21" s="303"/>
      <c r="AX21" s="996"/>
      <c r="AY21" s="1174"/>
      <c r="AZ21" s="1174"/>
      <c r="BA21" s="1175"/>
      <c r="BB21" s="1175"/>
      <c r="BC21" s="1175"/>
      <c r="BD21" s="1175"/>
      <c r="BE21" s="1175"/>
      <c r="BF21" s="1176"/>
    </row>
    <row r="22" spans="1:58" ht="29.25" customHeight="1" thickTop="1" thickBot="1">
      <c r="B22" s="333"/>
      <c r="C22" s="1193"/>
      <c r="D22" s="1194"/>
      <c r="E22" s="1195"/>
      <c r="F22" s="1196"/>
      <c r="G22" s="1091"/>
      <c r="H22" s="1197"/>
      <c r="I22" s="1091"/>
      <c r="J22" s="1197"/>
      <c r="K22" s="1091"/>
      <c r="L22" s="1198"/>
      <c r="M22" s="795"/>
      <c r="N22" s="795"/>
      <c r="P22" s="5"/>
      <c r="Q22" s="963"/>
      <c r="S22" s="1217"/>
      <c r="T22" s="785"/>
      <c r="U22" s="1059"/>
      <c r="V22" s="786"/>
      <c r="W22" s="787"/>
      <c r="X22" s="788"/>
      <c r="Y22" s="789"/>
      <c r="Z22" s="787"/>
      <c r="AA22" s="99"/>
      <c r="AB22" s="99"/>
      <c r="AC22" s="820"/>
      <c r="AD22" s="812"/>
      <c r="AE22" s="815" t="s">
        <v>581</v>
      </c>
      <c r="AF22" s="796">
        <f t="shared" ref="AF22:AG25" si="15">AH22+AJ22</f>
        <v>0</v>
      </c>
      <c r="AG22" s="796">
        <f t="shared" si="15"/>
        <v>0</v>
      </c>
      <c r="AH22" s="797">
        <f>SUMIFS($X$11:$X$70,$S$11:$S$70,1,$U$11:$U$70,1,$V$11:$V$70,"&lt;65")</f>
        <v>0</v>
      </c>
      <c r="AI22" s="797">
        <f>SUMIFS($X$11:$X$70,$S$11:$S$70,1,$U$11:$U$70,2,$V$11:$V$70,"&lt;65")</f>
        <v>0</v>
      </c>
      <c r="AJ22" s="797">
        <f>SUMIFS($X$11:$X$70,$S$11:$S$70,3,$U$11:$U$70,1)</f>
        <v>0</v>
      </c>
      <c r="AK22" s="797">
        <f>SUMIFS($X$11:$X$70,$S$11:$S$70,3,$U$11:$U$70,2)</f>
        <v>0</v>
      </c>
      <c r="AL22" s="798"/>
      <c r="AM22" s="799"/>
      <c r="AN22" s="800"/>
      <c r="AO22" s="800"/>
      <c r="AP22" s="797">
        <f>SUMIFS($X$11:$X$70,$S$11:$S$70,4,$U$11:$U$70,1)</f>
        <v>0</v>
      </c>
      <c r="AQ22" s="797">
        <f>SUMIFS($X$11:$X$70,$S$11:$S$70,4,$U$11:$U$70,2)</f>
        <v>0</v>
      </c>
      <c r="AR22" s="797">
        <f>SUMIFS($X$11:$X$70,$S$11:$S$70,5,$U$11:$U$70,1,$V$11:$V$70,"&lt;65")</f>
        <v>0</v>
      </c>
      <c r="AS22" s="797">
        <f>SUMIFS($X$11:$X$70,$S$11:$S$70,5,$U$11:$U$70,2,$V$11:$V$70,"&lt;65")</f>
        <v>0</v>
      </c>
      <c r="AT22" s="314"/>
      <c r="AU22" s="314"/>
      <c r="AV22" s="199"/>
      <c r="AW22" s="199"/>
      <c r="AY22" s="1175"/>
      <c r="AZ22" s="1175"/>
      <c r="BA22" s="1175"/>
      <c r="BB22" s="1175"/>
      <c r="BC22" s="1175"/>
      <c r="BD22" s="1175"/>
      <c r="BE22" s="1175"/>
      <c r="BF22" s="1176"/>
    </row>
    <row r="23" spans="1:58" ht="29.25" customHeight="1" thickTop="1">
      <c r="B23" s="333"/>
      <c r="C23" s="879"/>
      <c r="D23" s="869"/>
      <c r="E23" s="870"/>
      <c r="F23" s="871"/>
      <c r="G23" s="1090"/>
      <c r="H23" s="878"/>
      <c r="I23" s="1090"/>
      <c r="J23" s="878"/>
      <c r="K23" s="1090"/>
      <c r="L23" s="875"/>
      <c r="M23" s="784"/>
      <c r="N23" s="784"/>
      <c r="P23" s="5"/>
      <c r="Q23" s="963"/>
      <c r="S23" s="1058"/>
      <c r="T23" s="801" t="str">
        <f>IF(C23="","",C23)</f>
        <v/>
      </c>
      <c r="U23" s="1137" t="str">
        <f>IF(D23="","",IF(D23="1：男",1,IF(D23="2：女",2)))</f>
        <v/>
      </c>
      <c r="V23" s="802" t="str">
        <f>IF(E23="","",E23)</f>
        <v/>
      </c>
      <c r="W23" s="803" t="str">
        <f t="shared" ref="W23" si="16">IF(AND(G23="",H23="",G24=""),"",ROUND(SUM(G23,H23/60)*G24,1))</f>
        <v/>
      </c>
      <c r="X23" s="804" t="str">
        <f t="shared" ref="X23" si="17">IF(AND(I23="",J23="",I24=""),"",ROUND(SUM(I23,J23/60)*I24,1))</f>
        <v/>
      </c>
      <c r="Y23" s="805" t="str">
        <f t="shared" ref="Y23" si="18">IF(AND(K23="",L23="",K24=""),"",ROUND(SUM(K23,L23/60)*K24,1))</f>
        <v/>
      </c>
      <c r="Z23" s="787"/>
      <c r="AA23" s="99"/>
      <c r="AB23" s="99"/>
      <c r="AC23" s="820"/>
      <c r="AD23" s="812"/>
      <c r="AE23" s="818" t="s">
        <v>582</v>
      </c>
      <c r="AF23" s="806">
        <f t="shared" si="15"/>
        <v>0</v>
      </c>
      <c r="AG23" s="806">
        <f t="shared" si="15"/>
        <v>0</v>
      </c>
      <c r="AH23" s="806">
        <f>SUMIFS($X$11:$X$70,$S$11:$S$70,1,$U$11:$U$70,1,$V$11:$V$70,"&gt;=65",$V$11:$V$70,"&lt;70")</f>
        <v>0</v>
      </c>
      <c r="AI23" s="806">
        <f>SUMIFS($X$11:$X$70,$S$11:$S$70,1,$U$11:$U$70,2,$V$11:$V$70,"&gt;=65",$V$11:$V$70,"&lt;70")</f>
        <v>0</v>
      </c>
      <c r="AJ23" s="807"/>
      <c r="AK23" s="807"/>
      <c r="AL23" s="798"/>
      <c r="AM23" s="799"/>
      <c r="AN23" s="799"/>
      <c r="AO23" s="799"/>
      <c r="AP23" s="807"/>
      <c r="AQ23" s="807"/>
      <c r="AR23" s="806">
        <f>SUMIFS($X$11:$X$70,$S$11:$S$70,5,$U$11:$U$70,1,$V$11:$V$70,"&gt;=65",$V$11:$V$70,"&lt;70")</f>
        <v>0</v>
      </c>
      <c r="AS23" s="806">
        <f>SUMIFS($X$11:$X$70,$S$11:$S$70,5,$U$11:$U$70,2,$V$11:$V$70,"&gt;=65",$V$11:$V$70,"&lt;70")</f>
        <v>0</v>
      </c>
      <c r="AT23" s="314"/>
      <c r="AU23" s="314"/>
      <c r="AV23" s="199"/>
      <c r="AW23" s="199"/>
      <c r="AY23" s="1175"/>
      <c r="AZ23" s="1175"/>
      <c r="BA23" s="1175"/>
      <c r="BB23" s="1175"/>
      <c r="BC23" s="1175"/>
      <c r="BD23" s="1175"/>
      <c r="BE23" s="1175"/>
      <c r="BF23" s="1176"/>
    </row>
    <row r="24" spans="1:58" ht="29.25" customHeight="1" thickBot="1">
      <c r="B24" s="333"/>
      <c r="C24" s="1193"/>
      <c r="D24" s="1194"/>
      <c r="E24" s="1195"/>
      <c r="F24" s="1196"/>
      <c r="G24" s="1091"/>
      <c r="H24" s="1197"/>
      <c r="I24" s="1091"/>
      <c r="J24" s="1197"/>
      <c r="K24" s="1091"/>
      <c r="L24" s="1198"/>
      <c r="M24" s="795"/>
      <c r="N24" s="795"/>
      <c r="P24" s="5"/>
      <c r="Q24" s="963"/>
      <c r="S24" s="1217"/>
      <c r="T24" s="785"/>
      <c r="U24" s="1059"/>
      <c r="V24" s="786"/>
      <c r="W24" s="787"/>
      <c r="X24" s="788"/>
      <c r="Y24" s="789"/>
      <c r="Z24" s="787"/>
      <c r="AA24" s="99"/>
      <c r="AB24" s="99"/>
      <c r="AC24" s="820"/>
      <c r="AD24" s="812"/>
      <c r="AE24" s="818" t="s">
        <v>583</v>
      </c>
      <c r="AF24" s="806">
        <f t="shared" si="15"/>
        <v>0</v>
      </c>
      <c r="AG24" s="806">
        <f t="shared" si="15"/>
        <v>0</v>
      </c>
      <c r="AH24" s="806">
        <f>SUMIFS($X$11:$X$70,$S$11:$S$70,1,$U$11:$U$70,1,$V$11:$V$70,"&gt;=70",$V$11:$V$70,"&lt;75")</f>
        <v>0</v>
      </c>
      <c r="AI24" s="806">
        <f>SUMIFS($X$11:$X$70,$S$11:$S$70,1,$U$11:$U$70,2,$V$11:$V$70,"&gt;=70",$V$11:$V$70,"&lt;75")</f>
        <v>0</v>
      </c>
      <c r="AJ24" s="807"/>
      <c r="AK24" s="807"/>
      <c r="AL24" s="798"/>
      <c r="AM24" s="799"/>
      <c r="AN24" s="799"/>
      <c r="AO24" s="799"/>
      <c r="AP24" s="807"/>
      <c r="AQ24" s="807"/>
      <c r="AR24" s="806">
        <f>SUMIFS($X$11:$X$70,$S$11:$S$70,5,$U$11:$U$70,1,$V$11:$V$70,"&gt;=70",$V$11:$V$70,"&lt;75")</f>
        <v>0</v>
      </c>
      <c r="AS24" s="806">
        <f>SUMIFS($X$11:$X$70,$S$11:$S$70,5,$U$11:$U$70,2,$V$11:$V$70,"&gt;=70",$V$11:$V$70,"&lt;75")</f>
        <v>0</v>
      </c>
      <c r="AT24" s="314"/>
      <c r="AU24" s="314"/>
      <c r="AV24" s="199"/>
      <c r="AW24" s="199"/>
      <c r="AY24" s="1175"/>
      <c r="AZ24" s="1175"/>
      <c r="BA24" s="1175"/>
      <c r="BB24" s="1175"/>
      <c r="BC24" s="1175"/>
      <c r="BD24" s="1175"/>
      <c r="BE24" s="1175"/>
      <c r="BF24" s="1176"/>
    </row>
    <row r="25" spans="1:58" ht="29.25" customHeight="1" thickTop="1" thickBot="1">
      <c r="B25" s="333"/>
      <c r="C25" s="879"/>
      <c r="D25" s="869"/>
      <c r="E25" s="870"/>
      <c r="F25" s="871"/>
      <c r="G25" s="1090"/>
      <c r="H25" s="878"/>
      <c r="I25" s="1090"/>
      <c r="J25" s="878"/>
      <c r="K25" s="1090"/>
      <c r="L25" s="875"/>
      <c r="M25" s="784"/>
      <c r="N25" s="784"/>
      <c r="P25" s="5"/>
      <c r="Q25" s="963"/>
      <c r="S25" s="1058"/>
      <c r="T25" s="801" t="str">
        <f>IF(C25="","",C25)</f>
        <v/>
      </c>
      <c r="U25" s="1137" t="str">
        <f>IF(D25="","",IF(D25="1：男",1,IF(D25="2：女",2)))</f>
        <v/>
      </c>
      <c r="V25" s="802" t="str">
        <f>IF(E25="","",E25)</f>
        <v/>
      </c>
      <c r="W25" s="803" t="str">
        <f t="shared" ref="W25" si="19">IF(AND(G25="",H25="",G26=""),"",ROUND(SUM(G25,H25/60)*G26,1))</f>
        <v/>
      </c>
      <c r="X25" s="804" t="str">
        <f t="shared" ref="X25" si="20">IF(AND(I25="",J25="",I26=""),"",ROUND(SUM(I25,J25/60)*I26,1))</f>
        <v/>
      </c>
      <c r="Y25" s="805" t="str">
        <f t="shared" ref="Y25" si="21">IF(AND(K25="",L25="",K26=""),"",ROUND(SUM(K25,L25/60)*K26,1))</f>
        <v/>
      </c>
      <c r="Z25" s="787"/>
      <c r="AA25" s="99"/>
      <c r="AB25" s="99"/>
      <c r="AC25" s="812"/>
      <c r="AD25" s="821"/>
      <c r="AE25" s="822" t="s">
        <v>584</v>
      </c>
      <c r="AF25" s="808">
        <f t="shared" si="15"/>
        <v>0</v>
      </c>
      <c r="AG25" s="808">
        <f t="shared" si="15"/>
        <v>0</v>
      </c>
      <c r="AH25" s="809">
        <f>SUMIFS($X$11:$X$70,$S$11:$S$70,1,$U$11:$U$70,1,$V$11:$V$70,"&gt;=75")</f>
        <v>0</v>
      </c>
      <c r="AI25" s="809">
        <f>SUMIFS($X$11:$X$70,$S$11:$S$70,1,$U$11:$U$70,2,$V$11:$V$70,"&gt;=75")</f>
        <v>0</v>
      </c>
      <c r="AJ25" s="810"/>
      <c r="AK25" s="810"/>
      <c r="AL25" s="798"/>
      <c r="AM25" s="799"/>
      <c r="AN25" s="811"/>
      <c r="AO25" s="811"/>
      <c r="AP25" s="810"/>
      <c r="AQ25" s="810"/>
      <c r="AR25" s="809">
        <f>SUMIFS($X$11:$X$70,$S$11:$S$70,5,$U$11:$U$70,1,$V$11:$V$70,"&gt;=75")</f>
        <v>0</v>
      </c>
      <c r="AS25" s="809">
        <f>SUMIFS($X$11:$X$70,$S$11:$S$70,5,$U$11:$U$70,2,$V$11:$V$70,"&gt;=75")</f>
        <v>0</v>
      </c>
      <c r="AT25" s="314"/>
      <c r="AU25" s="314"/>
      <c r="AV25" s="199"/>
      <c r="AW25" s="270"/>
      <c r="AX25" s="997"/>
      <c r="AY25" s="1175"/>
      <c r="AZ25" s="1175"/>
      <c r="BA25" s="1175"/>
      <c r="BB25" s="1175"/>
      <c r="BC25" s="1175"/>
      <c r="BD25" s="1175"/>
      <c r="BE25" s="1175"/>
      <c r="BF25" s="1176"/>
    </row>
    <row r="26" spans="1:58" ht="29.25" customHeight="1" thickTop="1" thickBot="1">
      <c r="B26" s="333"/>
      <c r="C26" s="1193"/>
      <c r="D26" s="1194"/>
      <c r="E26" s="1195"/>
      <c r="F26" s="1196"/>
      <c r="G26" s="1091"/>
      <c r="H26" s="1197"/>
      <c r="I26" s="1091"/>
      <c r="J26" s="1197"/>
      <c r="K26" s="1091"/>
      <c r="L26" s="1198"/>
      <c r="M26" s="795"/>
      <c r="N26" s="795"/>
      <c r="P26" s="5"/>
      <c r="Q26" s="963"/>
      <c r="S26" s="1217"/>
      <c r="T26" s="785"/>
      <c r="U26" s="1059"/>
      <c r="V26" s="786"/>
      <c r="W26" s="787"/>
      <c r="X26" s="788"/>
      <c r="Y26" s="789"/>
      <c r="Z26" s="787"/>
      <c r="AA26" s="99"/>
      <c r="AB26" s="99"/>
      <c r="AC26" s="812"/>
      <c r="AD26" s="2158" t="s">
        <v>568</v>
      </c>
      <c r="AE26" s="2159"/>
      <c r="AF26" s="813">
        <f>SUM(AF27:AF30)</f>
        <v>0</v>
      </c>
      <c r="AG26" s="813">
        <f>SUM(AG27:AG30)</f>
        <v>0</v>
      </c>
      <c r="AH26" s="791"/>
      <c r="AI26" s="791"/>
      <c r="AJ26" s="791"/>
      <c r="AK26" s="791"/>
      <c r="AL26" s="813">
        <f>AN26+AP26+AR26</f>
        <v>0</v>
      </c>
      <c r="AM26" s="813">
        <f>AO26+AQ26+AS26</f>
        <v>0</v>
      </c>
      <c r="AN26" s="814">
        <f>SUMIFS($Y$11:$Y$70,$S$11:$S$70,2,$U$11:$U$70,1)</f>
        <v>0</v>
      </c>
      <c r="AO26" s="814">
        <f>SUMIFS($Y$11:$Y$70,$S$11:$S$70,2,$U$11:$U$70,2)</f>
        <v>0</v>
      </c>
      <c r="AP26" s="790">
        <f>AP27</f>
        <v>0</v>
      </c>
      <c r="AQ26" s="790">
        <f>AQ27</f>
        <v>0</v>
      </c>
      <c r="AR26" s="790">
        <f>SUM(AR27:AR30)</f>
        <v>0</v>
      </c>
      <c r="AS26" s="790">
        <f>SUM(AS27:AS30)</f>
        <v>0</v>
      </c>
      <c r="AT26" s="314"/>
      <c r="AU26" s="314"/>
      <c r="AV26" s="366"/>
      <c r="AW26" s="825"/>
      <c r="AX26" s="998"/>
      <c r="AY26" s="1177"/>
      <c r="AZ26" s="1177"/>
      <c r="BA26" s="1177"/>
      <c r="BB26" s="1177"/>
      <c r="BC26" s="1177"/>
      <c r="BD26" s="1177"/>
      <c r="BE26" s="1177"/>
      <c r="BF26" s="1178"/>
    </row>
    <row r="27" spans="1:58" ht="29.25" customHeight="1" thickTop="1">
      <c r="B27" s="333"/>
      <c r="C27" s="879"/>
      <c r="D27" s="869"/>
      <c r="E27" s="870"/>
      <c r="F27" s="871"/>
      <c r="G27" s="1090"/>
      <c r="H27" s="878"/>
      <c r="I27" s="1090"/>
      <c r="J27" s="878"/>
      <c r="K27" s="1090"/>
      <c r="L27" s="875"/>
      <c r="M27" s="784"/>
      <c r="N27" s="784"/>
      <c r="P27" s="5"/>
      <c r="Q27" s="963"/>
      <c r="S27" s="1058"/>
      <c r="T27" s="801" t="str">
        <f>IF(C27="","",C27)</f>
        <v/>
      </c>
      <c r="U27" s="1137" t="str">
        <f>IF(D27="","",IF(D27="1：男",1,IF(D27="2：女",2)))</f>
        <v/>
      </c>
      <c r="V27" s="802" t="str">
        <f>IF(E27="","",E27)</f>
        <v/>
      </c>
      <c r="W27" s="804" t="str">
        <f>IF(AND(G27="",H27="",G28=""),"",ROUND(SUM(G27,H27/60)*G28,1))</f>
        <v/>
      </c>
      <c r="X27" s="804" t="str">
        <f>IF(AND(I27="",J27="",I28=""),"",ROUND(SUM(I27,J27/60)*I28,1))</f>
        <v/>
      </c>
      <c r="Y27" s="805" t="str">
        <f t="shared" ref="Y27" si="22">IF(AND(K27="",L27="",K28=""),"",ROUND(SUM(K27,L27/60)*K28,1))</f>
        <v/>
      </c>
      <c r="Z27" s="787"/>
      <c r="AA27" s="99"/>
      <c r="AB27" s="99"/>
      <c r="AC27" s="812"/>
      <c r="AD27" s="812"/>
      <c r="AE27" s="815" t="s">
        <v>581</v>
      </c>
      <c r="AF27" s="796">
        <f t="shared" ref="AF27:AG30" si="23">AH27+AJ27</f>
        <v>0</v>
      </c>
      <c r="AG27" s="796">
        <f t="shared" si="23"/>
        <v>0</v>
      </c>
      <c r="AH27" s="797">
        <f>SUMIFS($Y$11:$Y$70,$S$11:$S$70,1,$U$11:$U$70,1,$V$11:$V$70,"&lt;65")+SUMIFS($W$77:$W$106,$S$77:$S$106,1,$U$77:$U$106,1,$V$77:$V$106,"&lt;65")</f>
        <v>0</v>
      </c>
      <c r="AI27" s="797">
        <f>SUMIFS($Y$11:$Y$70,$S$11:$S$70,1,$U$11:$U$70,2,$V$11:$V$70,"&lt;65")+SUMIFS($W$77:$W$106,$S$77:$S$106,1,$U$77:$U$106,2,$V$77:$V$106,"&lt;65")</f>
        <v>0</v>
      </c>
      <c r="AJ27" s="797">
        <f>SUMIFS($Y$11:$Y$70,$S$11:$S$70,3,$U$11:$U$70,1)
+SUMIFS($Y$77:$Y$106,$S$77:$S$106,3,$U$77:$U$106,1)</f>
        <v>0</v>
      </c>
      <c r="AK27" s="797">
        <f>SUMIFS($Y$11:$Y$70,$S$11:$S$70,3,$U$11:$U$70,2)
+SUMIFS($Y$77:$Y$106,$S$77:$S$106,3,$U$77:$U$106,2)</f>
        <v>0</v>
      </c>
      <c r="AL27" s="798"/>
      <c r="AM27" s="799"/>
      <c r="AN27" s="800"/>
      <c r="AO27" s="800"/>
      <c r="AP27" s="797">
        <f>SUMIFS($Y$11:$Y$70,$S$11:$S$70,4,$U$11:$U$70,1)
+SUMIFS($Y$77:$Y$106,$S$77:$S$106,4,$U$77:$U$106,1)</f>
        <v>0</v>
      </c>
      <c r="AQ27" s="797">
        <f>SUMIFS($Y$11:$Y$70,$S$11:$S$70,4,$U$11:$U$70,2)
+SUMIFS($Y$77:$Y$106,$S$77:$S$106,4,$U$77:$U$106,2)</f>
        <v>0</v>
      </c>
      <c r="AR27" s="797">
        <f>SUMIFS($Y$11:$Y$70,$S$11:$S$70,5,$U$11:$U$70,1,$V$11:$V$70,"&lt;65")</f>
        <v>0</v>
      </c>
      <c r="AS27" s="797">
        <f>SUMIFS($Y$11:$Y$70,$S$11:$S$70,5,$U$11:$U$70,2,$V$11:$V$70,"&lt;65")</f>
        <v>0</v>
      </c>
      <c r="AT27" s="314"/>
      <c r="AU27" s="314"/>
      <c r="AV27" s="366"/>
      <c r="AW27" s="816"/>
      <c r="AX27" s="99"/>
      <c r="AY27" s="1179"/>
      <c r="AZ27" s="1179"/>
      <c r="BA27" s="1179"/>
      <c r="BB27" s="1179"/>
      <c r="BC27" s="1179"/>
      <c r="BD27" s="1179"/>
      <c r="BE27" s="1179"/>
      <c r="BF27" s="1180"/>
    </row>
    <row r="28" spans="1:58" ht="29.25" customHeight="1" collapsed="1" thickBot="1">
      <c r="B28" s="333"/>
      <c r="C28" s="1199"/>
      <c r="D28" s="1194"/>
      <c r="E28" s="1195"/>
      <c r="F28" s="1196"/>
      <c r="G28" s="1092"/>
      <c r="H28" s="1200"/>
      <c r="I28" s="1092"/>
      <c r="J28" s="1200"/>
      <c r="K28" s="1092"/>
      <c r="L28" s="1201"/>
      <c r="M28" s="795"/>
      <c r="N28" s="795"/>
      <c r="P28" s="5"/>
      <c r="Q28" s="963"/>
      <c r="S28" s="1218"/>
      <c r="T28" s="826"/>
      <c r="U28" s="1138"/>
      <c r="V28" s="827"/>
      <c r="W28" s="828"/>
      <c r="X28" s="828"/>
      <c r="Y28" s="829"/>
      <c r="Z28" s="787"/>
      <c r="AA28" s="99"/>
      <c r="AB28" s="99"/>
      <c r="AC28" s="812"/>
      <c r="AD28" s="812"/>
      <c r="AE28" s="818" t="s">
        <v>582</v>
      </c>
      <c r="AF28" s="806">
        <f t="shared" si="23"/>
        <v>0</v>
      </c>
      <c r="AG28" s="806">
        <f t="shared" si="23"/>
        <v>0</v>
      </c>
      <c r="AH28" s="806">
        <f>SUMIFS($Y$11:$Y$70,$S$11:$S$70,1,$U$11:$U$70,1,$V$11:$V$70,"&gt;=65",$V$11:$V$70,"&lt;70")+SUMIFS($W$77:$W$106,$S$77:$S$106,1,$U$77:$U$106,1,$V$77:$V$106,"&gt;=65",$V$77:$V$106,"&lt;70")</f>
        <v>0</v>
      </c>
      <c r="AI28" s="806">
        <f>SUMIFS($Y$11:$Y$70,$S$11:$S$70,1,$U$11:$U$70,2,$V$11:$V$70,"&gt;=65",$V$11:$V$70,"&lt;70")+SUMIFS($W$77:$W$106,$S$77:$S$106,1,$U$77:$U$106,2,$V$77:$V$106,"&gt;=65",$V$77:$V$106,"&lt;70")</f>
        <v>0</v>
      </c>
      <c r="AJ28" s="807"/>
      <c r="AK28" s="807"/>
      <c r="AL28" s="798"/>
      <c r="AM28" s="799"/>
      <c r="AN28" s="799"/>
      <c r="AO28" s="799"/>
      <c r="AP28" s="807"/>
      <c r="AQ28" s="807"/>
      <c r="AR28" s="806">
        <f>SUMIFS($Y$11:$Y$70,$S$11:$S$70,5,$U$11:$U$70,1,$V$11:$V$70,"&gt;=65",$V$11:$V$70,"&lt;70")</f>
        <v>0</v>
      </c>
      <c r="AS28" s="806">
        <f>SUMIFS($Y$11:$Y$70,$S$11:$S$70,5,$U$11:$U$70,2,$V$11:$V$70,"&gt;=65",$V$11:$V$70,"&lt;70")</f>
        <v>0</v>
      </c>
      <c r="AV28" s="366"/>
      <c r="AW28" s="816"/>
      <c r="AX28" s="99"/>
      <c r="AY28" s="1179"/>
      <c r="AZ28" s="1179"/>
      <c r="BA28" s="1179"/>
      <c r="BB28" s="1179"/>
      <c r="BC28" s="1179"/>
      <c r="BD28" s="1179"/>
      <c r="BE28" s="1179"/>
      <c r="BF28" s="1180"/>
    </row>
    <row r="29" spans="1:58" s="89" customFormat="1" ht="26.45" hidden="1" customHeight="1" outlineLevel="1" thickTop="1">
      <c r="A29" s="88"/>
      <c r="B29" s="333"/>
      <c r="C29" s="880"/>
      <c r="D29" s="869"/>
      <c r="E29" s="870"/>
      <c r="F29" s="871"/>
      <c r="G29" s="1093"/>
      <c r="H29" s="877"/>
      <c r="I29" s="1093"/>
      <c r="J29" s="877"/>
      <c r="K29" s="1093"/>
      <c r="L29" s="876"/>
      <c r="M29" s="784"/>
      <c r="N29" s="784"/>
      <c r="O29" s="88"/>
      <c r="P29" s="5"/>
      <c r="Q29" s="963"/>
      <c r="R29" s="88"/>
      <c r="S29" s="1058"/>
      <c r="T29" s="801" t="str">
        <f>IF(C29="","",C29)</f>
        <v/>
      </c>
      <c r="U29" s="1137" t="str">
        <f>IF(D29="","",IF(D29="1：男",1,IF(D29="2：女",2)))</f>
        <v/>
      </c>
      <c r="V29" s="802" t="str">
        <f>IF(E29="","",E29)</f>
        <v/>
      </c>
      <c r="W29" s="803" t="str">
        <f t="shared" ref="W29" si="24">IF(AND(G29="",H29="",G30=""),"",ROUND(SUM(G29,H29/60)*G30,1))</f>
        <v/>
      </c>
      <c r="X29" s="804" t="str">
        <f t="shared" ref="X29" si="25">IF(AND(I29="",J29="",I30=""),"",ROUND(SUM(I29,J29/60)*I30,1))</f>
        <v/>
      </c>
      <c r="Y29" s="805" t="str">
        <f t="shared" ref="Y29" si="26">IF(AND(K29="",L29="",K30=""),"",ROUND(SUM(K29,L29/60)*K30,1))</f>
        <v/>
      </c>
      <c r="Z29" s="787"/>
      <c r="AA29" s="99"/>
      <c r="AB29" s="830"/>
      <c r="AC29" s="201"/>
      <c r="AD29" s="812"/>
      <c r="AE29" s="818" t="s">
        <v>583</v>
      </c>
      <c r="AF29" s="806">
        <f t="shared" si="23"/>
        <v>0</v>
      </c>
      <c r="AG29" s="806">
        <f t="shared" si="23"/>
        <v>0</v>
      </c>
      <c r="AH29" s="806">
        <f>SUMIFS($Y$11:$Y$70,$S$11:$S$70,1,$U$11:$U$70,1,$V$11:$V$70,"&gt;=70",$V$11:$V$70,"&lt;75")+SUMIFS($W$77:$W$106,$S$77:$S$106,1,$U$77:$U$106,1,$V$77:$V$106,"&gt;=70",$V$77:$V$106,"&lt;75")</f>
        <v>0</v>
      </c>
      <c r="AI29" s="806">
        <f>SUMIFS($Y$11:$Y$70,$S$11:$S$70,1,$U$11:$U$70,2,$V$11:$V$70,"&gt;=70",$V$11:$V$70,"&lt;75")+SUMIFS($W$77:$W$106,$S$77:$S$106,1,$U$77:$U$106,2,$V$77:$V$106,"&gt;=70",$V$77:$V$106,"&lt;75")</f>
        <v>0</v>
      </c>
      <c r="AJ29" s="807"/>
      <c r="AK29" s="807"/>
      <c r="AL29" s="798"/>
      <c r="AM29" s="799"/>
      <c r="AN29" s="799"/>
      <c r="AO29" s="799"/>
      <c r="AP29" s="807"/>
      <c r="AQ29" s="807"/>
      <c r="AR29" s="806">
        <f>SUMIFS($Y$11:$Y$70,$S$11:$S$70,5,$U$11:$U$70,1,$V$11:$V$70,"&gt;=70",$V$11:$V$70,"&lt;75")</f>
        <v>0</v>
      </c>
      <c r="AS29" s="806">
        <f>SUMIFS($Y$11:$Y$70,$S$11:$S$70,5,$U$11:$U$70,2,$V$11:$V$70,"&gt;=70",$V$11:$V$70,"&lt;75")</f>
        <v>0</v>
      </c>
      <c r="AT29" s="88"/>
      <c r="AU29" s="88"/>
      <c r="AV29" s="366"/>
      <c r="AW29" s="816"/>
      <c r="AX29" s="99"/>
      <c r="AY29" s="1179"/>
      <c r="AZ29" s="1179"/>
      <c r="BA29" s="1179"/>
      <c r="BB29" s="1179"/>
      <c r="BC29" s="1179"/>
      <c r="BD29" s="1179"/>
      <c r="BE29" s="1179"/>
      <c r="BF29" s="1180"/>
    </row>
    <row r="30" spans="1:58" ht="27" hidden="1" customHeight="1" outlineLevel="1" thickBot="1">
      <c r="B30" s="333"/>
      <c r="C30" s="1193"/>
      <c r="D30" s="1194"/>
      <c r="E30" s="1195"/>
      <c r="F30" s="1196"/>
      <c r="G30" s="1091"/>
      <c r="H30" s="1197"/>
      <c r="I30" s="1091"/>
      <c r="J30" s="1197"/>
      <c r="K30" s="1091"/>
      <c r="L30" s="1198"/>
      <c r="M30" s="795"/>
      <c r="N30" s="795"/>
      <c r="P30" s="5"/>
      <c r="Q30" s="963"/>
      <c r="S30" s="1217"/>
      <c r="T30" s="785"/>
      <c r="U30" s="1059"/>
      <c r="V30" s="786"/>
      <c r="W30" s="787"/>
      <c r="X30" s="788"/>
      <c r="Y30" s="789"/>
      <c r="Z30" s="787"/>
      <c r="AA30" s="99"/>
      <c r="AC30" s="201"/>
      <c r="AD30" s="821"/>
      <c r="AE30" s="822" t="s">
        <v>584</v>
      </c>
      <c r="AF30" s="808">
        <f t="shared" si="23"/>
        <v>0</v>
      </c>
      <c r="AG30" s="808">
        <f t="shared" si="23"/>
        <v>0</v>
      </c>
      <c r="AH30" s="809">
        <f>SUMIFS($Y$11:$Y$70,$S$11:$S$70,1,$U$11:$U$70,1,$V$11:$V$70,"&gt;=75")+SUMIFS($W$77:$W$106,$S$77:$S$106,1,$U$77:$U$106,1,$V$77:$V$106,"&gt;=75")</f>
        <v>0</v>
      </c>
      <c r="AI30" s="809">
        <f>SUMIFS($Y$11:$Y$70,$S$11:$S$70,1,$U$11:$U$70,2,$V$11:$V$70,"&gt;=75")+SUMIFS($W$77:$W$106,$S$77:$S$106,1,$U$77:$U$106,2,$V$77:$V$106,"&gt;=75")</f>
        <v>0</v>
      </c>
      <c r="AJ30" s="810"/>
      <c r="AK30" s="810"/>
      <c r="AL30" s="798"/>
      <c r="AM30" s="799"/>
      <c r="AN30" s="811"/>
      <c r="AO30" s="811"/>
      <c r="AP30" s="810"/>
      <c r="AQ30" s="810"/>
      <c r="AR30" s="809">
        <f>SUMIFS($Y$11:$Y$70,$S$11:$S$70,5,$U$11:$U$70,1,$V$11:$V$70,"&gt;=75")</f>
        <v>0</v>
      </c>
      <c r="AS30" s="809">
        <f>SUMIFS($Y$11:$Y$70,$S$11:$S$70,5,$U$11:$U$70,2,$V$11:$V$70,"&gt;=75")</f>
        <v>0</v>
      </c>
      <c r="AV30" s="366"/>
      <c r="AW30" s="823"/>
      <c r="AX30" s="999"/>
      <c r="AY30" s="1181"/>
      <c r="AZ30" s="1181"/>
      <c r="BA30" s="1179"/>
      <c r="BB30" s="1179"/>
      <c r="BC30" s="1179"/>
      <c r="BD30" s="1179"/>
      <c r="BE30" s="1179"/>
      <c r="BF30" s="1180"/>
    </row>
    <row r="31" spans="1:58" ht="27" hidden="1" customHeight="1" outlineLevel="1" thickTop="1" thickBot="1">
      <c r="B31" s="333"/>
      <c r="C31" s="879"/>
      <c r="D31" s="869"/>
      <c r="E31" s="870"/>
      <c r="F31" s="871"/>
      <c r="G31" s="1090"/>
      <c r="H31" s="878"/>
      <c r="I31" s="1090"/>
      <c r="J31" s="878"/>
      <c r="K31" s="1090"/>
      <c r="L31" s="875"/>
      <c r="M31" s="784"/>
      <c r="N31" s="784"/>
      <c r="P31" s="5"/>
      <c r="Q31" s="963"/>
      <c r="S31" s="1058"/>
      <c r="T31" s="801" t="str">
        <f>IF(C31="","",C31)</f>
        <v/>
      </c>
      <c r="U31" s="1137" t="str">
        <f>IF(D31="","",IF(D31="1：男",1,IF(D31="2：女",2)))</f>
        <v/>
      </c>
      <c r="V31" s="802" t="str">
        <f>IF(E31="","",E31)</f>
        <v/>
      </c>
      <c r="W31" s="803" t="str">
        <f t="shared" ref="W31" si="27">IF(AND(G31="",H31="",G32=""),"",ROUND(SUM(G31,H31/60)*G32,1))</f>
        <v/>
      </c>
      <c r="X31" s="804" t="str">
        <f t="shared" ref="X31" si="28">IF(AND(I31="",J31="",I32=""),"",ROUND(SUM(I31,J31/60)*I32,1))</f>
        <v/>
      </c>
      <c r="Y31" s="805" t="str">
        <f t="shared" ref="Y31" si="29">IF(AND(K31="",L31="",K32=""),"",ROUND(SUM(K31,L31/60)*K32,1))</f>
        <v/>
      </c>
      <c r="Z31" s="787"/>
      <c r="AA31" s="99"/>
      <c r="AC31" s="2131" t="s">
        <v>586</v>
      </c>
      <c r="AD31" s="2132"/>
      <c r="AE31" s="2132"/>
      <c r="AF31" s="813">
        <f>SUM(AF32:AF35)</f>
        <v>0</v>
      </c>
      <c r="AG31" s="813">
        <f>SUM(AG32:AG35)</f>
        <v>0</v>
      </c>
      <c r="AH31" s="791"/>
      <c r="AI31" s="791"/>
      <c r="AJ31" s="791"/>
      <c r="AK31" s="791"/>
      <c r="AL31" s="813">
        <f>AN31+AP31+AR31</f>
        <v>0</v>
      </c>
      <c r="AM31" s="813">
        <f>AO31+AQ31+AS31</f>
        <v>0</v>
      </c>
      <c r="AN31" s="831">
        <f>SUMIFS($X$77:$X$106,$S$77:$S$106,2,$U$77:$U$106,1)+SUMIFS($Y$77:$Y$106,$S$77:$S$106,2,$U$77:$U$106,1)</f>
        <v>0</v>
      </c>
      <c r="AO31" s="797">
        <f>SUMIFS($X$77:$X$106,$S$77:$S$106,2,$U$77:$U$106,2)+SUMIFS($Y$77:$Y$106,$S$77:$S$106,2,$U$77:$U$106,2)</f>
        <v>0</v>
      </c>
      <c r="AP31" s="790">
        <f>AP32</f>
        <v>0</v>
      </c>
      <c r="AQ31" s="790">
        <f>AQ32</f>
        <v>0</v>
      </c>
      <c r="AR31" s="790">
        <f>SUM(AR32:AR35)</f>
        <v>0</v>
      </c>
      <c r="AS31" s="790">
        <f>SUM(AS32:AS35)</f>
        <v>0</v>
      </c>
      <c r="AV31" s="2133" t="s">
        <v>588</v>
      </c>
      <c r="AW31" s="2134"/>
      <c r="AX31" s="2134"/>
      <c r="AY31" s="1182">
        <f>SUM(AY32:AY35)</f>
        <v>0</v>
      </c>
      <c r="AZ31" s="1182">
        <f>SUM(AZ32:AZ35)</f>
        <v>0</v>
      </c>
      <c r="BA31" s="1168">
        <f>ROUND(BC31+BE31,0)</f>
        <v>0</v>
      </c>
      <c r="BB31" s="1168">
        <f>ROUND(BD31+BF31,0)</f>
        <v>0</v>
      </c>
      <c r="BC31" s="1183">
        <f>IFERROR($T$112*($AN31/$AN$36),0)</f>
        <v>0</v>
      </c>
      <c r="BD31" s="1184">
        <f>IFERROR($T$113*($AO31/$AO$36),0)</f>
        <v>0</v>
      </c>
      <c r="BE31" s="1185">
        <f>SUM(BE32:BE35)</f>
        <v>0</v>
      </c>
      <c r="BF31" s="1185">
        <f>SUM(BF32:BF35)</f>
        <v>0</v>
      </c>
    </row>
    <row r="32" spans="1:58" ht="27" hidden="1" customHeight="1" outlineLevel="1" thickTop="1" thickBot="1">
      <c r="B32" s="333"/>
      <c r="C32" s="1193"/>
      <c r="D32" s="1194"/>
      <c r="E32" s="1195"/>
      <c r="F32" s="1196"/>
      <c r="G32" s="1091"/>
      <c r="H32" s="1197"/>
      <c r="I32" s="1091"/>
      <c r="J32" s="1197"/>
      <c r="K32" s="1091"/>
      <c r="L32" s="1198"/>
      <c r="M32" s="795"/>
      <c r="N32" s="795"/>
      <c r="P32" s="5"/>
      <c r="Q32" s="963"/>
      <c r="S32" s="1217"/>
      <c r="T32" s="785"/>
      <c r="U32" s="1059"/>
      <c r="V32" s="786"/>
      <c r="W32" s="787"/>
      <c r="X32" s="788"/>
      <c r="Y32" s="789"/>
      <c r="Z32" s="787"/>
      <c r="AA32" s="99"/>
      <c r="AC32" s="304"/>
      <c r="AD32" s="2135" t="s">
        <v>581</v>
      </c>
      <c r="AE32" s="2136"/>
      <c r="AF32" s="796">
        <f t="shared" ref="AF32:AG35" si="30">AH32+AJ32</f>
        <v>0</v>
      </c>
      <c r="AG32" s="796">
        <f t="shared" si="30"/>
        <v>0</v>
      </c>
      <c r="AH32" s="835">
        <f>SUMIFS($X$77:$X$106,$S$77:$S$106,1,$U$77:$U$106,1,$V$77:$V$106,"&lt;65")+SUMIFS($Y$77:$Y$106,$S$77:$S$106,1,$U$77:$U$106,1,$V$77:$V$106,"&lt;65")</f>
        <v>0</v>
      </c>
      <c r="AI32" s="797">
        <f>SUMIFS($X$77:$X$106,$S$77:$S$106,1,$U$77:$U$106,2,$V$77:$V$106,"&lt;65")+SUMIFS($Y$77:$Y$106,$S$77:$S$106,1,$U$77:$U$106,2,$V$77:$V$106,"&lt;65")</f>
        <v>0</v>
      </c>
      <c r="AJ32" s="797">
        <f>SUMIFS($X$77:$X$106,$S$77:$S$106,3,$U$77:$U$106,1)</f>
        <v>0</v>
      </c>
      <c r="AK32" s="797">
        <f>SUMIFS($X$77:$X$106,$S$77:$S$106,3,$U$77:$U$106,2)</f>
        <v>0</v>
      </c>
      <c r="AL32" s="798"/>
      <c r="AM32" s="799"/>
      <c r="AN32" s="800"/>
      <c r="AO32" s="800"/>
      <c r="AP32" s="797">
        <f>SUMIFS($X$77:$X$106,$S$77:$S$106,4,$U$77:$U$106,1)</f>
        <v>0</v>
      </c>
      <c r="AQ32" s="797">
        <f>SUMIFS($X$77:$X$106,$S$77:$S$106,4,$U$77:$U$106,2)</f>
        <v>0</v>
      </c>
      <c r="AR32" s="797">
        <f>SUMIFS($X$77:$X$106,$S$77:$S$106,5,$U$77:$U$106,1,$V$77:$V$106,"&lt;65")+SUMIFS($Y$77:$Y$106,$S$77:$S$106,5,$U$77:$U$106,1,$V$77:$V$106,"&lt;65")</f>
        <v>0</v>
      </c>
      <c r="AS32" s="797">
        <f>SUMIFS($X$77:$X$106,$S$77:$S$106,5,$U$77:$U$106,2,$V$77:$V$106,"&lt;65")+SUMIFS($Y$77:$Y$106,$S$77:$S$106,5,$U$77:$U$106,2,$V$77:$V$106,"&lt;65")</f>
        <v>0</v>
      </c>
      <c r="AV32" s="199"/>
      <c r="AW32" s="2137" t="s">
        <v>581</v>
      </c>
      <c r="AX32" s="2138"/>
      <c r="AY32" s="1186">
        <f>ROUND(AF32*$T$4,0)</f>
        <v>0</v>
      </c>
      <c r="AZ32" s="1186">
        <f>ROUND(AG32*$T$4,0)</f>
        <v>0</v>
      </c>
      <c r="BA32" s="1187"/>
      <c r="BB32" s="1188"/>
      <c r="BC32" s="1187"/>
      <c r="BD32" s="1187"/>
      <c r="BE32" s="1186">
        <f>(AP32+AR32)*$T$4</f>
        <v>0</v>
      </c>
      <c r="BF32" s="1186">
        <f>(AQ32+AS32)*$T$4</f>
        <v>0</v>
      </c>
    </row>
    <row r="33" spans="2:58" ht="27" hidden="1" customHeight="1" outlineLevel="1" thickTop="1">
      <c r="B33" s="333"/>
      <c r="C33" s="879"/>
      <c r="D33" s="869"/>
      <c r="E33" s="870"/>
      <c r="F33" s="871"/>
      <c r="G33" s="1090"/>
      <c r="H33" s="878"/>
      <c r="I33" s="1090"/>
      <c r="J33" s="878"/>
      <c r="K33" s="1090"/>
      <c r="L33" s="875"/>
      <c r="M33" s="784"/>
      <c r="N33" s="784"/>
      <c r="P33" s="5"/>
      <c r="Q33" s="963"/>
      <c r="S33" s="1058"/>
      <c r="T33" s="801" t="str">
        <f>IF(C33="","",C33)</f>
        <v/>
      </c>
      <c r="U33" s="1137" t="str">
        <f>IF(D33="","",IF(D33="1：男",1,IF(D33="2：女",2)))</f>
        <v/>
      </c>
      <c r="V33" s="802" t="str">
        <f>IF(E33="","",E33)</f>
        <v/>
      </c>
      <c r="W33" s="803" t="str">
        <f t="shared" ref="W33" si="31">IF(AND(G33="",H33="",G34=""),"",ROUND(SUM(G33,H33/60)*G34,1))</f>
        <v/>
      </c>
      <c r="X33" s="804" t="str">
        <f t="shared" ref="X33" si="32">IF(AND(I33="",J33="",I34=""),"",ROUND(SUM(I33,J33/60)*I34,1))</f>
        <v/>
      </c>
      <c r="Y33" s="805" t="str">
        <f t="shared" ref="Y33" si="33">IF(AND(K33="",L33="",K34=""),"",ROUND(SUM(K33,L33/60)*K34,1))</f>
        <v/>
      </c>
      <c r="Z33" s="787"/>
      <c r="AA33" s="99"/>
      <c r="AB33" s="1140"/>
      <c r="AC33" s="304"/>
      <c r="AD33" s="2146" t="s">
        <v>582</v>
      </c>
      <c r="AE33" s="2147"/>
      <c r="AF33" s="806">
        <f t="shared" si="30"/>
        <v>0</v>
      </c>
      <c r="AG33" s="806">
        <f t="shared" si="30"/>
        <v>0</v>
      </c>
      <c r="AH33" s="806">
        <f>SUMIFS($X$77:$X$106,$S$77:$S$106,1,$U$77:$U$106,1,$V$77:$V$106,"&gt;=65",$V$77:$V$106,"&lt;70")+SUMIFS($Y$77:$Y$106,$S$77:$S$106,1,$U$77:$U$106,1,$V$77:$V$106,"&gt;=65",$V$77:$V$106,"&lt;70")</f>
        <v>0</v>
      </c>
      <c r="AI33" s="806">
        <f>SUMIFS($X$77:$X$106,$S$77:$S$106,1,$U$77:$U$106,2,$V$77:$V$106,"&gt;=65",$V$77:$V$106,"&lt;70")+SUMIFS($Y$77:$Y$106,$S$77:$S$106,1,$U$77:$U$106,2,$V$77:$V$106,"&gt;=65",$V$77:$V$106,"&lt;70")</f>
        <v>0</v>
      </c>
      <c r="AJ33" s="807"/>
      <c r="AK33" s="807"/>
      <c r="AL33" s="798"/>
      <c r="AM33" s="799"/>
      <c r="AN33" s="799"/>
      <c r="AO33" s="799"/>
      <c r="AP33" s="807"/>
      <c r="AQ33" s="807"/>
      <c r="AR33" s="806">
        <f>SUMIFS($X$77:$X$106,$S$77:$S$106,5,$U$77:$U$106,1,$V$77:$V$106,"&gt;=65",$V$77:$V$106,"&lt;70")+SUMIFS($Y$77:$Y$106,$S$77:$S$106,5,$U$77:$U$106,1,$V$77:$V$106,"&gt;=65",$V$77:$V$106,"&lt;70")</f>
        <v>0</v>
      </c>
      <c r="AS33" s="806">
        <f>SUMIFS($X$77:$X$106,$S$77:$S$106,5,$U$77:$U$106,2,$V$77:$V$106,"&gt;=65",$V$77:$V$106,"&lt;70")+SUMIFS($Y$77:$Y$106,$S$77:$S$106,5,$U$77:$U$106,2,$V$77:$V$106,"&gt;=65",$V$77:$V$106,"&lt;70")</f>
        <v>0</v>
      </c>
      <c r="AV33" s="199"/>
      <c r="AW33" s="2148" t="s">
        <v>582</v>
      </c>
      <c r="AX33" s="2149"/>
      <c r="AY33" s="1189">
        <f>ROUND(AF33*$T$4*0.9,0)</f>
        <v>0</v>
      </c>
      <c r="AZ33" s="1189">
        <f>ROUND(AG33*$T$4*0.9,0)</f>
        <v>0</v>
      </c>
      <c r="BA33" s="1187"/>
      <c r="BB33" s="1188"/>
      <c r="BC33" s="1187"/>
      <c r="BD33" s="1187"/>
      <c r="BE33" s="1189">
        <f>AR33*$T$4*0.9</f>
        <v>0</v>
      </c>
      <c r="BF33" s="1189">
        <f>AS33*$T$4*0.9</f>
        <v>0</v>
      </c>
    </row>
    <row r="34" spans="2:58" ht="27" hidden="1" customHeight="1" outlineLevel="1" thickBot="1">
      <c r="B34" s="333"/>
      <c r="C34" s="1193"/>
      <c r="D34" s="1194"/>
      <c r="E34" s="1195"/>
      <c r="F34" s="1196"/>
      <c r="G34" s="1091"/>
      <c r="H34" s="1197"/>
      <c r="I34" s="1091"/>
      <c r="J34" s="1197"/>
      <c r="K34" s="1091"/>
      <c r="L34" s="1198"/>
      <c r="M34" s="795"/>
      <c r="N34" s="795"/>
      <c r="P34" s="5"/>
      <c r="Q34" s="963"/>
      <c r="S34" s="1217"/>
      <c r="T34" s="785"/>
      <c r="U34" s="1059"/>
      <c r="V34" s="786"/>
      <c r="W34" s="787"/>
      <c r="X34" s="788"/>
      <c r="Y34" s="789"/>
      <c r="Z34" s="787"/>
      <c r="AA34" s="99"/>
      <c r="AB34" s="1140"/>
      <c r="AC34" s="304"/>
      <c r="AD34" s="2146" t="s">
        <v>583</v>
      </c>
      <c r="AE34" s="2147"/>
      <c r="AF34" s="806">
        <f t="shared" si="30"/>
        <v>0</v>
      </c>
      <c r="AG34" s="806">
        <f t="shared" si="30"/>
        <v>0</v>
      </c>
      <c r="AH34" s="806">
        <f>SUMIFS($X$77:$X$106,$S$77:$S$106,1,$U$77:$U$106,1,$V$77:$V$106,"&gt;=70",$V$77:$V$106,"&lt;75")+SUMIFS($Y$77:$Y$106,$S$77:$S$106,1,$U$77:$U$106,1,$V$77:$V$106,"&gt;=70",$V$77:$V$106,"&lt;75")</f>
        <v>0</v>
      </c>
      <c r="AI34" s="806">
        <f>SUMIFS($X$77:$X$106,$S$77:$S$106,1,$U$77:$U$106,2,$V$77:$V$106,"&gt;=70",$V$77:$V$106,"&lt;75")+SUMIFS($Y$77:$Y$106,$S$77:$S$106,1,$U$77:$U$106,2,$V$77:$V$106,"&gt;=70",$V$77:$V$106,"&lt;75")</f>
        <v>0</v>
      </c>
      <c r="AJ34" s="807"/>
      <c r="AK34" s="807"/>
      <c r="AL34" s="798"/>
      <c r="AM34" s="799"/>
      <c r="AN34" s="799"/>
      <c r="AO34" s="799"/>
      <c r="AP34" s="807"/>
      <c r="AQ34" s="807"/>
      <c r="AR34" s="806">
        <f>SUMIFS($X$77:$X$106,$S$77:$S$106,5,$U$77:$U$106,1,$V$77:$V$106,"&gt;=70",$V$77:$V$106,"&lt;75")+SUMIFS($Y$77:$Y$106,$S$77:$S$106,5,$U$77:$U$106,1,$V$77:$V$106,"&gt;=70",$V$77:$V$106,"&lt;75")</f>
        <v>0</v>
      </c>
      <c r="AS34" s="806">
        <f>SUMIFS($X$77:$X$106,$S$77:$S$106,5,$U$77:$U$106,2,$V$77:$V$106,"&gt;=70",$V$77:$V$106,"&lt;75")+SUMIFS($Y$77:$Y$106,$S$77:$S$106,5,$U$77:$U$106,2,$V$77:$V$106,"&gt;=70",$V$77:$V$106,"&lt;75")</f>
        <v>0</v>
      </c>
      <c r="AV34" s="199"/>
      <c r="AW34" s="2148" t="s">
        <v>583</v>
      </c>
      <c r="AX34" s="2149"/>
      <c r="AY34" s="1189">
        <f>ROUND(AF34*$T$4*0.8,0)</f>
        <v>0</v>
      </c>
      <c r="AZ34" s="1189">
        <f>ROUND(AG34*$T$4*0.8,0)</f>
        <v>0</v>
      </c>
      <c r="BA34" s="1187"/>
      <c r="BB34" s="1188"/>
      <c r="BC34" s="1187"/>
      <c r="BD34" s="1187"/>
      <c r="BE34" s="1189">
        <f>AR34*$T$4*0.8</f>
        <v>0</v>
      </c>
      <c r="BF34" s="1189">
        <f>AS34*$T$4*0.8</f>
        <v>0</v>
      </c>
    </row>
    <row r="35" spans="2:58" ht="30" hidden="1" customHeight="1" outlineLevel="1" thickTop="1" thickBot="1">
      <c r="B35" s="333"/>
      <c r="C35" s="879"/>
      <c r="D35" s="869"/>
      <c r="E35" s="870"/>
      <c r="F35" s="871"/>
      <c r="G35" s="1090"/>
      <c r="H35" s="878"/>
      <c r="I35" s="1090"/>
      <c r="J35" s="878"/>
      <c r="K35" s="1090"/>
      <c r="L35" s="875"/>
      <c r="M35" s="784"/>
      <c r="N35" s="784"/>
      <c r="P35" s="5"/>
      <c r="Q35" s="963"/>
      <c r="S35" s="1058"/>
      <c r="T35" s="801" t="str">
        <f>IF(C35="","",C35)</f>
        <v/>
      </c>
      <c r="U35" s="1137" t="str">
        <f>IF(D35="","",IF(D35="1：男",1,IF(D35="2：女",2)))</f>
        <v/>
      </c>
      <c r="V35" s="802" t="str">
        <f>IF(E35="","",E35)</f>
        <v/>
      </c>
      <c r="W35" s="803" t="str">
        <f t="shared" ref="W35" si="34">IF(AND(G35="",H35="",G36=""),"",ROUND(SUM(G35,H35/60)*G36,1))</f>
        <v/>
      </c>
      <c r="X35" s="804" t="str">
        <f t="shared" ref="X35" si="35">IF(AND(I35="",J35="",I36=""),"",ROUND(SUM(I35,J35/60)*I36,1))</f>
        <v/>
      </c>
      <c r="Y35" s="805" t="str">
        <f t="shared" ref="Y35" si="36">IF(AND(K35="",L35="",K36=""),"",ROUND(SUM(K35,L35/60)*K36,1))</f>
        <v/>
      </c>
      <c r="Z35" s="787"/>
      <c r="AA35" s="99"/>
      <c r="AB35" s="99"/>
      <c r="AC35" s="304"/>
      <c r="AD35" s="2150" t="s">
        <v>584</v>
      </c>
      <c r="AE35" s="2151"/>
      <c r="AF35" s="809">
        <f t="shared" si="30"/>
        <v>0</v>
      </c>
      <c r="AG35" s="809">
        <f t="shared" si="30"/>
        <v>0</v>
      </c>
      <c r="AH35" s="809">
        <f>SUMIFS($X$77:$X$106,$S$77:$S$106,1,$U$77:$U$106,1,$V$77:$V$106,"&gt;=75")+SUMIFS($Y$77:$Y$106,$S$77:$S$106,1,$U$77:$U$106,1,$V$77:$V$106,"&gt;=75")</f>
        <v>0</v>
      </c>
      <c r="AI35" s="809">
        <f>SUMIFS($X$77:$X$106,$S$77:$S$106,1,$U$77:$U$106,2,$V$77:$V$106,"&gt;=75")+SUMIFS($Y$77:$Y$106,$S$77:$S$106,1,$U$77:$U$106,2,$V$77:$V$106,"&gt;=75")</f>
        <v>0</v>
      </c>
      <c r="AJ35" s="810"/>
      <c r="AK35" s="810"/>
      <c r="AL35" s="840"/>
      <c r="AM35" s="811"/>
      <c r="AN35" s="811"/>
      <c r="AO35" s="811"/>
      <c r="AP35" s="810"/>
      <c r="AQ35" s="810"/>
      <c r="AR35" s="809">
        <f>SUMIFS($X$77:$X$106,$S$77:$S$106,5,$U$77:$U$106,1,$V$77:$V$106,"&gt;=75")+SUMIFS($Y$77:$Y$106,$S$77:$S$106,5,$U$77:$U$106,1,$V$77:$V$106,"&gt;=75")</f>
        <v>0</v>
      </c>
      <c r="AS35" s="809">
        <f>SUMIFS($X$77:$X$106,$S$77:$S$106,5,$U$77:$U$106,2,$V$77:$V$106,"&gt;=75")+SUMIFS($Y$77:$Y$106,$S$77:$S$106,5,$U$77:$U$106,2,$V$77:$V$106,"&gt;=75")</f>
        <v>0</v>
      </c>
      <c r="AV35" s="270"/>
      <c r="AW35" s="2152" t="s">
        <v>584</v>
      </c>
      <c r="AX35" s="2153"/>
      <c r="AY35" s="1190">
        <f>ROUND(AF35*$T$4*0.7,0)</f>
        <v>0</v>
      </c>
      <c r="AZ35" s="1190">
        <f>ROUND(AG35*$T$4*0.7,0)</f>
        <v>0</v>
      </c>
      <c r="BA35" s="1187"/>
      <c r="BB35" s="1188"/>
      <c r="BC35" s="1191"/>
      <c r="BD35" s="1191"/>
      <c r="BE35" s="1192">
        <f>AR35*$T$4*0.7</f>
        <v>0</v>
      </c>
      <c r="BF35" s="1192">
        <f>AS35*$T$4*0.7</f>
        <v>0</v>
      </c>
    </row>
    <row r="36" spans="2:58" ht="30" hidden="1" customHeight="1" outlineLevel="1" thickTop="1" thickBot="1">
      <c r="B36" s="333"/>
      <c r="C36" s="1193"/>
      <c r="D36" s="1194"/>
      <c r="E36" s="1195"/>
      <c r="F36" s="1196"/>
      <c r="G36" s="1091"/>
      <c r="H36" s="1197"/>
      <c r="I36" s="1091"/>
      <c r="J36" s="1197"/>
      <c r="K36" s="1091"/>
      <c r="L36" s="1198"/>
      <c r="M36" s="795"/>
      <c r="N36" s="795"/>
      <c r="P36" s="5"/>
      <c r="Q36" s="963"/>
      <c r="S36" s="1217"/>
      <c r="T36" s="785"/>
      <c r="U36" s="1059"/>
      <c r="V36" s="786"/>
      <c r="W36" s="787"/>
      <c r="X36" s="788"/>
      <c r="Y36" s="789"/>
      <c r="Z36" s="787"/>
      <c r="AA36" s="99"/>
      <c r="AB36" s="99"/>
      <c r="AC36" s="2160" t="s">
        <v>590</v>
      </c>
      <c r="AD36" s="2161"/>
      <c r="AE36" s="2162"/>
      <c r="AF36" s="843">
        <f>SUM(AF37:AF40)</f>
        <v>0</v>
      </c>
      <c r="AG36" s="843">
        <f>SUM(AG37:AG40)</f>
        <v>0</v>
      </c>
      <c r="AH36" s="844"/>
      <c r="AI36" s="845"/>
      <c r="AJ36" s="845"/>
      <c r="AK36" s="846"/>
      <c r="AL36" s="847">
        <f t="shared" ref="AL36:AS36" si="37">AL11+AL31</f>
        <v>0</v>
      </c>
      <c r="AM36" s="847">
        <f t="shared" si="37"/>
        <v>0</v>
      </c>
      <c r="AN36" s="847">
        <f t="shared" si="37"/>
        <v>0</v>
      </c>
      <c r="AO36" s="847">
        <f t="shared" si="37"/>
        <v>0</v>
      </c>
      <c r="AP36" s="847">
        <f t="shared" si="37"/>
        <v>0</v>
      </c>
      <c r="AQ36" s="847">
        <f t="shared" si="37"/>
        <v>0</v>
      </c>
      <c r="AR36" s="847">
        <f t="shared" si="37"/>
        <v>0</v>
      </c>
      <c r="AS36" s="847">
        <f t="shared" si="37"/>
        <v>0</v>
      </c>
      <c r="AV36" s="2133" t="s">
        <v>762</v>
      </c>
      <c r="AW36" s="2134"/>
      <c r="AX36" s="2134"/>
      <c r="AY36" s="848">
        <f>SUM(AY37:AY40)</f>
        <v>0</v>
      </c>
      <c r="AZ36" s="848">
        <f>SUM(AZ37:AZ40)</f>
        <v>0</v>
      </c>
      <c r="BA36" s="794">
        <f>SUM(BA11,BA31)</f>
        <v>0</v>
      </c>
      <c r="BB36" s="794">
        <f t="shared" ref="BB36:BD36" si="38">SUM(BB11,BB31)</f>
        <v>0</v>
      </c>
      <c r="BC36" s="849">
        <f t="shared" si="38"/>
        <v>0</v>
      </c>
      <c r="BD36" s="833">
        <f t="shared" si="38"/>
        <v>0</v>
      </c>
      <c r="BE36" s="834">
        <f t="shared" ref="BE36:BF36" si="39">SUM(BE37:BE40)</f>
        <v>0</v>
      </c>
      <c r="BF36" s="834">
        <f t="shared" si="39"/>
        <v>0</v>
      </c>
    </row>
    <row r="37" spans="2:58" ht="30" hidden="1" customHeight="1" outlineLevel="1" thickTop="1" thickBot="1">
      <c r="B37" s="333"/>
      <c r="C37" s="879"/>
      <c r="D37" s="869"/>
      <c r="E37" s="870"/>
      <c r="F37" s="871"/>
      <c r="G37" s="1090"/>
      <c r="H37" s="878"/>
      <c r="I37" s="1090"/>
      <c r="J37" s="878"/>
      <c r="K37" s="1090"/>
      <c r="L37" s="875"/>
      <c r="M37" s="784"/>
      <c r="N37" s="784"/>
      <c r="P37" s="5"/>
      <c r="Q37" s="963"/>
      <c r="S37" s="1058"/>
      <c r="T37" s="801" t="str">
        <f>IF(C37="","",C37)</f>
        <v/>
      </c>
      <c r="U37" s="1137" t="str">
        <f>IF(D37="","",IF(D37="1：男",1,IF(D37="2：女",2)))</f>
        <v/>
      </c>
      <c r="V37" s="802" t="str">
        <f>IF(E37="","",E37)</f>
        <v/>
      </c>
      <c r="W37" s="803" t="str">
        <f t="shared" ref="W37" si="40">IF(AND(G37="",H37="",G38=""),"",ROUND(SUM(G37,H37/60)*G38,1))</f>
        <v/>
      </c>
      <c r="X37" s="804" t="str">
        <f t="shared" ref="X37" si="41">IF(AND(I37="",J37="",I38=""),"",ROUND(SUM(I37,J37/60)*I38,1))</f>
        <v/>
      </c>
      <c r="Y37" s="805" t="str">
        <f t="shared" ref="Y37" si="42">IF(AND(K37="",L37="",K38=""),"",ROUND(SUM(K37,L37/60)*K38,1))</f>
        <v/>
      </c>
      <c r="Z37" s="787"/>
      <c r="AA37" s="99"/>
      <c r="AB37" s="99"/>
      <c r="AC37" s="812"/>
      <c r="AD37" s="2135" t="s">
        <v>581</v>
      </c>
      <c r="AE37" s="2163"/>
      <c r="AF37" s="813">
        <f t="shared" ref="AF37:AK40" si="43">AF12+AF32</f>
        <v>0</v>
      </c>
      <c r="AG37" s="813">
        <f t="shared" si="43"/>
        <v>0</v>
      </c>
      <c r="AH37" s="831">
        <f t="shared" si="43"/>
        <v>0</v>
      </c>
      <c r="AI37" s="797">
        <f t="shared" si="43"/>
        <v>0</v>
      </c>
      <c r="AJ37" s="797">
        <f t="shared" si="43"/>
        <v>0</v>
      </c>
      <c r="AK37" s="797">
        <f t="shared" si="43"/>
        <v>0</v>
      </c>
      <c r="AL37" s="850"/>
      <c r="AM37" s="800"/>
      <c r="AN37" s="800"/>
      <c r="AO37" s="800"/>
      <c r="AP37" s="797">
        <f>AP12+AP32</f>
        <v>0</v>
      </c>
      <c r="AQ37" s="797">
        <f>AQ12+AQ32</f>
        <v>0</v>
      </c>
      <c r="AR37" s="797">
        <f>AR12+AR32</f>
        <v>0</v>
      </c>
      <c r="AS37" s="797">
        <f>AS12+AS32</f>
        <v>0</v>
      </c>
      <c r="AV37" s="199"/>
      <c r="AW37" s="2137" t="s">
        <v>581</v>
      </c>
      <c r="AX37" s="2164"/>
      <c r="AY37" s="832">
        <f t="shared" ref="AY37:AZ40" si="44">SUM(AY12,AY32)</f>
        <v>0</v>
      </c>
      <c r="AZ37" s="832">
        <f t="shared" si="44"/>
        <v>0</v>
      </c>
      <c r="BA37" s="837"/>
      <c r="BB37" s="838"/>
      <c r="BC37" s="837"/>
      <c r="BD37" s="837"/>
      <c r="BE37" s="836">
        <f>SUM(BE12,BE32)</f>
        <v>0</v>
      </c>
      <c r="BF37" s="836">
        <f t="shared" ref="BF37" si="45">SUM(BF12,BF32)</f>
        <v>0</v>
      </c>
    </row>
    <row r="38" spans="2:58" ht="30" hidden="1" customHeight="1" outlineLevel="1" thickTop="1" thickBot="1">
      <c r="B38" s="333"/>
      <c r="C38" s="1193"/>
      <c r="D38" s="1194"/>
      <c r="E38" s="1195"/>
      <c r="F38" s="1196"/>
      <c r="G38" s="1091"/>
      <c r="H38" s="1197"/>
      <c r="I38" s="1091"/>
      <c r="J38" s="1197"/>
      <c r="K38" s="1091"/>
      <c r="L38" s="1198"/>
      <c r="M38" s="795"/>
      <c r="N38" s="795"/>
      <c r="P38" s="5"/>
      <c r="Q38" s="963"/>
      <c r="S38" s="1217"/>
      <c r="T38" s="785"/>
      <c r="U38" s="1059"/>
      <c r="V38" s="786"/>
      <c r="W38" s="787"/>
      <c r="X38" s="788"/>
      <c r="Y38" s="789"/>
      <c r="Z38" s="787"/>
      <c r="AA38" s="99"/>
      <c r="AB38" s="99"/>
      <c r="AC38" s="812"/>
      <c r="AD38" s="2146" t="s">
        <v>582</v>
      </c>
      <c r="AE38" s="2165"/>
      <c r="AF38" s="813">
        <f t="shared" si="43"/>
        <v>0</v>
      </c>
      <c r="AG38" s="813">
        <f t="shared" si="43"/>
        <v>0</v>
      </c>
      <c r="AH38" s="851">
        <f t="shared" si="43"/>
        <v>0</v>
      </c>
      <c r="AI38" s="806">
        <f t="shared" si="43"/>
        <v>0</v>
      </c>
      <c r="AJ38" s="807"/>
      <c r="AK38" s="807"/>
      <c r="AL38" s="798"/>
      <c r="AM38" s="799"/>
      <c r="AN38" s="799"/>
      <c r="AO38" s="799"/>
      <c r="AP38" s="807"/>
      <c r="AQ38" s="807"/>
      <c r="AR38" s="806">
        <f t="shared" ref="AR38:AS40" si="46">AR13+AR33</f>
        <v>0</v>
      </c>
      <c r="AS38" s="806">
        <f t="shared" si="46"/>
        <v>0</v>
      </c>
      <c r="AV38" s="199"/>
      <c r="AW38" s="2148" t="s">
        <v>582</v>
      </c>
      <c r="AX38" s="2166"/>
      <c r="AY38" s="832">
        <f t="shared" si="44"/>
        <v>0</v>
      </c>
      <c r="AZ38" s="832">
        <f t="shared" si="44"/>
        <v>0</v>
      </c>
      <c r="BA38" s="837"/>
      <c r="BB38" s="838"/>
      <c r="BC38" s="837"/>
      <c r="BD38" s="837"/>
      <c r="BE38" s="839">
        <f>SUM(BE13,BE33)</f>
        <v>0</v>
      </c>
      <c r="BF38" s="839">
        <f>SUM(BF13,BF33)</f>
        <v>0</v>
      </c>
    </row>
    <row r="39" spans="2:58" ht="30" hidden="1" customHeight="1" outlineLevel="1" thickTop="1" thickBot="1">
      <c r="B39" s="333"/>
      <c r="C39" s="879"/>
      <c r="D39" s="869"/>
      <c r="E39" s="870"/>
      <c r="F39" s="871"/>
      <c r="G39" s="1090"/>
      <c r="H39" s="878"/>
      <c r="I39" s="1090"/>
      <c r="J39" s="878"/>
      <c r="K39" s="1090"/>
      <c r="L39" s="875"/>
      <c r="M39" s="784"/>
      <c r="N39" s="784"/>
      <c r="P39" s="5"/>
      <c r="Q39" s="963"/>
      <c r="S39" s="1058"/>
      <c r="T39" s="801" t="str">
        <f>IF(C39="","",C39)</f>
        <v/>
      </c>
      <c r="U39" s="1137" t="str">
        <f>IF(D39="","",IF(D39="1：男",1,IF(D39="2：女",2)))</f>
        <v/>
      </c>
      <c r="V39" s="802" t="str">
        <f>IF(E39="","",E39)</f>
        <v/>
      </c>
      <c r="W39" s="803" t="str">
        <f t="shared" ref="W39" si="47">IF(AND(G39="",H39="",G40=""),"",ROUND(SUM(G39,H39/60)*G40,1))</f>
        <v/>
      </c>
      <c r="X39" s="804" t="str">
        <f t="shared" ref="X39" si="48">IF(AND(I39="",J39="",I40=""),"",ROUND(SUM(I39,J39/60)*I40,1))</f>
        <v/>
      </c>
      <c r="Y39" s="805" t="str">
        <f t="shared" ref="Y39" si="49">IF(AND(K39="",L39="",K40=""),"",ROUND(SUM(K39,L39/60)*K40,1))</f>
        <v/>
      </c>
      <c r="Z39" s="787"/>
      <c r="AA39" s="99"/>
      <c r="AB39" s="99"/>
      <c r="AC39" s="812"/>
      <c r="AD39" s="2146" t="s">
        <v>583</v>
      </c>
      <c r="AE39" s="2165"/>
      <c r="AF39" s="813">
        <f t="shared" si="43"/>
        <v>0</v>
      </c>
      <c r="AG39" s="813">
        <f t="shared" si="43"/>
        <v>0</v>
      </c>
      <c r="AH39" s="851">
        <f t="shared" si="43"/>
        <v>0</v>
      </c>
      <c r="AI39" s="806">
        <f t="shared" si="43"/>
        <v>0</v>
      </c>
      <c r="AJ39" s="807"/>
      <c r="AK39" s="807"/>
      <c r="AL39" s="798"/>
      <c r="AM39" s="799"/>
      <c r="AN39" s="799"/>
      <c r="AO39" s="799"/>
      <c r="AP39" s="807"/>
      <c r="AQ39" s="807"/>
      <c r="AR39" s="806">
        <f t="shared" si="46"/>
        <v>0</v>
      </c>
      <c r="AS39" s="806">
        <f t="shared" si="46"/>
        <v>0</v>
      </c>
      <c r="AV39" s="199"/>
      <c r="AW39" s="2148" t="s">
        <v>583</v>
      </c>
      <c r="AX39" s="2166"/>
      <c r="AY39" s="832">
        <f t="shared" si="44"/>
        <v>0</v>
      </c>
      <c r="AZ39" s="832">
        <f t="shared" si="44"/>
        <v>0</v>
      </c>
      <c r="BA39" s="837"/>
      <c r="BB39" s="838"/>
      <c r="BC39" s="837"/>
      <c r="BD39" s="837"/>
      <c r="BE39" s="839">
        <f>SUM(BE14,BE34)</f>
        <v>0</v>
      </c>
      <c r="BF39" s="839">
        <f>SUM(BF14,BF34)</f>
        <v>0</v>
      </c>
    </row>
    <row r="40" spans="2:58" ht="30" hidden="1" customHeight="1" outlineLevel="1" thickTop="1" thickBot="1">
      <c r="B40" s="333"/>
      <c r="C40" s="1193"/>
      <c r="D40" s="1194"/>
      <c r="E40" s="1195"/>
      <c r="F40" s="1196"/>
      <c r="G40" s="1091"/>
      <c r="H40" s="1197"/>
      <c r="I40" s="1091"/>
      <c r="J40" s="1197"/>
      <c r="K40" s="1091"/>
      <c r="L40" s="1198"/>
      <c r="M40" s="795"/>
      <c r="N40" s="795"/>
      <c r="P40" s="5"/>
      <c r="Q40" s="963"/>
      <c r="S40" s="1217"/>
      <c r="T40" s="785"/>
      <c r="U40" s="1059"/>
      <c r="V40" s="786"/>
      <c r="W40" s="787"/>
      <c r="X40" s="788"/>
      <c r="Y40" s="789"/>
      <c r="Z40" s="787"/>
      <c r="AA40" s="99"/>
      <c r="AB40" s="99"/>
      <c r="AC40" s="852"/>
      <c r="AD40" s="2167" t="s">
        <v>584</v>
      </c>
      <c r="AE40" s="2168"/>
      <c r="AF40" s="813">
        <f t="shared" si="43"/>
        <v>0</v>
      </c>
      <c r="AG40" s="813">
        <f t="shared" si="43"/>
        <v>0</v>
      </c>
      <c r="AH40" s="853">
        <f t="shared" si="43"/>
        <v>0</v>
      </c>
      <c r="AI40" s="854">
        <f t="shared" si="43"/>
        <v>0</v>
      </c>
      <c r="AJ40" s="855"/>
      <c r="AK40" s="855"/>
      <c r="AL40" s="856"/>
      <c r="AM40" s="857"/>
      <c r="AN40" s="857"/>
      <c r="AO40" s="857"/>
      <c r="AP40" s="855"/>
      <c r="AQ40" s="855"/>
      <c r="AR40" s="854">
        <f t="shared" si="46"/>
        <v>0</v>
      </c>
      <c r="AS40" s="854">
        <f t="shared" si="46"/>
        <v>0</v>
      </c>
      <c r="AV40" s="270"/>
      <c r="AW40" s="2152" t="s">
        <v>584</v>
      </c>
      <c r="AX40" s="2169"/>
      <c r="AY40" s="832">
        <f t="shared" si="44"/>
        <v>0</v>
      </c>
      <c r="AZ40" s="832">
        <f t="shared" si="44"/>
        <v>0</v>
      </c>
      <c r="BA40" s="841"/>
      <c r="BB40" s="858"/>
      <c r="BC40" s="841"/>
      <c r="BD40" s="841"/>
      <c r="BE40" s="842">
        <f>SUM(BE15,BE35)</f>
        <v>0</v>
      </c>
      <c r="BF40" s="842">
        <f>SUM(BF15,BF35)</f>
        <v>0</v>
      </c>
    </row>
    <row r="41" spans="2:58" ht="30" hidden="1" customHeight="1" outlineLevel="1" thickTop="1" thickBot="1">
      <c r="B41" s="333"/>
      <c r="C41" s="879"/>
      <c r="D41" s="869"/>
      <c r="E41" s="870"/>
      <c r="F41" s="871"/>
      <c r="G41" s="1090"/>
      <c r="H41" s="878"/>
      <c r="I41" s="1090"/>
      <c r="J41" s="878"/>
      <c r="K41" s="1090"/>
      <c r="L41" s="875"/>
      <c r="M41" s="784"/>
      <c r="N41" s="784"/>
      <c r="P41" s="5"/>
      <c r="Q41" s="963"/>
      <c r="S41" s="1058"/>
      <c r="T41" s="801" t="str">
        <f>IF(C41="","",C41)</f>
        <v/>
      </c>
      <c r="U41" s="1137" t="str">
        <f>IF(D41="","",IF(D41="1：男",1,IF(D41="2：女",2)))</f>
        <v/>
      </c>
      <c r="V41" s="802" t="str">
        <f>IF(E41="","",E41)</f>
        <v/>
      </c>
      <c r="W41" s="803" t="str">
        <f t="shared" ref="W41" si="50">IF(AND(G41="",H41="",G42=""),"",ROUND(SUM(G41,H41/60)*G42,1))</f>
        <v/>
      </c>
      <c r="X41" s="804" t="str">
        <f t="shared" ref="X41" si="51">IF(AND(I41="",J41="",I42=""),"",ROUND(SUM(I41,J41/60)*I42,1))</f>
        <v/>
      </c>
      <c r="Y41" s="805" t="str">
        <f t="shared" ref="Y41" si="52">IF(AND(K41="",L41="",K42=""),"",ROUND(SUM(K41,L41/60)*K42,1))</f>
        <v/>
      </c>
      <c r="Z41" s="787"/>
      <c r="AA41" s="99"/>
      <c r="AB41" s="99"/>
      <c r="AC41" s="2170" t="s">
        <v>591</v>
      </c>
      <c r="AD41" s="2171"/>
      <c r="AE41" s="2171"/>
      <c r="AF41" s="859">
        <f>SUMIFS($Z$77:$Z$106,$S$77:$S$106,1,$U$77:$U$106,1)</f>
        <v>0</v>
      </c>
      <c r="AG41" s="859">
        <f>SUMIFS($Z$77:$Z$106,$S$77:$S$106,1,$U$77:$U$106,2)</f>
        <v>0</v>
      </c>
      <c r="AH41" s="860"/>
      <c r="AI41" s="860"/>
      <c r="AJ41" s="860"/>
      <c r="AK41" s="860"/>
      <c r="AL41" s="861"/>
      <c r="AM41" s="861"/>
      <c r="AN41" s="861"/>
      <c r="AO41" s="861"/>
      <c r="AP41" s="861"/>
      <c r="AQ41" s="861"/>
      <c r="AR41" s="861"/>
      <c r="AS41" s="861"/>
      <c r="AV41" s="314"/>
      <c r="AW41" s="314"/>
      <c r="AX41" s="314"/>
      <c r="AY41" s="314"/>
      <c r="AZ41" s="314"/>
      <c r="BA41" s="314"/>
      <c r="BB41" s="314"/>
    </row>
    <row r="42" spans="2:58" ht="30" hidden="1" customHeight="1" outlineLevel="1" thickTop="1" thickBot="1">
      <c r="B42" s="333"/>
      <c r="C42" s="1193"/>
      <c r="D42" s="1194"/>
      <c r="E42" s="1195"/>
      <c r="F42" s="1196"/>
      <c r="G42" s="1091"/>
      <c r="H42" s="1197"/>
      <c r="I42" s="1091"/>
      <c r="J42" s="1197"/>
      <c r="K42" s="1091"/>
      <c r="L42" s="1198"/>
      <c r="M42" s="795"/>
      <c r="N42" s="795"/>
      <c r="P42" s="5"/>
      <c r="Q42" s="963"/>
      <c r="S42" s="1217"/>
      <c r="T42" s="785"/>
      <c r="U42" s="1059"/>
      <c r="V42" s="786"/>
      <c r="W42" s="787"/>
      <c r="X42" s="788"/>
      <c r="Y42" s="789"/>
      <c r="Z42" s="787"/>
      <c r="AA42" s="99"/>
      <c r="AB42" s="99"/>
    </row>
    <row r="43" spans="2:58" ht="30" hidden="1" customHeight="1" outlineLevel="1" thickTop="1">
      <c r="B43" s="333"/>
      <c r="C43" s="879"/>
      <c r="D43" s="869"/>
      <c r="E43" s="870"/>
      <c r="F43" s="871"/>
      <c r="G43" s="1090"/>
      <c r="H43" s="878"/>
      <c r="I43" s="1090"/>
      <c r="J43" s="878"/>
      <c r="K43" s="1090"/>
      <c r="L43" s="875"/>
      <c r="M43" s="784"/>
      <c r="N43" s="784"/>
      <c r="P43" s="5"/>
      <c r="Q43" s="963"/>
      <c r="S43" s="1058"/>
      <c r="T43" s="801" t="str">
        <f>IF(C43="","",C43)</f>
        <v/>
      </c>
      <c r="U43" s="1137" t="str">
        <f>IF(D43="","",IF(D43="1：男",1,IF(D43="2：女",2)))</f>
        <v/>
      </c>
      <c r="V43" s="802" t="str">
        <f>IF(E43="","",E43)</f>
        <v/>
      </c>
      <c r="W43" s="803" t="str">
        <f t="shared" ref="W43" si="53">IF(AND(G43="",H43="",G44=""),"",ROUND(SUM(G43,H43/60)*G44,1))</f>
        <v/>
      </c>
      <c r="X43" s="804" t="str">
        <f t="shared" ref="X43" si="54">IF(AND(I43="",J43="",I44=""),"",ROUND(SUM(I43,J43/60)*I44,1))</f>
        <v/>
      </c>
      <c r="Y43" s="805" t="str">
        <f t="shared" ref="Y43" si="55">IF(AND(K43="",L43="",K44=""),"",ROUND(SUM(K43,L43/60)*K44,1))</f>
        <v/>
      </c>
      <c r="Z43" s="787"/>
      <c r="AA43" s="99"/>
    </row>
    <row r="44" spans="2:58" ht="30" hidden="1" customHeight="1" outlineLevel="1" thickBot="1">
      <c r="B44" s="333"/>
      <c r="C44" s="1193"/>
      <c r="D44" s="1194"/>
      <c r="E44" s="1195"/>
      <c r="F44" s="1196"/>
      <c r="G44" s="1091"/>
      <c r="H44" s="1197"/>
      <c r="I44" s="1091"/>
      <c r="J44" s="1197"/>
      <c r="K44" s="1091"/>
      <c r="L44" s="1198"/>
      <c r="M44" s="795"/>
      <c r="N44" s="795"/>
      <c r="P44" s="5"/>
      <c r="Q44" s="963"/>
      <c r="S44" s="1217"/>
      <c r="T44" s="785"/>
      <c r="U44" s="1059"/>
      <c r="V44" s="786"/>
      <c r="W44" s="787"/>
      <c r="X44" s="788"/>
      <c r="Y44" s="789"/>
      <c r="Z44" s="787"/>
      <c r="AA44" s="99"/>
    </row>
    <row r="45" spans="2:58" ht="30" hidden="1" customHeight="1" outlineLevel="1" thickTop="1">
      <c r="B45" s="333"/>
      <c r="C45" s="879"/>
      <c r="D45" s="869"/>
      <c r="E45" s="870"/>
      <c r="F45" s="871"/>
      <c r="G45" s="1090"/>
      <c r="H45" s="878"/>
      <c r="I45" s="1090"/>
      <c r="J45" s="878"/>
      <c r="K45" s="1090"/>
      <c r="L45" s="875"/>
      <c r="M45" s="784"/>
      <c r="N45" s="784"/>
      <c r="P45" s="5"/>
      <c r="Q45" s="963"/>
      <c r="S45" s="1058"/>
      <c r="T45" s="801" t="str">
        <f>IF(C45="","",C45)</f>
        <v/>
      </c>
      <c r="U45" s="1137" t="str">
        <f>IF(D45="","",IF(D45="1：男",1,IF(D45="2：女",2)))</f>
        <v/>
      </c>
      <c r="V45" s="802" t="str">
        <f>IF(E45="","",E45)</f>
        <v/>
      </c>
      <c r="W45" s="803" t="str">
        <f t="shared" ref="W45" si="56">IF(AND(G45="",H45="",G46=""),"",ROUND(SUM(G45,H45/60)*G46,1))</f>
        <v/>
      </c>
      <c r="X45" s="804" t="str">
        <f t="shared" ref="X45" si="57">IF(AND(I45="",J45="",I46=""),"",ROUND(SUM(I45,J45/60)*I46,1))</f>
        <v/>
      </c>
      <c r="Y45" s="805" t="str">
        <f t="shared" ref="Y45" si="58">IF(AND(K45="",L45="",K46=""),"",ROUND(SUM(K45,L45/60)*K46,1))</f>
        <v/>
      </c>
      <c r="Z45" s="787"/>
      <c r="AA45" s="99"/>
    </row>
    <row r="46" spans="2:58" ht="27" hidden="1" customHeight="1" outlineLevel="1" thickBot="1">
      <c r="B46" s="333"/>
      <c r="C46" s="1193"/>
      <c r="D46" s="1194"/>
      <c r="E46" s="1195"/>
      <c r="F46" s="1196"/>
      <c r="G46" s="1091"/>
      <c r="H46" s="1197"/>
      <c r="I46" s="1091"/>
      <c r="J46" s="1197"/>
      <c r="K46" s="1091"/>
      <c r="L46" s="1198"/>
      <c r="M46" s="795"/>
      <c r="N46" s="795"/>
      <c r="P46" s="5"/>
      <c r="Q46" s="963"/>
      <c r="S46" s="1217"/>
      <c r="T46" s="785"/>
      <c r="U46" s="1059"/>
      <c r="V46" s="786"/>
      <c r="W46" s="787"/>
      <c r="X46" s="788"/>
      <c r="Y46" s="789"/>
      <c r="Z46" s="787"/>
      <c r="AA46" s="99"/>
      <c r="BC46" s="385"/>
      <c r="BD46" s="385"/>
      <c r="BE46" s="385"/>
      <c r="BF46" s="385"/>
    </row>
    <row r="47" spans="2:58" ht="27" hidden="1" customHeight="1" outlineLevel="1" thickTop="1">
      <c r="B47" s="333"/>
      <c r="C47" s="879"/>
      <c r="D47" s="869"/>
      <c r="E47" s="870"/>
      <c r="F47" s="871"/>
      <c r="G47" s="1090"/>
      <c r="H47" s="878"/>
      <c r="I47" s="1090"/>
      <c r="J47" s="878"/>
      <c r="K47" s="1090"/>
      <c r="L47" s="875"/>
      <c r="M47" s="784"/>
      <c r="N47" s="784"/>
      <c r="P47" s="5"/>
      <c r="Q47" s="963"/>
      <c r="S47" s="1058"/>
      <c r="T47" s="801" t="str">
        <f>IF(C47="","",C47)</f>
        <v/>
      </c>
      <c r="U47" s="1137" t="str">
        <f>IF(D47="","",IF(D47="1：男",1,IF(D47="2：女",2)))</f>
        <v/>
      </c>
      <c r="V47" s="802" t="str">
        <f>IF(E47="","",E47)</f>
        <v/>
      </c>
      <c r="W47" s="803" t="str">
        <f t="shared" ref="W47" si="59">IF(AND(G47="",H47="",G48=""),"",ROUND(SUM(G47,H47/60)*G48,1))</f>
        <v/>
      </c>
      <c r="X47" s="804" t="str">
        <f t="shared" ref="X47" si="60">IF(AND(I47="",J47="",I48=""),"",ROUND(SUM(I47,J47/60)*I48,1))</f>
        <v/>
      </c>
      <c r="Y47" s="805" t="str">
        <f t="shared" ref="Y47" si="61">IF(AND(K47="",L47="",K48=""),"",ROUND(SUM(K47,L47/60)*K48,1))</f>
        <v/>
      </c>
      <c r="Z47" s="787"/>
      <c r="AA47" s="99"/>
    </row>
    <row r="48" spans="2:58" ht="27" hidden="1" customHeight="1" outlineLevel="1" thickBot="1">
      <c r="B48" s="333"/>
      <c r="C48" s="1193"/>
      <c r="D48" s="1194"/>
      <c r="E48" s="1195"/>
      <c r="F48" s="1196"/>
      <c r="G48" s="1091"/>
      <c r="H48" s="1197"/>
      <c r="I48" s="1091"/>
      <c r="J48" s="1197"/>
      <c r="K48" s="1091"/>
      <c r="L48" s="1198"/>
      <c r="M48" s="795"/>
      <c r="N48" s="795"/>
      <c r="P48" s="5"/>
      <c r="Q48" s="963"/>
      <c r="S48" s="1217"/>
      <c r="T48" s="785"/>
      <c r="U48" s="1059"/>
      <c r="V48" s="786"/>
      <c r="W48" s="787"/>
      <c r="X48" s="788"/>
      <c r="Y48" s="789"/>
      <c r="Z48" s="787"/>
      <c r="AA48" s="99"/>
    </row>
    <row r="49" spans="2:27" ht="27" hidden="1" customHeight="1" outlineLevel="1" thickTop="1">
      <c r="B49" s="333"/>
      <c r="C49" s="879"/>
      <c r="D49" s="869"/>
      <c r="E49" s="870"/>
      <c r="F49" s="871"/>
      <c r="G49" s="1090"/>
      <c r="H49" s="878"/>
      <c r="I49" s="1090"/>
      <c r="J49" s="878"/>
      <c r="K49" s="1090"/>
      <c r="L49" s="875"/>
      <c r="M49" s="784"/>
      <c r="N49" s="784"/>
      <c r="P49" s="5"/>
      <c r="Q49" s="963"/>
      <c r="S49" s="1058"/>
      <c r="T49" s="801" t="str">
        <f>IF(C49="","",C49)</f>
        <v/>
      </c>
      <c r="U49" s="1137" t="str">
        <f>IF(D49="","",IF(D49="1：男",1,IF(D49="2：女",2)))</f>
        <v/>
      </c>
      <c r="V49" s="802" t="str">
        <f>IF(E49="","",E49)</f>
        <v/>
      </c>
      <c r="W49" s="803" t="str">
        <f t="shared" ref="W49" si="62">IF(AND(G49="",H49="",G50=""),"",ROUND(SUM(G49,H49/60)*G50,1))</f>
        <v/>
      </c>
      <c r="X49" s="804" t="str">
        <f t="shared" ref="X49" si="63">IF(AND(I49="",J49="",I50=""),"",ROUND(SUM(I49,J49/60)*I50,1))</f>
        <v/>
      </c>
      <c r="Y49" s="805" t="str">
        <f t="shared" ref="Y49" si="64">IF(AND(K49="",L49="",K50=""),"",ROUND(SUM(K49,L49/60)*K50,1))</f>
        <v/>
      </c>
      <c r="Z49" s="787"/>
      <c r="AA49" s="99"/>
    </row>
    <row r="50" spans="2:27" ht="30" hidden="1" customHeight="1" outlineLevel="1" thickBot="1">
      <c r="B50" s="333"/>
      <c r="C50" s="1193"/>
      <c r="D50" s="1194"/>
      <c r="E50" s="1195"/>
      <c r="F50" s="1196"/>
      <c r="G50" s="1091"/>
      <c r="H50" s="1197"/>
      <c r="I50" s="1091"/>
      <c r="J50" s="1197"/>
      <c r="K50" s="1091"/>
      <c r="L50" s="1198"/>
      <c r="M50" s="795"/>
      <c r="N50" s="795"/>
      <c r="P50" s="5"/>
      <c r="Q50" s="963"/>
      <c r="S50" s="1217"/>
      <c r="T50" s="785"/>
      <c r="U50" s="1059"/>
      <c r="V50" s="786"/>
      <c r="W50" s="787"/>
      <c r="X50" s="788"/>
      <c r="Y50" s="789"/>
      <c r="Z50" s="787"/>
      <c r="AA50" s="99"/>
    </row>
    <row r="51" spans="2:27" ht="30" hidden="1" customHeight="1" outlineLevel="1" thickTop="1">
      <c r="B51" s="333"/>
      <c r="C51" s="879"/>
      <c r="D51" s="869"/>
      <c r="E51" s="870"/>
      <c r="F51" s="871"/>
      <c r="G51" s="1090"/>
      <c r="H51" s="878"/>
      <c r="I51" s="1090"/>
      <c r="J51" s="878"/>
      <c r="K51" s="1090"/>
      <c r="L51" s="875"/>
      <c r="M51" s="784"/>
      <c r="N51" s="784"/>
      <c r="P51" s="5"/>
      <c r="Q51" s="963"/>
      <c r="S51" s="1058"/>
      <c r="T51" s="801" t="str">
        <f>IF(C51="","",C51)</f>
        <v/>
      </c>
      <c r="U51" s="1137" t="str">
        <f>IF(D51="","",IF(D51="1：男",1,IF(D51="2：女",2)))</f>
        <v/>
      </c>
      <c r="V51" s="802" t="str">
        <f>IF(E51="","",E51)</f>
        <v/>
      </c>
      <c r="W51" s="803" t="str">
        <f t="shared" ref="W51" si="65">IF(AND(G51="",H51="",G52=""),"",ROUND(SUM(G51,H51/60)*G52,1))</f>
        <v/>
      </c>
      <c r="X51" s="804" t="str">
        <f t="shared" ref="X51" si="66">IF(AND(I51="",J51="",I52=""),"",ROUND(SUM(I51,J51/60)*I52,1))</f>
        <v/>
      </c>
      <c r="Y51" s="805" t="str">
        <f t="shared" ref="Y51" si="67">IF(AND(K51="",L51="",K52=""),"",ROUND(SUM(K51,L51/60)*K52,1))</f>
        <v/>
      </c>
      <c r="Z51" s="787"/>
      <c r="AA51" s="99"/>
    </row>
    <row r="52" spans="2:27" ht="30" hidden="1" customHeight="1" outlineLevel="1" thickBot="1">
      <c r="B52" s="333"/>
      <c r="C52" s="1193"/>
      <c r="D52" s="1194"/>
      <c r="E52" s="1195"/>
      <c r="F52" s="1196"/>
      <c r="G52" s="1091"/>
      <c r="H52" s="1197"/>
      <c r="I52" s="1091"/>
      <c r="J52" s="1197"/>
      <c r="K52" s="1091"/>
      <c r="L52" s="1198"/>
      <c r="M52" s="795"/>
      <c r="N52" s="795"/>
      <c r="P52" s="5"/>
      <c r="Q52" s="963"/>
      <c r="S52" s="1217"/>
      <c r="T52" s="785"/>
      <c r="U52" s="1059"/>
      <c r="V52" s="786"/>
      <c r="W52" s="787"/>
      <c r="X52" s="788"/>
      <c r="Y52" s="789"/>
      <c r="Z52" s="787"/>
      <c r="AA52" s="99"/>
    </row>
    <row r="53" spans="2:27" ht="30" hidden="1" customHeight="1" outlineLevel="1" thickTop="1">
      <c r="B53" s="333"/>
      <c r="C53" s="879"/>
      <c r="D53" s="869"/>
      <c r="E53" s="870"/>
      <c r="F53" s="871"/>
      <c r="G53" s="1090"/>
      <c r="H53" s="878"/>
      <c r="I53" s="1090"/>
      <c r="J53" s="878"/>
      <c r="K53" s="1090"/>
      <c r="L53" s="875"/>
      <c r="M53" s="784"/>
      <c r="N53" s="784"/>
      <c r="P53" s="5"/>
      <c r="Q53" s="963"/>
      <c r="S53" s="1058"/>
      <c r="T53" s="801" t="str">
        <f>IF(C53="","",C53)</f>
        <v/>
      </c>
      <c r="U53" s="1137" t="str">
        <f>IF(D53="","",IF(D53="1：男",1,IF(D53="2：女",2)))</f>
        <v/>
      </c>
      <c r="V53" s="802" t="str">
        <f>IF(E53="","",E53)</f>
        <v/>
      </c>
      <c r="W53" s="803" t="str">
        <f t="shared" ref="W53" si="68">IF(AND(G53="",H53="",G54=""),"",ROUND(SUM(G53,H53/60)*G54,1))</f>
        <v/>
      </c>
      <c r="X53" s="804" t="str">
        <f t="shared" ref="X53" si="69">IF(AND(I53="",J53="",I54=""),"",ROUND(SUM(I53,J53/60)*I54,1))</f>
        <v/>
      </c>
      <c r="Y53" s="805" t="str">
        <f t="shared" ref="Y53" si="70">IF(AND(K53="",L53="",K54=""),"",ROUND(SUM(K53,L53/60)*K54,1))</f>
        <v/>
      </c>
      <c r="Z53" s="787"/>
      <c r="AA53" s="99"/>
    </row>
    <row r="54" spans="2:27" ht="30" hidden="1" customHeight="1" outlineLevel="1" thickBot="1">
      <c r="B54" s="333"/>
      <c r="C54" s="1193"/>
      <c r="D54" s="1194"/>
      <c r="E54" s="1195"/>
      <c r="F54" s="1196"/>
      <c r="G54" s="1091"/>
      <c r="H54" s="1197"/>
      <c r="I54" s="1091"/>
      <c r="J54" s="1197"/>
      <c r="K54" s="1091"/>
      <c r="L54" s="1198"/>
      <c r="M54" s="795"/>
      <c r="N54" s="795"/>
      <c r="P54" s="5"/>
      <c r="Q54" s="963"/>
      <c r="S54" s="1217"/>
      <c r="T54" s="785"/>
      <c r="U54" s="1059"/>
      <c r="V54" s="786"/>
      <c r="W54" s="787"/>
      <c r="X54" s="788"/>
      <c r="Y54" s="789"/>
      <c r="Z54" s="787"/>
      <c r="AA54" s="99"/>
    </row>
    <row r="55" spans="2:27" ht="30" hidden="1" customHeight="1" outlineLevel="1" thickTop="1">
      <c r="B55" s="333"/>
      <c r="C55" s="879"/>
      <c r="D55" s="869"/>
      <c r="E55" s="870"/>
      <c r="F55" s="871"/>
      <c r="G55" s="1090"/>
      <c r="H55" s="878"/>
      <c r="I55" s="1090"/>
      <c r="J55" s="878"/>
      <c r="K55" s="1090"/>
      <c r="L55" s="875"/>
      <c r="M55" s="784"/>
      <c r="N55" s="784"/>
      <c r="P55" s="5"/>
      <c r="Q55" s="963"/>
      <c r="S55" s="1058"/>
      <c r="T55" s="801" t="str">
        <f>IF(C55="","",C55)</f>
        <v/>
      </c>
      <c r="U55" s="1137" t="str">
        <f>IF(D55="","",IF(D55="1：男",1,IF(D55="2：女",2)))</f>
        <v/>
      </c>
      <c r="V55" s="802" t="str">
        <f>IF(E55="","",E55)</f>
        <v/>
      </c>
      <c r="W55" s="803" t="str">
        <f t="shared" ref="W55" si="71">IF(AND(G55="",H55="",G56=""),"",ROUND(SUM(G55,H55/60)*G56,1))</f>
        <v/>
      </c>
      <c r="X55" s="804" t="str">
        <f t="shared" ref="X55" si="72">IF(AND(I55="",J55="",I56=""),"",ROUND(SUM(I55,J55/60)*I56,1))</f>
        <v/>
      </c>
      <c r="Y55" s="805" t="str">
        <f t="shared" ref="Y55" si="73">IF(AND(K55="",L55="",K56=""),"",ROUND(SUM(K55,L55/60)*K56,1))</f>
        <v/>
      </c>
      <c r="Z55" s="787"/>
      <c r="AA55" s="99"/>
    </row>
    <row r="56" spans="2:27" ht="30" hidden="1" customHeight="1" outlineLevel="1" thickBot="1">
      <c r="B56" s="333"/>
      <c r="C56" s="1193"/>
      <c r="D56" s="1194"/>
      <c r="E56" s="1195"/>
      <c r="F56" s="1196"/>
      <c r="G56" s="1091"/>
      <c r="H56" s="1197"/>
      <c r="I56" s="1091"/>
      <c r="J56" s="1197"/>
      <c r="K56" s="1091"/>
      <c r="L56" s="1198"/>
      <c r="M56" s="795"/>
      <c r="N56" s="795"/>
      <c r="P56" s="5"/>
      <c r="Q56" s="963"/>
      <c r="S56" s="1217"/>
      <c r="T56" s="785"/>
      <c r="U56" s="1059"/>
      <c r="V56" s="786"/>
      <c r="W56" s="787"/>
      <c r="X56" s="788"/>
      <c r="Y56" s="789"/>
      <c r="Z56" s="787"/>
      <c r="AA56" s="99"/>
    </row>
    <row r="57" spans="2:27" ht="30" hidden="1" customHeight="1" outlineLevel="1" thickTop="1">
      <c r="B57" s="333"/>
      <c r="C57" s="879"/>
      <c r="D57" s="869"/>
      <c r="E57" s="870"/>
      <c r="F57" s="871"/>
      <c r="G57" s="1090"/>
      <c r="H57" s="878"/>
      <c r="I57" s="1090"/>
      <c r="J57" s="878"/>
      <c r="K57" s="1090"/>
      <c r="L57" s="875"/>
      <c r="M57" s="784"/>
      <c r="N57" s="784"/>
      <c r="P57" s="5"/>
      <c r="Q57" s="963"/>
      <c r="S57" s="1058"/>
      <c r="T57" s="801" t="str">
        <f>IF(C57="","",C57)</f>
        <v/>
      </c>
      <c r="U57" s="1137" t="str">
        <f>IF(D57="","",IF(D57="1：男",1,IF(D57="2：女",2)))</f>
        <v/>
      </c>
      <c r="V57" s="802" t="str">
        <f>IF(E57="","",E57)</f>
        <v/>
      </c>
      <c r="W57" s="803" t="str">
        <f t="shared" ref="W57" si="74">IF(AND(G57="",H57="",G58=""),"",ROUND(SUM(G57,H57/60)*G58,1))</f>
        <v/>
      </c>
      <c r="X57" s="804" t="str">
        <f t="shared" ref="X57" si="75">IF(AND(I57="",J57="",I58=""),"",ROUND(SUM(I57,J57/60)*I58,1))</f>
        <v/>
      </c>
      <c r="Y57" s="805" t="str">
        <f t="shared" ref="Y57" si="76">IF(AND(K57="",L57="",K58=""),"",ROUND(SUM(K57,L57/60)*K58,1))</f>
        <v/>
      </c>
      <c r="Z57" s="787"/>
      <c r="AA57" s="99"/>
    </row>
    <row r="58" spans="2:27" ht="30" hidden="1" customHeight="1" outlineLevel="1" thickBot="1">
      <c r="B58" s="333"/>
      <c r="C58" s="1193"/>
      <c r="D58" s="1194"/>
      <c r="E58" s="1195"/>
      <c r="F58" s="1196"/>
      <c r="G58" s="1091"/>
      <c r="H58" s="1197"/>
      <c r="I58" s="1091"/>
      <c r="J58" s="1197"/>
      <c r="K58" s="1091"/>
      <c r="L58" s="1198"/>
      <c r="M58" s="795"/>
      <c r="N58" s="795"/>
      <c r="P58" s="5"/>
      <c r="Q58" s="963"/>
      <c r="S58" s="1217"/>
      <c r="T58" s="785"/>
      <c r="U58" s="1059"/>
      <c r="V58" s="786"/>
      <c r="W58" s="787"/>
      <c r="X58" s="788"/>
      <c r="Y58" s="789"/>
      <c r="Z58" s="787"/>
      <c r="AA58" s="99"/>
    </row>
    <row r="59" spans="2:27" ht="30" hidden="1" customHeight="1" outlineLevel="1" thickTop="1">
      <c r="B59" s="333"/>
      <c r="C59" s="879"/>
      <c r="D59" s="869"/>
      <c r="E59" s="870"/>
      <c r="F59" s="871"/>
      <c r="G59" s="1090"/>
      <c r="H59" s="878"/>
      <c r="I59" s="1090"/>
      <c r="J59" s="878"/>
      <c r="K59" s="1090"/>
      <c r="L59" s="875"/>
      <c r="M59" s="784"/>
      <c r="N59" s="784"/>
      <c r="P59" s="5"/>
      <c r="Q59" s="963"/>
      <c r="S59" s="1058"/>
      <c r="T59" s="801" t="str">
        <f>IF(C59="","",C59)</f>
        <v/>
      </c>
      <c r="U59" s="1137" t="str">
        <f>IF(D59="","",IF(D59="1：男",1,IF(D59="2：女",2)))</f>
        <v/>
      </c>
      <c r="V59" s="802" t="str">
        <f>IF(E59="","",E59)</f>
        <v/>
      </c>
      <c r="W59" s="803" t="str">
        <f t="shared" ref="W59" si="77">IF(AND(G59="",H59="",G60=""),"",ROUND(SUM(G59,H59/60)*G60,1))</f>
        <v/>
      </c>
      <c r="X59" s="804" t="str">
        <f t="shared" ref="X59" si="78">IF(AND(I59="",J59="",I60=""),"",ROUND(SUM(I59,J59/60)*I60,1))</f>
        <v/>
      </c>
      <c r="Y59" s="805" t="str">
        <f t="shared" ref="Y59" si="79">IF(AND(K59="",L59="",K60=""),"",ROUND(SUM(K59,L59/60)*K60,1))</f>
        <v/>
      </c>
      <c r="Z59" s="787"/>
      <c r="AA59" s="99"/>
    </row>
    <row r="60" spans="2:27" ht="30" hidden="1" customHeight="1" outlineLevel="1" thickBot="1">
      <c r="B60" s="333"/>
      <c r="C60" s="1193"/>
      <c r="D60" s="1194"/>
      <c r="E60" s="1195"/>
      <c r="F60" s="1196"/>
      <c r="G60" s="1091"/>
      <c r="H60" s="1197"/>
      <c r="I60" s="1091"/>
      <c r="J60" s="1197"/>
      <c r="K60" s="1091"/>
      <c r="L60" s="1198"/>
      <c r="M60" s="795"/>
      <c r="N60" s="795"/>
      <c r="P60" s="5"/>
      <c r="Q60" s="963"/>
      <c r="S60" s="1217"/>
      <c r="T60" s="785"/>
      <c r="U60" s="1059"/>
      <c r="V60" s="786"/>
      <c r="W60" s="787"/>
      <c r="X60" s="788"/>
      <c r="Y60" s="789"/>
      <c r="Z60" s="787"/>
      <c r="AA60" s="99"/>
    </row>
    <row r="61" spans="2:27" ht="30" hidden="1" customHeight="1" outlineLevel="1" thickTop="1">
      <c r="B61" s="333"/>
      <c r="C61" s="879"/>
      <c r="D61" s="869"/>
      <c r="E61" s="870"/>
      <c r="F61" s="871"/>
      <c r="G61" s="1090"/>
      <c r="H61" s="878"/>
      <c r="I61" s="1090"/>
      <c r="J61" s="878"/>
      <c r="K61" s="1090"/>
      <c r="L61" s="875"/>
      <c r="M61" s="784"/>
      <c r="N61" s="784"/>
      <c r="P61" s="5"/>
      <c r="Q61" s="963"/>
      <c r="S61" s="1058"/>
      <c r="T61" s="801" t="str">
        <f>IF(C61="","",C61)</f>
        <v/>
      </c>
      <c r="U61" s="1137" t="str">
        <f>IF(D61="","",IF(D61="1：男",1,IF(D61="2：女",2)))</f>
        <v/>
      </c>
      <c r="V61" s="802" t="str">
        <f>IF(E61="","",E61)</f>
        <v/>
      </c>
      <c r="W61" s="803" t="str">
        <f t="shared" ref="W61" si="80">IF(AND(G61="",H61="",G62=""),"",ROUND(SUM(G61,H61/60)*G62,1))</f>
        <v/>
      </c>
      <c r="X61" s="804" t="str">
        <f t="shared" ref="X61" si="81">IF(AND(I61="",J61="",I62=""),"",ROUND(SUM(I61,J61/60)*I62,1))</f>
        <v/>
      </c>
      <c r="Y61" s="805" t="str">
        <f t="shared" ref="Y61" si="82">IF(AND(K61="",L61="",K62=""),"",ROUND(SUM(K61,L61/60)*K62,1))</f>
        <v/>
      </c>
      <c r="Z61" s="787"/>
      <c r="AA61" s="99"/>
    </row>
    <row r="62" spans="2:27" ht="30" hidden="1" customHeight="1" outlineLevel="1" thickBot="1">
      <c r="B62" s="333"/>
      <c r="C62" s="1193"/>
      <c r="D62" s="1194"/>
      <c r="E62" s="1195"/>
      <c r="F62" s="1196"/>
      <c r="G62" s="1091"/>
      <c r="H62" s="1197"/>
      <c r="I62" s="1091"/>
      <c r="J62" s="1197"/>
      <c r="K62" s="1091"/>
      <c r="L62" s="1198"/>
      <c r="M62" s="795"/>
      <c r="N62" s="795"/>
      <c r="P62" s="5"/>
      <c r="Q62" s="963"/>
      <c r="S62" s="1217"/>
      <c r="T62" s="785"/>
      <c r="U62" s="1059"/>
      <c r="V62" s="786"/>
      <c r="W62" s="787"/>
      <c r="X62" s="788"/>
      <c r="Y62" s="789"/>
      <c r="Z62" s="787"/>
      <c r="AA62" s="99"/>
    </row>
    <row r="63" spans="2:27" ht="30" hidden="1" customHeight="1" outlineLevel="1" thickTop="1">
      <c r="B63" s="333"/>
      <c r="C63" s="879"/>
      <c r="D63" s="869"/>
      <c r="E63" s="870"/>
      <c r="F63" s="871"/>
      <c r="G63" s="1090"/>
      <c r="H63" s="878"/>
      <c r="I63" s="1090"/>
      <c r="J63" s="878"/>
      <c r="K63" s="1090"/>
      <c r="L63" s="875"/>
      <c r="M63" s="784"/>
      <c r="N63" s="784"/>
      <c r="P63" s="5"/>
      <c r="Q63" s="963"/>
      <c r="S63" s="1058"/>
      <c r="T63" s="801" t="str">
        <f>IF(C63="","",C63)</f>
        <v/>
      </c>
      <c r="U63" s="1137" t="str">
        <f>IF(D63="","",IF(D63="1：男",1,IF(D63="2：女",2)))</f>
        <v/>
      </c>
      <c r="V63" s="802" t="str">
        <f>IF(E63="","",E63)</f>
        <v/>
      </c>
      <c r="W63" s="803" t="str">
        <f t="shared" ref="W63" si="83">IF(AND(G63="",H63="",G64=""),"",ROUND(SUM(G63,H63/60)*G64,1))</f>
        <v/>
      </c>
      <c r="X63" s="804" t="str">
        <f t="shared" ref="X63" si="84">IF(AND(I63="",J63="",I64=""),"",ROUND(SUM(I63,J63/60)*I64,1))</f>
        <v/>
      </c>
      <c r="Y63" s="805" t="str">
        <f t="shared" ref="Y63" si="85">IF(AND(K63="",L63="",K64=""),"",ROUND(SUM(K63,L63/60)*K64,1))</f>
        <v/>
      </c>
      <c r="Z63" s="787"/>
      <c r="AA63" s="99"/>
    </row>
    <row r="64" spans="2:27" ht="30" hidden="1" customHeight="1" outlineLevel="1" thickBot="1">
      <c r="B64" s="333"/>
      <c r="C64" s="1193"/>
      <c r="D64" s="1194"/>
      <c r="E64" s="1195"/>
      <c r="F64" s="1196"/>
      <c r="G64" s="1091"/>
      <c r="H64" s="1197"/>
      <c r="I64" s="1091"/>
      <c r="J64" s="1197"/>
      <c r="K64" s="1091"/>
      <c r="L64" s="1198"/>
      <c r="M64" s="795"/>
      <c r="N64" s="795"/>
      <c r="P64" s="5"/>
      <c r="Q64" s="963"/>
      <c r="S64" s="1217"/>
      <c r="T64" s="785"/>
      <c r="U64" s="1059"/>
      <c r="V64" s="786"/>
      <c r="W64" s="787"/>
      <c r="X64" s="788"/>
      <c r="Y64" s="789"/>
      <c r="Z64" s="787"/>
      <c r="AA64" s="99"/>
    </row>
    <row r="65" spans="1:27" ht="30" hidden="1" customHeight="1" outlineLevel="1" thickTop="1">
      <c r="B65" s="333"/>
      <c r="C65" s="879"/>
      <c r="D65" s="869"/>
      <c r="E65" s="870"/>
      <c r="F65" s="871"/>
      <c r="G65" s="1090"/>
      <c r="H65" s="878"/>
      <c r="I65" s="1090"/>
      <c r="J65" s="878"/>
      <c r="K65" s="1090"/>
      <c r="L65" s="875"/>
      <c r="M65" s="784"/>
      <c r="N65" s="784"/>
      <c r="P65" s="5"/>
      <c r="Q65" s="963"/>
      <c r="S65" s="1058"/>
      <c r="T65" s="801" t="str">
        <f>IF(C65="","",C65)</f>
        <v/>
      </c>
      <c r="U65" s="1137" t="str">
        <f>IF(D65="","",IF(D65="1：男",1,IF(D65="2：女",2)))</f>
        <v/>
      </c>
      <c r="V65" s="802" t="str">
        <f>IF(E65="","",E65)</f>
        <v/>
      </c>
      <c r="W65" s="803" t="str">
        <f t="shared" ref="W65" si="86">IF(AND(G65="",H65="",G66=""),"",ROUND(SUM(G65,H65/60)*G66,1))</f>
        <v/>
      </c>
      <c r="X65" s="804" t="str">
        <f t="shared" ref="X65" si="87">IF(AND(I65="",J65="",I66=""),"",ROUND(SUM(I65,J65/60)*I66,1))</f>
        <v/>
      </c>
      <c r="Y65" s="805" t="str">
        <f t="shared" ref="Y65" si="88">IF(AND(K65="",L65="",K66=""),"",ROUND(SUM(K65,L65/60)*K66,1))</f>
        <v/>
      </c>
      <c r="Z65" s="787"/>
      <c r="AA65" s="99"/>
    </row>
    <row r="66" spans="1:27" ht="30" hidden="1" customHeight="1" outlineLevel="1" thickBot="1">
      <c r="B66" s="333"/>
      <c r="C66" s="1193"/>
      <c r="D66" s="1194"/>
      <c r="E66" s="1195"/>
      <c r="F66" s="1196"/>
      <c r="G66" s="1091"/>
      <c r="H66" s="1197"/>
      <c r="I66" s="1091"/>
      <c r="J66" s="1197"/>
      <c r="K66" s="1091"/>
      <c r="L66" s="1198"/>
      <c r="M66" s="795"/>
      <c r="N66" s="795"/>
      <c r="P66" s="5"/>
      <c r="Q66" s="963"/>
      <c r="S66" s="1217"/>
      <c r="T66" s="785"/>
      <c r="U66" s="1059"/>
      <c r="V66" s="786"/>
      <c r="W66" s="787"/>
      <c r="X66" s="788"/>
      <c r="Y66" s="789"/>
      <c r="Z66" s="787"/>
      <c r="AA66" s="99"/>
    </row>
    <row r="67" spans="1:27" ht="30" hidden="1" customHeight="1" outlineLevel="1" thickTop="1">
      <c r="B67" s="333"/>
      <c r="C67" s="879"/>
      <c r="D67" s="869"/>
      <c r="E67" s="870"/>
      <c r="F67" s="871"/>
      <c r="G67" s="1090"/>
      <c r="H67" s="878"/>
      <c r="I67" s="1090"/>
      <c r="J67" s="878"/>
      <c r="K67" s="1090"/>
      <c r="L67" s="875"/>
      <c r="M67" s="784"/>
      <c r="N67" s="784"/>
      <c r="P67" s="5"/>
      <c r="Q67" s="963"/>
      <c r="S67" s="1058"/>
      <c r="T67" s="801" t="str">
        <f>IF(C67="","",C67)</f>
        <v/>
      </c>
      <c r="U67" s="1137" t="str">
        <f>IF(D67="","",IF(D67="1：男",1,IF(D67="2：女",2)))</f>
        <v/>
      </c>
      <c r="V67" s="802" t="str">
        <f>IF(E67="","",E67)</f>
        <v/>
      </c>
      <c r="W67" s="803" t="str">
        <f t="shared" ref="W67" si="89">IF(AND(G67="",H67="",G68=""),"",ROUND(SUM(G67,H67/60)*G68,1))</f>
        <v/>
      </c>
      <c r="X67" s="804" t="str">
        <f t="shared" ref="X67" si="90">IF(AND(I67="",J67="",I68=""),"",ROUND(SUM(I67,J67/60)*I68,1))</f>
        <v/>
      </c>
      <c r="Y67" s="805" t="str">
        <f t="shared" ref="Y67" si="91">IF(AND(K67="",L67="",K68=""),"",ROUND(SUM(K67,L67/60)*K68,1))</f>
        <v/>
      </c>
      <c r="Z67" s="787"/>
      <c r="AA67" s="99"/>
    </row>
    <row r="68" spans="1:27" ht="30" hidden="1" customHeight="1" outlineLevel="1" thickBot="1">
      <c r="B68" s="333"/>
      <c r="C68" s="1193"/>
      <c r="D68" s="1194"/>
      <c r="E68" s="1195"/>
      <c r="F68" s="1196"/>
      <c r="G68" s="1091"/>
      <c r="H68" s="1197"/>
      <c r="I68" s="1091"/>
      <c r="J68" s="1197"/>
      <c r="K68" s="1091"/>
      <c r="L68" s="1198"/>
      <c r="M68" s="795"/>
      <c r="N68" s="795"/>
      <c r="P68" s="5"/>
      <c r="Q68" s="963"/>
      <c r="S68" s="1217"/>
      <c r="T68" s="785"/>
      <c r="U68" s="1059"/>
      <c r="V68" s="786"/>
      <c r="W68" s="787"/>
      <c r="X68" s="788"/>
      <c r="Y68" s="789"/>
      <c r="Z68" s="787"/>
      <c r="AA68" s="99"/>
    </row>
    <row r="69" spans="1:27" ht="30" hidden="1" customHeight="1" outlineLevel="1" thickTop="1">
      <c r="B69" s="333"/>
      <c r="C69" s="879"/>
      <c r="D69" s="872"/>
      <c r="E69" s="873"/>
      <c r="F69" s="874"/>
      <c r="G69" s="1090"/>
      <c r="H69" s="878"/>
      <c r="I69" s="1090"/>
      <c r="J69" s="878"/>
      <c r="K69" s="1090"/>
      <c r="L69" s="875"/>
      <c r="M69" s="784"/>
      <c r="N69" s="784"/>
      <c r="P69" s="5"/>
      <c r="Q69" s="963"/>
      <c r="S69" s="1058"/>
      <c r="T69" s="801" t="str">
        <f>IF(C69="","",C69)</f>
        <v/>
      </c>
      <c r="U69" s="1137" t="str">
        <f>IF(D69="","",IF(D69="1：男",1,IF(D69="2：女",2)))</f>
        <v/>
      </c>
      <c r="V69" s="802" t="str">
        <f>IF(E69="","",E69)</f>
        <v/>
      </c>
      <c r="W69" s="804" t="str">
        <f>IF(AND(G69="",H69="",G70=""),"",ROUND(SUM(G69,H69/60)*G70,1))</f>
        <v/>
      </c>
      <c r="X69" s="804" t="str">
        <f t="shared" ref="X69" si="92">IF(AND(I69="",J69="",I70=""),"",ROUND(SUM(I69,J69/60)*I70,1))</f>
        <v/>
      </c>
      <c r="Y69" s="805" t="str">
        <f t="shared" ref="Y69" si="93">IF(AND(K69="",L69="",K70=""),"",ROUND(SUM(K69,L69/60)*K70,1))</f>
        <v/>
      </c>
      <c r="Z69" s="787"/>
      <c r="AA69" s="99"/>
    </row>
    <row r="70" spans="1:27" ht="30" hidden="1" customHeight="1" outlineLevel="1" thickBot="1">
      <c r="B70" s="333"/>
      <c r="C70" s="1202"/>
      <c r="D70" s="1203"/>
      <c r="E70" s="1204"/>
      <c r="F70" s="1205"/>
      <c r="G70" s="1094"/>
      <c r="H70" s="1206"/>
      <c r="I70" s="1094"/>
      <c r="J70" s="1206"/>
      <c r="K70" s="1094"/>
      <c r="L70" s="1207"/>
      <c r="M70" s="795"/>
      <c r="N70" s="795"/>
      <c r="P70" s="5"/>
      <c r="Q70" s="963"/>
      <c r="S70" s="1219"/>
      <c r="T70" s="826"/>
      <c r="U70" s="1138"/>
      <c r="V70" s="827"/>
      <c r="W70" s="828"/>
      <c r="X70" s="828"/>
      <c r="Y70" s="829"/>
      <c r="Z70" s="787"/>
      <c r="AA70" s="99"/>
    </row>
    <row r="71" spans="1:27" ht="27" customHeight="1" thickTop="1">
      <c r="A71" s="89"/>
      <c r="B71" s="862"/>
      <c r="C71" s="314"/>
      <c r="D71" s="314"/>
      <c r="E71" s="863"/>
      <c r="F71" s="314"/>
      <c r="G71" s="795"/>
      <c r="H71" s="795"/>
      <c r="I71" s="795"/>
      <c r="J71" s="795"/>
      <c r="K71" s="795"/>
      <c r="L71" s="795"/>
      <c r="M71" s="795"/>
      <c r="N71" s="795"/>
      <c r="O71" s="89"/>
      <c r="P71" s="5"/>
      <c r="Q71" s="963"/>
      <c r="R71" s="89"/>
      <c r="S71" s="864"/>
      <c r="T71" s="200"/>
      <c r="U71" s="200"/>
      <c r="V71" s="200"/>
      <c r="W71" s="830"/>
      <c r="X71" s="830"/>
      <c r="Y71" s="830"/>
      <c r="Z71" s="830"/>
      <c r="AA71" s="830"/>
    </row>
    <row r="72" spans="1:27" ht="27" customHeight="1">
      <c r="B72" s="321" t="s">
        <v>787</v>
      </c>
      <c r="C72" s="18"/>
      <c r="D72" s="333"/>
      <c r="E72" s="333"/>
      <c r="F72" s="333"/>
      <c r="G72" s="333"/>
      <c r="H72" s="333"/>
      <c r="I72" s="333"/>
      <c r="J72" s="333"/>
      <c r="K72" s="333"/>
      <c r="L72" s="5"/>
      <c r="M72" s="5"/>
      <c r="N72" s="5"/>
      <c r="P72" s="5"/>
      <c r="Q72" s="963"/>
    </row>
    <row r="73" spans="1:27" ht="27" customHeight="1">
      <c r="B73" s="18"/>
      <c r="C73" s="7" t="s">
        <v>779</v>
      </c>
      <c r="D73" s="333"/>
      <c r="E73" s="333"/>
      <c r="F73" s="333"/>
      <c r="G73" s="333"/>
      <c r="H73" s="333"/>
      <c r="I73" s="333"/>
      <c r="J73" s="333"/>
      <c r="K73" s="333"/>
      <c r="L73" s="5"/>
      <c r="M73" s="5"/>
      <c r="N73" s="5"/>
      <c r="P73" s="5"/>
      <c r="Q73" s="963"/>
      <c r="S73" s="427" t="s">
        <v>855</v>
      </c>
    </row>
    <row r="74" spans="1:27" ht="27" customHeight="1" thickBot="1">
      <c r="B74" s="18"/>
      <c r="C74" s="290" t="s">
        <v>778</v>
      </c>
      <c r="D74" s="5"/>
      <c r="E74" s="5"/>
      <c r="F74" s="5"/>
      <c r="G74" s="5"/>
      <c r="H74" s="5"/>
      <c r="I74" s="5"/>
      <c r="J74" s="5"/>
      <c r="K74" s="5"/>
      <c r="L74" s="5"/>
      <c r="M74" s="5"/>
      <c r="N74" s="5"/>
      <c r="P74" s="5"/>
      <c r="Q74" s="963"/>
      <c r="S74" s="2172" t="s">
        <v>569</v>
      </c>
      <c r="T74" s="2107" t="s">
        <v>49</v>
      </c>
      <c r="U74" s="2116" t="s">
        <v>334</v>
      </c>
      <c r="V74" s="2107" t="s">
        <v>51</v>
      </c>
      <c r="W74" s="2083" t="s">
        <v>585</v>
      </c>
      <c r="X74" s="2174" t="s">
        <v>586</v>
      </c>
      <c r="Y74" s="2174"/>
      <c r="Z74" s="2116" t="s">
        <v>587</v>
      </c>
    </row>
    <row r="75" spans="1:27" ht="27" customHeight="1" thickTop="1">
      <c r="B75" s="333"/>
      <c r="C75" s="2187" t="s">
        <v>49</v>
      </c>
      <c r="D75" s="2189" t="s">
        <v>50</v>
      </c>
      <c r="E75" s="2191" t="s">
        <v>51</v>
      </c>
      <c r="F75" s="2192" t="s">
        <v>52</v>
      </c>
      <c r="G75" s="2194" t="s">
        <v>773</v>
      </c>
      <c r="H75" s="2185" t="s">
        <v>774</v>
      </c>
      <c r="I75" s="2185" t="s">
        <v>772</v>
      </c>
      <c r="J75" s="2185" t="s">
        <v>775</v>
      </c>
      <c r="K75" s="2185" t="s">
        <v>776</v>
      </c>
      <c r="L75" s="2185" t="s">
        <v>777</v>
      </c>
      <c r="M75" s="2175" t="s">
        <v>587</v>
      </c>
      <c r="N75" s="314"/>
      <c r="P75" s="5"/>
      <c r="Q75" s="963"/>
      <c r="S75" s="2173"/>
      <c r="T75" s="2108"/>
      <c r="U75" s="2117"/>
      <c r="V75" s="2108"/>
      <c r="W75" s="2084"/>
      <c r="X75" s="2116" t="s">
        <v>336</v>
      </c>
      <c r="Y75" s="2116" t="s">
        <v>337</v>
      </c>
      <c r="Z75" s="2117"/>
      <c r="AA75" s="1140"/>
    </row>
    <row r="76" spans="1:27" ht="27" customHeight="1" thickBot="1">
      <c r="B76" s="333"/>
      <c r="C76" s="2188"/>
      <c r="D76" s="2190"/>
      <c r="E76" s="2108"/>
      <c r="F76" s="2193"/>
      <c r="G76" s="2195"/>
      <c r="H76" s="2186"/>
      <c r="I76" s="2186"/>
      <c r="J76" s="2186"/>
      <c r="K76" s="2186"/>
      <c r="L76" s="2186"/>
      <c r="M76" s="2176"/>
      <c r="N76" s="314"/>
      <c r="P76" s="5"/>
      <c r="Q76" s="963"/>
      <c r="S76" s="2173"/>
      <c r="T76" s="2109"/>
      <c r="U76" s="2118"/>
      <c r="V76" s="2109"/>
      <c r="W76" s="2085"/>
      <c r="X76" s="2118"/>
      <c r="Y76" s="2118"/>
      <c r="Z76" s="2118"/>
      <c r="AA76" s="1140"/>
    </row>
    <row r="77" spans="1:27" ht="30" customHeight="1" thickTop="1">
      <c r="B77" s="333"/>
      <c r="C77" s="882"/>
      <c r="D77" s="883"/>
      <c r="E77" s="884"/>
      <c r="F77" s="885"/>
      <c r="G77" s="886"/>
      <c r="H77" s="886"/>
      <c r="I77" s="886"/>
      <c r="J77" s="886"/>
      <c r="K77" s="886"/>
      <c r="L77" s="886"/>
      <c r="M77" s="887"/>
      <c r="N77" s="314"/>
      <c r="P77" s="5"/>
      <c r="Q77" s="963"/>
      <c r="S77" s="1142"/>
      <c r="T77" s="785" t="str">
        <f t="shared" ref="T77:T106" si="94">IF(C77="","",C77)</f>
        <v/>
      </c>
      <c r="U77" s="92" t="str">
        <f>IF(D77="","",IF(D77="1：男",1,IF(D77="2：女",2)))</f>
        <v/>
      </c>
      <c r="V77" s="304" t="str">
        <f t="shared" ref="V77:V106" si="95">IF(E77="","",E77)</f>
        <v/>
      </c>
      <c r="W77" s="1064" t="str">
        <f ca="1">IF(SUM(SUMIF($G$75:$M$76,"集会出席
時　　間",G77:M77),SUMIF($G$75:$M$76,"技術習得
時　　間",G77:M77),SUMIF($G$75:$M$76,"簿記記帳
時　　間",G77:M77))=0,"",SUM(SUMIF($G$75:$M$76,"集会出席
時　　間",G77:M77),SUMIF($G$75:$M$76,"技術習得
時　　間",G77:M77),SUMIF($G$75:$M$76,"簿記記帳
時　　間",G77:M77)))</f>
        <v/>
      </c>
      <c r="X77" s="1065" t="str">
        <f ca="1">IF(SUMIF($G$75:$M$76,"自給飼料
の生産",G77:M77)=0,"",SUMIF($G$75:$M$76,"自給飼料
の生産",G77:M77))</f>
        <v/>
      </c>
      <c r="Y77" s="1065" t="str">
        <f ca="1">IF(SUM(SUMIF($G$75:$M$76,"建物・農機具等の修繕",G77:M77),SUMIF($G$75:$M$76,"購入付帯
労働時間",G77:M77))=0,"",SUM(SUMIF($G$75:$M$76,"建物・農機具等の修繕",G77:M77),SUMIF($G$75:$M$76,"購入付帯
労働時間",G77:M77)))</f>
        <v/>
      </c>
      <c r="Z77" s="1065" t="str">
        <f ca="1">IF(SUMIF($G$75:$M$76,"経営管理
労働時間",G77:M77)=0,"",SUMIF($G$75:$M$76,"経営管理
労働時間",G77:M77))</f>
        <v/>
      </c>
      <c r="AA77" s="99"/>
    </row>
    <row r="78" spans="1:27" ht="30" customHeight="1">
      <c r="B78" s="333"/>
      <c r="C78" s="888"/>
      <c r="D78" s="889"/>
      <c r="E78" s="890"/>
      <c r="F78" s="891"/>
      <c r="G78" s="886"/>
      <c r="H78" s="886"/>
      <c r="I78" s="886"/>
      <c r="J78" s="886"/>
      <c r="K78" s="886"/>
      <c r="L78" s="886"/>
      <c r="M78" s="887"/>
      <c r="N78" s="314"/>
      <c r="P78" s="5"/>
      <c r="Q78" s="963"/>
      <c r="S78" s="1143"/>
      <c r="T78" s="801" t="str">
        <f t="shared" si="94"/>
        <v/>
      </c>
      <c r="U78" s="1126" t="str">
        <f t="shared" ref="U78:U106" si="96">IF(D78="","",IF(D78="1：男",1,IF(D78="2：女",2)))</f>
        <v/>
      </c>
      <c r="V78" s="305" t="str">
        <f t="shared" si="95"/>
        <v/>
      </c>
      <c r="W78" s="1064" t="str">
        <f ca="1">IF(SUM(SUMIF($G$75:$M$76,"集会出席
時　　間",G78:M78),SUMIF($G$75:$M$76,"技術習得
時　　間",G78:M78),SUMIF($G$75:$M$76,"簿記記帳
時　　間",G78:M78))=0,"",SUM(SUMIF($G$75:$M$76,"集会出席
時　　間",G78:M78),SUMIF($G$75:$M$76,"技術習得
時　　間",G78:M78),SUMIF($G$75:$M$76,"簿記記帳
時　　間",G78:M78)))</f>
        <v/>
      </c>
      <c r="X78" s="1065" t="str">
        <f ca="1">IF(SUMIF($G$75:$M$76,"自給飼料
の生産",G78:M78)=0,"",SUMIF($G$75:$M$76,"自給飼料
の生産",G78:M78))</f>
        <v/>
      </c>
      <c r="Y78" s="1065" t="str">
        <f t="shared" ref="Y78:Y106" ca="1" si="97">IF(SUM(SUMIF($G$75:$M$76,"建物・農機具等の修繕",G78:M78),SUMIF($G$75:$M$76,"購入付帯
労働時間",G78:M78))=0,"",SUM(SUMIF($G$75:$M$76,"建物・農機具等の修繕",G78:M78),SUMIF($G$75:$M$76,"購入付帯
労働時間",G78:M78)))</f>
        <v/>
      </c>
      <c r="Z78" s="1065" t="str">
        <f t="shared" ref="Z78:Z106" ca="1" si="98">IF(SUMIF($G$75:$M$76,"経営管理
労働時間",G78:M78)=0,"",SUMIF($G$75:$M$76,"経営管理
労働時間",G78:M78))</f>
        <v/>
      </c>
      <c r="AA78" s="99"/>
    </row>
    <row r="79" spans="1:27" ht="30" customHeight="1">
      <c r="B79" s="333"/>
      <c r="C79" s="888"/>
      <c r="D79" s="889"/>
      <c r="E79" s="890"/>
      <c r="F79" s="891"/>
      <c r="G79" s="1060"/>
      <c r="H79" s="1060"/>
      <c r="I79" s="1060"/>
      <c r="J79" s="1060"/>
      <c r="K79" s="1060"/>
      <c r="L79" s="1060"/>
      <c r="M79" s="1061"/>
      <c r="N79" s="314"/>
      <c r="P79" s="5"/>
      <c r="Q79" s="963"/>
      <c r="S79" s="1143"/>
      <c r="T79" s="801" t="str">
        <f t="shared" si="94"/>
        <v/>
      </c>
      <c r="U79" s="1126" t="str">
        <f t="shared" si="96"/>
        <v/>
      </c>
      <c r="V79" s="305" t="str">
        <f t="shared" si="95"/>
        <v/>
      </c>
      <c r="W79" s="1064" t="str">
        <f t="shared" ref="W79:W106" ca="1" si="99">IF(SUM(SUMIF($G$75:$M$76,"集会出席
時　　間",G79:M79),SUMIF($G$75:$M$76,"技術習得
時　　間",G79:M79),SUMIF($G$75:$M$76,"簿記記帳
時　　間",G79:M79))=0,"",SUM(SUMIF($G$75:$M$76,"集会出席
時　　間",G79:M79),SUMIF($G$75:$M$76,"技術習得
時　　間",G79:M79),SUMIF($G$75:$M$76,"簿記記帳
時　　間",G79:M79)))</f>
        <v/>
      </c>
      <c r="X79" s="1065" t="str">
        <f t="shared" ref="X79:X106" ca="1" si="100">IF(SUMIF($G$75:$M$76,"自給飼料
の生産",G79:M79)=0,"",SUMIF($G$75:$M$76,"自給飼料
の生産",G79:M79))</f>
        <v/>
      </c>
      <c r="Y79" s="1065" t="str">
        <f t="shared" ca="1" si="97"/>
        <v/>
      </c>
      <c r="Z79" s="1065" t="str">
        <f t="shared" ca="1" si="98"/>
        <v/>
      </c>
      <c r="AA79" s="99"/>
    </row>
    <row r="80" spans="1:27" ht="30" customHeight="1">
      <c r="B80" s="333"/>
      <c r="C80" s="888"/>
      <c r="D80" s="889"/>
      <c r="E80" s="890"/>
      <c r="F80" s="891"/>
      <c r="G80" s="1060"/>
      <c r="H80" s="1060"/>
      <c r="I80" s="1060"/>
      <c r="J80" s="1060"/>
      <c r="K80" s="1060"/>
      <c r="L80" s="1060"/>
      <c r="M80" s="1061"/>
      <c r="N80" s="314"/>
      <c r="P80" s="5"/>
      <c r="Q80" s="963"/>
      <c r="S80" s="1143"/>
      <c r="T80" s="801" t="str">
        <f t="shared" si="94"/>
        <v/>
      </c>
      <c r="U80" s="1126" t="str">
        <f t="shared" si="96"/>
        <v/>
      </c>
      <c r="V80" s="305" t="str">
        <f t="shared" si="95"/>
        <v/>
      </c>
      <c r="W80" s="1064" t="str">
        <f t="shared" ca="1" si="99"/>
        <v/>
      </c>
      <c r="X80" s="1065" t="str">
        <f t="shared" ca="1" si="100"/>
        <v/>
      </c>
      <c r="Y80" s="1065" t="str">
        <f t="shared" ca="1" si="97"/>
        <v/>
      </c>
      <c r="Z80" s="1065" t="str">
        <f t="shared" ca="1" si="98"/>
        <v/>
      </c>
      <c r="AA80" s="99"/>
    </row>
    <row r="81" spans="2:27" ht="30" customHeight="1">
      <c r="B81" s="333"/>
      <c r="C81" s="888"/>
      <c r="D81" s="889"/>
      <c r="E81" s="890"/>
      <c r="F81" s="891"/>
      <c r="G81" s="1060"/>
      <c r="H81" s="1060"/>
      <c r="I81" s="1060"/>
      <c r="J81" s="1060"/>
      <c r="K81" s="1060"/>
      <c r="L81" s="1060"/>
      <c r="M81" s="1061"/>
      <c r="N81" s="314"/>
      <c r="P81" s="5"/>
      <c r="Q81" s="963"/>
      <c r="S81" s="1143"/>
      <c r="T81" s="801" t="str">
        <f t="shared" si="94"/>
        <v/>
      </c>
      <c r="U81" s="1126" t="str">
        <f t="shared" si="96"/>
        <v/>
      </c>
      <c r="V81" s="305" t="str">
        <f t="shared" si="95"/>
        <v/>
      </c>
      <c r="W81" s="1064" t="str">
        <f t="shared" ca="1" si="99"/>
        <v/>
      </c>
      <c r="X81" s="1065" t="str">
        <f t="shared" ca="1" si="100"/>
        <v/>
      </c>
      <c r="Y81" s="1065" t="str">
        <f t="shared" ca="1" si="97"/>
        <v/>
      </c>
      <c r="Z81" s="1065" t="str">
        <f t="shared" ca="1" si="98"/>
        <v/>
      </c>
      <c r="AA81" s="99"/>
    </row>
    <row r="82" spans="2:27" ht="30" customHeight="1">
      <c r="B82" s="333"/>
      <c r="C82" s="888"/>
      <c r="D82" s="889"/>
      <c r="E82" s="890"/>
      <c r="F82" s="891"/>
      <c r="G82" s="1060"/>
      <c r="H82" s="1060"/>
      <c r="I82" s="1060"/>
      <c r="J82" s="1060"/>
      <c r="K82" s="1060"/>
      <c r="L82" s="1060"/>
      <c r="M82" s="1061"/>
      <c r="N82" s="314"/>
      <c r="P82" s="5"/>
      <c r="Q82" s="963"/>
      <c r="S82" s="1143"/>
      <c r="T82" s="801" t="str">
        <f t="shared" si="94"/>
        <v/>
      </c>
      <c r="U82" s="1126" t="str">
        <f t="shared" si="96"/>
        <v/>
      </c>
      <c r="V82" s="305" t="str">
        <f t="shared" si="95"/>
        <v/>
      </c>
      <c r="W82" s="1064" t="str">
        <f t="shared" ca="1" si="99"/>
        <v/>
      </c>
      <c r="X82" s="1065" t="str">
        <f t="shared" ca="1" si="100"/>
        <v/>
      </c>
      <c r="Y82" s="1065" t="str">
        <f t="shared" ca="1" si="97"/>
        <v/>
      </c>
      <c r="Z82" s="1065" t="str">
        <f t="shared" ca="1" si="98"/>
        <v/>
      </c>
      <c r="AA82" s="99"/>
    </row>
    <row r="83" spans="2:27" ht="30" customHeight="1">
      <c r="B83" s="333"/>
      <c r="C83" s="888"/>
      <c r="D83" s="889"/>
      <c r="E83" s="890"/>
      <c r="F83" s="891"/>
      <c r="G83" s="1060"/>
      <c r="H83" s="1060"/>
      <c r="I83" s="1060"/>
      <c r="J83" s="1060"/>
      <c r="K83" s="1060"/>
      <c r="L83" s="1060"/>
      <c r="M83" s="1061"/>
      <c r="N83" s="314"/>
      <c r="P83" s="5"/>
      <c r="Q83" s="963"/>
      <c r="S83" s="1143"/>
      <c r="T83" s="801" t="str">
        <f t="shared" si="94"/>
        <v/>
      </c>
      <c r="U83" s="1126" t="str">
        <f t="shared" si="96"/>
        <v/>
      </c>
      <c r="V83" s="305" t="str">
        <f t="shared" si="95"/>
        <v/>
      </c>
      <c r="W83" s="1064" t="str">
        <f t="shared" ca="1" si="99"/>
        <v/>
      </c>
      <c r="X83" s="1065" t="str">
        <f t="shared" ca="1" si="100"/>
        <v/>
      </c>
      <c r="Y83" s="1065" t="str">
        <f t="shared" ca="1" si="97"/>
        <v/>
      </c>
      <c r="Z83" s="1065" t="str">
        <f t="shared" ca="1" si="98"/>
        <v/>
      </c>
      <c r="AA83" s="99"/>
    </row>
    <row r="84" spans="2:27" ht="30" customHeight="1" collapsed="1">
      <c r="B84" s="333"/>
      <c r="C84" s="888"/>
      <c r="D84" s="889"/>
      <c r="E84" s="890"/>
      <c r="F84" s="891"/>
      <c r="G84" s="1060"/>
      <c r="H84" s="1060"/>
      <c r="I84" s="1060"/>
      <c r="J84" s="1060"/>
      <c r="K84" s="1060"/>
      <c r="L84" s="1060"/>
      <c r="M84" s="1061"/>
      <c r="N84" s="314"/>
      <c r="P84" s="5"/>
      <c r="Q84" s="963"/>
      <c r="S84" s="1144"/>
      <c r="T84" s="865" t="str">
        <f t="shared" si="94"/>
        <v/>
      </c>
      <c r="U84" s="1141" t="str">
        <f t="shared" si="96"/>
        <v/>
      </c>
      <c r="V84" s="306" t="str">
        <f t="shared" si="95"/>
        <v/>
      </c>
      <c r="W84" s="1064" t="str">
        <f t="shared" ca="1" si="99"/>
        <v/>
      </c>
      <c r="X84" s="1065" t="str">
        <f t="shared" ca="1" si="100"/>
        <v/>
      </c>
      <c r="Y84" s="1065" t="str">
        <f t="shared" ca="1" si="97"/>
        <v/>
      </c>
      <c r="Z84" s="1065" t="str">
        <f t="shared" ca="1" si="98"/>
        <v/>
      </c>
      <c r="AA84" s="99"/>
    </row>
    <row r="85" spans="2:27" ht="30" hidden="1" customHeight="1" outlineLevel="1">
      <c r="B85" s="333"/>
      <c r="C85" s="888"/>
      <c r="D85" s="889"/>
      <c r="E85" s="890"/>
      <c r="F85" s="891"/>
      <c r="G85" s="1060"/>
      <c r="H85" s="1060"/>
      <c r="I85" s="1060"/>
      <c r="J85" s="1060"/>
      <c r="K85" s="1060"/>
      <c r="L85" s="1060"/>
      <c r="M85" s="1061"/>
      <c r="N85" s="314"/>
      <c r="P85" s="5"/>
      <c r="Q85" s="963"/>
      <c r="S85" s="1143"/>
      <c r="T85" s="801" t="str">
        <f t="shared" si="94"/>
        <v/>
      </c>
      <c r="U85" s="1126" t="str">
        <f t="shared" si="96"/>
        <v/>
      </c>
      <c r="V85" s="305" t="str">
        <f t="shared" si="95"/>
        <v/>
      </c>
      <c r="W85" s="1064" t="str">
        <f t="shared" ca="1" si="99"/>
        <v/>
      </c>
      <c r="X85" s="1065" t="str">
        <f t="shared" ca="1" si="100"/>
        <v/>
      </c>
      <c r="Y85" s="1065" t="str">
        <f t="shared" ca="1" si="97"/>
        <v/>
      </c>
      <c r="Z85" s="1065" t="str">
        <f t="shared" ca="1" si="98"/>
        <v/>
      </c>
      <c r="AA85" s="99"/>
    </row>
    <row r="86" spans="2:27" ht="30" hidden="1" customHeight="1" outlineLevel="1">
      <c r="B86" s="333"/>
      <c r="C86" s="888"/>
      <c r="D86" s="889"/>
      <c r="E86" s="890"/>
      <c r="F86" s="891"/>
      <c r="G86" s="1060"/>
      <c r="H86" s="1060"/>
      <c r="I86" s="1060"/>
      <c r="J86" s="1060"/>
      <c r="K86" s="1060"/>
      <c r="L86" s="1060"/>
      <c r="M86" s="1061"/>
      <c r="N86" s="314"/>
      <c r="P86" s="5"/>
      <c r="Q86" s="963"/>
      <c r="S86" s="1143"/>
      <c r="T86" s="801" t="str">
        <f t="shared" si="94"/>
        <v/>
      </c>
      <c r="U86" s="1126" t="str">
        <f t="shared" si="96"/>
        <v/>
      </c>
      <c r="V86" s="305" t="str">
        <f t="shared" si="95"/>
        <v/>
      </c>
      <c r="W86" s="1064" t="str">
        <f t="shared" ca="1" si="99"/>
        <v/>
      </c>
      <c r="X86" s="1065" t="str">
        <f t="shared" ca="1" si="100"/>
        <v/>
      </c>
      <c r="Y86" s="1065" t="str">
        <f t="shared" ca="1" si="97"/>
        <v/>
      </c>
      <c r="Z86" s="1065" t="str">
        <f t="shared" ca="1" si="98"/>
        <v/>
      </c>
      <c r="AA86" s="99"/>
    </row>
    <row r="87" spans="2:27" ht="30" hidden="1" customHeight="1" outlineLevel="1">
      <c r="B87" s="333"/>
      <c r="C87" s="888"/>
      <c r="D87" s="889"/>
      <c r="E87" s="890"/>
      <c r="F87" s="891"/>
      <c r="G87" s="1060"/>
      <c r="H87" s="1060"/>
      <c r="I87" s="1060"/>
      <c r="J87" s="1060"/>
      <c r="K87" s="1060"/>
      <c r="L87" s="1060"/>
      <c r="M87" s="1061"/>
      <c r="N87" s="314"/>
      <c r="P87" s="5"/>
      <c r="Q87" s="963"/>
      <c r="S87" s="1143"/>
      <c r="T87" s="801" t="str">
        <f t="shared" si="94"/>
        <v/>
      </c>
      <c r="U87" s="1126" t="str">
        <f t="shared" si="96"/>
        <v/>
      </c>
      <c r="V87" s="305" t="str">
        <f t="shared" si="95"/>
        <v/>
      </c>
      <c r="W87" s="1064" t="str">
        <f t="shared" ca="1" si="99"/>
        <v/>
      </c>
      <c r="X87" s="1065" t="str">
        <f t="shared" ca="1" si="100"/>
        <v/>
      </c>
      <c r="Y87" s="1065" t="str">
        <f t="shared" ca="1" si="97"/>
        <v/>
      </c>
      <c r="Z87" s="1065" t="str">
        <f t="shared" ca="1" si="98"/>
        <v/>
      </c>
      <c r="AA87" s="99"/>
    </row>
    <row r="88" spans="2:27" ht="30" hidden="1" customHeight="1" outlineLevel="1">
      <c r="B88" s="333"/>
      <c r="C88" s="888"/>
      <c r="D88" s="889"/>
      <c r="E88" s="890"/>
      <c r="F88" s="891"/>
      <c r="G88" s="1060"/>
      <c r="H88" s="1060"/>
      <c r="I88" s="1060"/>
      <c r="J88" s="1060"/>
      <c r="K88" s="1060"/>
      <c r="L88" s="1060"/>
      <c r="M88" s="1061"/>
      <c r="N88" s="314"/>
      <c r="P88" s="5"/>
      <c r="Q88" s="963"/>
      <c r="S88" s="1143"/>
      <c r="T88" s="801" t="str">
        <f t="shared" si="94"/>
        <v/>
      </c>
      <c r="U88" s="1126" t="str">
        <f t="shared" si="96"/>
        <v/>
      </c>
      <c r="V88" s="305" t="str">
        <f t="shared" si="95"/>
        <v/>
      </c>
      <c r="W88" s="1064" t="str">
        <f t="shared" ca="1" si="99"/>
        <v/>
      </c>
      <c r="X88" s="1065" t="str">
        <f t="shared" ca="1" si="100"/>
        <v/>
      </c>
      <c r="Y88" s="1065" t="str">
        <f t="shared" ca="1" si="97"/>
        <v/>
      </c>
      <c r="Z88" s="1065" t="str">
        <f t="shared" ca="1" si="98"/>
        <v/>
      </c>
      <c r="AA88" s="99"/>
    </row>
    <row r="89" spans="2:27" ht="30" hidden="1" customHeight="1" outlineLevel="1">
      <c r="B89" s="333"/>
      <c r="C89" s="888"/>
      <c r="D89" s="889"/>
      <c r="E89" s="890"/>
      <c r="F89" s="891"/>
      <c r="G89" s="1060"/>
      <c r="H89" s="1060"/>
      <c r="I89" s="1060"/>
      <c r="J89" s="1060"/>
      <c r="K89" s="1060"/>
      <c r="L89" s="1060"/>
      <c r="M89" s="1061"/>
      <c r="N89" s="314"/>
      <c r="P89" s="5"/>
      <c r="Q89" s="963"/>
      <c r="S89" s="1143"/>
      <c r="T89" s="801" t="str">
        <f t="shared" si="94"/>
        <v/>
      </c>
      <c r="U89" s="1126" t="str">
        <f t="shared" si="96"/>
        <v/>
      </c>
      <c r="V89" s="305" t="str">
        <f t="shared" si="95"/>
        <v/>
      </c>
      <c r="W89" s="1064" t="str">
        <f t="shared" ca="1" si="99"/>
        <v/>
      </c>
      <c r="X89" s="1065" t="str">
        <f t="shared" ca="1" si="100"/>
        <v/>
      </c>
      <c r="Y89" s="1065" t="str">
        <f t="shared" ca="1" si="97"/>
        <v/>
      </c>
      <c r="Z89" s="1065" t="str">
        <f t="shared" ca="1" si="98"/>
        <v/>
      </c>
      <c r="AA89" s="99"/>
    </row>
    <row r="90" spans="2:27" ht="30" hidden="1" customHeight="1" outlineLevel="1">
      <c r="B90" s="333"/>
      <c r="C90" s="888"/>
      <c r="D90" s="889"/>
      <c r="E90" s="890"/>
      <c r="F90" s="891"/>
      <c r="G90" s="886"/>
      <c r="H90" s="886"/>
      <c r="I90" s="886"/>
      <c r="J90" s="886"/>
      <c r="K90" s="886"/>
      <c r="L90" s="886"/>
      <c r="M90" s="887"/>
      <c r="N90" s="314"/>
      <c r="P90" s="5"/>
      <c r="Q90" s="963"/>
      <c r="S90" s="1143"/>
      <c r="T90" s="801" t="str">
        <f t="shared" si="94"/>
        <v/>
      </c>
      <c r="U90" s="1126" t="str">
        <f t="shared" si="96"/>
        <v/>
      </c>
      <c r="V90" s="305" t="str">
        <f t="shared" si="95"/>
        <v/>
      </c>
      <c r="W90" s="1064" t="str">
        <f t="shared" ca="1" si="99"/>
        <v/>
      </c>
      <c r="X90" s="1065" t="str">
        <f t="shared" ca="1" si="100"/>
        <v/>
      </c>
      <c r="Y90" s="1065" t="str">
        <f t="shared" ca="1" si="97"/>
        <v/>
      </c>
      <c r="Z90" s="1065" t="str">
        <f t="shared" ca="1" si="98"/>
        <v/>
      </c>
      <c r="AA90" s="99"/>
    </row>
    <row r="91" spans="2:27" ht="30" hidden="1" customHeight="1" outlineLevel="1">
      <c r="B91" s="333"/>
      <c r="C91" s="888"/>
      <c r="D91" s="889"/>
      <c r="E91" s="890"/>
      <c r="F91" s="891"/>
      <c r="G91" s="1060"/>
      <c r="H91" s="1060"/>
      <c r="I91" s="1060"/>
      <c r="J91" s="1060"/>
      <c r="K91" s="1060"/>
      <c r="L91" s="1060"/>
      <c r="M91" s="1061"/>
      <c r="N91" s="314"/>
      <c r="P91" s="5"/>
      <c r="Q91" s="963"/>
      <c r="S91" s="1143"/>
      <c r="T91" s="801" t="str">
        <f t="shared" si="94"/>
        <v/>
      </c>
      <c r="U91" s="1126" t="str">
        <f t="shared" si="96"/>
        <v/>
      </c>
      <c r="V91" s="305" t="str">
        <f t="shared" si="95"/>
        <v/>
      </c>
      <c r="W91" s="1064" t="str">
        <f t="shared" ca="1" si="99"/>
        <v/>
      </c>
      <c r="X91" s="1065" t="str">
        <f t="shared" ca="1" si="100"/>
        <v/>
      </c>
      <c r="Y91" s="1065" t="str">
        <f t="shared" ca="1" si="97"/>
        <v/>
      </c>
      <c r="Z91" s="1065" t="str">
        <f t="shared" ca="1" si="98"/>
        <v/>
      </c>
      <c r="AA91" s="99"/>
    </row>
    <row r="92" spans="2:27" ht="30" hidden="1" customHeight="1" outlineLevel="1">
      <c r="B92" s="333"/>
      <c r="C92" s="888"/>
      <c r="D92" s="889"/>
      <c r="E92" s="890"/>
      <c r="F92" s="891"/>
      <c r="G92" s="1060"/>
      <c r="H92" s="1060"/>
      <c r="I92" s="1060"/>
      <c r="J92" s="1060"/>
      <c r="K92" s="1060"/>
      <c r="L92" s="1060"/>
      <c r="M92" s="1061"/>
      <c r="N92" s="314"/>
      <c r="P92" s="5"/>
      <c r="Q92" s="963"/>
      <c r="S92" s="1143"/>
      <c r="T92" s="801" t="str">
        <f t="shared" si="94"/>
        <v/>
      </c>
      <c r="U92" s="1126" t="str">
        <f t="shared" si="96"/>
        <v/>
      </c>
      <c r="V92" s="305" t="str">
        <f t="shared" si="95"/>
        <v/>
      </c>
      <c r="W92" s="1064" t="str">
        <f t="shared" ca="1" si="99"/>
        <v/>
      </c>
      <c r="X92" s="1065" t="str">
        <f t="shared" ca="1" si="100"/>
        <v/>
      </c>
      <c r="Y92" s="1065" t="str">
        <f t="shared" ca="1" si="97"/>
        <v/>
      </c>
      <c r="Z92" s="1065" t="str">
        <f t="shared" ca="1" si="98"/>
        <v/>
      </c>
      <c r="AA92" s="99"/>
    </row>
    <row r="93" spans="2:27" ht="30" hidden="1" customHeight="1" outlineLevel="1">
      <c r="B93" s="333"/>
      <c r="C93" s="888"/>
      <c r="D93" s="889"/>
      <c r="E93" s="890"/>
      <c r="F93" s="891"/>
      <c r="G93" s="1060"/>
      <c r="H93" s="1060"/>
      <c r="I93" s="1060"/>
      <c r="J93" s="1060"/>
      <c r="K93" s="1060"/>
      <c r="L93" s="1060"/>
      <c r="M93" s="1061"/>
      <c r="N93" s="314"/>
      <c r="P93" s="5"/>
      <c r="Q93" s="963"/>
      <c r="S93" s="1143"/>
      <c r="T93" s="801" t="str">
        <f t="shared" si="94"/>
        <v/>
      </c>
      <c r="U93" s="1126" t="str">
        <f t="shared" si="96"/>
        <v/>
      </c>
      <c r="V93" s="305" t="str">
        <f t="shared" si="95"/>
        <v/>
      </c>
      <c r="W93" s="1064" t="str">
        <f t="shared" ca="1" si="99"/>
        <v/>
      </c>
      <c r="X93" s="1065" t="str">
        <f t="shared" ca="1" si="100"/>
        <v/>
      </c>
      <c r="Y93" s="1065" t="str">
        <f t="shared" ca="1" si="97"/>
        <v/>
      </c>
      <c r="Z93" s="1065" t="str">
        <f t="shared" ca="1" si="98"/>
        <v/>
      </c>
      <c r="AA93" s="99"/>
    </row>
    <row r="94" spans="2:27" ht="30" hidden="1" customHeight="1" outlineLevel="1">
      <c r="B94" s="333"/>
      <c r="C94" s="888"/>
      <c r="D94" s="889"/>
      <c r="E94" s="890"/>
      <c r="F94" s="891"/>
      <c r="G94" s="886"/>
      <c r="H94" s="886"/>
      <c r="I94" s="886"/>
      <c r="J94" s="886"/>
      <c r="K94" s="886"/>
      <c r="L94" s="886"/>
      <c r="M94" s="887"/>
      <c r="N94" s="314"/>
      <c r="P94" s="5"/>
      <c r="Q94" s="963"/>
      <c r="S94" s="1143"/>
      <c r="T94" s="801" t="str">
        <f t="shared" si="94"/>
        <v/>
      </c>
      <c r="U94" s="1126" t="str">
        <f t="shared" si="96"/>
        <v/>
      </c>
      <c r="V94" s="305" t="str">
        <f t="shared" si="95"/>
        <v/>
      </c>
      <c r="W94" s="1064" t="str">
        <f t="shared" ca="1" si="99"/>
        <v/>
      </c>
      <c r="X94" s="1065" t="str">
        <f t="shared" ca="1" si="100"/>
        <v/>
      </c>
      <c r="Y94" s="1065" t="str">
        <f t="shared" ca="1" si="97"/>
        <v/>
      </c>
      <c r="Z94" s="1065" t="str">
        <f t="shared" ca="1" si="98"/>
        <v/>
      </c>
      <c r="AA94" s="99"/>
    </row>
    <row r="95" spans="2:27" ht="30" hidden="1" customHeight="1" outlineLevel="1">
      <c r="B95" s="333"/>
      <c r="C95" s="888"/>
      <c r="D95" s="889"/>
      <c r="E95" s="890"/>
      <c r="F95" s="891"/>
      <c r="G95" s="1060"/>
      <c r="H95" s="1060"/>
      <c r="I95" s="1060"/>
      <c r="J95" s="1060"/>
      <c r="K95" s="1060"/>
      <c r="L95" s="1060"/>
      <c r="M95" s="1061"/>
      <c r="N95" s="314"/>
      <c r="P95" s="5"/>
      <c r="Q95" s="963"/>
      <c r="S95" s="1143"/>
      <c r="T95" s="801" t="str">
        <f t="shared" si="94"/>
        <v/>
      </c>
      <c r="U95" s="1126" t="str">
        <f t="shared" si="96"/>
        <v/>
      </c>
      <c r="V95" s="305" t="str">
        <f t="shared" si="95"/>
        <v/>
      </c>
      <c r="W95" s="1064" t="str">
        <f t="shared" ca="1" si="99"/>
        <v/>
      </c>
      <c r="X95" s="1065" t="str">
        <f t="shared" ca="1" si="100"/>
        <v/>
      </c>
      <c r="Y95" s="1065" t="str">
        <f t="shared" ca="1" si="97"/>
        <v/>
      </c>
      <c r="Z95" s="1065" t="str">
        <f t="shared" ca="1" si="98"/>
        <v/>
      </c>
      <c r="AA95" s="99"/>
    </row>
    <row r="96" spans="2:27" ht="30" hidden="1" customHeight="1" outlineLevel="1">
      <c r="B96" s="333"/>
      <c r="C96" s="888"/>
      <c r="D96" s="889"/>
      <c r="E96" s="890"/>
      <c r="F96" s="891"/>
      <c r="G96" s="1060"/>
      <c r="H96" s="1060"/>
      <c r="I96" s="1060"/>
      <c r="J96" s="1060"/>
      <c r="K96" s="1060"/>
      <c r="L96" s="1060"/>
      <c r="M96" s="1061"/>
      <c r="N96" s="314"/>
      <c r="P96" s="5"/>
      <c r="Q96" s="963"/>
      <c r="S96" s="1143"/>
      <c r="T96" s="801" t="str">
        <f t="shared" si="94"/>
        <v/>
      </c>
      <c r="U96" s="1126" t="str">
        <f t="shared" si="96"/>
        <v/>
      </c>
      <c r="V96" s="305" t="str">
        <f t="shared" si="95"/>
        <v/>
      </c>
      <c r="W96" s="1064" t="str">
        <f t="shared" ca="1" si="99"/>
        <v/>
      </c>
      <c r="X96" s="1065" t="str">
        <f t="shared" ca="1" si="100"/>
        <v/>
      </c>
      <c r="Y96" s="1065" t="str">
        <f t="shared" ca="1" si="97"/>
        <v/>
      </c>
      <c r="Z96" s="1065" t="str">
        <f t="shared" ca="1" si="98"/>
        <v/>
      </c>
      <c r="AA96" s="99"/>
    </row>
    <row r="97" spans="2:27" ht="30" hidden="1" customHeight="1" outlineLevel="1">
      <c r="B97" s="333"/>
      <c r="C97" s="888"/>
      <c r="D97" s="889"/>
      <c r="E97" s="890"/>
      <c r="F97" s="891"/>
      <c r="G97" s="1060"/>
      <c r="H97" s="1060"/>
      <c r="I97" s="1060"/>
      <c r="J97" s="1060"/>
      <c r="K97" s="1060"/>
      <c r="L97" s="1060"/>
      <c r="M97" s="1061"/>
      <c r="N97" s="314"/>
      <c r="P97" s="5"/>
      <c r="Q97" s="963"/>
      <c r="S97" s="1143"/>
      <c r="T97" s="801" t="str">
        <f t="shared" si="94"/>
        <v/>
      </c>
      <c r="U97" s="1126" t="str">
        <f t="shared" si="96"/>
        <v/>
      </c>
      <c r="V97" s="305" t="str">
        <f t="shared" si="95"/>
        <v/>
      </c>
      <c r="W97" s="1064" t="str">
        <f t="shared" ca="1" si="99"/>
        <v/>
      </c>
      <c r="X97" s="1065" t="str">
        <f t="shared" ca="1" si="100"/>
        <v/>
      </c>
      <c r="Y97" s="1065" t="str">
        <f t="shared" ca="1" si="97"/>
        <v/>
      </c>
      <c r="Z97" s="1065" t="str">
        <f t="shared" ca="1" si="98"/>
        <v/>
      </c>
      <c r="AA97" s="99"/>
    </row>
    <row r="98" spans="2:27" ht="30" hidden="1" customHeight="1" outlineLevel="1">
      <c r="B98" s="333"/>
      <c r="C98" s="888"/>
      <c r="D98" s="889"/>
      <c r="E98" s="890"/>
      <c r="F98" s="891"/>
      <c r="G98" s="1060"/>
      <c r="H98" s="1060"/>
      <c r="I98" s="1060"/>
      <c r="J98" s="1060"/>
      <c r="K98" s="1060"/>
      <c r="L98" s="1060"/>
      <c r="M98" s="1061"/>
      <c r="N98" s="314"/>
      <c r="P98" s="5"/>
      <c r="Q98" s="963"/>
      <c r="S98" s="1143"/>
      <c r="T98" s="801" t="str">
        <f t="shared" si="94"/>
        <v/>
      </c>
      <c r="U98" s="1126" t="str">
        <f t="shared" si="96"/>
        <v/>
      </c>
      <c r="V98" s="305" t="str">
        <f t="shared" si="95"/>
        <v/>
      </c>
      <c r="W98" s="1064" t="str">
        <f t="shared" ca="1" si="99"/>
        <v/>
      </c>
      <c r="X98" s="1065" t="str">
        <f t="shared" ca="1" si="100"/>
        <v/>
      </c>
      <c r="Y98" s="1065" t="str">
        <f t="shared" ca="1" si="97"/>
        <v/>
      </c>
      <c r="Z98" s="1065" t="str">
        <f t="shared" ca="1" si="98"/>
        <v/>
      </c>
      <c r="AA98" s="99"/>
    </row>
    <row r="99" spans="2:27" ht="30" hidden="1" customHeight="1" outlineLevel="1">
      <c r="B99" s="333"/>
      <c r="C99" s="888"/>
      <c r="D99" s="889"/>
      <c r="E99" s="890"/>
      <c r="F99" s="891"/>
      <c r="G99" s="1060"/>
      <c r="H99" s="1060"/>
      <c r="I99" s="1060"/>
      <c r="J99" s="1060"/>
      <c r="K99" s="1060"/>
      <c r="L99" s="1060"/>
      <c r="M99" s="1061"/>
      <c r="N99" s="314"/>
      <c r="P99" s="5"/>
      <c r="Q99" s="963"/>
      <c r="S99" s="1143"/>
      <c r="T99" s="801" t="str">
        <f t="shared" si="94"/>
        <v/>
      </c>
      <c r="U99" s="1126" t="str">
        <f t="shared" si="96"/>
        <v/>
      </c>
      <c r="V99" s="305" t="str">
        <f t="shared" si="95"/>
        <v/>
      </c>
      <c r="W99" s="1064" t="str">
        <f t="shared" ca="1" si="99"/>
        <v/>
      </c>
      <c r="X99" s="1065" t="str">
        <f t="shared" ca="1" si="100"/>
        <v/>
      </c>
      <c r="Y99" s="1065" t="str">
        <f t="shared" ca="1" si="97"/>
        <v/>
      </c>
      <c r="Z99" s="1065" t="str">
        <f t="shared" ca="1" si="98"/>
        <v/>
      </c>
      <c r="AA99" s="99"/>
    </row>
    <row r="100" spans="2:27" ht="30" hidden="1" customHeight="1" outlineLevel="1">
      <c r="B100" s="333"/>
      <c r="C100" s="888"/>
      <c r="D100" s="889"/>
      <c r="E100" s="890"/>
      <c r="F100" s="891"/>
      <c r="G100" s="886"/>
      <c r="H100" s="886"/>
      <c r="I100" s="886"/>
      <c r="J100" s="886"/>
      <c r="K100" s="886"/>
      <c r="L100" s="886"/>
      <c r="M100" s="887"/>
      <c r="N100" s="314"/>
      <c r="P100" s="5"/>
      <c r="Q100" s="963"/>
      <c r="S100" s="1143"/>
      <c r="T100" s="801" t="str">
        <f t="shared" si="94"/>
        <v/>
      </c>
      <c r="U100" s="1126" t="str">
        <f t="shared" si="96"/>
        <v/>
      </c>
      <c r="V100" s="305" t="str">
        <f t="shared" si="95"/>
        <v/>
      </c>
      <c r="W100" s="1064" t="str">
        <f t="shared" ca="1" si="99"/>
        <v/>
      </c>
      <c r="X100" s="1065" t="str">
        <f t="shared" ca="1" si="100"/>
        <v/>
      </c>
      <c r="Y100" s="1065" t="str">
        <f t="shared" ca="1" si="97"/>
        <v/>
      </c>
      <c r="Z100" s="1065" t="str">
        <f t="shared" ca="1" si="98"/>
        <v/>
      </c>
      <c r="AA100" s="99"/>
    </row>
    <row r="101" spans="2:27" ht="30" hidden="1" customHeight="1" outlineLevel="1">
      <c r="B101" s="333"/>
      <c r="C101" s="888"/>
      <c r="D101" s="889"/>
      <c r="E101" s="890"/>
      <c r="F101" s="891"/>
      <c r="G101" s="1060"/>
      <c r="H101" s="1060"/>
      <c r="I101" s="1060"/>
      <c r="J101" s="1060"/>
      <c r="K101" s="1060"/>
      <c r="L101" s="1060"/>
      <c r="M101" s="1061"/>
      <c r="N101" s="314"/>
      <c r="P101" s="5"/>
      <c r="Q101" s="963"/>
      <c r="S101" s="1143"/>
      <c r="T101" s="801" t="str">
        <f t="shared" si="94"/>
        <v/>
      </c>
      <c r="U101" s="1126" t="str">
        <f t="shared" si="96"/>
        <v/>
      </c>
      <c r="V101" s="305" t="str">
        <f t="shared" si="95"/>
        <v/>
      </c>
      <c r="W101" s="1064" t="str">
        <f t="shared" ca="1" si="99"/>
        <v/>
      </c>
      <c r="X101" s="1065" t="str">
        <f t="shared" ca="1" si="100"/>
        <v/>
      </c>
      <c r="Y101" s="1065" t="str">
        <f t="shared" ca="1" si="97"/>
        <v/>
      </c>
      <c r="Z101" s="1065" t="str">
        <f t="shared" ca="1" si="98"/>
        <v/>
      </c>
      <c r="AA101" s="99"/>
    </row>
    <row r="102" spans="2:27" ht="30" hidden="1" customHeight="1" outlineLevel="1">
      <c r="B102" s="333"/>
      <c r="C102" s="888"/>
      <c r="D102" s="889"/>
      <c r="E102" s="890"/>
      <c r="F102" s="891"/>
      <c r="G102" s="1060"/>
      <c r="H102" s="1060"/>
      <c r="I102" s="1060"/>
      <c r="J102" s="1060"/>
      <c r="K102" s="1060"/>
      <c r="L102" s="1060"/>
      <c r="M102" s="1061"/>
      <c r="N102" s="314"/>
      <c r="P102" s="5"/>
      <c r="Q102" s="963"/>
      <c r="S102" s="1143"/>
      <c r="T102" s="801" t="str">
        <f t="shared" si="94"/>
        <v/>
      </c>
      <c r="U102" s="1126" t="str">
        <f t="shared" si="96"/>
        <v/>
      </c>
      <c r="V102" s="305" t="str">
        <f t="shared" si="95"/>
        <v/>
      </c>
      <c r="W102" s="1064" t="str">
        <f t="shared" ca="1" si="99"/>
        <v/>
      </c>
      <c r="X102" s="1065" t="str">
        <f t="shared" ca="1" si="100"/>
        <v/>
      </c>
      <c r="Y102" s="1065" t="str">
        <f t="shared" ca="1" si="97"/>
        <v/>
      </c>
      <c r="Z102" s="1065" t="str">
        <f t="shared" ca="1" si="98"/>
        <v/>
      </c>
      <c r="AA102" s="99"/>
    </row>
    <row r="103" spans="2:27" ht="30" hidden="1" customHeight="1" outlineLevel="1">
      <c r="B103" s="333"/>
      <c r="C103" s="888"/>
      <c r="D103" s="889"/>
      <c r="E103" s="890"/>
      <c r="F103" s="891"/>
      <c r="G103" s="1060"/>
      <c r="H103" s="1060"/>
      <c r="I103" s="1060"/>
      <c r="J103" s="1060"/>
      <c r="K103" s="1060"/>
      <c r="L103" s="1060"/>
      <c r="M103" s="1061"/>
      <c r="N103" s="314"/>
      <c r="P103" s="5"/>
      <c r="Q103" s="963"/>
      <c r="S103" s="1143"/>
      <c r="T103" s="801" t="str">
        <f t="shared" si="94"/>
        <v/>
      </c>
      <c r="U103" s="1126" t="str">
        <f t="shared" si="96"/>
        <v/>
      </c>
      <c r="V103" s="305" t="str">
        <f t="shared" si="95"/>
        <v/>
      </c>
      <c r="W103" s="1064" t="str">
        <f t="shared" ca="1" si="99"/>
        <v/>
      </c>
      <c r="X103" s="1065" t="str">
        <f t="shared" ca="1" si="100"/>
        <v/>
      </c>
      <c r="Y103" s="1065" t="str">
        <f t="shared" ca="1" si="97"/>
        <v/>
      </c>
      <c r="Z103" s="1065" t="str">
        <f t="shared" ca="1" si="98"/>
        <v/>
      </c>
      <c r="AA103" s="99"/>
    </row>
    <row r="104" spans="2:27" ht="30" hidden="1" customHeight="1" outlineLevel="1">
      <c r="B104" s="333"/>
      <c r="C104" s="888"/>
      <c r="D104" s="889"/>
      <c r="E104" s="890"/>
      <c r="F104" s="891"/>
      <c r="G104" s="1060"/>
      <c r="H104" s="1060"/>
      <c r="I104" s="1060"/>
      <c r="J104" s="1060"/>
      <c r="K104" s="1060"/>
      <c r="L104" s="1060"/>
      <c r="M104" s="1061"/>
      <c r="N104" s="314"/>
      <c r="P104" s="5"/>
      <c r="Q104" s="963"/>
      <c r="S104" s="1143"/>
      <c r="T104" s="801" t="str">
        <f t="shared" si="94"/>
        <v/>
      </c>
      <c r="U104" s="1126" t="str">
        <f t="shared" si="96"/>
        <v/>
      </c>
      <c r="V104" s="305" t="str">
        <f t="shared" si="95"/>
        <v/>
      </c>
      <c r="W104" s="1064" t="str">
        <f t="shared" ca="1" si="99"/>
        <v/>
      </c>
      <c r="X104" s="1065" t="str">
        <f t="shared" ca="1" si="100"/>
        <v/>
      </c>
      <c r="Y104" s="1065" t="str">
        <f t="shared" ca="1" si="97"/>
        <v/>
      </c>
      <c r="Z104" s="1065" t="str">
        <f t="shared" ca="1" si="98"/>
        <v/>
      </c>
      <c r="AA104" s="99"/>
    </row>
    <row r="105" spans="2:27" ht="30" hidden="1" customHeight="1" outlineLevel="1">
      <c r="B105" s="333"/>
      <c r="C105" s="888"/>
      <c r="D105" s="889"/>
      <c r="E105" s="890"/>
      <c r="F105" s="891"/>
      <c r="G105" s="1060"/>
      <c r="H105" s="1060"/>
      <c r="I105" s="1060"/>
      <c r="J105" s="1060"/>
      <c r="K105" s="1060"/>
      <c r="L105" s="1060"/>
      <c r="M105" s="1061"/>
      <c r="N105" s="314"/>
      <c r="P105" s="5"/>
      <c r="Q105" s="963"/>
      <c r="S105" s="1143"/>
      <c r="T105" s="801" t="str">
        <f t="shared" si="94"/>
        <v/>
      </c>
      <c r="U105" s="1126" t="str">
        <f t="shared" si="96"/>
        <v/>
      </c>
      <c r="V105" s="305" t="str">
        <f t="shared" si="95"/>
        <v/>
      </c>
      <c r="W105" s="1064" t="str">
        <f t="shared" ca="1" si="99"/>
        <v/>
      </c>
      <c r="X105" s="1065" t="str">
        <f t="shared" ca="1" si="100"/>
        <v/>
      </c>
      <c r="Y105" s="1065" t="str">
        <f t="shared" ca="1" si="97"/>
        <v/>
      </c>
      <c r="Z105" s="1065" t="str">
        <f t="shared" ca="1" si="98"/>
        <v/>
      </c>
      <c r="AA105" s="99"/>
    </row>
    <row r="106" spans="2:27" ht="30" hidden="1" customHeight="1" outlineLevel="1" thickBot="1">
      <c r="B106" s="333"/>
      <c r="C106" s="892"/>
      <c r="D106" s="893"/>
      <c r="E106" s="894"/>
      <c r="F106" s="895"/>
      <c r="G106" s="1062"/>
      <c r="H106" s="1062"/>
      <c r="I106" s="1062"/>
      <c r="J106" s="1062"/>
      <c r="K106" s="1062"/>
      <c r="L106" s="1062"/>
      <c r="M106" s="1063"/>
      <c r="N106" s="314"/>
      <c r="P106" s="5"/>
      <c r="Q106" s="963"/>
      <c r="S106" s="1145"/>
      <c r="T106" s="865" t="str">
        <f t="shared" si="94"/>
        <v/>
      </c>
      <c r="U106" s="1141" t="str">
        <f t="shared" si="96"/>
        <v/>
      </c>
      <c r="V106" s="306" t="str">
        <f t="shared" si="95"/>
        <v/>
      </c>
      <c r="W106" s="1064" t="str">
        <f t="shared" ca="1" si="99"/>
        <v/>
      </c>
      <c r="X106" s="1065" t="str">
        <f t="shared" ca="1" si="100"/>
        <v/>
      </c>
      <c r="Y106" s="1065" t="str">
        <f t="shared" ca="1" si="97"/>
        <v/>
      </c>
      <c r="Z106" s="1065" t="str">
        <f t="shared" ca="1" si="98"/>
        <v/>
      </c>
      <c r="AA106" s="99"/>
    </row>
    <row r="107" spans="2:27" ht="30" customHeight="1">
      <c r="B107" s="5"/>
      <c r="C107" s="5"/>
      <c r="D107" s="5"/>
      <c r="E107" s="5"/>
      <c r="F107" s="5"/>
      <c r="G107" s="5"/>
      <c r="H107" s="5"/>
      <c r="I107" s="5"/>
      <c r="J107" s="5"/>
      <c r="K107" s="5"/>
      <c r="L107" s="5"/>
      <c r="M107" s="5"/>
      <c r="N107" s="5"/>
      <c r="P107" s="5"/>
      <c r="Q107" s="963"/>
    </row>
    <row r="108" spans="2:27" ht="30" customHeight="1">
      <c r="B108" s="380" t="s">
        <v>174</v>
      </c>
      <c r="C108" s="68"/>
      <c r="D108" s="68"/>
      <c r="E108" s="68"/>
      <c r="F108" s="68"/>
      <c r="G108" s="5"/>
      <c r="H108" s="5"/>
      <c r="I108" s="5"/>
      <c r="J108" s="5"/>
      <c r="K108" s="5"/>
      <c r="L108" s="5"/>
      <c r="M108" s="5"/>
      <c r="N108" s="5"/>
      <c r="P108" s="5"/>
      <c r="Q108" s="963"/>
    </row>
    <row r="109" spans="2:27" ht="30" customHeight="1" thickBot="1">
      <c r="B109" s="866"/>
      <c r="C109" s="49" t="s">
        <v>746</v>
      </c>
      <c r="D109" s="5"/>
      <c r="E109" s="5"/>
      <c r="F109" s="5"/>
      <c r="G109" s="5"/>
      <c r="H109" s="5"/>
      <c r="I109" s="5"/>
      <c r="J109" s="5"/>
      <c r="K109" s="5"/>
      <c r="L109" s="5"/>
      <c r="M109" s="5"/>
      <c r="N109" s="5"/>
      <c r="P109" s="5"/>
      <c r="Q109" s="963"/>
      <c r="S109" s="427" t="s">
        <v>589</v>
      </c>
    </row>
    <row r="110" spans="2:27" ht="27" customHeight="1">
      <c r="B110" s="68"/>
      <c r="C110" s="2177" t="s">
        <v>161</v>
      </c>
      <c r="D110" s="2179" t="s">
        <v>79</v>
      </c>
      <c r="E110" s="2181" t="s">
        <v>206</v>
      </c>
      <c r="F110" s="202"/>
      <c r="I110" s="333"/>
      <c r="J110" s="5"/>
      <c r="K110" s="5"/>
      <c r="L110" s="5"/>
      <c r="M110" s="5"/>
      <c r="N110" s="5"/>
      <c r="P110" s="5"/>
      <c r="Q110" s="963"/>
      <c r="S110" s="2183" t="s">
        <v>161</v>
      </c>
      <c r="T110" s="1122" t="s">
        <v>355</v>
      </c>
      <c r="U110" s="314"/>
      <c r="V110" s="314"/>
    </row>
    <row r="111" spans="2:27" ht="27" customHeight="1" thickBot="1">
      <c r="B111" s="68"/>
      <c r="C111" s="2178"/>
      <c r="D111" s="2180"/>
      <c r="E111" s="2182"/>
      <c r="F111" s="203"/>
      <c r="I111" s="333"/>
      <c r="J111" s="5"/>
      <c r="K111" s="5"/>
      <c r="L111" s="5"/>
      <c r="M111" s="5"/>
      <c r="N111" s="5"/>
      <c r="P111" s="5"/>
      <c r="Q111" s="963"/>
      <c r="S111" s="2184"/>
      <c r="T111" s="1122" t="s">
        <v>853</v>
      </c>
      <c r="U111" s="314"/>
      <c r="V111" s="314"/>
    </row>
    <row r="112" spans="2:27" ht="27" customHeight="1" thickTop="1">
      <c r="B112" s="68"/>
      <c r="C112" s="867" t="s">
        <v>153</v>
      </c>
      <c r="D112" s="896"/>
      <c r="E112" s="268"/>
      <c r="F112" s="603"/>
      <c r="I112" s="333"/>
      <c r="J112" s="5"/>
      <c r="K112" s="5"/>
      <c r="L112" s="5"/>
      <c r="M112" s="5"/>
      <c r="N112" s="5"/>
      <c r="P112" s="5"/>
      <c r="Q112" s="963"/>
      <c r="S112" s="1104" t="s">
        <v>153</v>
      </c>
      <c r="T112" s="515" t="str">
        <f>IF(E112="","",ROUND(D112*E112%,0))</f>
        <v/>
      </c>
      <c r="U112" s="314"/>
      <c r="V112" s="314"/>
    </row>
    <row r="113" spans="2:22" ht="27" customHeight="1" thickBot="1">
      <c r="B113" s="333"/>
      <c r="C113" s="868" t="s">
        <v>154</v>
      </c>
      <c r="D113" s="897"/>
      <c r="E113" s="269"/>
      <c r="F113" s="603"/>
      <c r="I113" s="333"/>
      <c r="J113" s="333"/>
      <c r="K113" s="333"/>
      <c r="L113" s="333"/>
      <c r="M113" s="333"/>
      <c r="N113" s="5"/>
      <c r="P113" s="5"/>
      <c r="Q113" s="963"/>
      <c r="S113" s="1105" t="s">
        <v>154</v>
      </c>
      <c r="T113" s="515" t="str">
        <f>IF(E113="","",ROUND(D113*E113%,0))</f>
        <v/>
      </c>
      <c r="U113" s="314"/>
      <c r="V113" s="314"/>
    </row>
    <row r="114" spans="2:22" ht="14.25" customHeight="1">
      <c r="P114" s="5"/>
      <c r="Q114" s="963"/>
    </row>
  </sheetData>
  <sheetProtection sheet="1" objects="1" scenarios="1" selectLockedCells="1"/>
  <mergeCells count="88">
    <mergeCell ref="M75:M76"/>
    <mergeCell ref="C110:C111"/>
    <mergeCell ref="D110:D111"/>
    <mergeCell ref="E110:E111"/>
    <mergeCell ref="S110:S111"/>
    <mergeCell ref="H75:H76"/>
    <mergeCell ref="I75:I76"/>
    <mergeCell ref="J75:J76"/>
    <mergeCell ref="K75:K76"/>
    <mergeCell ref="L75:L76"/>
    <mergeCell ref="C75:C76"/>
    <mergeCell ref="D75:D76"/>
    <mergeCell ref="E75:E76"/>
    <mergeCell ref="F75:F76"/>
    <mergeCell ref="G75:G76"/>
    <mergeCell ref="AC41:AE41"/>
    <mergeCell ref="T74:T76"/>
    <mergeCell ref="U74:U76"/>
    <mergeCell ref="V74:V76"/>
    <mergeCell ref="S74:S76"/>
    <mergeCell ref="W74:W76"/>
    <mergeCell ref="X74:Y74"/>
    <mergeCell ref="Z74:Z76"/>
    <mergeCell ref="Y75:Y76"/>
    <mergeCell ref="X75:X76"/>
    <mergeCell ref="AD38:AE38"/>
    <mergeCell ref="AW38:AX38"/>
    <mergeCell ref="AD39:AE39"/>
    <mergeCell ref="AW39:AX39"/>
    <mergeCell ref="AD40:AE40"/>
    <mergeCell ref="AW40:AX40"/>
    <mergeCell ref="AD35:AE35"/>
    <mergeCell ref="AW35:AX35"/>
    <mergeCell ref="AC36:AE36"/>
    <mergeCell ref="AV36:AX36"/>
    <mergeCell ref="AD37:AE37"/>
    <mergeCell ref="AW37:AX37"/>
    <mergeCell ref="AD32:AE32"/>
    <mergeCell ref="AW32:AX32"/>
    <mergeCell ref="AD33:AE33"/>
    <mergeCell ref="AW33:AX33"/>
    <mergeCell ref="AD34:AE34"/>
    <mergeCell ref="AW34:AX34"/>
    <mergeCell ref="AD16:AE16"/>
    <mergeCell ref="AW16:AX16"/>
    <mergeCell ref="AD21:AE21"/>
    <mergeCell ref="AD26:AE26"/>
    <mergeCell ref="AC31:AE31"/>
    <mergeCell ref="AV31:AX31"/>
    <mergeCell ref="AD13:AE13"/>
    <mergeCell ref="AW13:AX13"/>
    <mergeCell ref="AD14:AE14"/>
    <mergeCell ref="AW14:AX14"/>
    <mergeCell ref="AD15:AE15"/>
    <mergeCell ref="AW15:AX15"/>
    <mergeCell ref="BC9:BD9"/>
    <mergeCell ref="BE9:BF9"/>
    <mergeCell ref="AC11:AE11"/>
    <mergeCell ref="AV11:AX11"/>
    <mergeCell ref="AD12:AE12"/>
    <mergeCell ref="AW12:AX12"/>
    <mergeCell ref="AY8:AZ9"/>
    <mergeCell ref="BA8:BB9"/>
    <mergeCell ref="AF9:AG9"/>
    <mergeCell ref="AH9:AI9"/>
    <mergeCell ref="AJ9:AK9"/>
    <mergeCell ref="AL9:AM9"/>
    <mergeCell ref="AN9:AO9"/>
    <mergeCell ref="AP9:AQ9"/>
    <mergeCell ref="AR9:AS9"/>
    <mergeCell ref="AV8:AX10"/>
    <mergeCell ref="X8:X10"/>
    <mergeCell ref="Y8:Y10"/>
    <mergeCell ref="AC8:AE10"/>
    <mergeCell ref="AF8:AK8"/>
    <mergeCell ref="AL8:AS8"/>
    <mergeCell ref="W8:W10"/>
    <mergeCell ref="C8:C10"/>
    <mergeCell ref="D8:D10"/>
    <mergeCell ref="E8:E10"/>
    <mergeCell ref="F8:F10"/>
    <mergeCell ref="G8:H10"/>
    <mergeCell ref="I8:J10"/>
    <mergeCell ref="K8:L10"/>
    <mergeCell ref="T8:T10"/>
    <mergeCell ref="U8:U10"/>
    <mergeCell ref="V8:V10"/>
    <mergeCell ref="S8:S10"/>
  </mergeCells>
  <phoneticPr fontId="3"/>
  <dataValidations count="6">
    <dataValidation type="whole" allowBlank="1" showInputMessage="1" showErrorMessage="1" error="0～59の値を入力してください。" sqref="H11 J11 H53 J53 H55 J55 H57 J57 H59 J59 H61 J61 H63 H67 H69 J63 J67 J69 L11:N11 L53:N53 L55:N55 L57:N57 L59:N59 L61:N61 L63:N63 L67:N67 L69:N69 H39 J39 H41 J41 H43 J43 H45 J45 H47 J47 H49 H51 J49 J51 L39:N39 L41:N41 L43:N43 L45:N45 L47:N47 L49:N49 L51:N51 H27 J27 H29 J29 H31 J31 H33 J33 H35 J35 H37 J37 L27:N27 L29:N29 L31:N31 L33:N33 L35:N35 L37:N37 H13 J13 H15 J15 H17 J17 H19 J19 H21 J21 H23 H25 J23 J25 L13:N13 L15:N15 L17:N17 L19:N19 L21:N21 L23:N23 L25:N25 H65 J65 L65:N65" xr:uid="{00000000-0002-0000-0B00-000000000000}">
      <formula1>0</formula1>
      <formula2>59</formula2>
    </dataValidation>
    <dataValidation type="whole" operator="greaterThanOrEqual" allowBlank="1" showInputMessage="1" showErrorMessage="1" sqref="E71" xr:uid="{00000000-0002-0000-0B00-000001000000}">
      <formula1>0</formula1>
    </dataValidation>
    <dataValidation type="whole" operator="greaterThan" allowBlank="1" showInputMessage="1" showErrorMessage="1" error="整数を入力してください。" sqref="I11 K11 I53 K53 I55 K55 I57 K57 I59 K59 I61 K61 I63 I67 I69 K63 K67 K69 G69 G67 G63 G61 G59 G57 G55 G53 G11 G14:N14 G70:N71 G62:N62 G68:N68 G60:N60 G58:N58 G56:N56 G54:N54 G66:N66 I39 K39 I41 K41 I43 K43 I45 K45 I47 K47 I49 I51 K49 K51 G51 G49 G47 G45 G43 G41 G39 G50:N50 G48:N48 G52:N52 G46:N46 G44:N44 G42:N42 G40:N40 G12:N12 I27 K27 I29 K29 I31 K31 I33 K33 I35 K35 I37 K37 G37 G35 G33 G31 G29 G27 G38:N38 G36:N36 G34:N34 G32:N32 G30:N30 G28:N28 I13 K13 I15 K15 I17 K17 I19 K19 I21 K21 I23 I25 K23 K25 G25 G23 G21 G19 G17 G15 G13 G24:N24 G22:N22 G26:N26 G20:N20 G18:N18 G16:N16 G64:N64 I65 K65 G65 G77:M106 T4 D112:D113" xr:uid="{00000000-0002-0000-0B00-000002000000}">
      <formula1>0</formula1>
    </dataValidation>
    <dataValidation type="whole" allowBlank="1" showInputMessage="1" showErrorMessage="1" error="1～100の値を入力してください。" sqref="E112:E113" xr:uid="{00000000-0002-0000-0B00-000003000000}">
      <formula1>1</formula1>
      <formula2>100</formula2>
    </dataValidation>
    <dataValidation type="whole" allowBlank="1" showInputMessage="1" showErrorMessage="1" sqref="E69 E67 E65 E63 E61 E59 E57 E55 E53 E51 E49 E47 E45 E43 E41 E39 E37 E35 E33 E31 E29 E27 E25 E23 E21 E19 E17 E15 E13 E11 E77:E106" xr:uid="{00000000-0002-0000-0B00-000004000000}">
      <formula1>1</formula1>
      <formula2>150</formula2>
    </dataValidation>
    <dataValidation type="whole" allowBlank="1" showInputMessage="1" showErrorMessage="1" sqref="S69 S67 S65 S63 S61 S59 S57 S55 S53 S51 S49 S47 S45 S43 S41 S39 S37 S35 S33 S31 S29 S27 S25 S23 S21 S19 S17 S15 S13 S11 S77:S106" xr:uid="{00000000-0002-0000-0B00-000005000000}">
      <formula1>1</formula1>
      <formula2>5</formula2>
    </dataValidation>
  </dataValidations>
  <printOptions horizontalCentered="1" verticalCentered="1"/>
  <pageMargins left="0" right="0" top="0" bottom="0" header="0" footer="0.19685039370078741"/>
  <pageSetup paperSize="9" scale="67" fitToWidth="0" fitToHeight="0" orientation="landscape" cellComments="asDisplayed" r:id="rId1"/>
  <headerFooter scaleWithDoc="0"/>
  <colBreaks count="3" manualBreakCount="3">
    <brk id="16" max="113" man="1"/>
    <brk id="26" max="113" man="1"/>
    <brk id="46" max="113" man="1"/>
  </colBreaks>
  <drawing r:id="rId2"/>
  <legacyDrawing r:id="rId3"/>
  <controls>
    <mc:AlternateContent xmlns:mc="http://schemas.openxmlformats.org/markup-compatibility/2006">
      <mc:Choice Requires="x14">
        <control shapeId="11274" r:id="rId4" name="Label1">
          <controlPr defaultSize="0" print="0" autoLine="0" r:id="rId5">
            <anchor moveWithCells="1">
              <from>
                <xdr:col>5</xdr:col>
                <xdr:colOff>457200</xdr:colOff>
                <xdr:row>2</xdr:row>
                <xdr:rowOff>152400</xdr:rowOff>
              </from>
              <to>
                <xdr:col>6</xdr:col>
                <xdr:colOff>476250</xdr:colOff>
                <xdr:row>3</xdr:row>
                <xdr:rowOff>209550</xdr:rowOff>
              </to>
            </anchor>
          </controlPr>
        </control>
      </mc:Choice>
      <mc:Fallback>
        <control shapeId="11274" r:id="rId4" name="Label1"/>
      </mc:Fallback>
    </mc:AlternateContent>
    <mc:AlternateContent xmlns:mc="http://schemas.openxmlformats.org/markup-compatibility/2006">
      <mc:Choice Requires="x14">
        <control shapeId="11275" r:id="rId6" name="txt_hyouji1">
          <controlPr locked="0" defaultSize="0" print="0" autoLine="0" r:id="rId7">
            <anchor moveWithCells="1">
              <from>
                <xdr:col>5</xdr:col>
                <xdr:colOff>457200</xdr:colOff>
                <xdr:row>3</xdr:row>
                <xdr:rowOff>209550</xdr:rowOff>
              </from>
              <to>
                <xdr:col>6</xdr:col>
                <xdr:colOff>476250</xdr:colOff>
                <xdr:row>4</xdr:row>
                <xdr:rowOff>85725</xdr:rowOff>
              </to>
            </anchor>
          </controlPr>
        </control>
      </mc:Choice>
      <mc:Fallback>
        <control shapeId="11275" r:id="rId6" name="txt_hyouji1"/>
      </mc:Fallback>
    </mc:AlternateContent>
    <mc:AlternateContent xmlns:mc="http://schemas.openxmlformats.org/markup-compatibility/2006">
      <mc:Choice Requires="x14">
        <control shapeId="11276" r:id="rId8" name="btnKoushin1">
          <controlPr defaultSize="0" print="0" autoLine="0" r:id="rId9">
            <anchor moveWithCells="1">
              <from>
                <xdr:col>6</xdr:col>
                <xdr:colOff>581025</xdr:colOff>
                <xdr:row>2</xdr:row>
                <xdr:rowOff>152400</xdr:rowOff>
              </from>
              <to>
                <xdr:col>8</xdr:col>
                <xdr:colOff>133350</xdr:colOff>
                <xdr:row>4</xdr:row>
                <xdr:rowOff>85725</xdr:rowOff>
              </to>
            </anchor>
          </controlPr>
        </control>
      </mc:Choice>
      <mc:Fallback>
        <control shapeId="11276" r:id="rId8" name="btnKoushin1"/>
      </mc:Fallback>
    </mc:AlternateContent>
    <mc:AlternateContent xmlns:mc="http://schemas.openxmlformats.org/markup-compatibility/2006">
      <mc:Choice Requires="x14">
        <control shapeId="11280" r:id="rId10" name="Label2">
          <controlPr defaultSize="0" print="0" autoLine="0" r:id="rId11">
            <anchor moveWithCells="1">
              <from>
                <xdr:col>10</xdr:col>
                <xdr:colOff>457200</xdr:colOff>
                <xdr:row>71</xdr:row>
                <xdr:rowOff>0</xdr:rowOff>
              </from>
              <to>
                <xdr:col>11</xdr:col>
                <xdr:colOff>476250</xdr:colOff>
                <xdr:row>71</xdr:row>
                <xdr:rowOff>209550</xdr:rowOff>
              </to>
            </anchor>
          </controlPr>
        </control>
      </mc:Choice>
      <mc:Fallback>
        <control shapeId="11280" r:id="rId10" name="Label2"/>
      </mc:Fallback>
    </mc:AlternateContent>
    <mc:AlternateContent xmlns:mc="http://schemas.openxmlformats.org/markup-compatibility/2006">
      <mc:Choice Requires="x14">
        <control shapeId="11281" r:id="rId12" name="txt_hyouji2">
          <controlPr locked="0" defaultSize="0" print="0" autoLine="0" r:id="rId13">
            <anchor moveWithCells="1">
              <from>
                <xdr:col>10</xdr:col>
                <xdr:colOff>457200</xdr:colOff>
                <xdr:row>71</xdr:row>
                <xdr:rowOff>209550</xdr:rowOff>
              </from>
              <to>
                <xdr:col>11</xdr:col>
                <xdr:colOff>476250</xdr:colOff>
                <xdr:row>72</xdr:row>
                <xdr:rowOff>76200</xdr:rowOff>
              </to>
            </anchor>
          </controlPr>
        </control>
      </mc:Choice>
      <mc:Fallback>
        <control shapeId="11281" r:id="rId12" name="txt_hyouji2"/>
      </mc:Fallback>
    </mc:AlternateContent>
    <mc:AlternateContent xmlns:mc="http://schemas.openxmlformats.org/markup-compatibility/2006">
      <mc:Choice Requires="x14">
        <control shapeId="11282" r:id="rId14" name="btnKoushin2">
          <controlPr defaultSize="0" print="0" autoLine="0" r:id="rId15">
            <anchor moveWithCells="1">
              <from>
                <xdr:col>11</xdr:col>
                <xdr:colOff>581025</xdr:colOff>
                <xdr:row>71</xdr:row>
                <xdr:rowOff>0</xdr:rowOff>
              </from>
              <to>
                <xdr:col>13</xdr:col>
                <xdr:colOff>133350</xdr:colOff>
                <xdr:row>72</xdr:row>
                <xdr:rowOff>76200</xdr:rowOff>
              </to>
            </anchor>
          </controlPr>
        </control>
      </mc:Choice>
      <mc:Fallback>
        <control shapeId="11282" r:id="rId14"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6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0B00-000007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L40"/>
  <sheetViews>
    <sheetView showGridLines="0" zoomScale="85" zoomScaleNormal="85" zoomScaleSheetLayoutView="80" workbookViewId="0">
      <selection activeCell="E14" sqref="E14"/>
    </sheetView>
  </sheetViews>
  <sheetFormatPr defaultColWidth="2.75" defaultRowHeight="14.25" customHeight="1" outlineLevelCol="1"/>
  <cols>
    <col min="1" max="2" width="2.75" style="88" customWidth="1"/>
    <col min="3" max="5" width="25.625" style="88" customWidth="1"/>
    <col min="6" max="6" width="12.625" style="88" customWidth="1"/>
    <col min="7" max="7" width="2.75" style="88" customWidth="1"/>
    <col min="8" max="8" width="2.75" style="88" outlineLevel="1"/>
    <col min="9" max="12" width="25.625" style="88" customWidth="1" outlineLevel="1"/>
    <col min="13" max="16384" width="2.75" style="88"/>
  </cols>
  <sheetData>
    <row r="1" spans="1:12" s="89" customFormat="1" ht="19.899999999999999" customHeight="1">
      <c r="A1" s="5"/>
      <c r="C1" s="308"/>
      <c r="D1" s="308"/>
      <c r="E1" s="308"/>
      <c r="F1" s="308"/>
      <c r="G1" s="308"/>
      <c r="I1" s="899" t="s">
        <v>400</v>
      </c>
    </row>
    <row r="2" spans="1:12" ht="19.899999999999999" customHeight="1">
      <c r="A2" s="5"/>
      <c r="B2" s="310" t="s">
        <v>141</v>
      </c>
      <c r="C2" s="308"/>
      <c r="D2" s="308"/>
      <c r="E2" s="308"/>
      <c r="F2" s="308"/>
      <c r="G2" s="308"/>
      <c r="H2" s="597"/>
    </row>
    <row r="3" spans="1:12" ht="14.25" customHeight="1">
      <c r="A3" s="5"/>
      <c r="B3" s="598"/>
      <c r="C3" s="598"/>
      <c r="D3" s="598"/>
      <c r="E3" s="598"/>
      <c r="F3" s="598"/>
      <c r="G3" s="598"/>
      <c r="H3" s="597"/>
    </row>
    <row r="4" spans="1:12" ht="14.25" customHeight="1">
      <c r="A4" s="5"/>
      <c r="B4" s="900" t="s">
        <v>781</v>
      </c>
      <c r="C4" s="598"/>
      <c r="D4" s="598"/>
      <c r="E4" s="598"/>
      <c r="F4" s="598"/>
      <c r="G4" s="598"/>
      <c r="H4" s="597"/>
    </row>
    <row r="5" spans="1:12" ht="14.25" customHeight="1">
      <c r="A5" s="5"/>
      <c r="B5" s="900" t="s">
        <v>782</v>
      </c>
      <c r="C5" s="308"/>
      <c r="D5" s="308"/>
      <c r="E5" s="5"/>
      <c r="F5" s="5"/>
      <c r="G5" s="5"/>
      <c r="H5" s="597"/>
      <c r="I5" s="314"/>
      <c r="J5" s="314"/>
      <c r="L5" s="314"/>
    </row>
    <row r="6" spans="1:12" ht="14.25" customHeight="1">
      <c r="A6" s="5"/>
      <c r="B6" s="900" t="s">
        <v>780</v>
      </c>
      <c r="C6" s="308"/>
      <c r="D6" s="308"/>
      <c r="E6" s="5"/>
      <c r="F6" s="5"/>
      <c r="G6" s="5"/>
      <c r="H6" s="597"/>
      <c r="I6" s="314"/>
      <c r="J6" s="314"/>
      <c r="L6" s="314"/>
    </row>
    <row r="7" spans="1:12" ht="14.25" customHeight="1">
      <c r="A7" s="5"/>
      <c r="B7" s="900"/>
      <c r="C7" s="308"/>
      <c r="D7" s="308"/>
      <c r="E7" s="5"/>
      <c r="F7" s="5"/>
      <c r="G7" s="5"/>
      <c r="H7" s="597"/>
      <c r="I7" s="314"/>
      <c r="J7" s="314"/>
      <c r="L7" s="314"/>
    </row>
    <row r="8" spans="1:12" ht="19.899999999999999" customHeight="1">
      <c r="A8" s="5"/>
      <c r="B8" s="310" t="s">
        <v>166</v>
      </c>
      <c r="C8" s="308"/>
      <c r="D8" s="313"/>
      <c r="E8" s="5"/>
      <c r="F8" s="5"/>
      <c r="G8" s="5"/>
      <c r="H8" s="597"/>
      <c r="I8" s="901" t="s">
        <v>751</v>
      </c>
      <c r="J8" s="314"/>
      <c r="L8" s="314"/>
    </row>
    <row r="9" spans="1:12" ht="14.25" customHeight="1" thickBot="1">
      <c r="A9" s="5"/>
      <c r="B9" s="673"/>
      <c r="C9" s="902"/>
      <c r="D9" s="673"/>
      <c r="E9" s="673"/>
      <c r="F9" s="673"/>
      <c r="G9" s="5"/>
      <c r="H9" s="597"/>
      <c r="L9" s="314"/>
    </row>
    <row r="10" spans="1:12" ht="14.25" customHeight="1">
      <c r="A10" s="5"/>
      <c r="B10" s="5"/>
      <c r="C10" s="1561" t="s">
        <v>58</v>
      </c>
      <c r="D10" s="2202" t="s">
        <v>148</v>
      </c>
      <c r="E10" s="1559" t="s">
        <v>371</v>
      </c>
      <c r="F10" s="1534" t="s">
        <v>750</v>
      </c>
      <c r="G10" s="5"/>
      <c r="H10" s="597"/>
      <c r="I10" s="2196" t="s">
        <v>58</v>
      </c>
      <c r="J10" s="2197" t="s">
        <v>857</v>
      </c>
      <c r="K10" s="2197" t="s">
        <v>858</v>
      </c>
      <c r="L10" s="2199" t="s">
        <v>338</v>
      </c>
    </row>
    <row r="11" spans="1:12" ht="14.25" customHeight="1">
      <c r="A11" s="5"/>
      <c r="B11" s="5"/>
      <c r="C11" s="1562"/>
      <c r="D11" s="2203"/>
      <c r="E11" s="1560"/>
      <c r="F11" s="2206"/>
      <c r="G11" s="5"/>
      <c r="H11" s="597"/>
      <c r="I11" s="2196"/>
      <c r="J11" s="2198"/>
      <c r="K11" s="2198"/>
      <c r="L11" s="2200"/>
    </row>
    <row r="12" spans="1:12" ht="14.25" customHeight="1">
      <c r="A12" s="5"/>
      <c r="B12" s="5"/>
      <c r="C12" s="1562"/>
      <c r="D12" s="2203"/>
      <c r="E12" s="1560"/>
      <c r="F12" s="2206"/>
      <c r="G12" s="5"/>
      <c r="H12" s="597"/>
      <c r="I12" s="2196"/>
      <c r="J12" s="2198"/>
      <c r="K12" s="2198"/>
      <c r="L12" s="2200"/>
    </row>
    <row r="13" spans="1:12" ht="14.25" customHeight="1" thickBot="1">
      <c r="A13" s="5"/>
      <c r="B13" s="5"/>
      <c r="C13" s="1661"/>
      <c r="D13" s="2204"/>
      <c r="E13" s="1717"/>
      <c r="F13" s="1535"/>
      <c r="G13" s="5"/>
      <c r="H13" s="597"/>
      <c r="I13" s="2196"/>
      <c r="J13" s="2198"/>
      <c r="K13" s="2198"/>
      <c r="L13" s="2207"/>
    </row>
    <row r="14" spans="1:12" ht="27" customHeight="1" thickTop="1" thickBot="1">
      <c r="A14" s="5"/>
      <c r="B14" s="5"/>
      <c r="C14" s="903" t="s">
        <v>29</v>
      </c>
      <c r="D14" s="272" t="s">
        <v>747</v>
      </c>
      <c r="E14" s="154"/>
      <c r="F14" s="274"/>
      <c r="G14" s="431"/>
      <c r="H14" s="597"/>
      <c r="I14" s="1108" t="s">
        <v>29</v>
      </c>
      <c r="J14" s="432" t="str">
        <f>IF(E14="","",ROUND(E14*F14%,0))</f>
        <v/>
      </c>
      <c r="K14" s="432" t="str">
        <f>IF(E14="","",ROUND(E14*(L14/10)*F14%,0))</f>
        <v/>
      </c>
      <c r="L14" s="1082"/>
    </row>
    <row r="15" spans="1:12" ht="27" customHeight="1" thickTop="1" thickBot="1">
      <c r="A15" s="5"/>
      <c r="B15" s="5"/>
      <c r="C15" s="904" t="s">
        <v>101</v>
      </c>
      <c r="D15" s="271" t="s">
        <v>748</v>
      </c>
      <c r="E15" s="909"/>
      <c r="F15" s="910"/>
      <c r="G15" s="431"/>
      <c r="H15" s="597"/>
      <c r="I15" s="1108" t="s">
        <v>101</v>
      </c>
      <c r="J15" s="432" t="str">
        <f>IF(E15="","",ROUND(E15*F15%,0))</f>
        <v/>
      </c>
      <c r="K15" s="432" t="str">
        <f>IF(E15="","",ROUND(E15*(L15/10)*F15%,0))</f>
        <v/>
      </c>
      <c r="L15" s="1083"/>
    </row>
    <row r="16" spans="1:12" ht="27" customHeight="1" thickTop="1" thickBot="1">
      <c r="A16" s="5"/>
      <c r="B16" s="5"/>
      <c r="C16" s="905" t="s">
        <v>175</v>
      </c>
      <c r="D16" s="271" t="s">
        <v>749</v>
      </c>
      <c r="E16" s="909"/>
      <c r="F16" s="910"/>
      <c r="G16" s="431"/>
      <c r="H16" s="597"/>
      <c r="I16" s="906" t="s">
        <v>175</v>
      </c>
      <c r="J16" s="432" t="str">
        <f>IF(E16="","",ROUND(E16*F16%,0))</f>
        <v/>
      </c>
      <c r="K16" s="432" t="str">
        <f>IF(E16="","",ROUND(E16*(L16/10)*F16%,0))</f>
        <v/>
      </c>
      <c r="L16" s="1083"/>
    </row>
    <row r="17" spans="1:12" ht="27" customHeight="1" thickTop="1" thickBot="1">
      <c r="A17" s="5"/>
      <c r="B17" s="5"/>
      <c r="C17" s="907" t="s">
        <v>30</v>
      </c>
      <c r="D17" s="273" t="s">
        <v>147</v>
      </c>
      <c r="E17" s="110"/>
      <c r="F17" s="580"/>
      <c r="G17" s="431"/>
      <c r="H17" s="597"/>
      <c r="I17" s="1108" t="s">
        <v>30</v>
      </c>
      <c r="J17" s="432" t="str">
        <f>IF(E17="","",ROUND(E17*F17%,0))</f>
        <v/>
      </c>
      <c r="K17" s="432" t="str">
        <f>IF(E17="","",ROUND(E17*(L17/10)*F17%,0))</f>
        <v/>
      </c>
      <c r="L17" s="1084"/>
    </row>
    <row r="18" spans="1:12" ht="14.25" customHeight="1">
      <c r="A18" s="5"/>
      <c r="B18" s="5"/>
      <c r="C18" s="18"/>
      <c r="D18" s="5"/>
      <c r="E18" s="5"/>
      <c r="F18" s="5"/>
      <c r="G18" s="5"/>
      <c r="H18" s="597"/>
      <c r="J18" s="908"/>
      <c r="K18" s="908"/>
      <c r="L18" s="908"/>
    </row>
    <row r="19" spans="1:12" ht="21.75" customHeight="1">
      <c r="A19" s="5"/>
      <c r="B19" s="5"/>
      <c r="C19" s="18"/>
      <c r="D19" s="5"/>
      <c r="E19" s="5"/>
      <c r="F19" s="5"/>
      <c r="G19" s="5"/>
      <c r="H19" s="597"/>
    </row>
    <row r="20" spans="1:12" ht="30" customHeight="1">
      <c r="A20" s="5"/>
      <c r="B20" s="5"/>
      <c r="C20" s="18"/>
      <c r="D20" s="5"/>
      <c r="E20" s="5"/>
      <c r="F20" s="5"/>
      <c r="G20" s="5"/>
      <c r="H20" s="597"/>
    </row>
    <row r="21" spans="1:12" ht="30" customHeight="1">
      <c r="A21" s="5"/>
      <c r="B21" s="5"/>
      <c r="C21" s="5"/>
      <c r="D21" s="5"/>
      <c r="E21" s="5"/>
      <c r="F21" s="5"/>
      <c r="G21" s="5"/>
      <c r="H21" s="597"/>
    </row>
    <row r="22" spans="1:12" ht="19.899999999999999" customHeight="1">
      <c r="B22" s="310" t="s">
        <v>167</v>
      </c>
      <c r="H22" s="597"/>
      <c r="I22" s="901" t="s">
        <v>752</v>
      </c>
    </row>
    <row r="23" spans="1:12" ht="14.25" customHeight="1" thickBot="1">
      <c r="H23" s="597"/>
    </row>
    <row r="24" spans="1:12" ht="15" customHeight="1">
      <c r="C24" s="1561" t="s">
        <v>58</v>
      </c>
      <c r="D24" s="1559" t="s">
        <v>371</v>
      </c>
      <c r="E24" s="1667" t="s">
        <v>31</v>
      </c>
      <c r="F24" s="1534" t="s">
        <v>750</v>
      </c>
      <c r="H24" s="597"/>
      <c r="I24" s="2196" t="s">
        <v>58</v>
      </c>
      <c r="J24" s="2197" t="s">
        <v>857</v>
      </c>
      <c r="K24" s="2199" t="s">
        <v>859</v>
      </c>
    </row>
    <row r="25" spans="1:12" ht="15" customHeight="1">
      <c r="C25" s="1562"/>
      <c r="D25" s="1560"/>
      <c r="E25" s="2205"/>
      <c r="F25" s="2206"/>
      <c r="H25" s="597"/>
      <c r="I25" s="2196"/>
      <c r="J25" s="2198"/>
      <c r="K25" s="2200"/>
    </row>
    <row r="26" spans="1:12" ht="15" customHeight="1">
      <c r="C26" s="1562"/>
      <c r="D26" s="1560"/>
      <c r="E26" s="2205"/>
      <c r="F26" s="2206"/>
      <c r="H26" s="597"/>
      <c r="I26" s="2196"/>
      <c r="J26" s="2198"/>
      <c r="K26" s="2200"/>
    </row>
    <row r="27" spans="1:12" ht="15" customHeight="1" thickBot="1">
      <c r="C27" s="1661"/>
      <c r="D27" s="1717"/>
      <c r="E27" s="1668"/>
      <c r="F27" s="1535"/>
      <c r="H27" s="597"/>
      <c r="I27" s="2196"/>
      <c r="J27" s="2198"/>
      <c r="K27" s="2201"/>
    </row>
    <row r="28" spans="1:12" ht="27" customHeight="1" thickTop="1" thickBot="1">
      <c r="C28" s="903" t="s">
        <v>29</v>
      </c>
      <c r="D28" s="115"/>
      <c r="E28" s="911"/>
      <c r="F28" s="275"/>
      <c r="H28" s="597"/>
      <c r="I28" s="1108" t="s">
        <v>29</v>
      </c>
      <c r="J28" s="432" t="str">
        <f>IF(D28="","",ROUND(D28*F28%,0))</f>
        <v/>
      </c>
      <c r="K28" s="432" t="str">
        <f>IF(E28="","",ROUND(E28*F28%,0))</f>
        <v/>
      </c>
    </row>
    <row r="29" spans="1:12" ht="27" customHeight="1" thickTop="1" thickBot="1">
      <c r="C29" s="904" t="s">
        <v>101</v>
      </c>
      <c r="D29" s="234"/>
      <c r="E29" s="912"/>
      <c r="F29" s="573"/>
      <c r="H29" s="597"/>
      <c r="I29" s="1108" t="s">
        <v>101</v>
      </c>
      <c r="J29" s="432" t="str">
        <f>IF(D29="","",ROUND(D29*F29%,0))</f>
        <v/>
      </c>
      <c r="K29" s="432" t="str">
        <f>IF(E29="","",ROUND(E29*F29%,0))</f>
        <v/>
      </c>
    </row>
    <row r="30" spans="1:12" ht="27" customHeight="1" thickTop="1" thickBot="1">
      <c r="C30" s="905" t="s">
        <v>175</v>
      </c>
      <c r="D30" s="234"/>
      <c r="E30" s="912"/>
      <c r="F30" s="573"/>
      <c r="H30" s="597"/>
      <c r="I30" s="906" t="s">
        <v>175</v>
      </c>
      <c r="J30" s="432" t="str">
        <f>IF(D30="","",ROUND(D30*F30%,0))</f>
        <v/>
      </c>
      <c r="K30" s="432" t="str">
        <f>IF(E30="","",ROUND(E30*F30%,0))</f>
        <v/>
      </c>
    </row>
    <row r="31" spans="1:12" ht="27" customHeight="1" thickTop="1" thickBot="1">
      <c r="C31" s="907" t="s">
        <v>30</v>
      </c>
      <c r="D31" s="913"/>
      <c r="E31" s="914"/>
      <c r="F31" s="580"/>
      <c r="H31" s="597"/>
      <c r="I31" s="1108" t="s">
        <v>30</v>
      </c>
      <c r="J31" s="432" t="str">
        <f>IF(D31="","",ROUND(D31*F31%,0))</f>
        <v/>
      </c>
      <c r="K31" s="432" t="str">
        <f>IF(E31="","",ROUND(E31*F31%,0))</f>
        <v/>
      </c>
    </row>
    <row r="32" spans="1:12" ht="19.899999999999999" customHeight="1">
      <c r="H32" s="597"/>
    </row>
    <row r="33" spans="8:11" ht="19.899999999999999" customHeight="1">
      <c r="H33" s="597"/>
      <c r="I33" s="901" t="s">
        <v>768</v>
      </c>
    </row>
    <row r="34" spans="8:11" ht="15" customHeight="1">
      <c r="H34" s="597"/>
      <c r="I34" s="2196" t="s">
        <v>58</v>
      </c>
      <c r="J34" s="2197" t="s">
        <v>505</v>
      </c>
      <c r="K34" s="2199" t="s">
        <v>506</v>
      </c>
    </row>
    <row r="35" spans="8:11" ht="15" customHeight="1">
      <c r="H35" s="597"/>
      <c r="I35" s="2196"/>
      <c r="J35" s="2198"/>
      <c r="K35" s="2200"/>
    </row>
    <row r="36" spans="8:11" ht="15" customHeight="1">
      <c r="H36" s="597"/>
      <c r="I36" s="2196"/>
      <c r="J36" s="2198"/>
      <c r="K36" s="2200"/>
    </row>
    <row r="37" spans="8:11" ht="15" customHeight="1" thickBot="1">
      <c r="H37" s="597"/>
      <c r="I37" s="2196"/>
      <c r="J37" s="2198"/>
      <c r="K37" s="2201"/>
    </row>
    <row r="38" spans="8:11" ht="27" customHeight="1" thickTop="1" thickBot="1">
      <c r="H38" s="597"/>
      <c r="I38" s="1108" t="s">
        <v>769</v>
      </c>
      <c r="J38" s="432" t="str">
        <f>IF(AND(E14="",E15=""),"",SUM(E14:E15))</f>
        <v/>
      </c>
      <c r="K38" s="432" t="str">
        <f>IF(AND(D28="",D29=""),"",SUM(D28:D29))</f>
        <v/>
      </c>
    </row>
    <row r="39" spans="8:11" ht="27" customHeight="1" thickTop="1" thickBot="1">
      <c r="H39" s="597"/>
      <c r="I39" s="1108" t="s">
        <v>30</v>
      </c>
      <c r="J39" s="432" t="str">
        <f>IF(E17="","",E17)</f>
        <v/>
      </c>
      <c r="K39" s="432" t="str">
        <f>IF(D31="","",D31)</f>
        <v/>
      </c>
    </row>
    <row r="40" spans="8:11" ht="14.25" customHeight="1" thickTop="1">
      <c r="H40" s="597"/>
    </row>
  </sheetData>
  <sheetProtection sheet="1" objects="1" scenarios="1" selectLockedCells="1"/>
  <mergeCells count="18">
    <mergeCell ref="L10:L13"/>
    <mergeCell ref="I24:I27"/>
    <mergeCell ref="J24:J27"/>
    <mergeCell ref="K24:K27"/>
    <mergeCell ref="I10:I13"/>
    <mergeCell ref="I34:I37"/>
    <mergeCell ref="J34:J37"/>
    <mergeCell ref="K34:K37"/>
    <mergeCell ref="C10:C13"/>
    <mergeCell ref="D10:D13"/>
    <mergeCell ref="E10:E13"/>
    <mergeCell ref="C24:C27"/>
    <mergeCell ref="D24:D27"/>
    <mergeCell ref="E24:E27"/>
    <mergeCell ref="F10:F13"/>
    <mergeCell ref="F24:F27"/>
    <mergeCell ref="J10:J13"/>
    <mergeCell ref="K10:K13"/>
  </mergeCells>
  <phoneticPr fontId="3"/>
  <dataValidations count="2">
    <dataValidation type="whole" operator="greaterThan" allowBlank="1" showInputMessage="1" showErrorMessage="1" error="整数を入力してください。" sqref="E14:E17 L14:L17 D28:E31" xr:uid="{00000000-0002-0000-0C00-000000000000}">
      <formula1>0</formula1>
    </dataValidation>
    <dataValidation type="whole" allowBlank="1" showInputMessage="1" showErrorMessage="1" error="1～100の値を入力してください。" sqref="F14:F17 F28:F31" xr:uid="{00000000-0002-0000-0C00-000001000000}">
      <formula1>1</formula1>
      <formula2>100</formula2>
    </dataValidation>
  </dataValidations>
  <printOptions horizontalCentered="1" verticalCentered="1"/>
  <pageMargins left="0" right="0" top="0" bottom="0" header="0" footer="0.19685039370078741"/>
  <pageSetup paperSize="9" scale="72" fitToWidth="0" fitToHeight="0" orientation="landscape" cellComments="asDisplayed" r:id="rId1"/>
  <headerFooter scaleWithDoc="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BX203"/>
  <sheetViews>
    <sheetView topLeftCell="AU1" zoomScale="80" zoomScaleNormal="80" workbookViewId="0">
      <selection activeCell="BB1" sqref="BB1"/>
    </sheetView>
  </sheetViews>
  <sheetFormatPr defaultColWidth="9" defaultRowHeight="13.5"/>
  <cols>
    <col min="1" max="1" width="9" style="1249"/>
    <col min="2" max="2" width="30.625" style="1249" customWidth="1"/>
    <col min="3" max="3" width="4.25" style="1249" customWidth="1"/>
    <col min="4" max="4" width="4.5" style="1249" customWidth="1"/>
    <col min="5" max="5" width="30.625" style="1249" customWidth="1"/>
    <col min="6" max="6" width="4.25" style="1249" customWidth="1"/>
    <col min="7" max="7" width="29.375" style="1249" bestFit="1" customWidth="1"/>
    <col min="8" max="8" width="30.625" style="1249" customWidth="1"/>
    <col min="9" max="9" width="4.25" style="1249" customWidth="1"/>
    <col min="10" max="10" width="30.625" style="1249" customWidth="1"/>
    <col min="11" max="11" width="4.25" style="1249" customWidth="1"/>
    <col min="12" max="12" width="30.625" style="1249" customWidth="1"/>
    <col min="13" max="13" width="4.25" style="1249" customWidth="1"/>
    <col min="14" max="14" width="30.625" style="1249" customWidth="1"/>
    <col min="15" max="15" width="4.25" style="1249" customWidth="1"/>
    <col min="16" max="16" width="8.5" style="1249" customWidth="1"/>
    <col min="17" max="17" width="30.625" style="1249" customWidth="1"/>
    <col min="18" max="18" width="4.25" style="1249" customWidth="1"/>
    <col min="19" max="19" width="30.625" style="1249" customWidth="1"/>
    <col min="20" max="20" width="4.25" style="1249" customWidth="1"/>
    <col min="21" max="21" width="30.625" style="1249" customWidth="1"/>
    <col min="22" max="22" width="4.25" style="1249" customWidth="1"/>
    <col min="23" max="23" width="30.625" style="1249" customWidth="1"/>
    <col min="24" max="24" width="4.125" style="73" customWidth="1"/>
    <col min="25" max="25" width="9" style="1249" customWidth="1"/>
    <col min="26" max="26" width="30.625" style="1249" customWidth="1"/>
    <col min="27" max="27" width="4.25" style="1249" customWidth="1"/>
    <col min="28" max="28" width="30.625" style="1249" customWidth="1"/>
    <col min="29" max="29" width="4.25" style="1256" customWidth="1"/>
    <col min="30" max="30" width="30.625" style="1249" customWidth="1"/>
    <col min="31" max="31" width="4.25" style="1249" customWidth="1"/>
    <col min="32" max="32" width="2.75" style="1249" customWidth="1"/>
    <col min="33" max="33" width="27.75" style="1249" customWidth="1"/>
    <col min="34" max="34" width="4.25" style="1249" customWidth="1"/>
    <col min="35" max="35" width="2.75" style="1249" customWidth="1"/>
    <col min="36" max="36" width="27.75" style="1249" customWidth="1"/>
    <col min="37" max="37" width="4.25" style="1249" customWidth="1"/>
    <col min="38" max="38" width="2.75" style="1249" customWidth="1"/>
    <col min="39" max="39" width="27.75" style="1249" customWidth="1"/>
    <col min="40" max="40" width="4.25" style="1249" customWidth="1"/>
    <col min="41" max="41" width="4" style="1249" customWidth="1"/>
    <col min="42" max="42" width="2.75" style="1249" customWidth="1"/>
    <col min="43" max="43" width="27.75" style="1249" customWidth="1"/>
    <col min="44" max="44" width="4.25" style="1249" customWidth="1"/>
    <col min="45" max="45" width="2.75" style="1249" customWidth="1"/>
    <col min="46" max="46" width="27.75" style="1249" customWidth="1"/>
    <col min="47" max="47" width="4.25" style="1249" customWidth="1"/>
    <col min="48" max="48" width="30.625" style="1249" customWidth="1"/>
    <col min="49" max="49" width="4" style="1249" customWidth="1"/>
    <col min="50" max="50" width="30.625" style="1249" customWidth="1"/>
    <col min="51" max="51" width="4" style="1249" customWidth="1"/>
    <col min="52" max="52" width="30.625" style="1249" customWidth="1"/>
    <col min="53" max="53" width="4" style="1249" customWidth="1"/>
    <col min="54" max="54" width="14.75" style="1311" customWidth="1"/>
    <col min="55" max="55" width="10.125" style="73" bestFit="1" customWidth="1"/>
    <col min="56" max="56" width="6.5" style="73" bestFit="1" customWidth="1"/>
    <col min="57" max="57" width="9.375" style="1311" bestFit="1" customWidth="1"/>
    <col min="58" max="58" width="4.75" style="1261" customWidth="1"/>
    <col min="59" max="59" width="8.875" style="1261"/>
    <col min="60" max="60" width="9" style="1249"/>
    <col min="61" max="61" width="6.5" style="1249" bestFit="1" customWidth="1"/>
    <col min="62" max="62" width="9.375" style="1249" bestFit="1" customWidth="1"/>
    <col min="63" max="63" width="9" style="1249"/>
    <col min="64" max="64" width="16.25" style="1249" customWidth="1"/>
    <col min="65" max="65" width="10.5" style="1249" bestFit="1" customWidth="1"/>
    <col min="66" max="66" width="6.5" style="1249" bestFit="1" customWidth="1"/>
    <col min="67" max="68" width="9" style="1249"/>
    <col min="69" max="69" width="11.625" style="1249" bestFit="1" customWidth="1"/>
    <col min="70" max="70" width="20.5" style="1249" bestFit="1" customWidth="1"/>
    <col min="71" max="71" width="7.5" style="1249" bestFit="1" customWidth="1"/>
    <col min="72" max="16384" width="9" style="1249"/>
  </cols>
  <sheetData>
    <row r="1" spans="1:76" s="1239" customFormat="1" ht="22.7" customHeight="1">
      <c r="A1" s="1239" t="s">
        <v>209</v>
      </c>
      <c r="B1" s="1239" t="s">
        <v>210</v>
      </c>
      <c r="D1" s="2212" t="s">
        <v>302</v>
      </c>
      <c r="E1" s="2212"/>
      <c r="G1" s="2212" t="s">
        <v>302</v>
      </c>
      <c r="H1" s="2212"/>
      <c r="J1" s="1239" t="s">
        <v>302</v>
      </c>
      <c r="L1" s="1239" t="s">
        <v>302</v>
      </c>
      <c r="N1" s="1239" t="s">
        <v>303</v>
      </c>
      <c r="P1" s="2212" t="s">
        <v>303</v>
      </c>
      <c r="Q1" s="2212"/>
      <c r="S1" s="1239" t="s">
        <v>303</v>
      </c>
      <c r="U1" s="1239" t="s">
        <v>303</v>
      </c>
      <c r="W1" s="1239" t="s">
        <v>304</v>
      </c>
      <c r="X1" s="69"/>
      <c r="Y1" s="2212" t="s">
        <v>304</v>
      </c>
      <c r="Z1" s="2212"/>
      <c r="AB1" s="1239" t="s">
        <v>304</v>
      </c>
      <c r="AC1" s="1240"/>
      <c r="AD1" s="1239" t="s">
        <v>304</v>
      </c>
      <c r="AF1" s="2224" t="s">
        <v>307</v>
      </c>
      <c r="AG1" s="2224"/>
      <c r="AI1" s="2224" t="s">
        <v>307</v>
      </c>
      <c r="AJ1" s="2224"/>
      <c r="AL1" s="2224" t="s">
        <v>307</v>
      </c>
      <c r="AM1" s="2224"/>
      <c r="AO1" s="2224" t="s">
        <v>307</v>
      </c>
      <c r="AP1" s="2224"/>
      <c r="AQ1" s="2224"/>
      <c r="AS1" s="2224" t="s">
        <v>307</v>
      </c>
      <c r="AT1" s="2224"/>
      <c r="AV1" s="1239" t="s">
        <v>330</v>
      </c>
      <c r="AX1" s="1239" t="s">
        <v>330</v>
      </c>
      <c r="AZ1" s="1239" t="s">
        <v>330</v>
      </c>
      <c r="BB1" s="1312" t="s">
        <v>310</v>
      </c>
      <c r="BC1" s="1312"/>
      <c r="BD1" s="1313"/>
      <c r="BE1" s="1312"/>
      <c r="BF1" s="1241"/>
      <c r="BG1" s="1240" t="s">
        <v>310</v>
      </c>
      <c r="BH1" s="1241"/>
      <c r="BI1" s="1241"/>
      <c r="BJ1" s="1241"/>
      <c r="BL1" s="1240" t="s">
        <v>310</v>
      </c>
      <c r="BQ1" s="1240" t="s">
        <v>310</v>
      </c>
      <c r="BW1" s="1239" t="s">
        <v>478</v>
      </c>
    </row>
    <row r="2" spans="1:76" s="1239" customFormat="1" ht="22.7" customHeight="1">
      <c r="A2" s="1239" t="s">
        <v>211</v>
      </c>
      <c r="B2" s="1239" t="s">
        <v>212</v>
      </c>
      <c r="D2" s="2212" t="s">
        <v>183</v>
      </c>
      <c r="E2" s="2212"/>
      <c r="G2" s="2212" t="s">
        <v>183</v>
      </c>
      <c r="H2" s="2212"/>
      <c r="J2" s="1239" t="s">
        <v>183</v>
      </c>
      <c r="L2" s="1239" t="s">
        <v>183</v>
      </c>
      <c r="N2" s="1239" t="s">
        <v>125</v>
      </c>
      <c r="P2" s="2212" t="s">
        <v>125</v>
      </c>
      <c r="Q2" s="2212"/>
      <c r="S2" s="1239" t="s">
        <v>125</v>
      </c>
      <c r="U2" s="1239" t="s">
        <v>125</v>
      </c>
      <c r="W2" s="1239" t="s">
        <v>133</v>
      </c>
      <c r="X2" s="69"/>
      <c r="Y2" s="2212" t="s">
        <v>133</v>
      </c>
      <c r="Z2" s="2212"/>
      <c r="AB2" s="1239" t="s">
        <v>133</v>
      </c>
      <c r="AC2" s="1240"/>
      <c r="AD2" s="1239" t="s">
        <v>133</v>
      </c>
      <c r="AF2" s="2224" t="s">
        <v>305</v>
      </c>
      <c r="AG2" s="2224"/>
      <c r="AI2" s="2224" t="s">
        <v>305</v>
      </c>
      <c r="AJ2" s="2224"/>
      <c r="AL2" s="2224" t="s">
        <v>305</v>
      </c>
      <c r="AM2" s="2224"/>
      <c r="AO2" s="2224" t="s">
        <v>305</v>
      </c>
      <c r="AP2" s="2224"/>
      <c r="AQ2" s="2224"/>
      <c r="AS2" s="2224" t="s">
        <v>305</v>
      </c>
      <c r="AT2" s="2224"/>
      <c r="AV2" s="1239" t="s">
        <v>140</v>
      </c>
      <c r="AX2" s="1239" t="s">
        <v>140</v>
      </c>
      <c r="AZ2" s="1239" t="s">
        <v>140</v>
      </c>
      <c r="BB2" s="1312" t="s">
        <v>413</v>
      </c>
      <c r="BC2" s="1312"/>
      <c r="BD2" s="1313"/>
      <c r="BE2" s="1312"/>
      <c r="BF2" s="1241"/>
      <c r="BG2" s="1240" t="s">
        <v>427</v>
      </c>
      <c r="BH2" s="1241"/>
      <c r="BI2" s="1241"/>
      <c r="BJ2" s="1241"/>
      <c r="BL2" s="1240" t="s">
        <v>449</v>
      </c>
      <c r="BQ2" s="1240" t="s">
        <v>450</v>
      </c>
    </row>
    <row r="3" spans="1:76" s="1239" customFormat="1" ht="22.7" customHeight="1">
      <c r="B3" s="1239" t="s">
        <v>213</v>
      </c>
      <c r="X3" s="69"/>
      <c r="AC3" s="1240"/>
      <c r="AV3" s="1239" t="s">
        <v>214</v>
      </c>
      <c r="AX3" s="1239" t="s">
        <v>331</v>
      </c>
      <c r="AZ3" s="1239" t="s">
        <v>335</v>
      </c>
      <c r="BB3" s="1314"/>
      <c r="BC3" s="1312"/>
      <c r="BD3" s="1315"/>
      <c r="BE3" s="1314"/>
      <c r="BF3" s="1241"/>
      <c r="BG3" s="1241"/>
      <c r="BH3" s="1241"/>
      <c r="BI3" s="1241"/>
      <c r="BJ3" s="1241"/>
    </row>
    <row r="4" spans="1:76" s="1244" customFormat="1" ht="45" customHeight="1">
      <c r="A4" s="1242" t="s">
        <v>215</v>
      </c>
      <c r="B4" s="1243" t="s">
        <v>216</v>
      </c>
      <c r="D4" s="2208" t="s">
        <v>217</v>
      </c>
      <c r="E4" s="2208"/>
      <c r="G4" s="2208" t="s">
        <v>155</v>
      </c>
      <c r="H4" s="2208"/>
      <c r="J4" s="1243" t="s">
        <v>218</v>
      </c>
      <c r="L4" s="1243" t="s">
        <v>123</v>
      </c>
      <c r="N4" s="1243" t="s">
        <v>219</v>
      </c>
      <c r="O4" s="70"/>
      <c r="P4" s="2208" t="s">
        <v>220</v>
      </c>
      <c r="Q4" s="2208"/>
      <c r="S4" s="1243" t="s">
        <v>221</v>
      </c>
      <c r="U4" s="1243" t="s">
        <v>123</v>
      </c>
      <c r="W4" s="1243" t="s">
        <v>219</v>
      </c>
      <c r="X4" s="71"/>
      <c r="Y4" s="2208" t="s">
        <v>220</v>
      </c>
      <c r="Z4" s="2208"/>
      <c r="AA4" s="71"/>
      <c r="AB4" s="1243" t="s">
        <v>221</v>
      </c>
      <c r="AC4" s="1245"/>
      <c r="AD4" s="1243" t="s">
        <v>123</v>
      </c>
      <c r="AF4" s="2225" t="s">
        <v>306</v>
      </c>
      <c r="AG4" s="2225"/>
      <c r="AI4" s="2225" t="s">
        <v>308</v>
      </c>
      <c r="AJ4" s="2225"/>
      <c r="AL4" s="2225" t="s">
        <v>78</v>
      </c>
      <c r="AM4" s="2225"/>
      <c r="AO4" s="2225" t="s">
        <v>451</v>
      </c>
      <c r="AP4" s="2225"/>
      <c r="AQ4" s="2225"/>
      <c r="AS4" s="2225" t="s">
        <v>490</v>
      </c>
      <c r="AT4" s="2225"/>
      <c r="AV4" s="1243" t="s">
        <v>222</v>
      </c>
      <c r="AX4" s="1243" t="s">
        <v>331</v>
      </c>
      <c r="AZ4" s="1243" t="s">
        <v>372</v>
      </c>
      <c r="BB4" s="1316"/>
      <c r="BC4" s="1316"/>
      <c r="BD4" s="1301" t="s">
        <v>311</v>
      </c>
      <c r="BE4" s="1302" t="s">
        <v>310</v>
      </c>
      <c r="BF4" s="1247"/>
      <c r="BG4" s="2234"/>
      <c r="BH4" s="2234"/>
      <c r="BI4" s="1246" t="s">
        <v>311</v>
      </c>
      <c r="BJ4" s="1246" t="s">
        <v>310</v>
      </c>
      <c r="BL4" s="2233"/>
      <c r="BM4" s="2233"/>
      <c r="BN4" s="1246" t="s">
        <v>311</v>
      </c>
      <c r="BO4" s="1246" t="s">
        <v>310</v>
      </c>
      <c r="BQ4" s="2232"/>
      <c r="BR4" s="2232"/>
      <c r="BS4" s="2232"/>
      <c r="BT4" s="1246" t="s">
        <v>311</v>
      </c>
      <c r="BU4" s="1246" t="s">
        <v>310</v>
      </c>
      <c r="BW4" s="1248" t="s">
        <v>476</v>
      </c>
      <c r="BX4" s="1248" t="s">
        <v>477</v>
      </c>
    </row>
    <row r="5" spans="1:76" ht="27.4" customHeight="1">
      <c r="B5" s="1250" t="s">
        <v>595</v>
      </c>
      <c r="D5" s="2218" t="s">
        <v>223</v>
      </c>
      <c r="E5" s="1251" t="s">
        <v>867</v>
      </c>
      <c r="G5" s="2213" t="s">
        <v>868</v>
      </c>
      <c r="H5" s="1252" t="s">
        <v>414</v>
      </c>
      <c r="J5" s="1253" t="s">
        <v>224</v>
      </c>
      <c r="L5" s="1254" t="s">
        <v>225</v>
      </c>
      <c r="M5" s="1255"/>
      <c r="N5" s="1253" t="s">
        <v>226</v>
      </c>
      <c r="P5" s="2209" t="s">
        <v>227</v>
      </c>
      <c r="Q5" s="72" t="s">
        <v>228</v>
      </c>
      <c r="S5" s="1253" t="s">
        <v>229</v>
      </c>
      <c r="U5" s="1253" t="s">
        <v>230</v>
      </c>
      <c r="W5" s="1253" t="s">
        <v>263</v>
      </c>
      <c r="Y5" s="2229" t="s">
        <v>248</v>
      </c>
      <c r="Z5" s="79" t="s">
        <v>484</v>
      </c>
      <c r="AB5" s="1253" t="s">
        <v>229</v>
      </c>
      <c r="AD5" s="1253" t="s">
        <v>230</v>
      </c>
      <c r="AF5" s="1257">
        <v>1</v>
      </c>
      <c r="AG5" s="1258" t="s">
        <v>378</v>
      </c>
      <c r="AI5" s="1257">
        <v>1</v>
      </c>
      <c r="AJ5" s="1258" t="s">
        <v>380</v>
      </c>
      <c r="AL5" s="1257">
        <v>1</v>
      </c>
      <c r="AM5" s="1258" t="s">
        <v>312</v>
      </c>
      <c r="AO5" s="2226" t="s">
        <v>453</v>
      </c>
      <c r="AP5" s="1259">
        <v>1</v>
      </c>
      <c r="AQ5" s="1260" t="s">
        <v>313</v>
      </c>
      <c r="AS5" s="1257">
        <v>1</v>
      </c>
      <c r="AT5" s="1258" t="s">
        <v>326</v>
      </c>
      <c r="AV5" s="1253" t="s">
        <v>231</v>
      </c>
      <c r="AX5" s="1253" t="s">
        <v>332</v>
      </c>
      <c r="AZ5" s="1254" t="s">
        <v>404</v>
      </c>
      <c r="BB5" s="1317" t="s">
        <v>899</v>
      </c>
      <c r="BC5" s="1305" t="s">
        <v>414</v>
      </c>
      <c r="BD5" s="1303" t="str">
        <f>LEFT(BB5,3)&amp;MID(BC5,2,2)</f>
        <v>[011]</v>
      </c>
      <c r="BE5" s="1299">
        <v>22</v>
      </c>
      <c r="BG5" s="2235" t="s">
        <v>227</v>
      </c>
      <c r="BH5" s="101" t="s">
        <v>228</v>
      </c>
      <c r="BI5" s="100" t="s">
        <v>428</v>
      </c>
      <c r="BJ5" s="1262">
        <v>4</v>
      </c>
      <c r="BL5" s="1263" t="s">
        <v>263</v>
      </c>
      <c r="BM5" s="1264" t="s">
        <v>434</v>
      </c>
      <c r="BN5" s="1265" t="str">
        <f t="shared" ref="BN5:BN41" si="0">LEFT(BL5,3)&amp;MID(BM5,2,2)</f>
        <v>[056]</v>
      </c>
      <c r="BO5" s="1265">
        <v>7</v>
      </c>
      <c r="BQ5" s="1264" t="s">
        <v>458</v>
      </c>
      <c r="BR5" s="1264" t="s">
        <v>459</v>
      </c>
      <c r="BS5" s="1264" t="s">
        <v>468</v>
      </c>
      <c r="BT5" s="1265" t="str">
        <f>LEFT(BQ5,3)&amp;MID(BR5,2,2)&amp;MID(BS5,2,3)</f>
        <v>[020101]</v>
      </c>
      <c r="BU5" s="1265">
        <v>4</v>
      </c>
      <c r="BW5" s="1264">
        <v>1</v>
      </c>
      <c r="BX5" s="1264">
        <v>1</v>
      </c>
    </row>
    <row r="6" spans="1:76" ht="27.4" customHeight="1">
      <c r="B6" s="1266" t="s">
        <v>596</v>
      </c>
      <c r="D6" s="2219"/>
      <c r="E6" s="1267" t="s">
        <v>232</v>
      </c>
      <c r="G6" s="2214"/>
      <c r="H6" s="1268" t="s">
        <v>415</v>
      </c>
      <c r="J6" s="1269" t="s">
        <v>233</v>
      </c>
      <c r="L6" s="1270" t="s">
        <v>234</v>
      </c>
      <c r="M6" s="1255"/>
      <c r="N6" s="1269" t="s">
        <v>235</v>
      </c>
      <c r="P6" s="2210"/>
      <c r="Q6" s="74" t="s">
        <v>236</v>
      </c>
      <c r="S6" s="1269" t="s">
        <v>233</v>
      </c>
      <c r="U6" s="1269" t="s">
        <v>237</v>
      </c>
      <c r="W6" s="1270" t="s">
        <v>266</v>
      </c>
      <c r="Y6" s="2230"/>
      <c r="Z6" s="76" t="s">
        <v>485</v>
      </c>
      <c r="AB6" s="1269" t="s">
        <v>233</v>
      </c>
      <c r="AD6" s="1269" t="s">
        <v>237</v>
      </c>
      <c r="AF6" s="1271">
        <v>2</v>
      </c>
      <c r="AG6" s="1272" t="s">
        <v>379</v>
      </c>
      <c r="AI6" s="1271">
        <v>2</v>
      </c>
      <c r="AJ6" s="1272" t="s">
        <v>381</v>
      </c>
      <c r="AL6" s="1271">
        <v>2</v>
      </c>
      <c r="AM6" s="1272" t="s">
        <v>314</v>
      </c>
      <c r="AO6" s="2227"/>
      <c r="AP6" s="1273">
        <v>2</v>
      </c>
      <c r="AQ6" s="1274" t="s">
        <v>315</v>
      </c>
      <c r="AS6" s="1273">
        <v>2</v>
      </c>
      <c r="AT6" s="1274" t="s">
        <v>327</v>
      </c>
      <c r="AV6" s="1269" t="s">
        <v>238</v>
      </c>
      <c r="AX6" s="1269" t="s">
        <v>333</v>
      </c>
      <c r="AZ6" s="1270" t="s">
        <v>405</v>
      </c>
      <c r="BB6" s="1275" t="s">
        <v>899</v>
      </c>
      <c r="BC6" s="1305" t="s">
        <v>415</v>
      </c>
      <c r="BD6" s="1303" t="str">
        <f>LEFT(BB6,3)&amp;MID(BC6,2,2)</f>
        <v>[012]</v>
      </c>
      <c r="BE6" s="1299">
        <v>22</v>
      </c>
      <c r="BG6" s="2210"/>
      <c r="BH6" s="74" t="s">
        <v>236</v>
      </c>
      <c r="BI6" s="100" t="s">
        <v>429</v>
      </c>
      <c r="BJ6" s="1262">
        <v>4</v>
      </c>
      <c r="BL6" s="1263" t="s">
        <v>264</v>
      </c>
      <c r="BM6" s="1264" t="s">
        <v>434</v>
      </c>
      <c r="BN6" s="1265" t="str">
        <f t="shared" si="0"/>
        <v>[066]</v>
      </c>
      <c r="BO6" s="1265">
        <v>7</v>
      </c>
      <c r="BQ6" s="1264" t="s">
        <v>458</v>
      </c>
      <c r="BR6" s="1264" t="s">
        <v>460</v>
      </c>
      <c r="BS6" s="1264" t="s">
        <v>468</v>
      </c>
      <c r="BT6" s="1265" t="str">
        <f t="shared" ref="BT6:BT22" si="1">LEFT(BQ6,3)&amp;MID(BR6,2,2)&amp;MID(BS6,2,3)</f>
        <v>[020201]</v>
      </c>
      <c r="BU6" s="1265">
        <v>4</v>
      </c>
      <c r="BW6" s="1264">
        <v>2</v>
      </c>
      <c r="BX6" s="1264">
        <v>0.5</v>
      </c>
    </row>
    <row r="7" spans="1:76" ht="27.4" customHeight="1">
      <c r="B7" s="1276"/>
      <c r="D7" s="2219"/>
      <c r="E7" s="1267" t="s">
        <v>239</v>
      </c>
      <c r="G7" s="2214"/>
      <c r="H7" s="1268" t="s">
        <v>416</v>
      </c>
      <c r="J7" s="73"/>
      <c r="L7" s="1277" t="s">
        <v>240</v>
      </c>
      <c r="P7" s="2211"/>
      <c r="Q7" s="75" t="s">
        <v>241</v>
      </c>
      <c r="S7" s="73"/>
      <c r="U7" s="73"/>
      <c r="W7" s="1270" t="s">
        <v>269</v>
      </c>
      <c r="Y7" s="2230"/>
      <c r="Z7" s="1278" t="s">
        <v>486</v>
      </c>
      <c r="AD7" s="1261"/>
      <c r="AG7" s="1261"/>
      <c r="AJ7" s="1261"/>
      <c r="AM7" s="1261"/>
      <c r="AO7" s="2227"/>
      <c r="AP7" s="1273">
        <v>3</v>
      </c>
      <c r="AQ7" s="1274" t="s">
        <v>316</v>
      </c>
      <c r="AS7" s="1273">
        <v>3</v>
      </c>
      <c r="AT7" s="1274" t="s">
        <v>328</v>
      </c>
      <c r="AV7" s="1261"/>
      <c r="AX7" s="1261"/>
      <c r="AZ7" s="1279" t="s">
        <v>406</v>
      </c>
      <c r="BB7" s="1275" t="s">
        <v>899</v>
      </c>
      <c r="BC7" s="1280" t="s">
        <v>416</v>
      </c>
      <c r="BD7" s="1303" t="str">
        <f t="shared" ref="BD7:BD93" si="2">LEFT(BB7,3)&amp;MID(BC7,2,2)</f>
        <v>[013]</v>
      </c>
      <c r="BE7" s="1299">
        <v>47</v>
      </c>
      <c r="BG7" s="2236"/>
      <c r="BH7" s="102" t="s">
        <v>241</v>
      </c>
      <c r="BI7" s="100" t="s">
        <v>430</v>
      </c>
      <c r="BJ7" s="1262">
        <v>5</v>
      </c>
      <c r="BL7" s="1263" t="s">
        <v>265</v>
      </c>
      <c r="BM7" s="1264" t="s">
        <v>434</v>
      </c>
      <c r="BN7" s="1265" t="str">
        <f t="shared" si="0"/>
        <v>[076]</v>
      </c>
      <c r="BO7" s="1265">
        <v>7</v>
      </c>
      <c r="BQ7" s="1264" t="s">
        <v>458</v>
      </c>
      <c r="BR7" s="1264" t="s">
        <v>461</v>
      </c>
      <c r="BS7" s="1264" t="s">
        <v>468</v>
      </c>
      <c r="BT7" s="1265" t="str">
        <f t="shared" si="1"/>
        <v>[020301]</v>
      </c>
      <c r="BU7" s="1265">
        <v>4</v>
      </c>
      <c r="BW7" s="1264">
        <v>3</v>
      </c>
      <c r="BX7" s="1264">
        <v>0.33400000000000002</v>
      </c>
    </row>
    <row r="8" spans="1:76" ht="27.4" customHeight="1">
      <c r="B8" s="1239" t="s">
        <v>368</v>
      </c>
      <c r="D8" s="2219"/>
      <c r="E8" s="1267" t="s">
        <v>242</v>
      </c>
      <c r="G8" s="2214"/>
      <c r="H8" s="1268" t="s">
        <v>869</v>
      </c>
      <c r="J8" s="73"/>
      <c r="L8" s="73"/>
      <c r="M8" s="73"/>
      <c r="N8" s="73"/>
      <c r="P8" s="2210" t="s">
        <v>243</v>
      </c>
      <c r="Q8" s="74" t="s">
        <v>228</v>
      </c>
      <c r="S8" s="73"/>
      <c r="U8" s="73"/>
      <c r="W8" s="1270" t="s">
        <v>277</v>
      </c>
      <c r="Y8" s="2230"/>
      <c r="Z8" s="1278" t="s">
        <v>487</v>
      </c>
      <c r="AD8" s="1261"/>
      <c r="AG8" s="1261"/>
      <c r="AJ8" s="1261"/>
      <c r="AL8" s="2225" t="s">
        <v>455</v>
      </c>
      <c r="AM8" s="2225"/>
      <c r="AO8" s="2227"/>
      <c r="AP8" s="1273">
        <v>4</v>
      </c>
      <c r="AQ8" s="1274" t="s">
        <v>317</v>
      </c>
      <c r="AS8" s="1273">
        <v>5</v>
      </c>
      <c r="AT8" s="1274" t="s">
        <v>491</v>
      </c>
      <c r="AV8" s="1243" t="s">
        <v>373</v>
      </c>
      <c r="AX8" s="1261"/>
      <c r="AZ8" s="1279" t="s">
        <v>407</v>
      </c>
      <c r="BA8" s="1281"/>
      <c r="BB8" s="1275" t="s">
        <v>899</v>
      </c>
      <c r="BC8" s="1280" t="s">
        <v>417</v>
      </c>
      <c r="BD8" s="1303" t="str">
        <f t="shared" si="2"/>
        <v>[014]</v>
      </c>
      <c r="BE8" s="1304">
        <v>38</v>
      </c>
      <c r="BG8" s="2210" t="s">
        <v>243</v>
      </c>
      <c r="BH8" s="74" t="s">
        <v>228</v>
      </c>
      <c r="BI8" s="100" t="s">
        <v>431</v>
      </c>
      <c r="BJ8" s="1262">
        <v>4</v>
      </c>
      <c r="BL8" s="1263" t="s">
        <v>266</v>
      </c>
      <c r="BM8" s="1264" t="s">
        <v>434</v>
      </c>
      <c r="BN8" s="1265" t="str">
        <f t="shared" si="0"/>
        <v>[086]</v>
      </c>
      <c r="BO8" s="1265">
        <v>7</v>
      </c>
      <c r="BQ8" s="1264" t="s">
        <v>458</v>
      </c>
      <c r="BR8" s="1264" t="s">
        <v>462</v>
      </c>
      <c r="BS8" s="1264" t="s">
        <v>468</v>
      </c>
      <c r="BT8" s="1265" t="str">
        <f t="shared" si="1"/>
        <v>[020501]</v>
      </c>
      <c r="BU8" s="1265">
        <v>4</v>
      </c>
      <c r="BW8" s="1264">
        <v>4</v>
      </c>
      <c r="BX8" s="1264">
        <v>0.25</v>
      </c>
    </row>
    <row r="9" spans="1:76" ht="27.4" customHeight="1">
      <c r="B9" s="1243" t="s">
        <v>3</v>
      </c>
      <c r="D9" s="2219"/>
      <c r="E9" s="1282" t="s">
        <v>788</v>
      </c>
      <c r="G9" s="2214"/>
      <c r="H9" s="1284" t="s">
        <v>419</v>
      </c>
      <c r="J9" s="73"/>
      <c r="L9" s="73"/>
      <c r="M9" s="1261"/>
      <c r="N9" s="1261"/>
      <c r="P9" s="2210"/>
      <c r="Q9" s="74" t="s">
        <v>244</v>
      </c>
      <c r="S9" s="73"/>
      <c r="U9" s="73"/>
      <c r="W9" s="1270" t="s">
        <v>894</v>
      </c>
      <c r="Y9" s="2231"/>
      <c r="Z9" s="1266" t="s">
        <v>488</v>
      </c>
      <c r="AL9" s="1257">
        <v>1</v>
      </c>
      <c r="AM9" s="1258" t="s">
        <v>456</v>
      </c>
      <c r="AO9" s="2227"/>
      <c r="AP9" s="1273">
        <v>5</v>
      </c>
      <c r="AQ9" s="1274" t="s">
        <v>318</v>
      </c>
      <c r="AS9" s="1273">
        <v>6</v>
      </c>
      <c r="AT9" s="1274" t="s">
        <v>492</v>
      </c>
      <c r="AV9" s="1283" t="s">
        <v>382</v>
      </c>
      <c r="AX9" s="1261"/>
      <c r="AZ9" s="1279" t="s">
        <v>408</v>
      </c>
      <c r="BA9" s="1281"/>
      <c r="BB9" s="1275" t="s">
        <v>900</v>
      </c>
      <c r="BC9" s="1305" t="s">
        <v>418</v>
      </c>
      <c r="BD9" s="1303" t="str">
        <f t="shared" si="2"/>
        <v>[015]</v>
      </c>
      <c r="BE9" s="1306">
        <v>19</v>
      </c>
      <c r="BG9" s="2210"/>
      <c r="BH9" s="74" t="s">
        <v>244</v>
      </c>
      <c r="BI9" s="100" t="s">
        <v>432</v>
      </c>
      <c r="BJ9" s="1262">
        <v>6</v>
      </c>
      <c r="BL9" s="1263" t="s">
        <v>267</v>
      </c>
      <c r="BM9" s="1264" t="s">
        <v>434</v>
      </c>
      <c r="BN9" s="1265" t="str">
        <f t="shared" si="0"/>
        <v>[116]</v>
      </c>
      <c r="BO9" s="1265">
        <v>7</v>
      </c>
      <c r="BQ9" s="1264" t="s">
        <v>458</v>
      </c>
      <c r="BR9" s="1264" t="s">
        <v>463</v>
      </c>
      <c r="BS9" s="1264" t="s">
        <v>468</v>
      </c>
      <c r="BT9" s="1265" t="str">
        <f t="shared" si="1"/>
        <v>[020601]</v>
      </c>
      <c r="BU9" s="1265">
        <v>4</v>
      </c>
      <c r="BW9" s="1264">
        <v>5</v>
      </c>
      <c r="BX9" s="1264">
        <v>0.2</v>
      </c>
    </row>
    <row r="10" spans="1:76" ht="27.4" customHeight="1">
      <c r="B10" s="1250" t="s">
        <v>369</v>
      </c>
      <c r="D10" s="2219"/>
      <c r="E10" s="1267" t="s">
        <v>256</v>
      </c>
      <c r="G10" s="2214"/>
      <c r="H10" s="1284" t="s">
        <v>422</v>
      </c>
      <c r="J10" s="73"/>
      <c r="L10" s="73"/>
      <c r="M10" s="73"/>
      <c r="N10" s="73"/>
      <c r="P10" s="2211"/>
      <c r="Q10" s="75" t="s">
        <v>245</v>
      </c>
      <c r="S10" s="73"/>
      <c r="U10" s="73"/>
      <c r="W10" s="1270" t="s">
        <v>285</v>
      </c>
      <c r="Y10" s="1285" t="s">
        <v>263</v>
      </c>
      <c r="Z10" s="1266" t="s">
        <v>489</v>
      </c>
      <c r="AL10" s="1271">
        <v>2</v>
      </c>
      <c r="AM10" s="1272" t="s">
        <v>457</v>
      </c>
      <c r="AO10" s="2227"/>
      <c r="AP10" s="1273">
        <v>6</v>
      </c>
      <c r="AQ10" s="1274" t="s">
        <v>319</v>
      </c>
      <c r="AS10" s="1273">
        <v>7</v>
      </c>
      <c r="AT10" s="1274" t="s">
        <v>493</v>
      </c>
      <c r="AV10" s="1279" t="s">
        <v>383</v>
      </c>
      <c r="AZ10" s="1279" t="s">
        <v>409</v>
      </c>
      <c r="BA10" s="1281"/>
      <c r="BB10" s="1275" t="s">
        <v>900</v>
      </c>
      <c r="BC10" s="1280" t="s">
        <v>419</v>
      </c>
      <c r="BD10" s="1303" t="str">
        <f t="shared" si="2"/>
        <v>[016]</v>
      </c>
      <c r="BE10" s="1304">
        <v>20</v>
      </c>
      <c r="BG10" s="2236"/>
      <c r="BH10" s="102" t="s">
        <v>245</v>
      </c>
      <c r="BI10" s="100" t="s">
        <v>433</v>
      </c>
      <c r="BJ10" s="1262">
        <v>3</v>
      </c>
      <c r="BL10" s="1263" t="s">
        <v>268</v>
      </c>
      <c r="BM10" s="1264" t="s">
        <v>434</v>
      </c>
      <c r="BN10" s="1265" t="str">
        <f t="shared" si="0"/>
        <v>[166]</v>
      </c>
      <c r="BO10" s="1265">
        <v>7</v>
      </c>
      <c r="BQ10" s="1264" t="s">
        <v>458</v>
      </c>
      <c r="BR10" s="1264" t="s">
        <v>464</v>
      </c>
      <c r="BS10" s="1264" t="s">
        <v>468</v>
      </c>
      <c r="BT10" s="1265" t="str">
        <f t="shared" si="1"/>
        <v>[020701]</v>
      </c>
      <c r="BU10" s="1265">
        <v>4</v>
      </c>
      <c r="BW10" s="1264">
        <v>6</v>
      </c>
      <c r="BX10" s="1264">
        <v>0.16700000000000001</v>
      </c>
    </row>
    <row r="11" spans="1:76" ht="27.4" customHeight="1">
      <c r="B11" s="1266" t="s">
        <v>370</v>
      </c>
      <c r="D11" s="2219"/>
      <c r="E11" s="1267" t="s">
        <v>257</v>
      </c>
      <c r="G11" s="2214"/>
      <c r="H11" s="1268" t="s">
        <v>896</v>
      </c>
      <c r="J11" s="73"/>
      <c r="L11" s="73"/>
      <c r="M11" s="73"/>
      <c r="N11" s="73"/>
      <c r="P11" s="73"/>
      <c r="Q11" s="73"/>
      <c r="S11" s="73"/>
      <c r="U11" s="73"/>
      <c r="W11" s="1270" t="s">
        <v>286</v>
      </c>
      <c r="Y11" s="1287" t="s">
        <v>264</v>
      </c>
      <c r="Z11" s="1266" t="s">
        <v>489</v>
      </c>
      <c r="AO11" s="2227"/>
      <c r="AP11" s="1273">
        <v>7</v>
      </c>
      <c r="AQ11" s="1274" t="s">
        <v>320</v>
      </c>
      <c r="AS11" s="1288">
        <v>8</v>
      </c>
      <c r="AT11" s="1289" t="s">
        <v>494</v>
      </c>
      <c r="AV11" s="1277" t="s">
        <v>592</v>
      </c>
      <c r="AZ11" s="1279" t="s">
        <v>410</v>
      </c>
      <c r="BB11" s="1275" t="s">
        <v>900</v>
      </c>
      <c r="BC11" s="1305" t="s">
        <v>420</v>
      </c>
      <c r="BD11" s="1303" t="str">
        <f t="shared" si="2"/>
        <v>[017]</v>
      </c>
      <c r="BE11" s="1304" t="s">
        <v>421</v>
      </c>
      <c r="BL11" s="1263" t="s">
        <v>269</v>
      </c>
      <c r="BM11" s="1264" t="s">
        <v>434</v>
      </c>
      <c r="BN11" s="1265" t="str">
        <f t="shared" si="0"/>
        <v>[176]</v>
      </c>
      <c r="BO11" s="1265">
        <v>7</v>
      </c>
      <c r="BQ11" s="1264" t="s">
        <v>458</v>
      </c>
      <c r="BR11" s="1264" t="s">
        <v>465</v>
      </c>
      <c r="BS11" s="1264" t="s">
        <v>468</v>
      </c>
      <c r="BT11" s="1265" t="str">
        <f t="shared" si="1"/>
        <v>[020801]</v>
      </c>
      <c r="BU11" s="1265">
        <v>4</v>
      </c>
      <c r="BW11" s="1264">
        <v>7</v>
      </c>
      <c r="BX11" s="1264">
        <v>0.14299999999999999</v>
      </c>
    </row>
    <row r="12" spans="1:76" ht="27.4" customHeight="1">
      <c r="D12" s="2219"/>
      <c r="E12" s="1267" t="s">
        <v>258</v>
      </c>
      <c r="G12" s="2214"/>
      <c r="H12" s="1284" t="s">
        <v>897</v>
      </c>
      <c r="J12" s="73"/>
      <c r="L12" s="73"/>
      <c r="M12" s="73"/>
      <c r="N12" s="73"/>
      <c r="P12" s="73"/>
      <c r="Q12" s="73"/>
      <c r="S12" s="73"/>
      <c r="U12" s="73"/>
      <c r="W12" s="1270" t="s">
        <v>287</v>
      </c>
      <c r="Y12" s="1287" t="s">
        <v>265</v>
      </c>
      <c r="Z12" s="1266" t="s">
        <v>489</v>
      </c>
      <c r="AO12" s="2227"/>
      <c r="AP12" s="1273">
        <v>10</v>
      </c>
      <c r="AQ12" s="1274" t="s">
        <v>321</v>
      </c>
      <c r="AS12" s="1255"/>
      <c r="AT12" s="1255"/>
      <c r="AZ12" s="1279" t="s">
        <v>411</v>
      </c>
      <c r="BB12" s="1275" t="s">
        <v>900</v>
      </c>
      <c r="BC12" s="1305" t="s">
        <v>422</v>
      </c>
      <c r="BD12" s="1303" t="str">
        <f t="shared" si="2"/>
        <v>[018]</v>
      </c>
      <c r="BE12" s="1298">
        <v>47</v>
      </c>
      <c r="BL12" s="1263" t="s">
        <v>891</v>
      </c>
      <c r="BM12" s="1264" t="s">
        <v>434</v>
      </c>
      <c r="BN12" s="1265" t="str">
        <f t="shared" si="0"/>
        <v>[336]</v>
      </c>
      <c r="BO12" s="1265">
        <v>7</v>
      </c>
      <c r="BQ12" s="1264" t="s">
        <v>458</v>
      </c>
      <c r="BR12" s="1264" t="s">
        <v>466</v>
      </c>
      <c r="BS12" s="1264" t="s">
        <v>468</v>
      </c>
      <c r="BT12" s="1265" t="str">
        <f t="shared" si="1"/>
        <v>[021001]</v>
      </c>
      <c r="BU12" s="1265">
        <v>4</v>
      </c>
      <c r="BW12" s="1264">
        <v>8</v>
      </c>
      <c r="BX12" s="1264">
        <v>0.125</v>
      </c>
    </row>
    <row r="13" spans="1:76" ht="27.4" customHeight="1">
      <c r="D13" s="2220"/>
      <c r="E13" s="78" t="s">
        <v>246</v>
      </c>
      <c r="G13" s="2215"/>
      <c r="H13" s="1286" t="s">
        <v>898</v>
      </c>
      <c r="J13" s="73"/>
      <c r="P13" s="73"/>
      <c r="Q13" s="73"/>
      <c r="S13" s="73"/>
      <c r="U13" s="73"/>
      <c r="W13" s="1270" t="s">
        <v>289</v>
      </c>
      <c r="Y13" s="1291" t="s">
        <v>266</v>
      </c>
      <c r="Z13" s="1266" t="s">
        <v>489</v>
      </c>
      <c r="AO13" s="2227"/>
      <c r="AP13" s="1273">
        <v>11</v>
      </c>
      <c r="AQ13" s="1274" t="s">
        <v>322</v>
      </c>
      <c r="AS13" s="2225" t="s">
        <v>495</v>
      </c>
      <c r="AT13" s="2225"/>
      <c r="AZ13" s="1269" t="s">
        <v>412</v>
      </c>
      <c r="BB13" s="1275" t="s">
        <v>900</v>
      </c>
      <c r="BC13" s="1305" t="s">
        <v>901</v>
      </c>
      <c r="BD13" s="1303" t="str">
        <f t="shared" si="2"/>
        <v>[019]</v>
      </c>
      <c r="BE13" s="1304">
        <v>19</v>
      </c>
      <c r="BL13" s="1263" t="s">
        <v>271</v>
      </c>
      <c r="BM13" s="1264" t="s">
        <v>434</v>
      </c>
      <c r="BN13" s="1265" t="str">
        <f t="shared" si="0"/>
        <v>[346]</v>
      </c>
      <c r="BO13" s="1265">
        <v>7</v>
      </c>
      <c r="BQ13" s="1264" t="s">
        <v>458</v>
      </c>
      <c r="BR13" s="1264" t="s">
        <v>467</v>
      </c>
      <c r="BS13" s="1264" t="s">
        <v>468</v>
      </c>
      <c r="BT13" s="1265" t="str">
        <f t="shared" si="1"/>
        <v>[029901]</v>
      </c>
      <c r="BU13" s="1265">
        <v>6</v>
      </c>
      <c r="BW13" s="1264">
        <v>9</v>
      </c>
      <c r="BX13" s="1264">
        <v>0.112</v>
      </c>
    </row>
    <row r="14" spans="1:76" ht="27.4" customHeight="1">
      <c r="D14" s="2216" t="s">
        <v>247</v>
      </c>
      <c r="E14" s="77" t="s">
        <v>262</v>
      </c>
      <c r="G14" s="2213" t="s">
        <v>870</v>
      </c>
      <c r="H14" s="1252" t="s">
        <v>414</v>
      </c>
      <c r="J14" s="73"/>
      <c r="P14" s="73"/>
      <c r="Q14" s="73"/>
      <c r="S14" s="73"/>
      <c r="U14" s="73"/>
      <c r="W14" s="1270" t="s">
        <v>290</v>
      </c>
      <c r="Y14" s="1291" t="s">
        <v>267</v>
      </c>
      <c r="Z14" s="1266" t="s">
        <v>489</v>
      </c>
      <c r="AO14" s="2228"/>
      <c r="AP14" s="1288">
        <v>99</v>
      </c>
      <c r="AQ14" s="1289" t="s">
        <v>323</v>
      </c>
      <c r="AS14" s="1259">
        <v>1</v>
      </c>
      <c r="AT14" s="1260" t="s">
        <v>496</v>
      </c>
      <c r="BB14" s="1275" t="s">
        <v>900</v>
      </c>
      <c r="BC14" s="1305" t="s">
        <v>902</v>
      </c>
      <c r="BD14" s="1303" t="str">
        <f>LEFT(BB14,3)&amp;MID(BC14,2,3)</f>
        <v>[0110]</v>
      </c>
      <c r="BE14" s="1304">
        <v>27</v>
      </c>
      <c r="BL14" s="1263" t="s">
        <v>272</v>
      </c>
      <c r="BM14" s="1264" t="s">
        <v>434</v>
      </c>
      <c r="BN14" s="1265" t="str">
        <f t="shared" si="0"/>
        <v>[356]</v>
      </c>
      <c r="BO14" s="1265">
        <v>7</v>
      </c>
      <c r="BQ14" s="1264" t="s">
        <v>458</v>
      </c>
      <c r="BR14" s="1264" t="s">
        <v>459</v>
      </c>
      <c r="BS14" s="1264" t="s">
        <v>469</v>
      </c>
      <c r="BT14" s="1265" t="str">
        <f t="shared" si="1"/>
        <v>[020102]</v>
      </c>
      <c r="BU14" s="1265">
        <v>4</v>
      </c>
      <c r="BW14" s="1264">
        <v>10</v>
      </c>
      <c r="BX14" s="1264">
        <v>0.1</v>
      </c>
    </row>
    <row r="15" spans="1:76" ht="27.4" customHeight="1">
      <c r="D15" s="2217"/>
      <c r="E15" s="77" t="s">
        <v>872</v>
      </c>
      <c r="G15" s="2214"/>
      <c r="H15" s="1268" t="s">
        <v>415</v>
      </c>
      <c r="J15" s="73"/>
      <c r="P15" s="73"/>
      <c r="Q15" s="73"/>
      <c r="S15" s="73"/>
      <c r="W15" s="1270" t="s">
        <v>293</v>
      </c>
      <c r="Y15" s="1291" t="s">
        <v>268</v>
      </c>
      <c r="Z15" s="1266" t="s">
        <v>489</v>
      </c>
      <c r="AO15" s="2221" t="s">
        <v>454</v>
      </c>
      <c r="AP15" s="1273">
        <v>1</v>
      </c>
      <c r="AQ15" s="1274" t="s">
        <v>324</v>
      </c>
      <c r="AS15" s="1273">
        <v>2</v>
      </c>
      <c r="AT15" s="1274" t="s">
        <v>497</v>
      </c>
      <c r="BB15" s="1290" t="s">
        <v>899</v>
      </c>
      <c r="BC15" s="1305" t="s">
        <v>898</v>
      </c>
      <c r="BD15" s="1303" t="str">
        <f>LEFT(BB15,3)&amp;MID(BC15,2,3)</f>
        <v>[0111]</v>
      </c>
      <c r="BE15" s="1304">
        <v>34</v>
      </c>
      <c r="BL15" s="1263" t="s">
        <v>273</v>
      </c>
      <c r="BM15" s="1264" t="s">
        <v>434</v>
      </c>
      <c r="BN15" s="1265" t="str">
        <f t="shared" si="0"/>
        <v>[366]</v>
      </c>
      <c r="BO15" s="1265">
        <v>7</v>
      </c>
      <c r="BQ15" s="1264" t="s">
        <v>458</v>
      </c>
      <c r="BR15" s="1264" t="s">
        <v>460</v>
      </c>
      <c r="BS15" s="1264" t="s">
        <v>469</v>
      </c>
      <c r="BT15" s="1265" t="str">
        <f t="shared" si="1"/>
        <v>[020202]</v>
      </c>
      <c r="BU15" s="1265">
        <v>4</v>
      </c>
      <c r="BW15" s="1264">
        <v>11</v>
      </c>
      <c r="BX15" s="1264">
        <v>9.0999999999999998E-2</v>
      </c>
    </row>
    <row r="16" spans="1:76" ht="27.4" customHeight="1">
      <c r="D16" s="2217"/>
      <c r="E16" s="77" t="s">
        <v>873</v>
      </c>
      <c r="G16" s="2214"/>
      <c r="H16" s="1268" t="s">
        <v>416</v>
      </c>
      <c r="J16" s="73"/>
      <c r="L16" s="73"/>
      <c r="M16" s="73"/>
      <c r="N16" s="73"/>
      <c r="O16" s="73"/>
      <c r="P16" s="73"/>
      <c r="Q16" s="73"/>
      <c r="R16" s="73"/>
      <c r="S16" s="73"/>
      <c r="T16" s="73"/>
      <c r="U16" s="73"/>
      <c r="W16" s="1270" t="s">
        <v>294</v>
      </c>
      <c r="Y16" s="1291" t="s">
        <v>269</v>
      </c>
      <c r="Z16" s="1266" t="s">
        <v>489</v>
      </c>
      <c r="AO16" s="2222"/>
      <c r="AP16" s="1273">
        <v>2</v>
      </c>
      <c r="AQ16" s="1274" t="s">
        <v>452</v>
      </c>
      <c r="AS16" s="1288">
        <v>3</v>
      </c>
      <c r="AT16" s="1289" t="s">
        <v>498</v>
      </c>
      <c r="BB16" s="1317" t="s">
        <v>232</v>
      </c>
      <c r="BC16" s="1308" t="s">
        <v>414</v>
      </c>
      <c r="BD16" s="1303" t="str">
        <f t="shared" si="2"/>
        <v>[021]</v>
      </c>
      <c r="BE16" s="1299">
        <v>24</v>
      </c>
      <c r="BL16" s="1263" t="s">
        <v>274</v>
      </c>
      <c r="BM16" s="1264" t="s">
        <v>434</v>
      </c>
      <c r="BN16" s="1265" t="str">
        <f t="shared" si="0"/>
        <v>[376]</v>
      </c>
      <c r="BO16" s="1265">
        <v>7</v>
      </c>
      <c r="BQ16" s="1264" t="s">
        <v>458</v>
      </c>
      <c r="BR16" s="1264" t="s">
        <v>461</v>
      </c>
      <c r="BS16" s="1264" t="s">
        <v>469</v>
      </c>
      <c r="BT16" s="1265" t="str">
        <f t="shared" si="1"/>
        <v>[020302]</v>
      </c>
      <c r="BU16" s="1265">
        <v>4</v>
      </c>
      <c r="BW16" s="1264">
        <v>12</v>
      </c>
      <c r="BX16" s="1264">
        <v>8.4000000000000005E-2</v>
      </c>
    </row>
    <row r="17" spans="4:76" ht="27.4" customHeight="1">
      <c r="D17" s="2217"/>
      <c r="E17" s="77" t="s">
        <v>874</v>
      </c>
      <c r="G17" s="2214"/>
      <c r="H17" s="1268" t="s">
        <v>869</v>
      </c>
      <c r="L17" s="73"/>
      <c r="M17" s="73"/>
      <c r="N17" s="73"/>
      <c r="O17" s="73"/>
      <c r="P17" s="73"/>
      <c r="Q17" s="73"/>
      <c r="R17" s="73"/>
      <c r="S17" s="73"/>
      <c r="T17" s="73"/>
      <c r="U17" s="73"/>
      <c r="W17" s="1269" t="s">
        <v>893</v>
      </c>
      <c r="Y17" s="1291" t="s">
        <v>270</v>
      </c>
      <c r="Z17" s="1266" t="s">
        <v>489</v>
      </c>
      <c r="AO17" s="2222"/>
      <c r="AP17" s="1273">
        <v>3</v>
      </c>
      <c r="AQ17" s="1274" t="s">
        <v>325</v>
      </c>
      <c r="BB17" s="1275" t="s">
        <v>232</v>
      </c>
      <c r="BC17" s="1308" t="s">
        <v>415</v>
      </c>
      <c r="BD17" s="1303" t="str">
        <f t="shared" si="2"/>
        <v>[022]</v>
      </c>
      <c r="BE17" s="1299">
        <v>24</v>
      </c>
      <c r="BL17" s="1263" t="s">
        <v>275</v>
      </c>
      <c r="BM17" s="1264" t="s">
        <v>434</v>
      </c>
      <c r="BN17" s="1265" t="str">
        <f t="shared" si="0"/>
        <v>[386]</v>
      </c>
      <c r="BO17" s="1265">
        <v>7</v>
      </c>
      <c r="BQ17" s="1264" t="s">
        <v>458</v>
      </c>
      <c r="BR17" s="1264" t="s">
        <v>462</v>
      </c>
      <c r="BS17" s="1264" t="s">
        <v>469</v>
      </c>
      <c r="BT17" s="1265" t="str">
        <f t="shared" si="1"/>
        <v>[020502]</v>
      </c>
      <c r="BU17" s="1265">
        <v>6</v>
      </c>
      <c r="BW17" s="1264">
        <v>13</v>
      </c>
      <c r="BX17" s="1264">
        <v>7.6999999999999999E-2</v>
      </c>
    </row>
    <row r="18" spans="4:76" ht="27.4" customHeight="1">
      <c r="D18" s="2217"/>
      <c r="E18" s="77" t="s">
        <v>875</v>
      </c>
      <c r="G18" s="2214"/>
      <c r="H18" s="1284" t="s">
        <v>419</v>
      </c>
      <c r="L18" s="73"/>
      <c r="M18" s="73"/>
      <c r="N18" s="73"/>
      <c r="O18" s="73"/>
      <c r="P18" s="73"/>
      <c r="Q18" s="73"/>
      <c r="R18" s="73"/>
      <c r="S18" s="73"/>
      <c r="T18" s="73"/>
      <c r="U18" s="73"/>
      <c r="V18" s="73"/>
      <c r="Y18" s="1291" t="s">
        <v>296</v>
      </c>
      <c r="Z18" s="1266" t="s">
        <v>489</v>
      </c>
      <c r="AO18" s="2222"/>
      <c r="AP18" s="1273">
        <v>5</v>
      </c>
      <c r="AQ18" s="1274" t="s">
        <v>315</v>
      </c>
      <c r="BB18" s="1275" t="s">
        <v>232</v>
      </c>
      <c r="BC18" s="1318" t="s">
        <v>416</v>
      </c>
      <c r="BD18" s="1303" t="str">
        <f t="shared" si="2"/>
        <v>[023]</v>
      </c>
      <c r="BE18" s="1299">
        <v>50</v>
      </c>
      <c r="BL18" s="1263" t="s">
        <v>276</v>
      </c>
      <c r="BM18" s="1264" t="s">
        <v>434</v>
      </c>
      <c r="BN18" s="1265" t="str">
        <f t="shared" si="0"/>
        <v>[396]</v>
      </c>
      <c r="BO18" s="1265">
        <v>7</v>
      </c>
      <c r="BQ18" s="1264" t="s">
        <v>458</v>
      </c>
      <c r="BR18" s="1264" t="s">
        <v>463</v>
      </c>
      <c r="BS18" s="1264" t="s">
        <v>469</v>
      </c>
      <c r="BT18" s="1265" t="str">
        <f t="shared" si="1"/>
        <v>[020602]</v>
      </c>
      <c r="BU18" s="1265">
        <v>6</v>
      </c>
      <c r="BW18" s="1264">
        <v>14</v>
      </c>
      <c r="BX18" s="1264">
        <v>7.1999999999999995E-2</v>
      </c>
    </row>
    <row r="19" spans="4:76" ht="27.4" customHeight="1">
      <c r="D19" s="2217"/>
      <c r="E19" s="77" t="s">
        <v>877</v>
      </c>
      <c r="G19" s="2214"/>
      <c r="H19" s="1284" t="s">
        <v>422</v>
      </c>
      <c r="P19" s="73"/>
      <c r="Q19" s="73"/>
      <c r="R19" s="73"/>
      <c r="S19" s="73"/>
      <c r="T19" s="73"/>
      <c r="U19" s="73"/>
      <c r="V19" s="73"/>
      <c r="Y19" s="1291" t="s">
        <v>271</v>
      </c>
      <c r="Z19" s="1266" t="s">
        <v>489</v>
      </c>
      <c r="AO19" s="2222"/>
      <c r="AP19" s="1273">
        <v>6</v>
      </c>
      <c r="AQ19" s="1274" t="s">
        <v>316</v>
      </c>
      <c r="BB19" s="1275" t="s">
        <v>232</v>
      </c>
      <c r="BC19" s="1318" t="s">
        <v>417</v>
      </c>
      <c r="BD19" s="1303" t="str">
        <f t="shared" si="2"/>
        <v>[024]</v>
      </c>
      <c r="BE19" s="1304">
        <v>41</v>
      </c>
      <c r="BL19" s="1263" t="s">
        <v>277</v>
      </c>
      <c r="BM19" s="1264" t="s">
        <v>434</v>
      </c>
      <c r="BN19" s="1265" t="str">
        <f t="shared" si="0"/>
        <v>[406]</v>
      </c>
      <c r="BO19" s="1265">
        <v>7</v>
      </c>
      <c r="BQ19" s="1264" t="s">
        <v>458</v>
      </c>
      <c r="BR19" s="1264" t="s">
        <v>464</v>
      </c>
      <c r="BS19" s="1264" t="s">
        <v>469</v>
      </c>
      <c r="BT19" s="1265" t="str">
        <f t="shared" si="1"/>
        <v>[020702]</v>
      </c>
      <c r="BU19" s="1265">
        <v>6</v>
      </c>
      <c r="BW19" s="1264">
        <v>15</v>
      </c>
      <c r="BX19" s="1264">
        <v>6.7000000000000004E-2</v>
      </c>
    </row>
    <row r="20" spans="4:76" ht="27.4" customHeight="1">
      <c r="D20" s="2217"/>
      <c r="E20" s="81" t="s">
        <v>878</v>
      </c>
      <c r="G20" s="2214"/>
      <c r="H20" s="1268" t="s">
        <v>896</v>
      </c>
      <c r="P20" s="73"/>
      <c r="Q20" s="73"/>
      <c r="R20" s="73"/>
      <c r="S20" s="73"/>
      <c r="T20" s="73"/>
      <c r="U20" s="73"/>
      <c r="V20" s="73"/>
      <c r="Y20" s="1291" t="s">
        <v>272</v>
      </c>
      <c r="Z20" s="1266" t="s">
        <v>489</v>
      </c>
      <c r="AO20" s="2222"/>
      <c r="AP20" s="1273">
        <v>7</v>
      </c>
      <c r="AQ20" s="1274" t="s">
        <v>317</v>
      </c>
      <c r="BB20" s="1275" t="s">
        <v>232</v>
      </c>
      <c r="BC20" s="1305" t="s">
        <v>418</v>
      </c>
      <c r="BD20" s="1303" t="str">
        <f t="shared" si="2"/>
        <v>[025]</v>
      </c>
      <c r="BE20" s="1306">
        <v>22</v>
      </c>
      <c r="BL20" s="1263" t="s">
        <v>278</v>
      </c>
      <c r="BM20" s="1264" t="s">
        <v>434</v>
      </c>
      <c r="BN20" s="1265" t="str">
        <f t="shared" si="0"/>
        <v>[416]</v>
      </c>
      <c r="BO20" s="1265">
        <v>7</v>
      </c>
      <c r="BQ20" s="1264" t="s">
        <v>458</v>
      </c>
      <c r="BR20" s="1264" t="s">
        <v>465</v>
      </c>
      <c r="BS20" s="1264" t="s">
        <v>469</v>
      </c>
      <c r="BT20" s="1265" t="str">
        <f t="shared" si="1"/>
        <v>[020802]</v>
      </c>
      <c r="BU20" s="1265">
        <v>6</v>
      </c>
      <c r="BW20" s="1264">
        <v>16</v>
      </c>
      <c r="BX20" s="1264">
        <v>6.3E-2</v>
      </c>
    </row>
    <row r="21" spans="4:76" ht="27.4" customHeight="1">
      <c r="D21" s="1292"/>
      <c r="G21" s="2214"/>
      <c r="H21" s="1284" t="s">
        <v>897</v>
      </c>
      <c r="Y21" s="80" t="s">
        <v>273</v>
      </c>
      <c r="Z21" s="1266" t="s">
        <v>489</v>
      </c>
      <c r="AO21" s="2222"/>
      <c r="AP21" s="1273">
        <v>8</v>
      </c>
      <c r="AQ21" s="1274" t="s">
        <v>318</v>
      </c>
      <c r="BB21" s="1275" t="s">
        <v>232</v>
      </c>
      <c r="BC21" s="1318" t="s">
        <v>419</v>
      </c>
      <c r="BD21" s="1303" t="str">
        <f t="shared" si="2"/>
        <v>[026]</v>
      </c>
      <c r="BE21" s="1304">
        <v>22</v>
      </c>
      <c r="BL21" s="1263" t="s">
        <v>279</v>
      </c>
      <c r="BM21" s="1264" t="s">
        <v>434</v>
      </c>
      <c r="BN21" s="1265" t="str">
        <f t="shared" si="0"/>
        <v>[426]</v>
      </c>
      <c r="BO21" s="1265">
        <v>7</v>
      </c>
      <c r="BQ21" s="1264" t="s">
        <v>458</v>
      </c>
      <c r="BR21" s="1264" t="s">
        <v>466</v>
      </c>
      <c r="BS21" s="1264" t="s">
        <v>469</v>
      </c>
      <c r="BT21" s="1265" t="str">
        <f t="shared" si="1"/>
        <v>[021002]</v>
      </c>
      <c r="BU21" s="1265">
        <v>6</v>
      </c>
      <c r="BW21" s="1264">
        <v>17</v>
      </c>
      <c r="BX21" s="1264">
        <v>5.9000000000000004E-2</v>
      </c>
    </row>
    <row r="22" spans="4:76" ht="27.4" customHeight="1">
      <c r="D22" s="1293"/>
      <c r="G22" s="2215"/>
      <c r="H22" s="1286" t="s">
        <v>898</v>
      </c>
      <c r="Y22" s="80" t="s">
        <v>274</v>
      </c>
      <c r="Z22" s="1266" t="s">
        <v>489</v>
      </c>
      <c r="AO22" s="2222"/>
      <c r="AP22" s="1273">
        <v>10</v>
      </c>
      <c r="AQ22" s="1274" t="s">
        <v>321</v>
      </c>
      <c r="BB22" s="1275" t="s">
        <v>232</v>
      </c>
      <c r="BC22" s="1308" t="s">
        <v>420</v>
      </c>
      <c r="BD22" s="1303" t="str">
        <f t="shared" si="2"/>
        <v>[027]</v>
      </c>
      <c r="BE22" s="1304" t="s">
        <v>421</v>
      </c>
      <c r="BL22" s="1263" t="s">
        <v>280</v>
      </c>
      <c r="BM22" s="1264" t="s">
        <v>434</v>
      </c>
      <c r="BN22" s="1265" t="str">
        <f t="shared" si="0"/>
        <v>[436]</v>
      </c>
      <c r="BO22" s="1265">
        <v>7</v>
      </c>
      <c r="BQ22" s="1264" t="s">
        <v>458</v>
      </c>
      <c r="BR22" s="1264" t="s">
        <v>467</v>
      </c>
      <c r="BS22" s="1264" t="s">
        <v>469</v>
      </c>
      <c r="BT22" s="1265" t="str">
        <f t="shared" si="1"/>
        <v>[029902]</v>
      </c>
      <c r="BU22" s="1265">
        <v>6</v>
      </c>
      <c r="BW22" s="1264">
        <v>18</v>
      </c>
      <c r="BX22" s="1264">
        <v>5.6000000000000001E-2</v>
      </c>
    </row>
    <row r="23" spans="4:76" ht="27.4" customHeight="1">
      <c r="D23" s="1293"/>
      <c r="G23" s="2213" t="s">
        <v>880</v>
      </c>
      <c r="H23" s="1252" t="s">
        <v>414</v>
      </c>
      <c r="Y23" s="80" t="s">
        <v>275</v>
      </c>
      <c r="Z23" s="1266" t="s">
        <v>489</v>
      </c>
      <c r="AO23" s="2223"/>
      <c r="AP23" s="1288">
        <v>99</v>
      </c>
      <c r="AQ23" s="1289" t="s">
        <v>323</v>
      </c>
      <c r="BB23" s="1275" t="s">
        <v>232</v>
      </c>
      <c r="BC23" s="1308" t="s">
        <v>422</v>
      </c>
      <c r="BD23" s="1303" t="str">
        <f t="shared" si="2"/>
        <v>[028]</v>
      </c>
      <c r="BE23" s="1298">
        <v>50</v>
      </c>
      <c r="BL23" s="1263" t="s">
        <v>281</v>
      </c>
      <c r="BM23" s="1264" t="s">
        <v>434</v>
      </c>
      <c r="BN23" s="1265" t="str">
        <f t="shared" si="0"/>
        <v>[446]</v>
      </c>
      <c r="BO23" s="1265">
        <v>7</v>
      </c>
      <c r="BW23" s="1264">
        <v>19</v>
      </c>
      <c r="BX23" s="1264">
        <v>5.2999999999999999E-2</v>
      </c>
    </row>
    <row r="24" spans="4:76" ht="27.4" customHeight="1">
      <c r="D24" s="1293"/>
      <c r="G24" s="2214"/>
      <c r="H24" s="1268" t="s">
        <v>415</v>
      </c>
      <c r="Y24" s="80" t="s">
        <v>276</v>
      </c>
      <c r="Z24" s="1266" t="s">
        <v>489</v>
      </c>
      <c r="BB24" s="1275" t="s">
        <v>232</v>
      </c>
      <c r="BC24" s="1305" t="s">
        <v>901</v>
      </c>
      <c r="BD24" s="1303" t="str">
        <f t="shared" si="2"/>
        <v>[029]</v>
      </c>
      <c r="BE24" s="1304">
        <v>22</v>
      </c>
      <c r="BL24" s="1263" t="s">
        <v>282</v>
      </c>
      <c r="BM24" s="1264" t="s">
        <v>434</v>
      </c>
      <c r="BN24" s="1265" t="str">
        <f t="shared" si="0"/>
        <v>[456]</v>
      </c>
      <c r="BO24" s="1265">
        <v>7</v>
      </c>
      <c r="BW24" s="1264">
        <v>20</v>
      </c>
      <c r="BX24" s="1264">
        <v>0.05</v>
      </c>
    </row>
    <row r="25" spans="4:76" ht="27.4" customHeight="1">
      <c r="G25" s="2214"/>
      <c r="H25" s="1268" t="s">
        <v>416</v>
      </c>
      <c r="Y25" s="80" t="s">
        <v>277</v>
      </c>
      <c r="Z25" s="1266" t="s">
        <v>489</v>
      </c>
      <c r="BB25" s="1275" t="s">
        <v>232</v>
      </c>
      <c r="BC25" s="1305" t="s">
        <v>902</v>
      </c>
      <c r="BD25" s="1303" t="str">
        <f>LEFT(BB25,3)&amp;MID(BC25,2,3)</f>
        <v>[0210]</v>
      </c>
      <c r="BE25" s="1304">
        <v>30</v>
      </c>
      <c r="BL25" s="1263" t="s">
        <v>283</v>
      </c>
      <c r="BM25" s="1264" t="s">
        <v>434</v>
      </c>
      <c r="BN25" s="1265" t="str">
        <f t="shared" si="0"/>
        <v>[466]</v>
      </c>
      <c r="BO25" s="1265">
        <v>7</v>
      </c>
      <c r="BW25" s="1264">
        <v>21</v>
      </c>
      <c r="BX25" s="1264">
        <v>4.8000000000000001E-2</v>
      </c>
    </row>
    <row r="26" spans="4:76" ht="27.4" customHeight="1">
      <c r="G26" s="2214"/>
      <c r="H26" s="1268" t="s">
        <v>869</v>
      </c>
      <c r="Y26" s="80" t="s">
        <v>278</v>
      </c>
      <c r="Z26" s="1266" t="s">
        <v>489</v>
      </c>
      <c r="AA26" s="73"/>
      <c r="AB26" s="73"/>
      <c r="AD26" s="73"/>
      <c r="AE26" s="73"/>
      <c r="AF26" s="73"/>
      <c r="AG26" s="73"/>
      <c r="AH26" s="73"/>
      <c r="AI26" s="73"/>
      <c r="AJ26" s="73"/>
      <c r="AK26" s="73"/>
      <c r="AL26" s="73"/>
      <c r="AM26" s="73"/>
      <c r="AN26" s="73"/>
      <c r="AO26" s="73"/>
      <c r="AR26" s="73"/>
      <c r="AS26" s="73"/>
      <c r="AT26" s="73"/>
      <c r="AU26" s="73"/>
      <c r="AV26" s="73"/>
      <c r="AW26" s="73"/>
      <c r="AX26" s="73"/>
      <c r="AY26" s="73"/>
      <c r="AZ26" s="73"/>
      <c r="BA26" s="73"/>
      <c r="BB26" s="1290" t="s">
        <v>232</v>
      </c>
      <c r="BC26" s="1305" t="s">
        <v>898</v>
      </c>
      <c r="BD26" s="1303" t="str">
        <f>LEFT(BB26,3)&amp;MID(BC26,2,3)</f>
        <v>[0211]</v>
      </c>
      <c r="BE26" s="1304">
        <v>38</v>
      </c>
      <c r="BH26" s="73"/>
      <c r="BI26" s="73"/>
      <c r="BJ26" s="73"/>
      <c r="BK26" s="73"/>
      <c r="BL26" s="105" t="s">
        <v>284</v>
      </c>
      <c r="BM26" s="1264" t="s">
        <v>434</v>
      </c>
      <c r="BN26" s="1265" t="str">
        <f t="shared" si="0"/>
        <v>[476]</v>
      </c>
      <c r="BO26" s="1265">
        <v>7</v>
      </c>
      <c r="BW26" s="1264">
        <v>22</v>
      </c>
      <c r="BX26" s="1264">
        <v>4.5999999999999999E-2</v>
      </c>
    </row>
    <row r="27" spans="4:76" ht="27.4" customHeight="1">
      <c r="G27" s="2214"/>
      <c r="H27" s="1284" t="s">
        <v>419</v>
      </c>
      <c r="Y27" s="80" t="s">
        <v>279</v>
      </c>
      <c r="Z27" s="1266" t="s">
        <v>489</v>
      </c>
      <c r="AA27" s="73"/>
      <c r="AB27" s="73"/>
      <c r="AD27" s="73"/>
      <c r="AE27" s="73"/>
      <c r="AF27" s="73"/>
      <c r="AG27" s="73"/>
      <c r="AH27" s="73"/>
      <c r="AI27" s="73"/>
      <c r="AJ27" s="73"/>
      <c r="AK27" s="73"/>
      <c r="AL27" s="73"/>
      <c r="AM27" s="73"/>
      <c r="AN27" s="73"/>
      <c r="AO27" s="73"/>
      <c r="AR27" s="73"/>
      <c r="AS27" s="73"/>
      <c r="AT27" s="73"/>
      <c r="AU27" s="73"/>
      <c r="AV27" s="73"/>
      <c r="AW27" s="73"/>
      <c r="AX27" s="73"/>
      <c r="AY27" s="73"/>
      <c r="AZ27" s="73"/>
      <c r="BA27" s="73"/>
      <c r="BB27" s="1317" t="s">
        <v>239</v>
      </c>
      <c r="BC27" s="1308" t="s">
        <v>414</v>
      </c>
      <c r="BD27" s="1303" t="str">
        <f t="shared" si="2"/>
        <v>[031]</v>
      </c>
      <c r="BE27" s="1299">
        <v>15</v>
      </c>
      <c r="BH27" s="73"/>
      <c r="BI27" s="73"/>
      <c r="BJ27" s="73"/>
      <c r="BK27" s="73"/>
      <c r="BL27" s="105" t="s">
        <v>285</v>
      </c>
      <c r="BM27" s="1264" t="s">
        <v>434</v>
      </c>
      <c r="BN27" s="1265" t="str">
        <f t="shared" si="0"/>
        <v>[486]</v>
      </c>
      <c r="BO27" s="1265">
        <v>7</v>
      </c>
      <c r="BW27" s="1264">
        <v>23</v>
      </c>
      <c r="BX27" s="1264">
        <v>4.3999999999999997E-2</v>
      </c>
    </row>
    <row r="28" spans="4:76" ht="27.4" customHeight="1">
      <c r="G28" s="2214"/>
      <c r="H28" s="1284" t="s">
        <v>422</v>
      </c>
      <c r="Y28" s="80" t="s">
        <v>280</v>
      </c>
      <c r="Z28" s="1266" t="s">
        <v>489</v>
      </c>
      <c r="AA28" s="73"/>
      <c r="AB28" s="73"/>
      <c r="AD28" s="73"/>
      <c r="AE28" s="73"/>
      <c r="AF28" s="73"/>
      <c r="AG28" s="73"/>
      <c r="AH28" s="73"/>
      <c r="AI28" s="73"/>
      <c r="AJ28" s="73"/>
      <c r="AK28" s="73"/>
      <c r="AL28" s="73"/>
      <c r="AM28" s="73"/>
      <c r="AN28" s="73"/>
      <c r="AO28" s="73"/>
      <c r="AP28" s="73"/>
      <c r="AQ28" s="73"/>
      <c r="AR28" s="73"/>
      <c r="AS28" s="73"/>
      <c r="AT28" s="73"/>
      <c r="AU28" s="73"/>
      <c r="AV28" s="73"/>
      <c r="AW28" s="73"/>
      <c r="AX28" s="73"/>
      <c r="AY28" s="73"/>
      <c r="AZ28" s="73"/>
      <c r="BA28" s="73"/>
      <c r="BB28" s="1275" t="s">
        <v>239</v>
      </c>
      <c r="BC28" s="1308" t="s">
        <v>415</v>
      </c>
      <c r="BD28" s="1303" t="str">
        <f t="shared" si="2"/>
        <v>[032]</v>
      </c>
      <c r="BE28" s="1299">
        <v>15</v>
      </c>
      <c r="BH28" s="73"/>
      <c r="BI28" s="73"/>
      <c r="BJ28" s="73"/>
      <c r="BK28" s="73"/>
      <c r="BL28" s="105" t="s">
        <v>286</v>
      </c>
      <c r="BM28" s="1264" t="s">
        <v>434</v>
      </c>
      <c r="BN28" s="1265" t="str">
        <f t="shared" si="0"/>
        <v>[496]</v>
      </c>
      <c r="BO28" s="1265">
        <v>7</v>
      </c>
      <c r="BW28" s="1264">
        <v>24</v>
      </c>
      <c r="BX28" s="1264">
        <v>4.2000000000000003E-2</v>
      </c>
    </row>
    <row r="29" spans="4:76" ht="27.4" customHeight="1">
      <c r="G29" s="2214"/>
      <c r="H29" s="1268" t="s">
        <v>896</v>
      </c>
      <c r="Y29" s="80" t="s">
        <v>281</v>
      </c>
      <c r="Z29" s="1266" t="s">
        <v>489</v>
      </c>
      <c r="AA29" s="73"/>
      <c r="AB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1275" t="s">
        <v>239</v>
      </c>
      <c r="BC29" s="1318" t="s">
        <v>416</v>
      </c>
      <c r="BD29" s="1303" t="str">
        <f t="shared" si="2"/>
        <v>[033]</v>
      </c>
      <c r="BE29" s="1299">
        <v>38</v>
      </c>
      <c r="BH29" s="73"/>
      <c r="BI29" s="73"/>
      <c r="BJ29" s="73"/>
      <c r="BK29" s="73"/>
      <c r="BL29" s="105" t="s">
        <v>287</v>
      </c>
      <c r="BM29" s="1264" t="s">
        <v>434</v>
      </c>
      <c r="BN29" s="1265" t="str">
        <f t="shared" si="0"/>
        <v>[506]</v>
      </c>
      <c r="BO29" s="1265">
        <v>3</v>
      </c>
      <c r="BW29" s="1264">
        <v>25</v>
      </c>
      <c r="BX29" s="1264">
        <v>0.04</v>
      </c>
    </row>
    <row r="30" spans="4:76" ht="27.4" customHeight="1">
      <c r="G30" s="2214"/>
      <c r="H30" s="1284" t="s">
        <v>897</v>
      </c>
      <c r="Y30" s="80" t="s">
        <v>282</v>
      </c>
      <c r="Z30" s="1266" t="s">
        <v>489</v>
      </c>
      <c r="AA30" s="73"/>
      <c r="AB30" s="73"/>
      <c r="AD30" s="73"/>
      <c r="AE30" s="73"/>
      <c r="AF30" s="73"/>
      <c r="AG30" s="73"/>
      <c r="AH30" s="73"/>
      <c r="AI30" s="73"/>
      <c r="AJ30" s="73"/>
      <c r="AK30" s="73"/>
      <c r="AL30" s="73"/>
      <c r="AM30" s="73"/>
      <c r="AN30" s="73"/>
      <c r="AO30" s="73"/>
      <c r="AP30" s="73"/>
      <c r="AQ30" s="73"/>
      <c r="AR30" s="73"/>
      <c r="AS30" s="73"/>
      <c r="AT30" s="73"/>
      <c r="AU30" s="73"/>
      <c r="AV30" s="73"/>
      <c r="AW30" s="73"/>
      <c r="AX30" s="73"/>
      <c r="AY30" s="73"/>
      <c r="AZ30" s="73"/>
      <c r="BA30" s="73"/>
      <c r="BB30" s="1275" t="s">
        <v>239</v>
      </c>
      <c r="BC30" s="1318" t="s">
        <v>417</v>
      </c>
      <c r="BD30" s="1303" t="str">
        <f t="shared" si="2"/>
        <v>[034]</v>
      </c>
      <c r="BE30" s="1304">
        <v>34</v>
      </c>
      <c r="BH30" s="73"/>
      <c r="BI30" s="73"/>
      <c r="BJ30" s="73"/>
      <c r="BK30" s="73"/>
      <c r="BL30" s="105" t="s">
        <v>288</v>
      </c>
      <c r="BM30" s="1264" t="s">
        <v>434</v>
      </c>
      <c r="BN30" s="1265" t="str">
        <f t="shared" si="0"/>
        <v>[516]</v>
      </c>
      <c r="BO30" s="1265">
        <v>7</v>
      </c>
      <c r="BW30" s="1264">
        <v>26</v>
      </c>
      <c r="BX30" s="1264">
        <v>3.9E-2</v>
      </c>
    </row>
    <row r="31" spans="4:76" ht="27.4" customHeight="1">
      <c r="G31" s="2215"/>
      <c r="H31" s="1286" t="s">
        <v>898</v>
      </c>
      <c r="Y31" s="80" t="s">
        <v>283</v>
      </c>
      <c r="Z31" s="1266" t="s">
        <v>489</v>
      </c>
      <c r="AA31" s="73"/>
      <c r="AB31" s="73"/>
      <c r="AD31" s="73"/>
      <c r="AE31" s="73"/>
      <c r="AF31" s="73"/>
      <c r="AG31" s="73"/>
      <c r="AH31" s="73"/>
      <c r="AI31" s="73"/>
      <c r="AJ31" s="73"/>
      <c r="AK31" s="73"/>
      <c r="AL31" s="73"/>
      <c r="AM31" s="73"/>
      <c r="AN31" s="73"/>
      <c r="AO31" s="73"/>
      <c r="AP31" s="73"/>
      <c r="AQ31" s="73"/>
      <c r="AR31" s="73"/>
      <c r="AS31" s="73"/>
      <c r="AT31" s="73"/>
      <c r="AU31" s="73"/>
      <c r="AV31" s="73"/>
      <c r="AW31" s="73"/>
      <c r="AX31" s="73"/>
      <c r="AY31" s="73"/>
      <c r="AZ31" s="73"/>
      <c r="BA31" s="73"/>
      <c r="BB31" s="1275" t="s">
        <v>239</v>
      </c>
      <c r="BC31" s="1305" t="s">
        <v>418</v>
      </c>
      <c r="BD31" s="1303" t="str">
        <f t="shared" si="2"/>
        <v>[035]</v>
      </c>
      <c r="BE31" s="1306">
        <v>17</v>
      </c>
      <c r="BH31" s="73"/>
      <c r="BI31" s="73"/>
      <c r="BJ31" s="73"/>
      <c r="BK31" s="73"/>
      <c r="BL31" s="105" t="s">
        <v>289</v>
      </c>
      <c r="BM31" s="1264" t="s">
        <v>434</v>
      </c>
      <c r="BN31" s="1265" t="str">
        <f t="shared" si="0"/>
        <v>[526]</v>
      </c>
      <c r="BO31" s="1265">
        <v>7</v>
      </c>
      <c r="BW31" s="1264">
        <v>27</v>
      </c>
      <c r="BX31" s="1264">
        <v>3.7999999999999999E-2</v>
      </c>
    </row>
    <row r="32" spans="4:76" ht="27.4" customHeight="1">
      <c r="G32" s="2237" t="s">
        <v>881</v>
      </c>
      <c r="H32" s="1252" t="s">
        <v>414</v>
      </c>
      <c r="W32" s="73"/>
      <c r="Y32" s="80" t="s">
        <v>284</v>
      </c>
      <c r="Z32" s="1266" t="s">
        <v>489</v>
      </c>
      <c r="AA32" s="73"/>
      <c r="AB32" s="73"/>
      <c r="AD32" s="73"/>
      <c r="AE32" s="73"/>
      <c r="AF32" s="73"/>
      <c r="AG32" s="73"/>
      <c r="AH32" s="73"/>
      <c r="AI32" s="73"/>
      <c r="AJ32" s="73"/>
      <c r="AK32" s="73"/>
      <c r="AL32" s="73"/>
      <c r="AM32" s="73"/>
      <c r="AN32" s="73"/>
      <c r="AO32" s="73"/>
      <c r="AP32" s="73"/>
      <c r="AQ32" s="73"/>
      <c r="AR32" s="73"/>
      <c r="AS32" s="73"/>
      <c r="AT32" s="73"/>
      <c r="AU32" s="73"/>
      <c r="AV32" s="73"/>
      <c r="AW32" s="73"/>
      <c r="AX32" s="73"/>
      <c r="AY32" s="73"/>
      <c r="AZ32" s="73"/>
      <c r="BA32" s="73"/>
      <c r="BB32" s="1275" t="s">
        <v>239</v>
      </c>
      <c r="BC32" s="1318" t="s">
        <v>419</v>
      </c>
      <c r="BD32" s="1303" t="str">
        <f t="shared" si="2"/>
        <v>[036]</v>
      </c>
      <c r="BE32" s="1304">
        <v>14</v>
      </c>
      <c r="BH32" s="73"/>
      <c r="BI32" s="73"/>
      <c r="BJ32" s="73"/>
      <c r="BK32" s="73"/>
      <c r="BL32" s="105" t="s">
        <v>290</v>
      </c>
      <c r="BM32" s="1264" t="s">
        <v>434</v>
      </c>
      <c r="BN32" s="1265" t="str">
        <f t="shared" si="0"/>
        <v>[536]</v>
      </c>
      <c r="BO32" s="1265">
        <v>7</v>
      </c>
      <c r="BW32" s="1264">
        <v>28</v>
      </c>
      <c r="BX32" s="1264">
        <v>3.6000000000000004E-2</v>
      </c>
    </row>
    <row r="33" spans="7:76" ht="27.4" customHeight="1">
      <c r="G33" s="2238"/>
      <c r="H33" s="1268" t="s">
        <v>415</v>
      </c>
      <c r="W33" s="73"/>
      <c r="Y33" s="80" t="s">
        <v>285</v>
      </c>
      <c r="Z33" s="1266" t="s">
        <v>489</v>
      </c>
      <c r="AA33" s="73"/>
      <c r="AB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73"/>
      <c r="BA33" s="73"/>
      <c r="BB33" s="1275" t="s">
        <v>239</v>
      </c>
      <c r="BC33" s="1308" t="s">
        <v>420</v>
      </c>
      <c r="BD33" s="1303" t="str">
        <f t="shared" si="2"/>
        <v>[037]</v>
      </c>
      <c r="BE33" s="1304" t="s">
        <v>421</v>
      </c>
      <c r="BH33" s="73"/>
      <c r="BI33" s="73"/>
      <c r="BJ33" s="73"/>
      <c r="BK33" s="73"/>
      <c r="BL33" s="105" t="s">
        <v>291</v>
      </c>
      <c r="BM33" s="1264" t="s">
        <v>434</v>
      </c>
      <c r="BN33" s="1265" t="str">
        <f t="shared" si="0"/>
        <v>[546]</v>
      </c>
      <c r="BO33" s="1265">
        <v>4</v>
      </c>
      <c r="BW33" s="1264">
        <v>29</v>
      </c>
      <c r="BX33" s="1264">
        <v>3.5000000000000003E-2</v>
      </c>
    </row>
    <row r="34" spans="7:76" ht="27.4" customHeight="1">
      <c r="G34" s="2238"/>
      <c r="H34" s="1268" t="s">
        <v>416</v>
      </c>
      <c r="W34" s="73"/>
      <c r="Y34" s="80" t="s">
        <v>286</v>
      </c>
      <c r="Z34" s="1266" t="s">
        <v>489</v>
      </c>
      <c r="AA34" s="73"/>
      <c r="AB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73"/>
      <c r="BA34" s="73"/>
      <c r="BB34" s="1275" t="s">
        <v>239</v>
      </c>
      <c r="BC34" s="1308" t="s">
        <v>422</v>
      </c>
      <c r="BD34" s="1303" t="str">
        <f t="shared" si="2"/>
        <v>[038]</v>
      </c>
      <c r="BE34" s="1298">
        <v>38</v>
      </c>
      <c r="BH34" s="73"/>
      <c r="BI34" s="73"/>
      <c r="BJ34" s="73"/>
      <c r="BK34" s="73"/>
      <c r="BL34" s="105" t="s">
        <v>292</v>
      </c>
      <c r="BM34" s="1264" t="s">
        <v>434</v>
      </c>
      <c r="BN34" s="1265" t="str">
        <f t="shared" si="0"/>
        <v>[556]</v>
      </c>
      <c r="BO34" s="1265">
        <v>7</v>
      </c>
      <c r="BW34" s="1264">
        <v>30</v>
      </c>
      <c r="BX34" s="1264">
        <v>3.4000000000000002E-2</v>
      </c>
    </row>
    <row r="35" spans="7:76" ht="27.4" customHeight="1">
      <c r="G35" s="2238"/>
      <c r="H35" s="1268" t="s">
        <v>869</v>
      </c>
      <c r="W35" s="73"/>
      <c r="Y35" s="80" t="s">
        <v>287</v>
      </c>
      <c r="Z35" s="1266" t="s">
        <v>489</v>
      </c>
      <c r="BB35" s="1275" t="s">
        <v>239</v>
      </c>
      <c r="BC35" s="1305" t="s">
        <v>901</v>
      </c>
      <c r="BD35" s="1303" t="str">
        <f t="shared" si="2"/>
        <v>[039]</v>
      </c>
      <c r="BE35" s="1304">
        <v>17</v>
      </c>
      <c r="BL35" s="1294" t="s">
        <v>293</v>
      </c>
      <c r="BM35" s="1263" t="s">
        <v>444</v>
      </c>
      <c r="BN35" s="1265" t="str">
        <f t="shared" si="0"/>
        <v>[561]</v>
      </c>
      <c r="BO35" s="1265">
        <v>3</v>
      </c>
      <c r="BW35" s="1264">
        <v>31</v>
      </c>
      <c r="BX35" s="1264">
        <v>3.3000000000000002E-2</v>
      </c>
    </row>
    <row r="36" spans="7:76" ht="27.4" customHeight="1">
      <c r="G36" s="2238"/>
      <c r="H36" s="1284" t="s">
        <v>419</v>
      </c>
      <c r="W36" s="73"/>
      <c r="Y36" s="80" t="s">
        <v>288</v>
      </c>
      <c r="Z36" s="1266" t="s">
        <v>489</v>
      </c>
      <c r="BB36" s="1275" t="s">
        <v>239</v>
      </c>
      <c r="BC36" s="1305" t="s">
        <v>902</v>
      </c>
      <c r="BD36" s="1303" t="str">
        <f>LEFT(BB36,3)&amp;MID(BC36,2,3)</f>
        <v>[0310]</v>
      </c>
      <c r="BE36" s="1300">
        <v>24</v>
      </c>
      <c r="BL36" s="1294" t="s">
        <v>293</v>
      </c>
      <c r="BM36" s="1263" t="s">
        <v>445</v>
      </c>
      <c r="BN36" s="1265" t="str">
        <f t="shared" si="0"/>
        <v>[562]</v>
      </c>
      <c r="BO36" s="1265">
        <v>4</v>
      </c>
      <c r="BW36" s="1264">
        <v>32</v>
      </c>
      <c r="BX36" s="1264">
        <v>3.2000000000000001E-2</v>
      </c>
    </row>
    <row r="37" spans="7:76" ht="27.4" customHeight="1">
      <c r="G37" s="2238"/>
      <c r="H37" s="1284" t="s">
        <v>422</v>
      </c>
      <c r="W37" s="73"/>
      <c r="Y37" s="80" t="s">
        <v>289</v>
      </c>
      <c r="Z37" s="1266" t="s">
        <v>489</v>
      </c>
      <c r="BB37" s="1290" t="s">
        <v>239</v>
      </c>
      <c r="BC37" s="1305" t="s">
        <v>898</v>
      </c>
      <c r="BD37" s="1303" t="str">
        <f>LEFT(BB37,3)&amp;MID(BC37,2,3)</f>
        <v>[0311]</v>
      </c>
      <c r="BE37" s="1300">
        <v>31</v>
      </c>
      <c r="BL37" s="1294" t="s">
        <v>293</v>
      </c>
      <c r="BM37" s="1263" t="s">
        <v>446</v>
      </c>
      <c r="BN37" s="1265" t="str">
        <f t="shared" si="0"/>
        <v>[563]</v>
      </c>
      <c r="BO37" s="1265">
        <v>5</v>
      </c>
      <c r="BW37" s="1264">
        <v>33</v>
      </c>
      <c r="BX37" s="1264">
        <v>3.1E-2</v>
      </c>
    </row>
    <row r="38" spans="7:76" ht="27.4" customHeight="1">
      <c r="G38" s="2238"/>
      <c r="H38" s="1268" t="s">
        <v>896</v>
      </c>
      <c r="W38" s="73"/>
      <c r="Y38" s="80" t="s">
        <v>290</v>
      </c>
      <c r="Z38" s="1266" t="s">
        <v>489</v>
      </c>
      <c r="BB38" s="1317" t="s">
        <v>242</v>
      </c>
      <c r="BC38" s="1308" t="s">
        <v>414</v>
      </c>
      <c r="BD38" s="1303" t="str">
        <f t="shared" si="2"/>
        <v>[041]</v>
      </c>
      <c r="BE38" s="1299">
        <v>15</v>
      </c>
      <c r="BL38" s="1294" t="s">
        <v>293</v>
      </c>
      <c r="BM38" s="1263" t="s">
        <v>447</v>
      </c>
      <c r="BN38" s="1265" t="str">
        <f t="shared" si="0"/>
        <v>[564]</v>
      </c>
      <c r="BO38" s="1265">
        <v>6</v>
      </c>
      <c r="BW38" s="1264">
        <v>34</v>
      </c>
      <c r="BX38" s="1264">
        <v>3.0000000000000002E-2</v>
      </c>
    </row>
    <row r="39" spans="7:76" ht="27.4" customHeight="1">
      <c r="G39" s="2238"/>
      <c r="H39" s="1284" t="s">
        <v>897</v>
      </c>
      <c r="Y39" s="80" t="s">
        <v>291</v>
      </c>
      <c r="Z39" s="1266" t="s">
        <v>489</v>
      </c>
      <c r="BB39" s="1275" t="s">
        <v>242</v>
      </c>
      <c r="BC39" s="1308" t="s">
        <v>415</v>
      </c>
      <c r="BD39" s="1303" t="str">
        <f t="shared" si="2"/>
        <v>[042]</v>
      </c>
      <c r="BE39" s="1299">
        <v>15</v>
      </c>
      <c r="BL39" s="1295" t="s">
        <v>293</v>
      </c>
      <c r="BM39" s="1263" t="s">
        <v>448</v>
      </c>
      <c r="BN39" s="1265" t="str">
        <f t="shared" si="0"/>
        <v>[565]</v>
      </c>
      <c r="BO39" s="1265">
        <v>7</v>
      </c>
      <c r="BW39" s="1264">
        <v>35</v>
      </c>
      <c r="BX39" s="1264">
        <v>2.9000000000000001E-2</v>
      </c>
    </row>
    <row r="40" spans="7:76" ht="27.4" customHeight="1">
      <c r="G40" s="2239"/>
      <c r="H40" s="1286" t="s">
        <v>898</v>
      </c>
      <c r="W40" s="73"/>
      <c r="Y40" s="80" t="s">
        <v>292</v>
      </c>
      <c r="Z40" s="1266" t="s">
        <v>489</v>
      </c>
      <c r="BB40" s="1275" t="s">
        <v>242</v>
      </c>
      <c r="BC40" s="1318" t="s">
        <v>416</v>
      </c>
      <c r="BD40" s="1303" t="str">
        <f t="shared" si="2"/>
        <v>[043]</v>
      </c>
      <c r="BE40" s="1299">
        <v>38</v>
      </c>
      <c r="BL40" s="1263" t="s">
        <v>294</v>
      </c>
      <c r="BM40" s="1264" t="s">
        <v>434</v>
      </c>
      <c r="BN40" s="1265" t="str">
        <f t="shared" si="0"/>
        <v>[576]</v>
      </c>
      <c r="BO40" s="1265">
        <v>4</v>
      </c>
      <c r="BW40" s="1264">
        <v>36</v>
      </c>
      <c r="BX40" s="1264">
        <v>2.8000000000000001E-2</v>
      </c>
    </row>
    <row r="41" spans="7:76" ht="27.4" customHeight="1">
      <c r="G41" s="2237" t="s">
        <v>882</v>
      </c>
      <c r="H41" s="1252" t="s">
        <v>414</v>
      </c>
      <c r="W41" s="73"/>
      <c r="Y41" s="80" t="s">
        <v>294</v>
      </c>
      <c r="Z41" s="1266" t="s">
        <v>489</v>
      </c>
      <c r="BB41" s="1275" t="s">
        <v>242</v>
      </c>
      <c r="BC41" s="1318" t="s">
        <v>417</v>
      </c>
      <c r="BD41" s="1303" t="str">
        <f t="shared" si="2"/>
        <v>[044]</v>
      </c>
      <c r="BE41" s="1304">
        <v>34</v>
      </c>
      <c r="BL41" s="1263" t="s">
        <v>295</v>
      </c>
      <c r="BM41" s="1264" t="s">
        <v>434</v>
      </c>
      <c r="BN41" s="1265" t="str">
        <f t="shared" si="0"/>
        <v>[586]</v>
      </c>
      <c r="BO41" s="1265">
        <v>5</v>
      </c>
      <c r="BW41" s="1264">
        <v>37</v>
      </c>
      <c r="BX41" s="1264">
        <v>2.8000000000000001E-2</v>
      </c>
    </row>
    <row r="42" spans="7:76" ht="27.4" customHeight="1">
      <c r="G42" s="2238"/>
      <c r="H42" s="1268" t="s">
        <v>415</v>
      </c>
      <c r="W42" s="73"/>
      <c r="Y42" s="80" t="s">
        <v>295</v>
      </c>
      <c r="Z42" s="1266" t="s">
        <v>489</v>
      </c>
      <c r="BB42" s="1275" t="s">
        <v>242</v>
      </c>
      <c r="BC42" s="1305" t="s">
        <v>418</v>
      </c>
      <c r="BD42" s="1303" t="str">
        <f t="shared" si="2"/>
        <v>[045]</v>
      </c>
      <c r="BE42" s="1306">
        <v>17</v>
      </c>
      <c r="BW42" s="1264">
        <v>38</v>
      </c>
      <c r="BX42" s="1264">
        <v>2.7E-2</v>
      </c>
    </row>
    <row r="43" spans="7:76" ht="27.4" customHeight="1">
      <c r="G43" s="2238"/>
      <c r="H43" s="1268" t="s">
        <v>416</v>
      </c>
      <c r="W43" s="73"/>
      <c r="Y43" s="73"/>
      <c r="Z43" s="73"/>
      <c r="AA43" s="73"/>
      <c r="AB43" s="73"/>
      <c r="AD43" s="73"/>
      <c r="AE43" s="73"/>
      <c r="AF43" s="73"/>
      <c r="AG43" s="73"/>
      <c r="AH43" s="73"/>
      <c r="AI43" s="73"/>
      <c r="AJ43" s="73"/>
      <c r="AK43" s="73"/>
      <c r="AL43" s="73"/>
      <c r="AM43" s="73"/>
      <c r="AN43" s="73"/>
      <c r="AO43" s="73"/>
      <c r="AP43" s="73"/>
      <c r="AQ43" s="73"/>
      <c r="AR43" s="73"/>
      <c r="AS43" s="73"/>
      <c r="AT43" s="73"/>
      <c r="AU43" s="73"/>
      <c r="AV43" s="73"/>
      <c r="AW43" s="73"/>
      <c r="AX43" s="73"/>
      <c r="AY43" s="73"/>
      <c r="AZ43" s="73"/>
      <c r="BB43" s="1275" t="s">
        <v>242</v>
      </c>
      <c r="BC43" s="1318" t="s">
        <v>419</v>
      </c>
      <c r="BD43" s="1303" t="str">
        <f t="shared" si="2"/>
        <v>[046]</v>
      </c>
      <c r="BE43" s="1304">
        <v>14</v>
      </c>
      <c r="BW43" s="1264">
        <v>39</v>
      </c>
      <c r="BX43" s="1264">
        <v>2.6000000000000002E-2</v>
      </c>
    </row>
    <row r="44" spans="7:76" ht="27.4" customHeight="1">
      <c r="G44" s="2238"/>
      <c r="H44" s="1268" t="s">
        <v>869</v>
      </c>
      <c r="W44" s="73"/>
      <c r="Y44" s="73"/>
      <c r="Z44" s="73"/>
      <c r="AA44" s="73"/>
      <c r="AB44" s="73"/>
      <c r="AD44" s="73"/>
      <c r="AE44" s="73"/>
      <c r="AF44" s="73"/>
      <c r="AG44" s="73"/>
      <c r="AH44" s="73"/>
      <c r="AI44" s="73"/>
      <c r="AJ44" s="73"/>
      <c r="AK44" s="73"/>
      <c r="AL44" s="73"/>
      <c r="AM44" s="73"/>
      <c r="AN44" s="73"/>
      <c r="AO44" s="73"/>
      <c r="AP44" s="73"/>
      <c r="AQ44" s="73"/>
      <c r="AR44" s="73"/>
      <c r="AS44" s="73"/>
      <c r="AT44" s="73"/>
      <c r="AU44" s="73"/>
      <c r="AV44" s="73"/>
      <c r="AW44" s="73"/>
      <c r="AX44" s="73"/>
      <c r="AY44" s="73"/>
      <c r="AZ44" s="73"/>
      <c r="BB44" s="1275" t="s">
        <v>242</v>
      </c>
      <c r="BC44" s="1308" t="s">
        <v>420</v>
      </c>
      <c r="BD44" s="1303" t="str">
        <f t="shared" si="2"/>
        <v>[047]</v>
      </c>
      <c r="BE44" s="1304" t="s">
        <v>421</v>
      </c>
      <c r="BW44" s="1264">
        <v>40</v>
      </c>
      <c r="BX44" s="1264">
        <v>2.5000000000000001E-2</v>
      </c>
    </row>
    <row r="45" spans="7:76" ht="27.4" customHeight="1">
      <c r="G45" s="2238"/>
      <c r="H45" s="1284" t="s">
        <v>419</v>
      </c>
      <c r="W45" s="73"/>
      <c r="Y45" s="73"/>
      <c r="Z45" s="73"/>
      <c r="AA45" s="73"/>
      <c r="AB45" s="73"/>
      <c r="AD45" s="73"/>
      <c r="AE45" s="73"/>
      <c r="AF45" s="73"/>
      <c r="AG45" s="73"/>
      <c r="AH45" s="73"/>
      <c r="AI45" s="73"/>
      <c r="AJ45" s="73"/>
      <c r="AK45" s="73"/>
      <c r="AL45" s="73"/>
      <c r="AM45" s="73"/>
      <c r="AN45" s="73"/>
      <c r="AO45" s="73"/>
      <c r="AP45" s="73"/>
      <c r="AQ45" s="73"/>
      <c r="AR45" s="73"/>
      <c r="AS45" s="73"/>
      <c r="AT45" s="73"/>
      <c r="AU45" s="73"/>
      <c r="AV45" s="73"/>
      <c r="AW45" s="73"/>
      <c r="AX45" s="73"/>
      <c r="AY45" s="73"/>
      <c r="AZ45" s="73"/>
      <c r="BB45" s="1275" t="s">
        <v>242</v>
      </c>
      <c r="BC45" s="1308" t="s">
        <v>422</v>
      </c>
      <c r="BD45" s="1303" t="str">
        <f t="shared" si="2"/>
        <v>[048]</v>
      </c>
      <c r="BE45" s="1298">
        <v>38</v>
      </c>
      <c r="BW45" s="1264">
        <v>41</v>
      </c>
      <c r="BX45" s="1264">
        <v>2.5000000000000001E-2</v>
      </c>
    </row>
    <row r="46" spans="7:76" ht="27.4" customHeight="1">
      <c r="G46" s="2238"/>
      <c r="H46" s="1284" t="s">
        <v>422</v>
      </c>
      <c r="W46" s="73"/>
      <c r="Y46" s="73"/>
      <c r="Z46" s="73"/>
      <c r="AA46" s="73"/>
      <c r="AB46" s="73"/>
      <c r="AD46" s="73"/>
      <c r="AE46" s="73"/>
      <c r="AF46" s="73"/>
      <c r="AG46" s="73"/>
      <c r="AH46" s="73"/>
      <c r="AI46" s="73"/>
      <c r="AJ46" s="73"/>
      <c r="AK46" s="73"/>
      <c r="AL46" s="73"/>
      <c r="AM46" s="73"/>
      <c r="AN46" s="73"/>
      <c r="AO46" s="73"/>
      <c r="AP46" s="73"/>
      <c r="AQ46" s="73"/>
      <c r="AR46" s="73"/>
      <c r="AS46" s="73"/>
      <c r="AT46" s="73"/>
      <c r="AU46" s="73"/>
      <c r="AV46" s="73"/>
      <c r="AW46" s="73"/>
      <c r="AX46" s="73"/>
      <c r="AY46" s="73"/>
      <c r="AZ46" s="73"/>
      <c r="BB46" s="1275" t="s">
        <v>242</v>
      </c>
      <c r="BC46" s="1305" t="s">
        <v>901</v>
      </c>
      <c r="BD46" s="1303" t="str">
        <f t="shared" si="2"/>
        <v>[049]</v>
      </c>
      <c r="BE46" s="1304">
        <v>17</v>
      </c>
      <c r="BW46" s="1264">
        <v>42</v>
      </c>
      <c r="BX46" s="1264">
        <v>2.4E-2</v>
      </c>
    </row>
    <row r="47" spans="7:76" ht="27.4" customHeight="1">
      <c r="G47" s="2238"/>
      <c r="H47" s="1268" t="s">
        <v>896</v>
      </c>
      <c r="Y47" s="73"/>
      <c r="Z47" s="73"/>
      <c r="AA47" s="73"/>
      <c r="AB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B47" s="1275" t="s">
        <v>242</v>
      </c>
      <c r="BC47" s="1305" t="s">
        <v>902</v>
      </c>
      <c r="BD47" s="1303" t="str">
        <f>LEFT(BB47,3)&amp;MID(BC47,2,3)</f>
        <v>[0410]</v>
      </c>
      <c r="BE47" s="1300">
        <v>24</v>
      </c>
      <c r="BW47" s="1264">
        <v>43</v>
      </c>
      <c r="BX47" s="1264">
        <v>2.4E-2</v>
      </c>
    </row>
    <row r="48" spans="7:76" ht="27.4" customHeight="1">
      <c r="G48" s="2238"/>
      <c r="H48" s="1284" t="s">
        <v>897</v>
      </c>
      <c r="W48" s="73"/>
      <c r="Y48" s="73"/>
      <c r="Z48" s="73"/>
      <c r="AA48" s="73"/>
      <c r="AB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73"/>
      <c r="BB48" s="1290" t="s">
        <v>242</v>
      </c>
      <c r="BC48" s="1305" t="s">
        <v>898</v>
      </c>
      <c r="BD48" s="1303" t="str">
        <f>LEFT(BB48,3)&amp;MID(BC48,2,3)</f>
        <v>[0411]</v>
      </c>
      <c r="BE48" s="1300">
        <v>31</v>
      </c>
      <c r="BW48" s="1264">
        <v>44</v>
      </c>
      <c r="BX48" s="1264">
        <v>2.3E-2</v>
      </c>
    </row>
    <row r="49" spans="7:76" ht="27.4" customHeight="1">
      <c r="G49" s="2239"/>
      <c r="H49" s="1286" t="s">
        <v>898</v>
      </c>
      <c r="W49" s="73"/>
      <c r="Y49" s="73"/>
      <c r="Z49" s="73"/>
      <c r="AA49" s="73"/>
      <c r="AB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B49" s="1307" t="s">
        <v>253</v>
      </c>
      <c r="BC49" s="1308" t="s">
        <v>414</v>
      </c>
      <c r="BD49" s="1303" t="str">
        <f t="shared" si="2"/>
        <v>[051]</v>
      </c>
      <c r="BE49" s="1300">
        <v>17</v>
      </c>
      <c r="BW49" s="1264">
        <v>45</v>
      </c>
      <c r="BX49" s="1264">
        <v>2.3E-2</v>
      </c>
    </row>
    <row r="50" spans="7:76" ht="27.4" customHeight="1">
      <c r="G50" s="2237" t="s">
        <v>883</v>
      </c>
      <c r="H50" s="1252" t="s">
        <v>414</v>
      </c>
      <c r="W50" s="73"/>
      <c r="AA50" s="73"/>
      <c r="AB50" s="73"/>
      <c r="AD50" s="73"/>
      <c r="AE50" s="73"/>
      <c r="AF50" s="73"/>
      <c r="AG50" s="73"/>
      <c r="AH50" s="73"/>
      <c r="AI50" s="73"/>
      <c r="AJ50" s="73"/>
      <c r="AK50" s="73"/>
      <c r="AL50" s="73"/>
      <c r="AM50" s="73"/>
      <c r="AN50" s="73"/>
      <c r="AO50" s="73"/>
      <c r="AP50" s="73"/>
      <c r="AQ50" s="73"/>
      <c r="AR50" s="73"/>
      <c r="AS50" s="73"/>
      <c r="AT50" s="73"/>
      <c r="AU50" s="73"/>
      <c r="AV50" s="73"/>
      <c r="AW50" s="73"/>
      <c r="AX50" s="73"/>
      <c r="AY50" s="73"/>
      <c r="AZ50" s="73"/>
      <c r="BB50" s="103" t="s">
        <v>253</v>
      </c>
      <c r="BC50" s="1308" t="s">
        <v>415</v>
      </c>
      <c r="BD50" s="1303" t="str">
        <f t="shared" si="2"/>
        <v>[052]</v>
      </c>
      <c r="BE50" s="1300">
        <v>17</v>
      </c>
      <c r="BW50" s="1264">
        <v>46</v>
      </c>
      <c r="BX50" s="1264">
        <v>2.2000000000000002E-2</v>
      </c>
    </row>
    <row r="51" spans="7:76" ht="27.4" customHeight="1">
      <c r="G51" s="2238"/>
      <c r="H51" s="1268" t="s">
        <v>415</v>
      </c>
      <c r="W51" s="73"/>
      <c r="AA51" s="73"/>
      <c r="AB51" s="73"/>
      <c r="AD51" s="73"/>
      <c r="AE51" s="73"/>
      <c r="AF51" s="73"/>
      <c r="AG51" s="73"/>
      <c r="AH51" s="73"/>
      <c r="AI51" s="73"/>
      <c r="AJ51" s="73"/>
      <c r="AK51" s="73"/>
      <c r="AL51" s="73"/>
      <c r="AM51" s="73"/>
      <c r="AN51" s="73"/>
      <c r="AO51" s="73"/>
      <c r="AP51" s="73"/>
      <c r="AQ51" s="73"/>
      <c r="AR51" s="73"/>
      <c r="AS51" s="73"/>
      <c r="AT51" s="73"/>
      <c r="AU51" s="73"/>
      <c r="AV51" s="73"/>
      <c r="AW51" s="73"/>
      <c r="AX51" s="73"/>
      <c r="AY51" s="73"/>
      <c r="AZ51" s="73"/>
      <c r="BB51" s="103" t="s">
        <v>253</v>
      </c>
      <c r="BC51" s="1318" t="s">
        <v>416</v>
      </c>
      <c r="BD51" s="1303" t="str">
        <f t="shared" si="2"/>
        <v>[053]</v>
      </c>
      <c r="BE51" s="1300">
        <v>38</v>
      </c>
      <c r="BW51" s="1264">
        <v>47</v>
      </c>
      <c r="BX51" s="1264">
        <v>2.2000000000000002E-2</v>
      </c>
    </row>
    <row r="52" spans="7:76" ht="27.4" customHeight="1">
      <c r="G52" s="2238"/>
      <c r="H52" s="1268" t="s">
        <v>416</v>
      </c>
      <c r="W52" s="73"/>
      <c r="AA52" s="73"/>
      <c r="AB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73"/>
      <c r="BB52" s="103" t="s">
        <v>253</v>
      </c>
      <c r="BC52" s="1318" t="s">
        <v>417</v>
      </c>
      <c r="BD52" s="1303" t="str">
        <f t="shared" si="2"/>
        <v>[054]</v>
      </c>
      <c r="BE52" s="1304">
        <v>34</v>
      </c>
      <c r="BW52" s="1264">
        <v>48</v>
      </c>
      <c r="BX52" s="1264">
        <v>2.1000000000000001E-2</v>
      </c>
    </row>
    <row r="53" spans="7:76" ht="27.4" customHeight="1">
      <c r="G53" s="2238"/>
      <c r="H53" s="1268" t="s">
        <v>869</v>
      </c>
      <c r="W53" s="73"/>
      <c r="AA53" s="73"/>
      <c r="AB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73"/>
      <c r="BB53" s="103" t="s">
        <v>253</v>
      </c>
      <c r="BC53" s="1305" t="s">
        <v>418</v>
      </c>
      <c r="BD53" s="1303" t="str">
        <f t="shared" si="2"/>
        <v>[055]</v>
      </c>
      <c r="BE53" s="1306">
        <v>19</v>
      </c>
      <c r="BW53" s="1264">
        <v>49</v>
      </c>
      <c r="BX53" s="1264">
        <v>2.1000000000000001E-2</v>
      </c>
    </row>
    <row r="54" spans="7:76" ht="27.4" customHeight="1">
      <c r="G54" s="2238"/>
      <c r="H54" s="1284" t="s">
        <v>419</v>
      </c>
      <c r="W54" s="73"/>
      <c r="AA54" s="73"/>
      <c r="AB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73"/>
      <c r="BB54" s="103" t="s">
        <v>253</v>
      </c>
      <c r="BC54" s="1318" t="s">
        <v>419</v>
      </c>
      <c r="BD54" s="1303" t="str">
        <f t="shared" si="2"/>
        <v>[056]</v>
      </c>
      <c r="BE54" s="1304">
        <v>15</v>
      </c>
      <c r="BW54" s="1264">
        <v>50</v>
      </c>
      <c r="BX54" s="1264">
        <v>0.02</v>
      </c>
    </row>
    <row r="55" spans="7:76" ht="27.4" customHeight="1">
      <c r="G55" s="2238"/>
      <c r="H55" s="1284" t="s">
        <v>422</v>
      </c>
      <c r="AA55" s="73"/>
      <c r="AB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73"/>
      <c r="BB55" s="103" t="s">
        <v>253</v>
      </c>
      <c r="BC55" s="1308" t="s">
        <v>420</v>
      </c>
      <c r="BD55" s="1303" t="str">
        <f t="shared" si="2"/>
        <v>[057]</v>
      </c>
      <c r="BE55" s="1304" t="s">
        <v>421</v>
      </c>
    </row>
    <row r="56" spans="7:76" ht="27.4" customHeight="1">
      <c r="G56" s="2238"/>
      <c r="H56" s="1268" t="s">
        <v>896</v>
      </c>
      <c r="W56" s="73"/>
      <c r="AA56" s="73"/>
      <c r="AB56" s="73"/>
      <c r="AD56" s="73"/>
      <c r="AE56" s="73"/>
      <c r="AF56" s="73"/>
      <c r="AG56" s="73"/>
      <c r="AH56" s="73"/>
      <c r="AI56" s="73"/>
      <c r="AJ56" s="73"/>
      <c r="AK56" s="73"/>
      <c r="AL56" s="73"/>
      <c r="AM56" s="73"/>
      <c r="AN56" s="73"/>
      <c r="AO56" s="73"/>
      <c r="AP56" s="73"/>
      <c r="AQ56" s="73"/>
      <c r="AR56" s="73"/>
      <c r="AS56" s="73"/>
      <c r="AT56" s="73"/>
      <c r="AU56" s="73"/>
      <c r="AV56" s="73"/>
      <c r="AW56" s="73"/>
      <c r="AX56" s="73"/>
      <c r="AY56" s="73"/>
      <c r="AZ56" s="73"/>
      <c r="BB56" s="103" t="s">
        <v>253</v>
      </c>
      <c r="BC56" s="1308" t="s">
        <v>422</v>
      </c>
      <c r="BD56" s="1303" t="str">
        <f t="shared" si="2"/>
        <v>[058]</v>
      </c>
      <c r="BE56" s="1298">
        <v>38</v>
      </c>
    </row>
    <row r="57" spans="7:76" ht="27.4" customHeight="1">
      <c r="G57" s="2238"/>
      <c r="H57" s="1284" t="s">
        <v>897</v>
      </c>
      <c r="W57" s="73"/>
      <c r="AA57" s="73"/>
      <c r="AB57" s="73"/>
      <c r="AD57" s="73"/>
      <c r="AE57" s="73"/>
      <c r="AF57" s="73"/>
      <c r="AG57" s="73"/>
      <c r="AH57" s="73"/>
      <c r="AI57" s="73"/>
      <c r="AJ57" s="73"/>
      <c r="AK57" s="73"/>
      <c r="AL57" s="73"/>
      <c r="AM57" s="73"/>
      <c r="AN57" s="73"/>
      <c r="AO57" s="73"/>
      <c r="AP57" s="73"/>
      <c r="AQ57" s="73"/>
      <c r="AR57" s="73"/>
      <c r="AS57" s="73"/>
      <c r="AT57" s="73"/>
      <c r="AU57" s="73"/>
      <c r="AV57" s="73"/>
      <c r="AW57" s="73"/>
      <c r="AX57" s="73"/>
      <c r="AY57" s="73"/>
      <c r="AZ57" s="73"/>
      <c r="BB57" s="103" t="s">
        <v>253</v>
      </c>
      <c r="BC57" s="1305" t="s">
        <v>901</v>
      </c>
      <c r="BD57" s="1303" t="str">
        <f t="shared" si="2"/>
        <v>[059]</v>
      </c>
      <c r="BE57" s="1304">
        <v>19</v>
      </c>
    </row>
    <row r="58" spans="7:76" ht="27.4" customHeight="1">
      <c r="G58" s="2239"/>
      <c r="H58" s="1286" t="s">
        <v>898</v>
      </c>
      <c r="W58" s="73"/>
      <c r="AA58" s="73"/>
      <c r="AB58" s="73"/>
      <c r="AD58" s="73"/>
      <c r="AE58" s="73"/>
      <c r="AF58" s="73"/>
      <c r="AG58" s="73"/>
      <c r="AH58" s="73"/>
      <c r="AI58" s="73"/>
      <c r="AJ58" s="73"/>
      <c r="AK58" s="73"/>
      <c r="AL58" s="73"/>
      <c r="AM58" s="73"/>
      <c r="AN58" s="73"/>
      <c r="AO58" s="73"/>
      <c r="AP58" s="73"/>
      <c r="AQ58" s="73"/>
      <c r="AR58" s="73"/>
      <c r="AS58" s="73"/>
      <c r="AT58" s="73"/>
      <c r="AU58" s="73"/>
      <c r="AV58" s="73"/>
      <c r="AW58" s="73"/>
      <c r="AX58" s="73"/>
      <c r="AY58" s="73"/>
      <c r="AZ58" s="73"/>
      <c r="BB58" s="103" t="s">
        <v>253</v>
      </c>
      <c r="BC58" s="1305" t="s">
        <v>902</v>
      </c>
      <c r="BD58" s="1303" t="str">
        <f>LEFT(BB58,3)&amp;MID(BC58,2,3)</f>
        <v>[0510]</v>
      </c>
      <c r="BE58" s="1304">
        <v>25</v>
      </c>
    </row>
    <row r="59" spans="7:76" ht="27.4" customHeight="1">
      <c r="G59" s="2237" t="s">
        <v>884</v>
      </c>
      <c r="H59" s="1252" t="s">
        <v>414</v>
      </c>
      <c r="W59" s="73"/>
      <c r="AA59" s="73"/>
      <c r="AB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B59" s="104" t="s">
        <v>253</v>
      </c>
      <c r="BC59" s="1305" t="s">
        <v>898</v>
      </c>
      <c r="BD59" s="1303" t="str">
        <f>LEFT(BB59,3)&amp;MID(BC59,2,3)</f>
        <v>[0511]</v>
      </c>
      <c r="BE59" s="1304">
        <v>31</v>
      </c>
    </row>
    <row r="60" spans="7:76" ht="27.4" customHeight="1">
      <c r="G60" s="2238"/>
      <c r="H60" s="1268" t="s">
        <v>415</v>
      </c>
      <c r="W60" s="73"/>
      <c r="AA60" s="73"/>
      <c r="AB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B60" s="1307" t="s">
        <v>254</v>
      </c>
      <c r="BC60" s="1308" t="s">
        <v>414</v>
      </c>
      <c r="BD60" s="1303" t="str">
        <f t="shared" si="2"/>
        <v>[061]</v>
      </c>
      <c r="BE60" s="1300">
        <v>17</v>
      </c>
    </row>
    <row r="61" spans="7:76" ht="27.4" customHeight="1">
      <c r="G61" s="2238"/>
      <c r="H61" s="1268" t="s">
        <v>416</v>
      </c>
      <c r="W61" s="73"/>
      <c r="AA61" s="73"/>
      <c r="AB61" s="73"/>
      <c r="AD61" s="73"/>
      <c r="AE61" s="73"/>
      <c r="AF61" s="73"/>
      <c r="AG61" s="73"/>
      <c r="AH61" s="73"/>
      <c r="AI61" s="73"/>
      <c r="AJ61" s="73"/>
      <c r="AK61" s="73"/>
      <c r="AL61" s="73"/>
      <c r="AM61" s="73"/>
      <c r="AN61" s="73"/>
      <c r="AO61" s="73"/>
      <c r="AP61" s="73"/>
      <c r="AQ61" s="73"/>
      <c r="AR61" s="73"/>
      <c r="AS61" s="73"/>
      <c r="AT61" s="73"/>
      <c r="AU61" s="73"/>
      <c r="AV61" s="73"/>
      <c r="AW61" s="73"/>
      <c r="AX61" s="73"/>
      <c r="AY61" s="73"/>
      <c r="AZ61" s="73"/>
      <c r="BB61" s="103" t="s">
        <v>254</v>
      </c>
      <c r="BC61" s="1308" t="s">
        <v>415</v>
      </c>
      <c r="BD61" s="1303" t="str">
        <f t="shared" si="2"/>
        <v>[062]</v>
      </c>
      <c r="BE61" s="1300">
        <v>17</v>
      </c>
    </row>
    <row r="62" spans="7:76" ht="27.4" customHeight="1">
      <c r="G62" s="2238"/>
      <c r="H62" s="1268" t="s">
        <v>869</v>
      </c>
      <c r="W62" s="73"/>
      <c r="AA62" s="73"/>
      <c r="AB62" s="73"/>
      <c r="AD62" s="73"/>
      <c r="AE62" s="73"/>
      <c r="AF62" s="73"/>
      <c r="AG62" s="73"/>
      <c r="AH62" s="73"/>
      <c r="AI62" s="73"/>
      <c r="AJ62" s="73"/>
      <c r="AK62" s="73"/>
      <c r="AL62" s="73"/>
      <c r="AM62" s="73"/>
      <c r="AN62" s="73"/>
      <c r="AO62" s="73"/>
      <c r="AP62" s="73"/>
      <c r="AQ62" s="73"/>
      <c r="AR62" s="73"/>
      <c r="AS62" s="73"/>
      <c r="AT62" s="73"/>
      <c r="AU62" s="73"/>
      <c r="AV62" s="73"/>
      <c r="AW62" s="73"/>
      <c r="AX62" s="73"/>
      <c r="AY62" s="73"/>
      <c r="AZ62" s="73"/>
      <c r="BB62" s="103" t="s">
        <v>254</v>
      </c>
      <c r="BC62" s="1318" t="s">
        <v>416</v>
      </c>
      <c r="BD62" s="1303" t="str">
        <f t="shared" si="2"/>
        <v>[063]</v>
      </c>
      <c r="BE62" s="1300">
        <v>38</v>
      </c>
    </row>
    <row r="63" spans="7:76" ht="27.4" customHeight="1">
      <c r="G63" s="2238"/>
      <c r="H63" s="1284" t="s">
        <v>419</v>
      </c>
      <c r="AA63" s="73"/>
      <c r="AB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B63" s="103" t="s">
        <v>254</v>
      </c>
      <c r="BC63" s="1318" t="s">
        <v>417</v>
      </c>
      <c r="BD63" s="1303" t="str">
        <f t="shared" si="2"/>
        <v>[064]</v>
      </c>
      <c r="BE63" s="1300">
        <v>34</v>
      </c>
    </row>
    <row r="64" spans="7:76" ht="27.4" customHeight="1">
      <c r="G64" s="2238"/>
      <c r="H64" s="1284" t="s">
        <v>422</v>
      </c>
      <c r="W64" s="73"/>
      <c r="AA64" s="73"/>
      <c r="AB64" s="73"/>
      <c r="AD64" s="73"/>
      <c r="AE64" s="73"/>
      <c r="AF64" s="73"/>
      <c r="AG64" s="73"/>
      <c r="AH64" s="73"/>
      <c r="AI64" s="73"/>
      <c r="AJ64" s="73"/>
      <c r="AK64" s="73"/>
      <c r="AL64" s="73"/>
      <c r="AM64" s="73"/>
      <c r="AN64" s="73"/>
      <c r="AO64" s="73"/>
      <c r="AP64" s="73"/>
      <c r="AQ64" s="73"/>
      <c r="AR64" s="73"/>
      <c r="AS64" s="73"/>
      <c r="AT64" s="73"/>
      <c r="AU64" s="73"/>
      <c r="AV64" s="73"/>
      <c r="AW64" s="73"/>
      <c r="AX64" s="73"/>
      <c r="AY64" s="73"/>
      <c r="AZ64" s="73"/>
      <c r="BB64" s="103" t="s">
        <v>254</v>
      </c>
      <c r="BC64" s="1308" t="s">
        <v>418</v>
      </c>
      <c r="BD64" s="1303" t="str">
        <f t="shared" si="2"/>
        <v>[065]</v>
      </c>
      <c r="BE64" s="1309">
        <v>19</v>
      </c>
    </row>
    <row r="65" spans="7:57" ht="27.4" customHeight="1">
      <c r="G65" s="2238"/>
      <c r="H65" s="1268" t="s">
        <v>896</v>
      </c>
      <c r="W65" s="73"/>
      <c r="AA65" s="73"/>
      <c r="AB65" s="73"/>
      <c r="AD65" s="73"/>
      <c r="AE65" s="73"/>
      <c r="AF65" s="73"/>
      <c r="AG65" s="73"/>
      <c r="AH65" s="73"/>
      <c r="AI65" s="73"/>
      <c r="AJ65" s="73"/>
      <c r="AK65" s="73"/>
      <c r="AL65" s="73"/>
      <c r="AM65" s="73"/>
      <c r="AN65" s="73"/>
      <c r="AO65" s="73"/>
      <c r="AP65" s="73"/>
      <c r="AQ65" s="73"/>
      <c r="AR65" s="73"/>
      <c r="AS65" s="73"/>
      <c r="AT65" s="73"/>
      <c r="AU65" s="73"/>
      <c r="AV65" s="73"/>
      <c r="AW65" s="73"/>
      <c r="AX65" s="73"/>
      <c r="AY65" s="73"/>
      <c r="AZ65" s="73"/>
      <c r="BB65" s="103" t="s">
        <v>254</v>
      </c>
      <c r="BC65" s="1318" t="s">
        <v>419</v>
      </c>
      <c r="BD65" s="1303" t="str">
        <f t="shared" si="2"/>
        <v>[066]</v>
      </c>
      <c r="BE65" s="1300">
        <v>15</v>
      </c>
    </row>
    <row r="66" spans="7:57" ht="27.4" customHeight="1">
      <c r="G66" s="2238"/>
      <c r="H66" s="1284" t="s">
        <v>897</v>
      </c>
      <c r="W66" s="73"/>
      <c r="AA66" s="73"/>
      <c r="AB66" s="73"/>
      <c r="AD66" s="73"/>
      <c r="AE66" s="73"/>
      <c r="AF66" s="73"/>
      <c r="AG66" s="73"/>
      <c r="AH66" s="73"/>
      <c r="AI66" s="73"/>
      <c r="AJ66" s="73"/>
      <c r="AK66" s="73"/>
      <c r="AL66" s="73"/>
      <c r="AM66" s="73"/>
      <c r="AN66" s="73"/>
      <c r="AO66" s="73"/>
      <c r="AP66" s="73"/>
      <c r="AQ66" s="73"/>
      <c r="AR66" s="73"/>
      <c r="AS66" s="73"/>
      <c r="AT66" s="73"/>
      <c r="AU66" s="73"/>
      <c r="AV66" s="73"/>
      <c r="AW66" s="73"/>
      <c r="AX66" s="73"/>
      <c r="AY66" s="73"/>
      <c r="AZ66" s="73"/>
      <c r="BB66" s="103" t="s">
        <v>254</v>
      </c>
      <c r="BC66" s="1308" t="s">
        <v>420</v>
      </c>
      <c r="BD66" s="1303" t="str">
        <f t="shared" si="2"/>
        <v>[067]</v>
      </c>
      <c r="BE66" s="1300" t="s">
        <v>421</v>
      </c>
    </row>
    <row r="67" spans="7:57" ht="27.4" customHeight="1">
      <c r="G67" s="2239"/>
      <c r="H67" s="1286" t="s">
        <v>898</v>
      </c>
      <c r="W67" s="73"/>
      <c r="AA67" s="73"/>
      <c r="AB67" s="73"/>
      <c r="AD67" s="73"/>
      <c r="AE67" s="73"/>
      <c r="AF67" s="73"/>
      <c r="AG67" s="73"/>
      <c r="AH67" s="73"/>
      <c r="AI67" s="73"/>
      <c r="AJ67" s="73"/>
      <c r="AK67" s="73"/>
      <c r="AL67" s="73"/>
      <c r="AM67" s="73"/>
      <c r="AN67" s="73"/>
      <c r="AO67" s="73"/>
      <c r="AP67" s="73"/>
      <c r="AQ67" s="73"/>
      <c r="AR67" s="73"/>
      <c r="AS67" s="73"/>
      <c r="AT67" s="73"/>
      <c r="AU67" s="73"/>
      <c r="AV67" s="73"/>
      <c r="AW67" s="73"/>
      <c r="AX67" s="73"/>
      <c r="AY67" s="73"/>
      <c r="AZ67" s="73"/>
      <c r="BB67" s="103" t="s">
        <v>254</v>
      </c>
      <c r="BC67" s="1308" t="s">
        <v>422</v>
      </c>
      <c r="BD67" s="1303" t="str">
        <f t="shared" si="2"/>
        <v>[068]</v>
      </c>
      <c r="BE67" s="1298">
        <v>38</v>
      </c>
    </row>
    <row r="68" spans="7:57" ht="27.4" customHeight="1">
      <c r="G68" s="2237" t="s">
        <v>885</v>
      </c>
      <c r="H68" s="1252" t="s">
        <v>414</v>
      </c>
      <c r="W68" s="73"/>
      <c r="AA68" s="73"/>
      <c r="AB68" s="73"/>
      <c r="AD68" s="73"/>
      <c r="AE68" s="73"/>
      <c r="AF68" s="73"/>
      <c r="AG68" s="73"/>
      <c r="AH68" s="73"/>
      <c r="AI68" s="73"/>
      <c r="AJ68" s="73"/>
      <c r="AK68" s="73"/>
      <c r="AL68" s="73"/>
      <c r="AM68" s="73"/>
      <c r="AN68" s="73"/>
      <c r="AO68" s="73"/>
      <c r="AP68" s="73"/>
      <c r="AQ68" s="73"/>
      <c r="AR68" s="73"/>
      <c r="AS68" s="73"/>
      <c r="AT68" s="73"/>
      <c r="AU68" s="73"/>
      <c r="AV68" s="73"/>
      <c r="AW68" s="73"/>
      <c r="AX68" s="73"/>
      <c r="AY68" s="73"/>
      <c r="AZ68" s="73"/>
      <c r="BB68" s="103" t="s">
        <v>254</v>
      </c>
      <c r="BC68" s="1305" t="s">
        <v>901</v>
      </c>
      <c r="BD68" s="1303" t="str">
        <f t="shared" si="2"/>
        <v>[069]</v>
      </c>
      <c r="BE68" s="1304">
        <v>19</v>
      </c>
    </row>
    <row r="69" spans="7:57" ht="27.4" customHeight="1">
      <c r="G69" s="2238"/>
      <c r="H69" s="1268" t="s">
        <v>415</v>
      </c>
      <c r="W69" s="73"/>
      <c r="AA69" s="73"/>
      <c r="AB69" s="73"/>
      <c r="AD69" s="73"/>
      <c r="AE69" s="73"/>
      <c r="AF69" s="73"/>
      <c r="AG69" s="73"/>
      <c r="AH69" s="73"/>
      <c r="AI69" s="73"/>
      <c r="AJ69" s="73"/>
      <c r="AK69" s="73"/>
      <c r="AL69" s="73"/>
      <c r="AM69" s="73"/>
      <c r="AN69" s="73"/>
      <c r="AO69" s="73"/>
      <c r="AP69" s="73"/>
      <c r="AQ69" s="73"/>
      <c r="AR69" s="73"/>
      <c r="AS69" s="73"/>
      <c r="AT69" s="73"/>
      <c r="AU69" s="73"/>
      <c r="AV69" s="73"/>
      <c r="AW69" s="73"/>
      <c r="AX69" s="73"/>
      <c r="AY69" s="73"/>
      <c r="AZ69" s="73"/>
      <c r="BB69" s="103" t="s">
        <v>254</v>
      </c>
      <c r="BC69" s="1305" t="s">
        <v>902</v>
      </c>
      <c r="BD69" s="1303" t="str">
        <f>LEFT(BB69,3)&amp;MID(BC69,2,3)</f>
        <v>[0610]</v>
      </c>
      <c r="BE69" s="1304">
        <v>25</v>
      </c>
    </row>
    <row r="70" spans="7:57" ht="27.4" customHeight="1">
      <c r="G70" s="2238"/>
      <c r="H70" s="1268" t="s">
        <v>416</v>
      </c>
      <c r="W70" s="73"/>
      <c r="AA70" s="73"/>
      <c r="AB70" s="73"/>
      <c r="AD70" s="73"/>
      <c r="AE70" s="73"/>
      <c r="AF70" s="73"/>
      <c r="AG70" s="73"/>
      <c r="AH70" s="73"/>
      <c r="AI70" s="73"/>
      <c r="AJ70" s="73"/>
      <c r="AK70" s="73"/>
      <c r="AL70" s="73"/>
      <c r="AM70" s="73"/>
      <c r="AN70" s="73"/>
      <c r="AO70" s="73"/>
      <c r="AP70" s="73"/>
      <c r="AQ70" s="73"/>
      <c r="AR70" s="73"/>
      <c r="AS70" s="73"/>
      <c r="AT70" s="73"/>
      <c r="AU70" s="73"/>
      <c r="AV70" s="73"/>
      <c r="AW70" s="73"/>
      <c r="AX70" s="73"/>
      <c r="AY70" s="73"/>
      <c r="AZ70" s="73"/>
      <c r="BB70" s="104" t="s">
        <v>254</v>
      </c>
      <c r="BC70" s="1305" t="s">
        <v>898</v>
      </c>
      <c r="BD70" s="1303" t="str">
        <f>LEFT(BB70,3)&amp;MID(BC70,2,3)</f>
        <v>[0611]</v>
      </c>
      <c r="BE70" s="1304">
        <v>31</v>
      </c>
    </row>
    <row r="71" spans="7:57" ht="27.4" customHeight="1">
      <c r="G71" s="2238"/>
      <c r="H71" s="1268" t="s">
        <v>869</v>
      </c>
      <c r="AA71" s="73"/>
      <c r="AB71" s="73"/>
      <c r="AD71" s="73"/>
      <c r="AE71" s="73"/>
      <c r="AF71" s="73"/>
      <c r="AG71" s="73"/>
      <c r="AH71" s="73"/>
      <c r="AI71" s="73"/>
      <c r="AJ71" s="73"/>
      <c r="AK71" s="73"/>
      <c r="AL71" s="73"/>
      <c r="AM71" s="73"/>
      <c r="AN71" s="73"/>
      <c r="AO71" s="73"/>
      <c r="AP71" s="73"/>
      <c r="AQ71" s="73"/>
      <c r="AR71" s="73"/>
      <c r="AS71" s="73"/>
      <c r="AT71" s="73"/>
      <c r="AU71" s="73"/>
      <c r="AV71" s="73"/>
      <c r="AW71" s="73"/>
      <c r="AX71" s="73"/>
      <c r="AY71" s="73"/>
      <c r="AZ71" s="73"/>
      <c r="BB71" s="1307" t="s">
        <v>255</v>
      </c>
      <c r="BC71" s="1308" t="s">
        <v>414</v>
      </c>
      <c r="BD71" s="1303" t="str">
        <f t="shared" si="2"/>
        <v>[071]</v>
      </c>
      <c r="BE71" s="1299">
        <v>15</v>
      </c>
    </row>
    <row r="72" spans="7:57" ht="27.4" customHeight="1">
      <c r="G72" s="2238"/>
      <c r="H72" s="1284" t="s">
        <v>419</v>
      </c>
      <c r="W72" s="73"/>
      <c r="AA72" s="73"/>
      <c r="AB72" s="73"/>
      <c r="AD72" s="73"/>
      <c r="AE72" s="73"/>
      <c r="AF72" s="73"/>
      <c r="AG72" s="73"/>
      <c r="AH72" s="73"/>
      <c r="AI72" s="73"/>
      <c r="AJ72" s="73"/>
      <c r="AK72" s="73"/>
      <c r="AL72" s="73"/>
      <c r="AM72" s="73"/>
      <c r="AN72" s="73"/>
      <c r="AO72" s="73"/>
      <c r="AP72" s="73"/>
      <c r="AQ72" s="73"/>
      <c r="AR72" s="73"/>
      <c r="AS72" s="73"/>
      <c r="AT72" s="73"/>
      <c r="AU72" s="73"/>
      <c r="AV72" s="73"/>
      <c r="AW72" s="73"/>
      <c r="AX72" s="73"/>
      <c r="AY72" s="73"/>
      <c r="AZ72" s="73"/>
      <c r="BB72" s="103" t="s">
        <v>255</v>
      </c>
      <c r="BC72" s="1308" t="s">
        <v>415</v>
      </c>
      <c r="BD72" s="1303" t="str">
        <f t="shared" si="2"/>
        <v>[072]</v>
      </c>
      <c r="BE72" s="1299">
        <v>15</v>
      </c>
    </row>
    <row r="73" spans="7:57" ht="27.4" customHeight="1">
      <c r="G73" s="2238"/>
      <c r="H73" s="1284" t="s">
        <v>422</v>
      </c>
      <c r="W73" s="73"/>
      <c r="AA73" s="73"/>
      <c r="AB73" s="73"/>
      <c r="AD73" s="73"/>
      <c r="AE73" s="73"/>
      <c r="AF73" s="73"/>
      <c r="AG73" s="73"/>
      <c r="AH73" s="73"/>
      <c r="AI73" s="73"/>
      <c r="AJ73" s="73"/>
      <c r="AK73" s="73"/>
      <c r="AL73" s="73"/>
      <c r="AM73" s="73"/>
      <c r="AN73" s="73"/>
      <c r="AO73" s="73"/>
      <c r="AP73" s="73"/>
      <c r="AQ73" s="73"/>
      <c r="AR73" s="73"/>
      <c r="AS73" s="73"/>
      <c r="AT73" s="73"/>
      <c r="AU73" s="73"/>
      <c r="AV73" s="73"/>
      <c r="AW73" s="73"/>
      <c r="AX73" s="73"/>
      <c r="AY73" s="73"/>
      <c r="AZ73" s="73"/>
      <c r="BB73" s="103" t="s">
        <v>255</v>
      </c>
      <c r="BC73" s="1318" t="s">
        <v>416</v>
      </c>
      <c r="BD73" s="1303" t="str">
        <f t="shared" si="2"/>
        <v>[073]</v>
      </c>
      <c r="BE73" s="1299">
        <v>38</v>
      </c>
    </row>
    <row r="74" spans="7:57" ht="27.4" customHeight="1">
      <c r="G74" s="2238"/>
      <c r="H74" s="1268" t="s">
        <v>896</v>
      </c>
      <c r="W74" s="73"/>
      <c r="AA74" s="73"/>
      <c r="AB74" s="73"/>
      <c r="AD74" s="73"/>
      <c r="AE74" s="73"/>
      <c r="AF74" s="73"/>
      <c r="AG74" s="73"/>
      <c r="AH74" s="73"/>
      <c r="AI74" s="73"/>
      <c r="AJ74" s="73"/>
      <c r="AK74" s="73"/>
      <c r="AL74" s="73"/>
      <c r="AM74" s="73"/>
      <c r="AN74" s="73"/>
      <c r="AO74" s="73"/>
      <c r="AP74" s="73"/>
      <c r="AQ74" s="73"/>
      <c r="AR74" s="73"/>
      <c r="AS74" s="73"/>
      <c r="AT74" s="73"/>
      <c r="AU74" s="73"/>
      <c r="AV74" s="73"/>
      <c r="AW74" s="73"/>
      <c r="AX74" s="73"/>
      <c r="AY74" s="73"/>
      <c r="AZ74" s="73"/>
      <c r="BB74" s="103" t="s">
        <v>255</v>
      </c>
      <c r="BC74" s="1318" t="s">
        <v>417</v>
      </c>
      <c r="BD74" s="1303" t="str">
        <f t="shared" si="2"/>
        <v>[074]</v>
      </c>
      <c r="BE74" s="1304">
        <v>34</v>
      </c>
    </row>
    <row r="75" spans="7:57" ht="27.4" customHeight="1">
      <c r="G75" s="2238"/>
      <c r="H75" s="1284" t="s">
        <v>897</v>
      </c>
      <c r="W75" s="73"/>
      <c r="AA75" s="73"/>
      <c r="AB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B75" s="103" t="s">
        <v>255</v>
      </c>
      <c r="BC75" s="1308" t="s">
        <v>418</v>
      </c>
      <c r="BD75" s="1303" t="str">
        <f t="shared" si="2"/>
        <v>[075]</v>
      </c>
      <c r="BE75" s="1306">
        <v>17</v>
      </c>
    </row>
    <row r="76" spans="7:57" ht="27.4" customHeight="1">
      <c r="G76" s="2239"/>
      <c r="H76" s="1286" t="s">
        <v>898</v>
      </c>
      <c r="W76" s="73"/>
      <c r="AA76" s="73"/>
      <c r="AB76" s="73"/>
      <c r="AD76" s="73"/>
      <c r="AE76" s="73"/>
      <c r="AF76" s="73"/>
      <c r="AG76" s="73"/>
      <c r="AH76" s="73"/>
      <c r="AI76" s="73"/>
      <c r="AJ76" s="73"/>
      <c r="AK76" s="73"/>
      <c r="AL76" s="73"/>
      <c r="AM76" s="73"/>
      <c r="AN76" s="73"/>
      <c r="AO76" s="73"/>
      <c r="AP76" s="73"/>
      <c r="AQ76" s="73"/>
      <c r="AR76" s="73"/>
      <c r="AS76" s="73"/>
      <c r="AT76" s="73"/>
      <c r="AU76" s="73"/>
      <c r="AV76" s="73"/>
      <c r="AW76" s="73"/>
      <c r="AX76" s="73"/>
      <c r="AY76" s="73"/>
      <c r="AZ76" s="73"/>
      <c r="BB76" s="103" t="s">
        <v>255</v>
      </c>
      <c r="BC76" s="1318" t="s">
        <v>419</v>
      </c>
      <c r="BD76" s="1303" t="str">
        <f t="shared" si="2"/>
        <v>[076]</v>
      </c>
      <c r="BE76" s="1304">
        <v>14</v>
      </c>
    </row>
    <row r="77" spans="7:57" ht="27.4" customHeight="1">
      <c r="G77" s="2237" t="s">
        <v>886</v>
      </c>
      <c r="H77" s="1252" t="s">
        <v>414</v>
      </c>
      <c r="W77" s="73"/>
      <c r="AA77" s="73"/>
      <c r="AB77" s="73"/>
      <c r="AD77" s="73"/>
      <c r="AE77" s="73"/>
      <c r="AF77" s="73"/>
      <c r="AG77" s="73"/>
      <c r="AH77" s="73"/>
      <c r="AI77" s="73"/>
      <c r="AJ77" s="73"/>
      <c r="AK77" s="73"/>
      <c r="AL77" s="73"/>
      <c r="AM77" s="73"/>
      <c r="AN77" s="73"/>
      <c r="AO77" s="73"/>
      <c r="AP77" s="73"/>
      <c r="AQ77" s="73"/>
      <c r="AR77" s="73"/>
      <c r="AS77" s="73"/>
      <c r="AT77" s="73"/>
      <c r="AU77" s="73"/>
      <c r="AV77" s="73"/>
      <c r="AW77" s="73"/>
      <c r="AX77" s="73"/>
      <c r="AY77" s="73"/>
      <c r="AZ77" s="73"/>
      <c r="BB77" s="103" t="s">
        <v>255</v>
      </c>
      <c r="BC77" s="1308" t="s">
        <v>420</v>
      </c>
      <c r="BD77" s="1303" t="str">
        <f t="shared" si="2"/>
        <v>[077]</v>
      </c>
      <c r="BE77" s="1304" t="s">
        <v>421</v>
      </c>
    </row>
    <row r="78" spans="7:57" ht="27.4" customHeight="1">
      <c r="G78" s="2238"/>
      <c r="H78" s="1268" t="s">
        <v>415</v>
      </c>
      <c r="W78" s="73"/>
      <c r="AA78" s="73"/>
      <c r="AB78" s="73"/>
      <c r="AD78" s="73"/>
      <c r="AE78" s="73"/>
      <c r="AF78" s="73"/>
      <c r="AG78" s="73"/>
      <c r="AH78" s="73"/>
      <c r="AI78" s="73"/>
      <c r="AJ78" s="73"/>
      <c r="AK78" s="73"/>
      <c r="AL78" s="73"/>
      <c r="AM78" s="73"/>
      <c r="AN78" s="73"/>
      <c r="AO78" s="73"/>
      <c r="AP78" s="73"/>
      <c r="AQ78" s="73"/>
      <c r="AR78" s="73"/>
      <c r="AS78" s="73"/>
      <c r="AT78" s="73"/>
      <c r="AU78" s="73"/>
      <c r="AV78" s="73"/>
      <c r="AW78" s="73"/>
      <c r="AX78" s="73"/>
      <c r="AY78" s="73"/>
      <c r="AZ78" s="73"/>
      <c r="BB78" s="103" t="s">
        <v>255</v>
      </c>
      <c r="BC78" s="1308" t="s">
        <v>422</v>
      </c>
      <c r="BD78" s="1303" t="str">
        <f t="shared" si="2"/>
        <v>[078]</v>
      </c>
      <c r="BE78" s="1298">
        <v>38</v>
      </c>
    </row>
    <row r="79" spans="7:57" ht="27.4" customHeight="1">
      <c r="G79" s="2238"/>
      <c r="H79" s="1268" t="s">
        <v>416</v>
      </c>
      <c r="W79" s="73"/>
      <c r="AA79" s="73"/>
      <c r="AB79" s="73"/>
      <c r="AD79" s="73"/>
      <c r="AE79" s="73"/>
      <c r="AF79" s="73"/>
      <c r="AG79" s="73"/>
      <c r="AH79" s="73"/>
      <c r="AI79" s="73"/>
      <c r="AJ79" s="73"/>
      <c r="AK79" s="73"/>
      <c r="AL79" s="73"/>
      <c r="AM79" s="73"/>
      <c r="AN79" s="73"/>
      <c r="AO79" s="73"/>
      <c r="AP79" s="73"/>
      <c r="AQ79" s="73"/>
      <c r="AR79" s="73"/>
      <c r="AS79" s="73"/>
      <c r="AT79" s="73"/>
      <c r="AU79" s="73"/>
      <c r="AV79" s="73"/>
      <c r="AW79" s="73"/>
      <c r="AX79" s="73"/>
      <c r="AY79" s="73"/>
      <c r="AZ79" s="73"/>
      <c r="BB79" s="103" t="s">
        <v>255</v>
      </c>
      <c r="BC79" s="1305" t="s">
        <v>901</v>
      </c>
      <c r="BD79" s="1303" t="str">
        <f t="shared" si="2"/>
        <v>[079]</v>
      </c>
      <c r="BE79" s="1304">
        <v>17</v>
      </c>
    </row>
    <row r="80" spans="7:57" ht="27.4" customHeight="1">
      <c r="G80" s="2238"/>
      <c r="H80" s="1268" t="s">
        <v>869</v>
      </c>
      <c r="W80" s="73"/>
      <c r="AA80" s="73"/>
      <c r="AB80" s="73"/>
      <c r="AD80" s="73"/>
      <c r="AE80" s="73"/>
      <c r="AF80" s="73"/>
      <c r="AG80" s="73"/>
      <c r="AH80" s="73"/>
      <c r="AI80" s="73"/>
      <c r="AJ80" s="73"/>
      <c r="AK80" s="73"/>
      <c r="AL80" s="73"/>
      <c r="AM80" s="73"/>
      <c r="AN80" s="73"/>
      <c r="AO80" s="73"/>
      <c r="AP80" s="73"/>
      <c r="AQ80" s="73"/>
      <c r="AR80" s="73"/>
      <c r="AS80" s="73"/>
      <c r="AT80" s="73"/>
      <c r="AU80" s="73"/>
      <c r="AV80" s="73"/>
      <c r="AW80" s="73"/>
      <c r="AX80" s="73"/>
      <c r="AY80" s="73"/>
      <c r="AZ80" s="73"/>
      <c r="BB80" s="103" t="s">
        <v>255</v>
      </c>
      <c r="BC80" s="1305" t="s">
        <v>902</v>
      </c>
      <c r="BD80" s="1303" t="str">
        <f>LEFT(BB80,3)&amp;MID(BC80,2,3)</f>
        <v>[0710]</v>
      </c>
      <c r="BE80" s="1300">
        <v>24</v>
      </c>
    </row>
    <row r="81" spans="7:57" ht="27.4" customHeight="1">
      <c r="G81" s="2238"/>
      <c r="H81" s="1284" t="s">
        <v>419</v>
      </c>
      <c r="W81" s="73"/>
      <c r="AA81" s="73"/>
      <c r="AB81" s="73"/>
      <c r="AD81" s="73"/>
      <c r="AE81" s="73"/>
      <c r="AF81" s="73"/>
      <c r="AG81" s="73"/>
      <c r="AH81" s="73"/>
      <c r="AI81" s="73"/>
      <c r="AJ81" s="73"/>
      <c r="AK81" s="73"/>
      <c r="AL81" s="73"/>
      <c r="AM81" s="73"/>
      <c r="AN81" s="73"/>
      <c r="AO81" s="73"/>
      <c r="AP81" s="73"/>
      <c r="AQ81" s="73"/>
      <c r="AR81" s="73"/>
      <c r="AS81" s="73"/>
      <c r="AT81" s="73"/>
      <c r="AU81" s="73"/>
      <c r="AV81" s="73"/>
      <c r="AW81" s="73"/>
      <c r="AX81" s="73"/>
      <c r="AY81" s="73"/>
      <c r="AZ81" s="73"/>
      <c r="BB81" s="104" t="s">
        <v>255</v>
      </c>
      <c r="BC81" s="1305" t="s">
        <v>898</v>
      </c>
      <c r="BD81" s="1303" t="str">
        <f>LEFT(BB81,3)&amp;MID(BC81,2,3)</f>
        <v>[0711]</v>
      </c>
      <c r="BE81" s="1300">
        <v>31</v>
      </c>
    </row>
    <row r="82" spans="7:57" ht="27.4" customHeight="1">
      <c r="G82" s="2238"/>
      <c r="H82" s="1284" t="s">
        <v>422</v>
      </c>
      <c r="W82" s="73"/>
      <c r="AA82" s="73"/>
      <c r="AB82" s="73"/>
      <c r="AD82" s="73"/>
      <c r="AE82" s="73"/>
      <c r="AF82" s="73"/>
      <c r="AG82" s="73"/>
      <c r="AH82" s="73"/>
      <c r="AI82" s="73"/>
      <c r="AJ82" s="73"/>
      <c r="AK82" s="73"/>
      <c r="AL82" s="73"/>
      <c r="AM82" s="73"/>
      <c r="AN82" s="73"/>
      <c r="AO82" s="73"/>
      <c r="AP82" s="73"/>
      <c r="AQ82" s="73"/>
      <c r="AR82" s="73"/>
      <c r="AS82" s="73"/>
      <c r="AT82" s="73"/>
      <c r="AU82" s="73"/>
      <c r="AV82" s="73"/>
      <c r="AW82" s="73"/>
      <c r="AX82" s="73"/>
      <c r="AY82" s="73"/>
      <c r="AZ82" s="73"/>
      <c r="BB82" s="1317" t="s">
        <v>423</v>
      </c>
      <c r="BC82" s="1308" t="s">
        <v>414</v>
      </c>
      <c r="BD82" s="1303" t="str">
        <f t="shared" si="2"/>
        <v>[081]</v>
      </c>
      <c r="BE82" s="1299">
        <v>17</v>
      </c>
    </row>
    <row r="83" spans="7:57" ht="27.4" customHeight="1">
      <c r="G83" s="2238"/>
      <c r="H83" s="1268" t="s">
        <v>896</v>
      </c>
      <c r="W83" s="73"/>
      <c r="AA83" s="73"/>
      <c r="AB83" s="73"/>
      <c r="AD83" s="73"/>
      <c r="AE83" s="73"/>
      <c r="AF83" s="73"/>
      <c r="AG83" s="73"/>
      <c r="AH83" s="73"/>
      <c r="AI83" s="73"/>
      <c r="AJ83" s="73"/>
      <c r="AK83" s="73"/>
      <c r="AL83" s="73"/>
      <c r="AM83" s="73"/>
      <c r="AN83" s="73"/>
      <c r="AO83" s="73"/>
      <c r="AP83" s="73"/>
      <c r="AQ83" s="73"/>
      <c r="AR83" s="73"/>
      <c r="AS83" s="73"/>
      <c r="AT83" s="73"/>
      <c r="AU83" s="73"/>
      <c r="AV83" s="73"/>
      <c r="AW83" s="73"/>
      <c r="AX83" s="73"/>
      <c r="AY83" s="73"/>
      <c r="AZ83" s="73"/>
      <c r="BB83" s="1275" t="s">
        <v>423</v>
      </c>
      <c r="BC83" s="1308" t="s">
        <v>415</v>
      </c>
      <c r="BD83" s="1303" t="str">
        <f t="shared" si="2"/>
        <v>[082]</v>
      </c>
      <c r="BE83" s="1299">
        <v>17</v>
      </c>
    </row>
    <row r="84" spans="7:57" ht="27.4" customHeight="1">
      <c r="G84" s="2238"/>
      <c r="H84" s="1284" t="s">
        <v>897</v>
      </c>
      <c r="W84" s="73"/>
      <c r="AA84" s="73"/>
      <c r="AB84" s="73"/>
      <c r="AD84" s="73"/>
      <c r="AE84" s="73"/>
      <c r="AF84" s="73"/>
      <c r="AG84" s="73"/>
      <c r="AH84" s="73"/>
      <c r="AI84" s="73"/>
      <c r="AJ84" s="73"/>
      <c r="AK84" s="73"/>
      <c r="AL84" s="73"/>
      <c r="AM84" s="73"/>
      <c r="AN84" s="73"/>
      <c r="AO84" s="73"/>
      <c r="AP84" s="73"/>
      <c r="AQ84" s="73"/>
      <c r="AR84" s="73"/>
      <c r="AS84" s="73"/>
      <c r="AT84" s="73"/>
      <c r="AU84" s="73"/>
      <c r="AV84" s="73"/>
      <c r="AW84" s="73"/>
      <c r="AX84" s="73"/>
      <c r="AY84" s="73"/>
      <c r="AZ84" s="73"/>
      <c r="BB84" s="1275" t="s">
        <v>423</v>
      </c>
      <c r="BC84" s="1318" t="s">
        <v>416</v>
      </c>
      <c r="BD84" s="1303" t="str">
        <f t="shared" si="2"/>
        <v>[083]</v>
      </c>
      <c r="BE84" s="1299">
        <v>38</v>
      </c>
    </row>
    <row r="85" spans="7:57" ht="27.4" customHeight="1">
      <c r="G85" s="2239"/>
      <c r="H85" s="1286" t="s">
        <v>898</v>
      </c>
      <c r="W85" s="73"/>
      <c r="AA85" s="73"/>
      <c r="AB85" s="73"/>
      <c r="AD85" s="73"/>
      <c r="AE85" s="73"/>
      <c r="AF85" s="73"/>
      <c r="AG85" s="73"/>
      <c r="AH85" s="73"/>
      <c r="AI85" s="73"/>
      <c r="AJ85" s="73"/>
      <c r="AK85" s="73"/>
      <c r="AL85" s="73"/>
      <c r="AM85" s="73"/>
      <c r="AN85" s="73"/>
      <c r="AO85" s="73"/>
      <c r="AP85" s="73"/>
      <c r="AQ85" s="73"/>
      <c r="AR85" s="73"/>
      <c r="AS85" s="73"/>
      <c r="AT85" s="73"/>
      <c r="AU85" s="73"/>
      <c r="AV85" s="73"/>
      <c r="AW85" s="73"/>
      <c r="AX85" s="73"/>
      <c r="AY85" s="73"/>
      <c r="AZ85" s="73"/>
      <c r="BB85" s="1275" t="s">
        <v>423</v>
      </c>
      <c r="BC85" s="1318" t="s">
        <v>417</v>
      </c>
      <c r="BD85" s="1303" t="str">
        <f t="shared" si="2"/>
        <v>[084]</v>
      </c>
      <c r="BE85" s="1304">
        <v>34</v>
      </c>
    </row>
    <row r="86" spans="7:57" ht="27.4" customHeight="1">
      <c r="G86" s="2237" t="s">
        <v>871</v>
      </c>
      <c r="H86" s="1296" t="s">
        <v>424</v>
      </c>
      <c r="W86" s="73"/>
      <c r="AA86" s="73"/>
      <c r="AB86" s="73"/>
      <c r="AD86" s="73"/>
      <c r="AE86" s="73"/>
      <c r="AF86" s="73"/>
      <c r="AG86" s="73"/>
      <c r="AH86" s="73"/>
      <c r="AI86" s="73"/>
      <c r="AJ86" s="73"/>
      <c r="AK86" s="73"/>
      <c r="AL86" s="73"/>
      <c r="AM86" s="73"/>
      <c r="AN86" s="73"/>
      <c r="AO86" s="73"/>
      <c r="AP86" s="73"/>
      <c r="AQ86" s="73"/>
      <c r="AR86" s="73"/>
      <c r="AS86" s="73"/>
      <c r="AT86" s="73"/>
      <c r="AU86" s="73"/>
      <c r="AV86" s="73"/>
      <c r="AW86" s="73"/>
      <c r="AX86" s="73"/>
      <c r="AY86" s="73"/>
      <c r="AZ86" s="73"/>
      <c r="BB86" s="1275" t="s">
        <v>423</v>
      </c>
      <c r="BC86" s="1308" t="s">
        <v>418</v>
      </c>
      <c r="BD86" s="1303" t="str">
        <f t="shared" si="2"/>
        <v>[085]</v>
      </c>
      <c r="BE86" s="1306">
        <v>19</v>
      </c>
    </row>
    <row r="87" spans="7:57" ht="27.4" customHeight="1">
      <c r="G87" s="2238"/>
      <c r="H87" s="1268" t="s">
        <v>472</v>
      </c>
      <c r="W87" s="73"/>
      <c r="AA87" s="73"/>
      <c r="AB87" s="73"/>
      <c r="AD87" s="73"/>
      <c r="AE87" s="73"/>
      <c r="AF87" s="73"/>
      <c r="AG87" s="73"/>
      <c r="AH87" s="73"/>
      <c r="AI87" s="73"/>
      <c r="AJ87" s="73"/>
      <c r="AK87" s="73"/>
      <c r="AL87" s="73"/>
      <c r="AM87" s="73"/>
      <c r="AN87" s="73"/>
      <c r="AO87" s="73"/>
      <c r="AP87" s="73"/>
      <c r="AQ87" s="73"/>
      <c r="AR87" s="73"/>
      <c r="AS87" s="73"/>
      <c r="AT87" s="73"/>
      <c r="AU87" s="73"/>
      <c r="AV87" s="73"/>
      <c r="AW87" s="73"/>
      <c r="AX87" s="73"/>
      <c r="AY87" s="73"/>
      <c r="AZ87" s="73"/>
      <c r="BB87" s="1275" t="s">
        <v>423</v>
      </c>
      <c r="BC87" s="1318" t="s">
        <v>419</v>
      </c>
      <c r="BD87" s="1303" t="str">
        <f t="shared" si="2"/>
        <v>[086]</v>
      </c>
      <c r="BE87" s="1304">
        <v>15</v>
      </c>
    </row>
    <row r="88" spans="7:57" ht="27.4" customHeight="1">
      <c r="G88" s="2239"/>
      <c r="H88" s="1297" t="s">
        <v>474</v>
      </c>
      <c r="W88" s="73"/>
      <c r="AA88" s="73"/>
      <c r="AB88" s="73"/>
      <c r="AD88" s="73"/>
      <c r="AE88" s="73"/>
      <c r="AF88" s="73"/>
      <c r="AG88" s="73"/>
      <c r="AH88" s="73"/>
      <c r="AI88" s="73"/>
      <c r="AJ88" s="73"/>
      <c r="AK88" s="73"/>
      <c r="AL88" s="73"/>
      <c r="AM88" s="73"/>
      <c r="AN88" s="73"/>
      <c r="AO88" s="73"/>
      <c r="AP88" s="73"/>
      <c r="AQ88" s="73"/>
      <c r="AR88" s="73"/>
      <c r="AS88" s="73"/>
      <c r="AT88" s="73"/>
      <c r="AU88" s="73"/>
      <c r="AV88" s="73"/>
      <c r="AW88" s="73"/>
      <c r="AX88" s="73"/>
      <c r="AY88" s="73"/>
      <c r="AZ88" s="73"/>
      <c r="BB88" s="1275" t="s">
        <v>423</v>
      </c>
      <c r="BC88" s="1308" t="s">
        <v>420</v>
      </c>
      <c r="BD88" s="1303" t="str">
        <f t="shared" si="2"/>
        <v>[087]</v>
      </c>
      <c r="BE88" s="1304" t="s">
        <v>421</v>
      </c>
    </row>
    <row r="89" spans="7:57" ht="27.4" customHeight="1">
      <c r="G89" s="2237" t="s">
        <v>887</v>
      </c>
      <c r="H89" s="1296" t="s">
        <v>470</v>
      </c>
      <c r="W89" s="73"/>
      <c r="AA89" s="73"/>
      <c r="AB89" s="73"/>
      <c r="AD89" s="73"/>
      <c r="AE89" s="73"/>
      <c r="AF89" s="73"/>
      <c r="AG89" s="73"/>
      <c r="AH89" s="73"/>
      <c r="AI89" s="73"/>
      <c r="AJ89" s="73"/>
      <c r="AK89" s="73"/>
      <c r="AL89" s="73"/>
      <c r="AM89" s="73"/>
      <c r="AN89" s="73"/>
      <c r="AO89" s="73"/>
      <c r="AP89" s="73"/>
      <c r="AQ89" s="73"/>
      <c r="AR89" s="73"/>
      <c r="AS89" s="73"/>
      <c r="AT89" s="73"/>
      <c r="AU89" s="73"/>
      <c r="AV89" s="73"/>
      <c r="AW89" s="73"/>
      <c r="AX89" s="73"/>
      <c r="AY89" s="73"/>
      <c r="AZ89" s="73"/>
      <c r="BB89" s="1275" t="s">
        <v>423</v>
      </c>
      <c r="BC89" s="1308" t="s">
        <v>422</v>
      </c>
      <c r="BD89" s="1303" t="str">
        <f t="shared" si="2"/>
        <v>[088]</v>
      </c>
      <c r="BE89" s="1298">
        <v>38</v>
      </c>
    </row>
    <row r="90" spans="7:57" ht="27.4" customHeight="1">
      <c r="G90" s="2238"/>
      <c r="H90" s="1284" t="s">
        <v>424</v>
      </c>
      <c r="W90" s="73"/>
      <c r="AA90" s="73"/>
      <c r="AB90" s="73"/>
      <c r="AD90" s="73"/>
      <c r="AE90" s="73"/>
      <c r="AF90" s="73"/>
      <c r="AG90" s="73"/>
      <c r="AH90" s="73"/>
      <c r="AI90" s="73"/>
      <c r="AJ90" s="73"/>
      <c r="AK90" s="73"/>
      <c r="AL90" s="73"/>
      <c r="AM90" s="73"/>
      <c r="AN90" s="73"/>
      <c r="AO90" s="73"/>
      <c r="AP90" s="73"/>
      <c r="AQ90" s="73"/>
      <c r="AR90" s="73"/>
      <c r="AS90" s="73"/>
      <c r="AT90" s="73"/>
      <c r="AU90" s="73"/>
      <c r="AV90" s="73"/>
      <c r="AW90" s="73"/>
      <c r="AX90" s="73"/>
      <c r="AY90" s="73"/>
      <c r="AZ90" s="73"/>
      <c r="BB90" s="1275" t="s">
        <v>423</v>
      </c>
      <c r="BC90" s="1305" t="s">
        <v>901</v>
      </c>
      <c r="BD90" s="1303" t="str">
        <f t="shared" si="2"/>
        <v>[089]</v>
      </c>
      <c r="BE90" s="1304">
        <v>19</v>
      </c>
    </row>
    <row r="91" spans="7:57" ht="27.4" customHeight="1">
      <c r="G91" s="2238"/>
      <c r="H91" s="1284" t="s">
        <v>471</v>
      </c>
      <c r="W91" s="73"/>
      <c r="AA91" s="73"/>
      <c r="AB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B91" s="1275" t="s">
        <v>423</v>
      </c>
      <c r="BC91" s="1305" t="s">
        <v>902</v>
      </c>
      <c r="BD91" s="1303" t="str">
        <f>LEFT(BB91,3)&amp;MID(BC91,2,3)</f>
        <v>[0810]</v>
      </c>
      <c r="BE91" s="1304">
        <v>25</v>
      </c>
    </row>
    <row r="92" spans="7:57" ht="27.4" customHeight="1">
      <c r="G92" s="2238"/>
      <c r="H92" s="1268" t="s">
        <v>472</v>
      </c>
      <c r="W92" s="73"/>
      <c r="AA92" s="73"/>
      <c r="AB92" s="73"/>
      <c r="AD92" s="73"/>
      <c r="AE92" s="73"/>
      <c r="AF92" s="73"/>
      <c r="AG92" s="73"/>
      <c r="AH92" s="73"/>
      <c r="AI92" s="73"/>
      <c r="AJ92" s="73"/>
      <c r="AK92" s="73"/>
      <c r="AL92" s="73"/>
      <c r="AM92" s="73"/>
      <c r="AN92" s="73"/>
      <c r="AO92" s="73"/>
      <c r="AP92" s="73"/>
      <c r="AQ92" s="73"/>
      <c r="AR92" s="73"/>
      <c r="AS92" s="73"/>
      <c r="AT92" s="73"/>
      <c r="AU92" s="73"/>
      <c r="AV92" s="73"/>
      <c r="AW92" s="73"/>
      <c r="AX92" s="73"/>
      <c r="AY92" s="73"/>
      <c r="AZ92" s="73"/>
      <c r="BB92" s="1290" t="s">
        <v>423</v>
      </c>
      <c r="BC92" s="1305" t="s">
        <v>898</v>
      </c>
      <c r="BD92" s="1303" t="str">
        <f>LEFT(BB92,3)&amp;MID(BC92,2,3)</f>
        <v>[0811]</v>
      </c>
      <c r="BE92" s="1304">
        <v>31</v>
      </c>
    </row>
    <row r="93" spans="7:57" ht="27.4" customHeight="1">
      <c r="G93" s="2239"/>
      <c r="H93" s="1297" t="s">
        <v>474</v>
      </c>
      <c r="W93" s="73"/>
      <c r="AA93" s="73"/>
      <c r="AB93" s="73"/>
      <c r="AD93" s="73"/>
      <c r="AE93" s="73"/>
      <c r="AF93" s="73"/>
      <c r="AG93" s="73"/>
      <c r="AH93" s="73"/>
      <c r="AI93" s="73"/>
      <c r="AJ93" s="73"/>
      <c r="AK93" s="73"/>
      <c r="AL93" s="73"/>
      <c r="AM93" s="73"/>
      <c r="AN93" s="73"/>
      <c r="AO93" s="73"/>
      <c r="AP93" s="73"/>
      <c r="AQ93" s="73"/>
      <c r="AR93" s="73"/>
      <c r="AS93" s="73"/>
      <c r="AT93" s="73"/>
      <c r="AU93" s="73"/>
      <c r="AV93" s="73"/>
      <c r="AW93" s="73"/>
      <c r="AX93" s="73"/>
      <c r="AY93" s="73"/>
      <c r="AZ93" s="73"/>
      <c r="BB93" s="1317" t="s">
        <v>257</v>
      </c>
      <c r="BC93" s="1308" t="s">
        <v>414</v>
      </c>
      <c r="BD93" s="1303" t="str">
        <f t="shared" si="2"/>
        <v>[091]</v>
      </c>
      <c r="BE93" s="1299">
        <v>17</v>
      </c>
    </row>
    <row r="94" spans="7:57" ht="27.4" customHeight="1">
      <c r="G94" s="2237" t="s">
        <v>888</v>
      </c>
      <c r="H94" s="1296" t="s">
        <v>470</v>
      </c>
      <c r="W94" s="73"/>
      <c r="AA94" s="73"/>
      <c r="AB94" s="73"/>
      <c r="AD94" s="73"/>
      <c r="AE94" s="73"/>
      <c r="AF94" s="73"/>
      <c r="AG94" s="73"/>
      <c r="AH94" s="73"/>
      <c r="AI94" s="73"/>
      <c r="AJ94" s="73"/>
      <c r="AK94" s="73"/>
      <c r="AL94" s="73"/>
      <c r="AM94" s="73"/>
      <c r="AN94" s="73"/>
      <c r="AO94" s="73"/>
      <c r="AP94" s="73"/>
      <c r="AQ94" s="73"/>
      <c r="AR94" s="73"/>
      <c r="AS94" s="73"/>
      <c r="AT94" s="73"/>
      <c r="AU94" s="73"/>
      <c r="AV94" s="73"/>
      <c r="AW94" s="73"/>
      <c r="AX94" s="73"/>
      <c r="AY94" s="73"/>
      <c r="AZ94" s="73"/>
      <c r="BB94" s="1275" t="s">
        <v>257</v>
      </c>
      <c r="BC94" s="1308" t="s">
        <v>415</v>
      </c>
      <c r="BD94" s="1303" t="str">
        <f t="shared" ref="BD94:BD157" si="3">LEFT(BB94,3)&amp;MID(BC94,2,2)</f>
        <v>[092]</v>
      </c>
      <c r="BE94" s="1299">
        <v>17</v>
      </c>
    </row>
    <row r="95" spans="7:57" ht="27.4" customHeight="1">
      <c r="G95" s="2238"/>
      <c r="H95" s="1284" t="s">
        <v>424</v>
      </c>
      <c r="W95" s="73"/>
      <c r="AA95" s="73"/>
      <c r="AB95" s="73"/>
      <c r="AD95" s="73"/>
      <c r="AE95" s="73"/>
      <c r="AF95" s="73"/>
      <c r="AG95" s="73"/>
      <c r="AH95" s="73"/>
      <c r="AI95" s="73"/>
      <c r="AJ95" s="73"/>
      <c r="AK95" s="73"/>
      <c r="AL95" s="73"/>
      <c r="AM95" s="73"/>
      <c r="AN95" s="73"/>
      <c r="AO95" s="73"/>
      <c r="AP95" s="73"/>
      <c r="AQ95" s="73"/>
      <c r="AR95" s="73"/>
      <c r="AS95" s="73"/>
      <c r="AT95" s="73"/>
      <c r="AU95" s="73"/>
      <c r="AV95" s="73"/>
      <c r="AW95" s="73"/>
      <c r="AX95" s="73"/>
      <c r="AY95" s="73"/>
      <c r="AZ95" s="73"/>
      <c r="BB95" s="1275" t="s">
        <v>257</v>
      </c>
      <c r="BC95" s="1318" t="s">
        <v>416</v>
      </c>
      <c r="BD95" s="1303" t="str">
        <f t="shared" si="3"/>
        <v>[093]</v>
      </c>
      <c r="BE95" s="1299">
        <v>38</v>
      </c>
    </row>
    <row r="96" spans="7:57" ht="27.4" customHeight="1">
      <c r="G96" s="2238"/>
      <c r="H96" s="1284" t="s">
        <v>471</v>
      </c>
      <c r="W96" s="73"/>
      <c r="AA96" s="73"/>
      <c r="AB96" s="73"/>
      <c r="AD96" s="73"/>
      <c r="AE96" s="73"/>
      <c r="AF96" s="73"/>
      <c r="AG96" s="73"/>
      <c r="AH96" s="73"/>
      <c r="AI96" s="73"/>
      <c r="AJ96" s="73"/>
      <c r="AK96" s="73"/>
      <c r="AL96" s="73"/>
      <c r="AM96" s="73"/>
      <c r="AN96" s="73"/>
      <c r="AO96" s="73"/>
      <c r="AP96" s="73"/>
      <c r="AQ96" s="73"/>
      <c r="AR96" s="73"/>
      <c r="AS96" s="73"/>
      <c r="AT96" s="73"/>
      <c r="AU96" s="73"/>
      <c r="AV96" s="73"/>
      <c r="AW96" s="73"/>
      <c r="AX96" s="73"/>
      <c r="AY96" s="73"/>
      <c r="AZ96" s="73"/>
      <c r="BB96" s="1275" t="s">
        <v>257</v>
      </c>
      <c r="BC96" s="1318" t="s">
        <v>417</v>
      </c>
      <c r="BD96" s="1303" t="str">
        <f t="shared" si="3"/>
        <v>[094]</v>
      </c>
      <c r="BE96" s="1304">
        <v>34</v>
      </c>
    </row>
    <row r="97" spans="7:57" ht="27.4" customHeight="1">
      <c r="G97" s="2238"/>
      <c r="H97" s="1268" t="s">
        <v>472</v>
      </c>
      <c r="W97" s="73"/>
      <c r="AA97" s="73"/>
      <c r="AB97" s="73"/>
      <c r="AD97" s="73"/>
      <c r="AE97" s="73"/>
      <c r="AF97" s="73"/>
      <c r="AG97" s="73"/>
      <c r="AH97" s="73"/>
      <c r="AI97" s="73"/>
      <c r="AJ97" s="73"/>
      <c r="AK97" s="73"/>
      <c r="AL97" s="73"/>
      <c r="AM97" s="73"/>
      <c r="AN97" s="73"/>
      <c r="AO97" s="73"/>
      <c r="AP97" s="73"/>
      <c r="AQ97" s="73"/>
      <c r="AR97" s="73"/>
      <c r="AS97" s="73"/>
      <c r="AT97" s="73"/>
      <c r="AU97" s="73"/>
      <c r="AV97" s="73"/>
      <c r="AW97" s="73"/>
      <c r="AX97" s="73"/>
      <c r="AY97" s="73"/>
      <c r="AZ97" s="73"/>
      <c r="BB97" s="1275" t="s">
        <v>257</v>
      </c>
      <c r="BC97" s="1308" t="s">
        <v>418</v>
      </c>
      <c r="BD97" s="1303" t="str">
        <f t="shared" si="3"/>
        <v>[095]</v>
      </c>
      <c r="BE97" s="1306">
        <v>19</v>
      </c>
    </row>
    <row r="98" spans="7:57" ht="27.4" customHeight="1">
      <c r="G98" s="2239"/>
      <c r="H98" s="1297" t="s">
        <v>474</v>
      </c>
      <c r="W98" s="73"/>
      <c r="AA98" s="73"/>
      <c r="AB98" s="73"/>
      <c r="AD98" s="73"/>
      <c r="AE98" s="73"/>
      <c r="AF98" s="73"/>
      <c r="AG98" s="73"/>
      <c r="AH98" s="73"/>
      <c r="AI98" s="73"/>
      <c r="AJ98" s="73"/>
      <c r="AK98" s="73"/>
      <c r="AL98" s="73"/>
      <c r="AM98" s="73"/>
      <c r="AN98" s="73"/>
      <c r="AO98" s="73"/>
      <c r="AP98" s="73"/>
      <c r="AQ98" s="73"/>
      <c r="AR98" s="73"/>
      <c r="AS98" s="73"/>
      <c r="AT98" s="73"/>
      <c r="AU98" s="73"/>
      <c r="AV98" s="73"/>
      <c r="AW98" s="73"/>
      <c r="AX98" s="73"/>
      <c r="AY98" s="73"/>
      <c r="AZ98" s="73"/>
      <c r="BB98" s="1275" t="s">
        <v>257</v>
      </c>
      <c r="BC98" s="1318" t="s">
        <v>419</v>
      </c>
      <c r="BD98" s="1303" t="str">
        <f t="shared" si="3"/>
        <v>[096]</v>
      </c>
      <c r="BE98" s="1304">
        <v>15</v>
      </c>
    </row>
    <row r="99" spans="7:57" ht="27.4" customHeight="1">
      <c r="G99" s="2237" t="s">
        <v>889</v>
      </c>
      <c r="H99" s="1296" t="s">
        <v>470</v>
      </c>
      <c r="W99" s="73"/>
      <c r="AA99" s="73"/>
      <c r="AB99" s="73"/>
      <c r="AD99" s="73"/>
      <c r="AE99" s="73"/>
      <c r="AF99" s="73"/>
      <c r="AG99" s="73"/>
      <c r="AH99" s="73"/>
      <c r="AI99" s="73"/>
      <c r="AJ99" s="73"/>
      <c r="AK99" s="73"/>
      <c r="AL99" s="73"/>
      <c r="AM99" s="73"/>
      <c r="AN99" s="73"/>
      <c r="AO99" s="73"/>
      <c r="AP99" s="73"/>
      <c r="AQ99" s="73"/>
      <c r="AR99" s="73"/>
      <c r="AS99" s="73"/>
      <c r="AT99" s="73"/>
      <c r="AU99" s="73"/>
      <c r="AV99" s="73"/>
      <c r="AW99" s="73"/>
      <c r="AX99" s="73"/>
      <c r="AY99" s="73"/>
      <c r="AZ99" s="73"/>
      <c r="BB99" s="1275" t="s">
        <v>257</v>
      </c>
      <c r="BC99" s="1308" t="s">
        <v>420</v>
      </c>
      <c r="BD99" s="1303" t="str">
        <f t="shared" si="3"/>
        <v>[097]</v>
      </c>
      <c r="BE99" s="1304" t="s">
        <v>421</v>
      </c>
    </row>
    <row r="100" spans="7:57" ht="27.4" customHeight="1">
      <c r="G100" s="2238"/>
      <c r="H100" s="1284" t="s">
        <v>424</v>
      </c>
      <c r="W100" s="73"/>
      <c r="AA100" s="73"/>
      <c r="AB100" s="73"/>
      <c r="AD100" s="73"/>
      <c r="AE100" s="73"/>
      <c r="AF100" s="73"/>
      <c r="AG100" s="73"/>
      <c r="AH100" s="73"/>
      <c r="AI100" s="73"/>
      <c r="AJ100" s="73"/>
      <c r="AK100" s="73"/>
      <c r="AL100" s="73"/>
      <c r="AM100" s="73"/>
      <c r="AN100" s="73"/>
      <c r="AO100" s="73"/>
      <c r="AP100" s="73"/>
      <c r="AQ100" s="73"/>
      <c r="AR100" s="73"/>
      <c r="AS100" s="73"/>
      <c r="AT100" s="73"/>
      <c r="AU100" s="73"/>
      <c r="AV100" s="73"/>
      <c r="AW100" s="73"/>
      <c r="AX100" s="73"/>
      <c r="AY100" s="73"/>
      <c r="AZ100" s="73"/>
      <c r="BB100" s="1275" t="s">
        <v>257</v>
      </c>
      <c r="BC100" s="1308" t="s">
        <v>422</v>
      </c>
      <c r="BD100" s="1303" t="str">
        <f t="shared" si="3"/>
        <v>[098]</v>
      </c>
      <c r="BE100" s="1298">
        <v>38</v>
      </c>
    </row>
    <row r="101" spans="7:57" ht="27.4" customHeight="1">
      <c r="G101" s="2238"/>
      <c r="H101" s="1284" t="s">
        <v>471</v>
      </c>
      <c r="W101" s="73"/>
      <c r="AA101" s="73"/>
      <c r="AB101" s="73"/>
      <c r="AD101" s="73"/>
      <c r="AE101" s="73"/>
      <c r="AF101" s="73"/>
      <c r="AG101" s="73"/>
      <c r="AH101" s="73"/>
      <c r="AI101" s="73"/>
      <c r="AJ101" s="73"/>
      <c r="AK101" s="73"/>
      <c r="AL101" s="73"/>
      <c r="AM101" s="73"/>
      <c r="AN101" s="73"/>
      <c r="AO101" s="73"/>
      <c r="AP101" s="73"/>
      <c r="AQ101" s="73"/>
      <c r="AR101" s="73"/>
      <c r="AS101" s="73"/>
      <c r="AT101" s="73"/>
      <c r="AU101" s="73"/>
      <c r="AV101" s="73"/>
      <c r="AW101" s="73"/>
      <c r="AX101" s="73"/>
      <c r="AY101" s="73"/>
      <c r="AZ101" s="73"/>
      <c r="BB101" s="1275" t="s">
        <v>257</v>
      </c>
      <c r="BC101" s="1305" t="s">
        <v>901</v>
      </c>
      <c r="BD101" s="1303" t="str">
        <f t="shared" si="3"/>
        <v>[099]</v>
      </c>
      <c r="BE101" s="1304">
        <v>19</v>
      </c>
    </row>
    <row r="102" spans="7:57" ht="27.4" customHeight="1">
      <c r="G102" s="2238"/>
      <c r="H102" s="1268" t="s">
        <v>472</v>
      </c>
      <c r="W102" s="73"/>
      <c r="AA102" s="73"/>
      <c r="AB102" s="73"/>
      <c r="AD102" s="73"/>
      <c r="AE102" s="73"/>
      <c r="AF102" s="73"/>
      <c r="AG102" s="73"/>
      <c r="AH102" s="73"/>
      <c r="AI102" s="73"/>
      <c r="AJ102" s="73"/>
      <c r="AK102" s="73"/>
      <c r="AL102" s="73"/>
      <c r="AM102" s="73"/>
      <c r="AN102" s="73"/>
      <c r="AO102" s="73"/>
      <c r="AP102" s="73"/>
      <c r="AQ102" s="73"/>
      <c r="AR102" s="73"/>
      <c r="AS102" s="73"/>
      <c r="AT102" s="73"/>
      <c r="AU102" s="73"/>
      <c r="AV102" s="73"/>
      <c r="AW102" s="73"/>
      <c r="AX102" s="73"/>
      <c r="AY102" s="73"/>
      <c r="AZ102" s="73"/>
      <c r="BB102" s="1275" t="s">
        <v>257</v>
      </c>
      <c r="BC102" s="1305" t="s">
        <v>902</v>
      </c>
      <c r="BD102" s="1303" t="str">
        <f>LEFT(BB102,3)&amp;MID(BC102,2,3)</f>
        <v>[0910]</v>
      </c>
      <c r="BE102" s="1304">
        <v>25</v>
      </c>
    </row>
    <row r="103" spans="7:57" ht="27.4" customHeight="1">
      <c r="G103" s="2239"/>
      <c r="H103" s="1297" t="s">
        <v>474</v>
      </c>
      <c r="W103" s="73"/>
      <c r="AA103" s="73"/>
      <c r="AB103" s="73"/>
      <c r="AD103" s="73"/>
      <c r="AE103" s="73"/>
      <c r="AF103" s="73"/>
      <c r="AG103" s="73"/>
      <c r="AH103" s="73"/>
      <c r="AI103" s="73"/>
      <c r="AJ103" s="73"/>
      <c r="AK103" s="73"/>
      <c r="AL103" s="73"/>
      <c r="AM103" s="73"/>
      <c r="AN103" s="73"/>
      <c r="AO103" s="73"/>
      <c r="AP103" s="73"/>
      <c r="AQ103" s="73"/>
      <c r="AR103" s="73"/>
      <c r="AS103" s="73"/>
      <c r="AT103" s="73"/>
      <c r="AU103" s="73"/>
      <c r="AV103" s="73"/>
      <c r="AW103" s="73"/>
      <c r="AX103" s="73"/>
      <c r="AY103" s="73"/>
      <c r="AZ103" s="73"/>
      <c r="BB103" s="1290" t="s">
        <v>257</v>
      </c>
      <c r="BC103" s="1305" t="s">
        <v>898</v>
      </c>
      <c r="BD103" s="1303" t="str">
        <f>LEFT(BB103,3)&amp;MID(BC103,2,3)</f>
        <v>[0911]</v>
      </c>
      <c r="BE103" s="1304">
        <v>31</v>
      </c>
    </row>
    <row r="104" spans="7:57" ht="27.4" customHeight="1">
      <c r="G104" s="2237" t="s">
        <v>876</v>
      </c>
      <c r="H104" s="1296" t="s">
        <v>424</v>
      </c>
      <c r="W104" s="73"/>
      <c r="AA104" s="73"/>
      <c r="AB104" s="73"/>
      <c r="AD104" s="73"/>
      <c r="AE104" s="73"/>
      <c r="AF104" s="73"/>
      <c r="AG104" s="73"/>
      <c r="AH104" s="73"/>
      <c r="AI104" s="73"/>
      <c r="AJ104" s="73"/>
      <c r="AK104" s="73"/>
      <c r="AL104" s="73"/>
      <c r="AM104" s="73"/>
      <c r="AN104" s="73"/>
      <c r="AO104" s="73"/>
      <c r="AP104" s="73"/>
      <c r="AQ104" s="73"/>
      <c r="AR104" s="73"/>
      <c r="AS104" s="73"/>
      <c r="AT104" s="73"/>
      <c r="AU104" s="73"/>
      <c r="AV104" s="73"/>
      <c r="AW104" s="73"/>
      <c r="AX104" s="73"/>
      <c r="AY104" s="73"/>
      <c r="AZ104" s="73"/>
      <c r="BB104" s="1317" t="s">
        <v>258</v>
      </c>
      <c r="BC104" s="1308" t="s">
        <v>414</v>
      </c>
      <c r="BD104" s="1303" t="str">
        <f t="shared" si="3"/>
        <v>[101]</v>
      </c>
      <c r="BE104" s="1299">
        <v>15</v>
      </c>
    </row>
    <row r="105" spans="7:57" ht="27.4" customHeight="1">
      <c r="G105" s="2238"/>
      <c r="H105" s="1284" t="s">
        <v>471</v>
      </c>
      <c r="W105" s="73"/>
      <c r="AA105" s="73"/>
      <c r="AB105" s="73"/>
      <c r="AD105" s="73"/>
      <c r="AE105" s="73"/>
      <c r="AF105" s="73"/>
      <c r="AG105" s="73"/>
      <c r="AH105" s="73"/>
      <c r="AI105" s="73"/>
      <c r="AJ105" s="73"/>
      <c r="AK105" s="73"/>
      <c r="AL105" s="73"/>
      <c r="AM105" s="73"/>
      <c r="AN105" s="73"/>
      <c r="AO105" s="73"/>
      <c r="AP105" s="73"/>
      <c r="AQ105" s="73"/>
      <c r="AR105" s="73"/>
      <c r="AS105" s="73"/>
      <c r="AT105" s="73"/>
      <c r="AU105" s="73"/>
      <c r="AV105" s="73"/>
      <c r="AW105" s="73"/>
      <c r="AX105" s="73"/>
      <c r="AY105" s="73"/>
      <c r="AZ105" s="73"/>
      <c r="BB105" s="1275" t="s">
        <v>258</v>
      </c>
      <c r="BC105" s="1308" t="s">
        <v>415</v>
      </c>
      <c r="BD105" s="1303" t="str">
        <f t="shared" si="3"/>
        <v>[102]</v>
      </c>
      <c r="BE105" s="1299">
        <v>15</v>
      </c>
    </row>
    <row r="106" spans="7:57" ht="27.4" customHeight="1">
      <c r="G106" s="2238"/>
      <c r="H106" s="1268" t="s">
        <v>472</v>
      </c>
      <c r="W106" s="73"/>
      <c r="AA106" s="73"/>
      <c r="AB106" s="73"/>
      <c r="AD106" s="73"/>
      <c r="AE106" s="73"/>
      <c r="AF106" s="73"/>
      <c r="AG106" s="73"/>
      <c r="AH106" s="73"/>
      <c r="AI106" s="73"/>
      <c r="AJ106" s="73"/>
      <c r="AK106" s="73"/>
      <c r="AL106" s="73"/>
      <c r="AM106" s="73"/>
      <c r="AN106" s="73"/>
      <c r="AO106" s="73"/>
      <c r="AP106" s="73"/>
      <c r="AQ106" s="73"/>
      <c r="AR106" s="73"/>
      <c r="AS106" s="73"/>
      <c r="AT106" s="73"/>
      <c r="AU106" s="73"/>
      <c r="AV106" s="73"/>
      <c r="AW106" s="73"/>
      <c r="AX106" s="73"/>
      <c r="AY106" s="73"/>
      <c r="AZ106" s="73"/>
      <c r="BB106" s="1275" t="s">
        <v>258</v>
      </c>
      <c r="BC106" s="1318" t="s">
        <v>416</v>
      </c>
      <c r="BD106" s="1303" t="str">
        <f t="shared" si="3"/>
        <v>[103]</v>
      </c>
      <c r="BE106" s="1299">
        <v>38</v>
      </c>
    </row>
    <row r="107" spans="7:57" ht="27.4" customHeight="1">
      <c r="G107" s="2239"/>
      <c r="H107" s="1297" t="s">
        <v>474</v>
      </c>
      <c r="W107" s="73"/>
      <c r="AA107" s="73"/>
      <c r="AB107" s="73"/>
      <c r="AD107" s="73"/>
      <c r="AE107" s="73"/>
      <c r="AF107" s="73"/>
      <c r="AG107" s="73"/>
      <c r="AH107" s="73"/>
      <c r="AI107" s="73"/>
      <c r="AJ107" s="73"/>
      <c r="AK107" s="73"/>
      <c r="AL107" s="73"/>
      <c r="AM107" s="73"/>
      <c r="AN107" s="73"/>
      <c r="AO107" s="73"/>
      <c r="AP107" s="73"/>
      <c r="AQ107" s="73"/>
      <c r="AR107" s="73"/>
      <c r="AS107" s="73"/>
      <c r="AT107" s="73"/>
      <c r="AU107" s="73"/>
      <c r="AV107" s="73"/>
      <c r="AW107" s="73"/>
      <c r="AX107" s="73"/>
      <c r="AY107" s="73"/>
      <c r="AZ107" s="73"/>
      <c r="BB107" s="1275" t="s">
        <v>258</v>
      </c>
      <c r="BC107" s="1318" t="s">
        <v>417</v>
      </c>
      <c r="BD107" s="1303" t="str">
        <f t="shared" si="3"/>
        <v>[104]</v>
      </c>
      <c r="BE107" s="1304">
        <v>34</v>
      </c>
    </row>
    <row r="108" spans="7:57" ht="27.4" customHeight="1">
      <c r="G108" s="2237" t="s">
        <v>890</v>
      </c>
      <c r="H108" s="1296" t="s">
        <v>470</v>
      </c>
      <c r="W108" s="73"/>
      <c r="AA108" s="73"/>
      <c r="AB108" s="73"/>
      <c r="AD108" s="73"/>
      <c r="AE108" s="73"/>
      <c r="AF108" s="73"/>
      <c r="AG108" s="73"/>
      <c r="AH108" s="73"/>
      <c r="AI108" s="73"/>
      <c r="AJ108" s="73"/>
      <c r="AK108" s="73"/>
      <c r="AL108" s="73"/>
      <c r="AM108" s="73"/>
      <c r="AN108" s="73"/>
      <c r="AO108" s="73"/>
      <c r="AP108" s="73"/>
      <c r="AQ108" s="73"/>
      <c r="AR108" s="73"/>
      <c r="AS108" s="73"/>
      <c r="AT108" s="73"/>
      <c r="AU108" s="73"/>
      <c r="AV108" s="73"/>
      <c r="AW108" s="73"/>
      <c r="AX108" s="73"/>
      <c r="AY108" s="73"/>
      <c r="AZ108" s="73"/>
      <c r="BB108" s="1275" t="s">
        <v>258</v>
      </c>
      <c r="BC108" s="1308" t="s">
        <v>418</v>
      </c>
      <c r="BD108" s="1303" t="str">
        <f t="shared" si="3"/>
        <v>[105]</v>
      </c>
      <c r="BE108" s="1306">
        <v>17</v>
      </c>
    </row>
    <row r="109" spans="7:57" ht="27.4" customHeight="1">
      <c r="G109" s="2238"/>
      <c r="H109" s="1284" t="s">
        <v>424</v>
      </c>
      <c r="W109" s="73"/>
      <c r="AA109" s="73"/>
      <c r="AB109" s="73"/>
      <c r="AD109" s="73"/>
      <c r="AE109" s="73"/>
      <c r="AF109" s="73"/>
      <c r="AG109" s="73"/>
      <c r="AH109" s="73"/>
      <c r="AI109" s="73"/>
      <c r="AJ109" s="73"/>
      <c r="AK109" s="73"/>
      <c r="AL109" s="73"/>
      <c r="AM109" s="73"/>
      <c r="AN109" s="73"/>
      <c r="AO109" s="73"/>
      <c r="AP109" s="73"/>
      <c r="AQ109" s="73"/>
      <c r="AR109" s="73"/>
      <c r="AS109" s="73"/>
      <c r="AT109" s="73"/>
      <c r="AU109" s="73"/>
      <c r="AV109" s="73"/>
      <c r="AW109" s="73"/>
      <c r="AX109" s="73"/>
      <c r="AY109" s="73"/>
      <c r="AZ109" s="73"/>
      <c r="BB109" s="1275" t="s">
        <v>258</v>
      </c>
      <c r="BC109" s="1318" t="s">
        <v>419</v>
      </c>
      <c r="BD109" s="1303" t="str">
        <f t="shared" si="3"/>
        <v>[106]</v>
      </c>
      <c r="BE109" s="1304">
        <v>14</v>
      </c>
    </row>
    <row r="110" spans="7:57" ht="27.4" customHeight="1">
      <c r="G110" s="2238"/>
      <c r="H110" s="1284" t="s">
        <v>471</v>
      </c>
      <c r="W110" s="73"/>
      <c r="AA110" s="73"/>
      <c r="AB110" s="73"/>
      <c r="AD110" s="73"/>
      <c r="AE110" s="73"/>
      <c r="AF110" s="73"/>
      <c r="AG110" s="73"/>
      <c r="AH110" s="73"/>
      <c r="AI110" s="73"/>
      <c r="AJ110" s="73"/>
      <c r="AK110" s="73"/>
      <c r="AL110" s="73"/>
      <c r="AM110" s="73"/>
      <c r="AN110" s="73"/>
      <c r="AO110" s="73"/>
      <c r="AP110" s="73"/>
      <c r="AQ110" s="73"/>
      <c r="AR110" s="73"/>
      <c r="AS110" s="73"/>
      <c r="AT110" s="73"/>
      <c r="AU110" s="73"/>
      <c r="AV110" s="73"/>
      <c r="AW110" s="73"/>
      <c r="AX110" s="73"/>
      <c r="AY110" s="73"/>
      <c r="AZ110" s="73"/>
      <c r="BB110" s="1275" t="s">
        <v>258</v>
      </c>
      <c r="BC110" s="1308" t="s">
        <v>420</v>
      </c>
      <c r="BD110" s="1303" t="str">
        <f t="shared" si="3"/>
        <v>[107]</v>
      </c>
      <c r="BE110" s="1304" t="s">
        <v>421</v>
      </c>
    </row>
    <row r="111" spans="7:57" ht="27.4" customHeight="1">
      <c r="G111" s="2238"/>
      <c r="H111" s="1268" t="s">
        <v>472</v>
      </c>
      <c r="W111" s="73"/>
      <c r="AA111" s="73"/>
      <c r="AB111" s="73"/>
      <c r="AD111" s="73"/>
      <c r="AE111" s="73"/>
      <c r="AF111" s="73"/>
      <c r="AG111" s="73"/>
      <c r="AH111" s="73"/>
      <c r="AI111" s="73"/>
      <c r="AJ111" s="73"/>
      <c r="AK111" s="73"/>
      <c r="AL111" s="73"/>
      <c r="AM111" s="73"/>
      <c r="AN111" s="73"/>
      <c r="AO111" s="73"/>
      <c r="AP111" s="73"/>
      <c r="AQ111" s="73"/>
      <c r="AR111" s="73"/>
      <c r="AS111" s="73"/>
      <c r="AT111" s="73"/>
      <c r="AU111" s="73"/>
      <c r="AV111" s="73"/>
      <c r="AW111" s="73"/>
      <c r="AX111" s="73"/>
      <c r="AY111" s="73"/>
      <c r="AZ111" s="73"/>
      <c r="BB111" s="1275" t="s">
        <v>258</v>
      </c>
      <c r="BC111" s="1308" t="s">
        <v>422</v>
      </c>
      <c r="BD111" s="1303" t="str">
        <f t="shared" si="3"/>
        <v>[108]</v>
      </c>
      <c r="BE111" s="1298">
        <v>38</v>
      </c>
    </row>
    <row r="112" spans="7:57" ht="27.4" customHeight="1">
      <c r="G112" s="2239"/>
      <c r="H112" s="1297" t="s">
        <v>474</v>
      </c>
      <c r="W112" s="73"/>
      <c r="AA112" s="73"/>
      <c r="AB112" s="73"/>
      <c r="AD112" s="73"/>
      <c r="AE112" s="73"/>
      <c r="AF112" s="73"/>
      <c r="AG112" s="73"/>
      <c r="AH112" s="73"/>
      <c r="AI112" s="73"/>
      <c r="AJ112" s="73"/>
      <c r="AK112" s="73"/>
      <c r="AL112" s="73"/>
      <c r="AM112" s="73"/>
      <c r="AN112" s="73"/>
      <c r="AO112" s="73"/>
      <c r="AP112" s="73"/>
      <c r="AQ112" s="73"/>
      <c r="AR112" s="73"/>
      <c r="AS112" s="73"/>
      <c r="AT112" s="73"/>
      <c r="AU112" s="73"/>
      <c r="AV112" s="73"/>
      <c r="AW112" s="73"/>
      <c r="AX112" s="73"/>
      <c r="AY112" s="73"/>
      <c r="AZ112" s="73"/>
      <c r="BB112" s="1275" t="s">
        <v>258</v>
      </c>
      <c r="BC112" s="1305" t="s">
        <v>901</v>
      </c>
      <c r="BD112" s="1303" t="str">
        <f t="shared" si="3"/>
        <v>[109]</v>
      </c>
      <c r="BE112" s="1304">
        <v>17</v>
      </c>
    </row>
    <row r="113" spans="7:57" ht="27.4" customHeight="1">
      <c r="G113" s="2237" t="s">
        <v>879</v>
      </c>
      <c r="H113" s="1296" t="s">
        <v>470</v>
      </c>
      <c r="W113" s="73"/>
      <c r="AA113" s="73"/>
      <c r="AB113" s="73"/>
      <c r="AD113" s="73"/>
      <c r="AE113" s="73"/>
      <c r="AF113" s="73"/>
      <c r="AG113" s="73"/>
      <c r="AH113" s="73"/>
      <c r="AI113" s="73"/>
      <c r="AJ113" s="73"/>
      <c r="AK113" s="73"/>
      <c r="AL113" s="73"/>
      <c r="AM113" s="73"/>
      <c r="AN113" s="73"/>
      <c r="AO113" s="73"/>
      <c r="AP113" s="73"/>
      <c r="AQ113" s="73"/>
      <c r="AR113" s="73"/>
      <c r="AS113" s="73"/>
      <c r="AT113" s="73"/>
      <c r="AU113" s="73"/>
      <c r="AV113" s="73"/>
      <c r="AW113" s="73"/>
      <c r="AX113" s="73"/>
      <c r="AY113" s="73"/>
      <c r="AZ113" s="73"/>
      <c r="BB113" s="1275" t="s">
        <v>258</v>
      </c>
      <c r="BC113" s="1305" t="s">
        <v>902</v>
      </c>
      <c r="BD113" s="1303" t="str">
        <f>LEFT(BB113,3)&amp;MID(BC113,2,3)</f>
        <v>[1010]</v>
      </c>
      <c r="BE113" s="1300">
        <v>24</v>
      </c>
    </row>
    <row r="114" spans="7:57" ht="27.4" customHeight="1">
      <c r="G114" s="2238"/>
      <c r="H114" s="1284" t="s">
        <v>424</v>
      </c>
      <c r="W114" s="73"/>
      <c r="AA114" s="73"/>
      <c r="AB114" s="73"/>
      <c r="AD114" s="73"/>
      <c r="AE114" s="73"/>
      <c r="AF114" s="73"/>
      <c r="AG114" s="73"/>
      <c r="AH114" s="73"/>
      <c r="AI114" s="73"/>
      <c r="AJ114" s="73"/>
      <c r="AK114" s="73"/>
      <c r="AL114" s="73"/>
      <c r="AM114" s="73"/>
      <c r="AN114" s="73"/>
      <c r="AO114" s="73"/>
      <c r="AP114" s="73"/>
      <c r="AQ114" s="73"/>
      <c r="AR114" s="73"/>
      <c r="AS114" s="73"/>
      <c r="AT114" s="73"/>
      <c r="AU114" s="73"/>
      <c r="AV114" s="73"/>
      <c r="AW114" s="73"/>
      <c r="AX114" s="73"/>
      <c r="AY114" s="73"/>
      <c r="AZ114" s="73"/>
      <c r="BB114" s="1290" t="s">
        <v>258</v>
      </c>
      <c r="BC114" s="1305" t="s">
        <v>898</v>
      </c>
      <c r="BD114" s="1303" t="str">
        <f>LEFT(BB114,3)&amp;MID(BC114,2,3)</f>
        <v>[1011]</v>
      </c>
      <c r="BE114" s="1300">
        <v>31</v>
      </c>
    </row>
    <row r="115" spans="7:57" ht="27.4" customHeight="1">
      <c r="G115" s="2238"/>
      <c r="H115" s="1284" t="s">
        <v>471</v>
      </c>
      <c r="W115" s="73"/>
      <c r="AA115" s="73"/>
      <c r="AB115" s="73"/>
      <c r="AD115" s="73"/>
      <c r="AE115" s="73"/>
      <c r="AF115" s="73"/>
      <c r="AG115" s="73"/>
      <c r="AH115" s="73"/>
      <c r="AI115" s="73"/>
      <c r="AJ115" s="73"/>
      <c r="AK115" s="73"/>
      <c r="AL115" s="73"/>
      <c r="AM115" s="73"/>
      <c r="AN115" s="73"/>
      <c r="AO115" s="73"/>
      <c r="AP115" s="73"/>
      <c r="AQ115" s="73"/>
      <c r="AR115" s="73"/>
      <c r="AS115" s="73"/>
      <c r="AT115" s="73"/>
      <c r="AU115" s="73"/>
      <c r="AV115" s="73"/>
      <c r="AW115" s="73"/>
      <c r="AX115" s="73"/>
      <c r="AY115" s="73"/>
      <c r="AZ115" s="73"/>
      <c r="BB115" s="1307" t="s">
        <v>246</v>
      </c>
      <c r="BC115" s="1308" t="s">
        <v>414</v>
      </c>
      <c r="BD115" s="1303" t="str">
        <f t="shared" si="3"/>
        <v>[131]</v>
      </c>
      <c r="BE115" s="1300">
        <v>15</v>
      </c>
    </row>
    <row r="116" spans="7:57" ht="27.4" customHeight="1">
      <c r="G116" s="2238"/>
      <c r="H116" s="1268" t="s">
        <v>425</v>
      </c>
      <c r="W116" s="73"/>
      <c r="AA116" s="73"/>
      <c r="AB116" s="73"/>
      <c r="AD116" s="73"/>
      <c r="AE116" s="73"/>
      <c r="AF116" s="73"/>
      <c r="AG116" s="73"/>
      <c r="AH116" s="73"/>
      <c r="AI116" s="73"/>
      <c r="AJ116" s="73"/>
      <c r="AK116" s="73"/>
      <c r="AL116" s="73"/>
      <c r="AM116" s="73"/>
      <c r="AN116" s="73"/>
      <c r="AO116" s="73"/>
      <c r="AP116" s="73"/>
      <c r="AQ116" s="73"/>
      <c r="AR116" s="73"/>
      <c r="AS116" s="73"/>
      <c r="AT116" s="73"/>
      <c r="AU116" s="73"/>
      <c r="AV116" s="73"/>
      <c r="AW116" s="73"/>
      <c r="AX116" s="73"/>
      <c r="AY116" s="73"/>
      <c r="AZ116" s="73"/>
      <c r="BB116" s="103" t="s">
        <v>246</v>
      </c>
      <c r="BC116" s="1308" t="s">
        <v>415</v>
      </c>
      <c r="BD116" s="1303" t="str">
        <f t="shared" si="3"/>
        <v>[132]</v>
      </c>
      <c r="BE116" s="1300">
        <v>15</v>
      </c>
    </row>
    <row r="117" spans="7:57" ht="27.4" customHeight="1">
      <c r="G117" s="2238"/>
      <c r="H117" s="1268" t="s">
        <v>472</v>
      </c>
      <c r="W117" s="73"/>
      <c r="AA117" s="73"/>
      <c r="AB117" s="73"/>
      <c r="AD117" s="73"/>
      <c r="AE117" s="73"/>
      <c r="AF117" s="73"/>
      <c r="AG117" s="73"/>
      <c r="AH117" s="73"/>
      <c r="AI117" s="73"/>
      <c r="AJ117" s="73"/>
      <c r="AK117" s="73"/>
      <c r="AL117" s="73"/>
      <c r="AM117" s="73"/>
      <c r="AN117" s="73"/>
      <c r="AO117" s="73"/>
      <c r="AP117" s="73"/>
      <c r="AQ117" s="73"/>
      <c r="AR117" s="73"/>
      <c r="AS117" s="73"/>
      <c r="AT117" s="73"/>
      <c r="AU117" s="73"/>
      <c r="AV117" s="73"/>
      <c r="AW117" s="73"/>
      <c r="AX117" s="73"/>
      <c r="AY117" s="73"/>
      <c r="AZ117" s="73"/>
      <c r="BB117" s="103" t="s">
        <v>246</v>
      </c>
      <c r="BC117" s="1318" t="s">
        <v>416</v>
      </c>
      <c r="BD117" s="1303" t="str">
        <f t="shared" si="3"/>
        <v>[133]</v>
      </c>
      <c r="BE117" s="1300">
        <v>38</v>
      </c>
    </row>
    <row r="118" spans="7:57" ht="27.4" customHeight="1">
      <c r="G118" s="2238"/>
      <c r="H118" s="1268" t="s">
        <v>473</v>
      </c>
      <c r="W118" s="73"/>
      <c r="AA118" s="73"/>
      <c r="AB118" s="73"/>
      <c r="AD118" s="73"/>
      <c r="AE118" s="73"/>
      <c r="AF118" s="73"/>
      <c r="AG118" s="73"/>
      <c r="AH118" s="73"/>
      <c r="AI118" s="73"/>
      <c r="AJ118" s="73"/>
      <c r="AK118" s="73"/>
      <c r="AL118" s="73"/>
      <c r="AM118" s="73"/>
      <c r="AN118" s="73"/>
      <c r="AO118" s="73"/>
      <c r="AP118" s="73"/>
      <c r="AQ118" s="73"/>
      <c r="AR118" s="73"/>
      <c r="AS118" s="73"/>
      <c r="AT118" s="73"/>
      <c r="AU118" s="73"/>
      <c r="AV118" s="73"/>
      <c r="AW118" s="73"/>
      <c r="AX118" s="73"/>
      <c r="AY118" s="73"/>
      <c r="AZ118" s="73"/>
      <c r="BB118" s="103" t="s">
        <v>246</v>
      </c>
      <c r="BC118" s="1318" t="s">
        <v>417</v>
      </c>
      <c r="BD118" s="1303" t="str">
        <f t="shared" si="3"/>
        <v>[134]</v>
      </c>
      <c r="BE118" s="1300">
        <v>34</v>
      </c>
    </row>
    <row r="119" spans="7:57" ht="27.4" customHeight="1">
      <c r="G119" s="2239"/>
      <c r="H119" s="1297" t="s">
        <v>474</v>
      </c>
      <c r="W119" s="73"/>
      <c r="AA119" s="73"/>
      <c r="AB119" s="73"/>
      <c r="AD119" s="73"/>
      <c r="AE119" s="73"/>
      <c r="AF119" s="73"/>
      <c r="AG119" s="73"/>
      <c r="AH119" s="73"/>
      <c r="AI119" s="73"/>
      <c r="AJ119" s="73"/>
      <c r="AK119" s="73"/>
      <c r="AL119" s="73"/>
      <c r="AM119" s="73"/>
      <c r="AN119" s="73"/>
      <c r="AO119" s="73"/>
      <c r="AP119" s="73"/>
      <c r="AQ119" s="73"/>
      <c r="AR119" s="73"/>
      <c r="AS119" s="73"/>
      <c r="AT119" s="73"/>
      <c r="AU119" s="73"/>
      <c r="AV119" s="73"/>
      <c r="AW119" s="73"/>
      <c r="AX119" s="73"/>
      <c r="AY119" s="73"/>
      <c r="AZ119" s="73"/>
      <c r="BB119" s="103" t="s">
        <v>246</v>
      </c>
      <c r="BC119" s="1308" t="s">
        <v>418</v>
      </c>
      <c r="BD119" s="1303" t="str">
        <f t="shared" si="3"/>
        <v>[135]</v>
      </c>
      <c r="BE119" s="1309">
        <v>17</v>
      </c>
    </row>
    <row r="120" spans="7:57" ht="27.4" customHeight="1">
      <c r="W120" s="73"/>
      <c r="AA120" s="73"/>
      <c r="AB120" s="73"/>
      <c r="AD120" s="73"/>
      <c r="AE120" s="73"/>
      <c r="AF120" s="73"/>
      <c r="AG120" s="73"/>
      <c r="AH120" s="73"/>
      <c r="AI120" s="73"/>
      <c r="AJ120" s="73"/>
      <c r="AK120" s="73"/>
      <c r="AL120" s="73"/>
      <c r="AM120" s="73"/>
      <c r="AN120" s="73"/>
      <c r="AO120" s="73"/>
      <c r="AP120" s="73"/>
      <c r="AQ120" s="73"/>
      <c r="AR120" s="73"/>
      <c r="AS120" s="73"/>
      <c r="AT120" s="73"/>
      <c r="AU120" s="73"/>
      <c r="AV120" s="73"/>
      <c r="AW120" s="73"/>
      <c r="AX120" s="73"/>
      <c r="AY120" s="73"/>
      <c r="AZ120" s="73"/>
      <c r="BB120" s="103" t="s">
        <v>246</v>
      </c>
      <c r="BC120" s="1318" t="s">
        <v>419</v>
      </c>
      <c r="BD120" s="1303" t="str">
        <f t="shared" si="3"/>
        <v>[136]</v>
      </c>
      <c r="BE120" s="1300">
        <v>14</v>
      </c>
    </row>
    <row r="121" spans="7:57" ht="27.4" customHeight="1">
      <c r="W121" s="73"/>
      <c r="AA121" s="73"/>
      <c r="AB121" s="73"/>
      <c r="AD121" s="73"/>
      <c r="AE121" s="73"/>
      <c r="AF121" s="73"/>
      <c r="AG121" s="73"/>
      <c r="AH121" s="73"/>
      <c r="AI121" s="73"/>
      <c r="AJ121" s="73"/>
      <c r="AK121" s="73"/>
      <c r="AL121" s="73"/>
      <c r="AM121" s="73"/>
      <c r="AN121" s="73"/>
      <c r="AO121" s="73"/>
      <c r="AP121" s="73"/>
      <c r="AQ121" s="73"/>
      <c r="AR121" s="73"/>
      <c r="AS121" s="73"/>
      <c r="AT121" s="73"/>
      <c r="AU121" s="73"/>
      <c r="AV121" s="73"/>
      <c r="AW121" s="73"/>
      <c r="AX121" s="73"/>
      <c r="AY121" s="73"/>
      <c r="AZ121" s="73"/>
      <c r="BB121" s="103" t="s">
        <v>246</v>
      </c>
      <c r="BC121" s="1308" t="s">
        <v>420</v>
      </c>
      <c r="BD121" s="1303" t="str">
        <f t="shared" si="3"/>
        <v>[137]</v>
      </c>
      <c r="BE121" s="1300" t="s">
        <v>421</v>
      </c>
    </row>
    <row r="122" spans="7:57" ht="27.4" customHeight="1">
      <c r="W122" s="73"/>
      <c r="AA122" s="73"/>
      <c r="AB122" s="73"/>
      <c r="AD122" s="73"/>
      <c r="AE122" s="73"/>
      <c r="AF122" s="73"/>
      <c r="AG122" s="73"/>
      <c r="AH122" s="73"/>
      <c r="AI122" s="73"/>
      <c r="AJ122" s="73"/>
      <c r="AK122" s="73"/>
      <c r="AL122" s="73"/>
      <c r="AM122" s="73"/>
      <c r="AN122" s="73"/>
      <c r="AO122" s="73"/>
      <c r="AP122" s="73"/>
      <c r="AQ122" s="73"/>
      <c r="AR122" s="73"/>
      <c r="AS122" s="73"/>
      <c r="AT122" s="73"/>
      <c r="AU122" s="73"/>
      <c r="AV122" s="73"/>
      <c r="AW122" s="73"/>
      <c r="AX122" s="73"/>
      <c r="AY122" s="73"/>
      <c r="AZ122" s="73"/>
      <c r="BB122" s="103" t="s">
        <v>246</v>
      </c>
      <c r="BC122" s="1308" t="s">
        <v>422</v>
      </c>
      <c r="BD122" s="1303" t="str">
        <f t="shared" si="3"/>
        <v>[138]</v>
      </c>
      <c r="BE122" s="1298">
        <v>38</v>
      </c>
    </row>
    <row r="123" spans="7:57" ht="27.4" customHeight="1">
      <c r="W123" s="73"/>
      <c r="AA123" s="73"/>
      <c r="AB123" s="73"/>
      <c r="AD123" s="73"/>
      <c r="AE123" s="73"/>
      <c r="AF123" s="73"/>
      <c r="AG123" s="73"/>
      <c r="AH123" s="73"/>
      <c r="AI123" s="73"/>
      <c r="AJ123" s="73"/>
      <c r="AK123" s="73"/>
      <c r="AL123" s="73"/>
      <c r="AM123" s="73"/>
      <c r="AN123" s="73"/>
      <c r="AO123" s="73"/>
      <c r="AP123" s="73"/>
      <c r="AQ123" s="73"/>
      <c r="AR123" s="73"/>
      <c r="AS123" s="73"/>
      <c r="AT123" s="73"/>
      <c r="AU123" s="73"/>
      <c r="AV123" s="73"/>
      <c r="AW123" s="73"/>
      <c r="AX123" s="73"/>
      <c r="AY123" s="73"/>
      <c r="AZ123" s="73"/>
      <c r="BB123" s="103" t="s">
        <v>246</v>
      </c>
      <c r="BC123" s="1305" t="s">
        <v>901</v>
      </c>
      <c r="BD123" s="1303" t="str">
        <f t="shared" si="3"/>
        <v>[139]</v>
      </c>
      <c r="BE123" s="1304">
        <v>17</v>
      </c>
    </row>
    <row r="124" spans="7:57" ht="27.4" customHeight="1">
      <c r="W124" s="73"/>
      <c r="AA124" s="73"/>
      <c r="AB124" s="73"/>
      <c r="AD124" s="73"/>
      <c r="AE124" s="73"/>
      <c r="AF124" s="73"/>
      <c r="AG124" s="73"/>
      <c r="AH124" s="73"/>
      <c r="AI124" s="73"/>
      <c r="AJ124" s="73"/>
      <c r="AK124" s="73"/>
      <c r="AL124" s="73"/>
      <c r="AM124" s="73"/>
      <c r="AN124" s="73"/>
      <c r="AO124" s="73"/>
      <c r="AP124" s="73"/>
      <c r="AQ124" s="73"/>
      <c r="AR124" s="73"/>
      <c r="AS124" s="73"/>
      <c r="AT124" s="73"/>
      <c r="AU124" s="73"/>
      <c r="AV124" s="73"/>
      <c r="AW124" s="73"/>
      <c r="AX124" s="73"/>
      <c r="AY124" s="73"/>
      <c r="AZ124" s="73"/>
      <c r="BB124" s="103" t="s">
        <v>246</v>
      </c>
      <c r="BC124" s="1305" t="s">
        <v>902</v>
      </c>
      <c r="BD124" s="1303" t="str">
        <f>LEFT(BB124,3)&amp;MID(BC124,2,3)</f>
        <v>[1310]</v>
      </c>
      <c r="BE124" s="1300">
        <v>24</v>
      </c>
    </row>
    <row r="125" spans="7:57" ht="27.4" customHeight="1">
      <c r="W125" s="73"/>
      <c r="AA125" s="73"/>
      <c r="AB125" s="73"/>
      <c r="AD125" s="73"/>
      <c r="AE125" s="73"/>
      <c r="AF125" s="73"/>
      <c r="AG125" s="73"/>
      <c r="AH125" s="73"/>
      <c r="AI125" s="73"/>
      <c r="AJ125" s="73"/>
      <c r="AK125" s="73"/>
      <c r="AL125" s="73"/>
      <c r="AM125" s="73"/>
      <c r="AN125" s="73"/>
      <c r="AO125" s="73"/>
      <c r="AP125" s="73"/>
      <c r="AQ125" s="73"/>
      <c r="AR125" s="73"/>
      <c r="AS125" s="73"/>
      <c r="AT125" s="73"/>
      <c r="AU125" s="73"/>
      <c r="AV125" s="73"/>
      <c r="AW125" s="73"/>
      <c r="AX125" s="73"/>
      <c r="AY125" s="73"/>
      <c r="AZ125" s="73"/>
      <c r="BB125" s="104" t="s">
        <v>246</v>
      </c>
      <c r="BC125" s="1305" t="s">
        <v>898</v>
      </c>
      <c r="BD125" s="1303" t="str">
        <f>LEFT(BB125,3)&amp;MID(BC125,2,3)</f>
        <v>[1311]</v>
      </c>
      <c r="BE125" s="1300">
        <v>31</v>
      </c>
    </row>
    <row r="126" spans="7:57" ht="27.4" customHeight="1">
      <c r="W126" s="73"/>
      <c r="AA126" s="73"/>
      <c r="AB126" s="73"/>
      <c r="AD126" s="73"/>
      <c r="AE126" s="73"/>
      <c r="AF126" s="73"/>
      <c r="AG126" s="73"/>
      <c r="AH126" s="73"/>
      <c r="AI126" s="73"/>
      <c r="AJ126" s="73"/>
      <c r="AK126" s="73"/>
      <c r="AL126" s="73"/>
      <c r="AM126" s="73"/>
      <c r="AN126" s="73"/>
      <c r="AO126" s="73"/>
      <c r="AP126" s="73"/>
      <c r="AQ126" s="73"/>
      <c r="AR126" s="73"/>
      <c r="AS126" s="73"/>
      <c r="AT126" s="73"/>
      <c r="AU126" s="73"/>
      <c r="AV126" s="73"/>
      <c r="AW126" s="73"/>
      <c r="AX126" s="73"/>
      <c r="AY126" s="73"/>
      <c r="AZ126" s="73"/>
      <c r="BB126" s="1307" t="s">
        <v>259</v>
      </c>
      <c r="BC126" s="1308" t="s">
        <v>435</v>
      </c>
      <c r="BD126" s="1300" t="str">
        <f t="shared" si="3"/>
        <v>[201]</v>
      </c>
      <c r="BE126" s="1300">
        <v>17</v>
      </c>
    </row>
    <row r="127" spans="7:57" ht="27.4" customHeight="1">
      <c r="W127" s="73"/>
      <c r="AA127" s="73"/>
      <c r="AB127" s="73"/>
      <c r="AD127" s="73"/>
      <c r="AE127" s="73"/>
      <c r="AF127" s="73"/>
      <c r="AG127" s="73"/>
      <c r="AH127" s="73"/>
      <c r="AI127" s="73"/>
      <c r="AJ127" s="73"/>
      <c r="AK127" s="73"/>
      <c r="AL127" s="73"/>
      <c r="AM127" s="73"/>
      <c r="AN127" s="73"/>
      <c r="AO127" s="73"/>
      <c r="AP127" s="73"/>
      <c r="AQ127" s="73"/>
      <c r="AR127" s="73"/>
      <c r="AS127" s="73"/>
      <c r="AT127" s="73"/>
      <c r="AU127" s="73"/>
      <c r="AV127" s="73"/>
      <c r="AW127" s="73"/>
      <c r="AX127" s="73"/>
      <c r="AY127" s="73"/>
      <c r="AZ127" s="73"/>
      <c r="BB127" s="103" t="s">
        <v>259</v>
      </c>
      <c r="BC127" s="1308" t="s">
        <v>424</v>
      </c>
      <c r="BD127" s="1300" t="str">
        <f t="shared" si="3"/>
        <v>[202]</v>
      </c>
      <c r="BE127" s="1300">
        <v>14</v>
      </c>
    </row>
    <row r="128" spans="7:57" ht="27.4" customHeight="1">
      <c r="W128" s="73"/>
      <c r="AA128" s="73"/>
      <c r="AB128" s="73"/>
      <c r="AD128" s="73"/>
      <c r="AE128" s="73"/>
      <c r="AF128" s="73"/>
      <c r="AG128" s="73"/>
      <c r="AH128" s="73"/>
      <c r="AI128" s="73"/>
      <c r="AJ128" s="73"/>
      <c r="AK128" s="73"/>
      <c r="AL128" s="73"/>
      <c r="AM128" s="73"/>
      <c r="AN128" s="73"/>
      <c r="AO128" s="73"/>
      <c r="AP128" s="73"/>
      <c r="AQ128" s="73"/>
      <c r="AR128" s="73"/>
      <c r="AS128" s="73"/>
      <c r="AT128" s="73"/>
      <c r="AU128" s="73"/>
      <c r="AV128" s="73"/>
      <c r="AW128" s="73"/>
      <c r="AX128" s="73"/>
      <c r="AY128" s="73"/>
      <c r="AZ128" s="73"/>
      <c r="BB128" s="103" t="s">
        <v>259</v>
      </c>
      <c r="BC128" s="1318" t="s">
        <v>436</v>
      </c>
      <c r="BD128" s="1300" t="str">
        <f t="shared" si="3"/>
        <v>[203]</v>
      </c>
      <c r="BE128" s="1300">
        <v>5</v>
      </c>
    </row>
    <row r="129" spans="23:57" ht="27.4" customHeight="1">
      <c r="W129" s="73"/>
      <c r="AA129" s="73"/>
      <c r="AB129" s="73"/>
      <c r="AD129" s="73"/>
      <c r="AE129" s="73"/>
      <c r="AF129" s="73"/>
      <c r="AG129" s="73"/>
      <c r="AH129" s="73"/>
      <c r="AI129" s="73"/>
      <c r="AJ129" s="73"/>
      <c r="AK129" s="73"/>
      <c r="AL129" s="73"/>
      <c r="AM129" s="73"/>
      <c r="AN129" s="73"/>
      <c r="AO129" s="73"/>
      <c r="AP129" s="73"/>
      <c r="AQ129" s="73"/>
      <c r="AR129" s="73"/>
      <c r="AS129" s="73"/>
      <c r="AT129" s="73"/>
      <c r="AU129" s="73"/>
      <c r="AV129" s="73"/>
      <c r="AW129" s="73"/>
      <c r="AX129" s="73"/>
      <c r="AY129" s="73"/>
      <c r="AZ129" s="73"/>
      <c r="BB129" s="103" t="s">
        <v>259</v>
      </c>
      <c r="BC129" s="1318" t="s">
        <v>425</v>
      </c>
      <c r="BD129" s="1300" t="str">
        <f t="shared" si="3"/>
        <v>[204]</v>
      </c>
      <c r="BE129" s="1300" t="s">
        <v>421</v>
      </c>
    </row>
    <row r="130" spans="23:57" ht="27.4" customHeight="1">
      <c r="W130" s="73"/>
      <c r="AA130" s="73"/>
      <c r="AB130" s="73"/>
      <c r="AD130" s="73"/>
      <c r="AE130" s="73"/>
      <c r="AF130" s="73"/>
      <c r="AG130" s="73"/>
      <c r="AH130" s="73"/>
      <c r="AI130" s="73"/>
      <c r="AJ130" s="73"/>
      <c r="AK130" s="73"/>
      <c r="AL130" s="73"/>
      <c r="AM130" s="73"/>
      <c r="AN130" s="73"/>
      <c r="AO130" s="73"/>
      <c r="AP130" s="73"/>
      <c r="AQ130" s="73"/>
      <c r="AR130" s="73"/>
      <c r="AS130" s="73"/>
      <c r="AT130" s="73"/>
      <c r="AU130" s="73"/>
      <c r="AV130" s="73"/>
      <c r="AW130" s="73"/>
      <c r="AX130" s="73"/>
      <c r="AY130" s="73"/>
      <c r="AZ130" s="73"/>
      <c r="BB130" s="103" t="s">
        <v>259</v>
      </c>
      <c r="BC130" s="1308" t="s">
        <v>437</v>
      </c>
      <c r="BD130" s="1300" t="str">
        <f t="shared" si="3"/>
        <v>[205]</v>
      </c>
      <c r="BE130" s="1300" t="s">
        <v>421</v>
      </c>
    </row>
    <row r="131" spans="23:57" ht="27.4" customHeight="1">
      <c r="W131" s="73"/>
      <c r="AA131" s="73"/>
      <c r="AB131" s="73"/>
      <c r="AD131" s="73"/>
      <c r="AE131" s="73"/>
      <c r="AF131" s="73"/>
      <c r="AG131" s="73"/>
      <c r="AH131" s="73"/>
      <c r="AI131" s="73"/>
      <c r="AJ131" s="73"/>
      <c r="AK131" s="73"/>
      <c r="AL131" s="73"/>
      <c r="AM131" s="73"/>
      <c r="AN131" s="73"/>
      <c r="AO131" s="73"/>
      <c r="AP131" s="73"/>
      <c r="AQ131" s="73"/>
      <c r="AR131" s="73"/>
      <c r="AS131" s="73"/>
      <c r="AT131" s="73"/>
      <c r="AU131" s="73"/>
      <c r="AV131" s="73"/>
      <c r="AW131" s="73"/>
      <c r="AX131" s="73"/>
      <c r="AY131" s="73"/>
      <c r="AZ131" s="73"/>
      <c r="BB131" s="103" t="s">
        <v>259</v>
      </c>
      <c r="BC131" s="1318" t="s">
        <v>438</v>
      </c>
      <c r="BD131" s="1300" t="str">
        <f t="shared" si="3"/>
        <v>[206]</v>
      </c>
      <c r="BE131" s="1300" t="s">
        <v>421</v>
      </c>
    </row>
    <row r="132" spans="23:57" ht="27.4" customHeight="1">
      <c r="W132" s="73"/>
      <c r="AA132" s="73"/>
      <c r="AB132" s="73"/>
      <c r="AD132" s="73"/>
      <c r="AE132" s="73"/>
      <c r="AF132" s="73"/>
      <c r="AG132" s="73"/>
      <c r="AH132" s="73"/>
      <c r="AI132" s="73"/>
      <c r="AJ132" s="73"/>
      <c r="AK132" s="73"/>
      <c r="AL132" s="73"/>
      <c r="AM132" s="73"/>
      <c r="AN132" s="73"/>
      <c r="AO132" s="73"/>
      <c r="AP132" s="73"/>
      <c r="AQ132" s="73"/>
      <c r="AR132" s="73"/>
      <c r="AS132" s="73"/>
      <c r="AT132" s="73"/>
      <c r="AU132" s="73"/>
      <c r="AV132" s="73"/>
      <c r="AW132" s="73"/>
      <c r="AX132" s="73"/>
      <c r="AY132" s="73"/>
      <c r="AZ132" s="73"/>
      <c r="BB132" s="103" t="s">
        <v>259</v>
      </c>
      <c r="BC132" s="1308" t="s">
        <v>439</v>
      </c>
      <c r="BD132" s="1300" t="str">
        <f t="shared" si="3"/>
        <v>[207]</v>
      </c>
      <c r="BE132" s="1298">
        <v>17</v>
      </c>
    </row>
    <row r="133" spans="23:57" ht="27.4" customHeight="1">
      <c r="W133" s="73"/>
      <c r="AA133" s="73"/>
      <c r="AB133" s="73"/>
      <c r="AD133" s="73"/>
      <c r="AE133" s="73"/>
      <c r="AF133" s="73"/>
      <c r="AG133" s="73"/>
      <c r="AH133" s="73"/>
      <c r="AI133" s="73"/>
      <c r="AJ133" s="73"/>
      <c r="AK133" s="73"/>
      <c r="AL133" s="73"/>
      <c r="AM133" s="73"/>
      <c r="AN133" s="73"/>
      <c r="AO133" s="73"/>
      <c r="AP133" s="73"/>
      <c r="AQ133" s="73"/>
      <c r="AR133" s="73"/>
      <c r="AS133" s="73"/>
      <c r="AT133" s="73"/>
      <c r="AU133" s="73"/>
      <c r="AV133" s="73"/>
      <c r="AW133" s="73"/>
      <c r="AX133" s="73"/>
      <c r="AY133" s="73"/>
      <c r="AZ133" s="73"/>
      <c r="BB133" s="1307" t="s">
        <v>260</v>
      </c>
      <c r="BC133" s="1308" t="s">
        <v>435</v>
      </c>
      <c r="BD133" s="1300" t="str">
        <f t="shared" si="3"/>
        <v>[211]</v>
      </c>
      <c r="BE133" s="1300">
        <v>17</v>
      </c>
    </row>
    <row r="134" spans="23:57" ht="27.4" customHeight="1">
      <c r="W134" s="73"/>
      <c r="AA134" s="73"/>
      <c r="AB134" s="73"/>
      <c r="AD134" s="73"/>
      <c r="AE134" s="73"/>
      <c r="AF134" s="73"/>
      <c r="AG134" s="73"/>
      <c r="AH134" s="73"/>
      <c r="AI134" s="73"/>
      <c r="AJ134" s="73"/>
      <c r="AK134" s="73"/>
      <c r="AL134" s="73"/>
      <c r="AM134" s="73"/>
      <c r="AN134" s="73"/>
      <c r="AO134" s="73"/>
      <c r="AP134" s="73"/>
      <c r="AQ134" s="73"/>
      <c r="AR134" s="73"/>
      <c r="AS134" s="73"/>
      <c r="AT134" s="73"/>
      <c r="AU134" s="73"/>
      <c r="AV134" s="73"/>
      <c r="AW134" s="73"/>
      <c r="AX134" s="73"/>
      <c r="AY134" s="73"/>
      <c r="AZ134" s="73"/>
      <c r="BB134" s="103" t="s">
        <v>260</v>
      </c>
      <c r="BC134" s="1308" t="s">
        <v>424</v>
      </c>
      <c r="BD134" s="1300" t="str">
        <f t="shared" si="3"/>
        <v>[212]</v>
      </c>
      <c r="BE134" s="1300">
        <v>14</v>
      </c>
    </row>
    <row r="135" spans="23:57" ht="27.4" customHeight="1">
      <c r="W135" s="73"/>
      <c r="AA135" s="73"/>
      <c r="AB135" s="73"/>
      <c r="AD135" s="73"/>
      <c r="AE135" s="73"/>
      <c r="AF135" s="73"/>
      <c r="AG135" s="73"/>
      <c r="AH135" s="73"/>
      <c r="AI135" s="73"/>
      <c r="AJ135" s="73"/>
      <c r="AK135" s="73"/>
      <c r="AL135" s="73"/>
      <c r="AM135" s="73"/>
      <c r="AN135" s="73"/>
      <c r="AO135" s="73"/>
      <c r="AP135" s="73"/>
      <c r="AQ135" s="73"/>
      <c r="AR135" s="73"/>
      <c r="AS135" s="73"/>
      <c r="AT135" s="73"/>
      <c r="AU135" s="73"/>
      <c r="AV135" s="73"/>
      <c r="AW135" s="73"/>
      <c r="AX135" s="73"/>
      <c r="AY135" s="73"/>
      <c r="AZ135" s="73"/>
      <c r="BB135" s="103" t="s">
        <v>260</v>
      </c>
      <c r="BC135" s="1318" t="s">
        <v>436</v>
      </c>
      <c r="BD135" s="1300" t="str">
        <f t="shared" si="3"/>
        <v>[213]</v>
      </c>
      <c r="BE135" s="1300">
        <v>5</v>
      </c>
    </row>
    <row r="136" spans="23:57" ht="27.4" customHeight="1">
      <c r="W136" s="73"/>
      <c r="AA136" s="73"/>
      <c r="AB136" s="73"/>
      <c r="AD136" s="73"/>
      <c r="AE136" s="73"/>
      <c r="AF136" s="73"/>
      <c r="AG136" s="73"/>
      <c r="AH136" s="73"/>
      <c r="AI136" s="73"/>
      <c r="AJ136" s="73"/>
      <c r="AK136" s="73"/>
      <c r="AL136" s="73"/>
      <c r="AM136" s="73"/>
      <c r="AN136" s="73"/>
      <c r="AO136" s="73"/>
      <c r="AP136" s="73"/>
      <c r="AQ136" s="73"/>
      <c r="AR136" s="73"/>
      <c r="AS136" s="73"/>
      <c r="AT136" s="73"/>
      <c r="AU136" s="73"/>
      <c r="AV136" s="73"/>
      <c r="AW136" s="73"/>
      <c r="AX136" s="73"/>
      <c r="AY136" s="73"/>
      <c r="AZ136" s="73"/>
      <c r="BB136" s="103" t="s">
        <v>260</v>
      </c>
      <c r="BC136" s="1318" t="s">
        <v>425</v>
      </c>
      <c r="BD136" s="1300" t="str">
        <f t="shared" si="3"/>
        <v>[214]</v>
      </c>
      <c r="BE136" s="1300" t="s">
        <v>421</v>
      </c>
    </row>
    <row r="137" spans="23:57" ht="27.4" customHeight="1">
      <c r="W137" s="73"/>
      <c r="AA137" s="73"/>
      <c r="AB137" s="73"/>
      <c r="AD137" s="73"/>
      <c r="AE137" s="73"/>
      <c r="AF137" s="73"/>
      <c r="AG137" s="73"/>
      <c r="AH137" s="73"/>
      <c r="AI137" s="73"/>
      <c r="AJ137" s="73"/>
      <c r="AK137" s="73"/>
      <c r="AL137" s="73"/>
      <c r="AM137" s="73"/>
      <c r="AN137" s="73"/>
      <c r="AO137" s="73"/>
      <c r="AP137" s="73"/>
      <c r="AQ137" s="73"/>
      <c r="AR137" s="73"/>
      <c r="AS137" s="73"/>
      <c r="AT137" s="73"/>
      <c r="AU137" s="73"/>
      <c r="AV137" s="73"/>
      <c r="AW137" s="73"/>
      <c r="AX137" s="73"/>
      <c r="AY137" s="73"/>
      <c r="AZ137" s="73"/>
      <c r="BB137" s="103" t="s">
        <v>260</v>
      </c>
      <c r="BC137" s="1308" t="s">
        <v>437</v>
      </c>
      <c r="BD137" s="1300" t="str">
        <f t="shared" si="3"/>
        <v>[215]</v>
      </c>
      <c r="BE137" s="1300" t="s">
        <v>421</v>
      </c>
    </row>
    <row r="138" spans="23:57" ht="27.4" customHeight="1">
      <c r="W138" s="73"/>
      <c r="AA138" s="73"/>
      <c r="AB138" s="73"/>
      <c r="AD138" s="73"/>
      <c r="AE138" s="73"/>
      <c r="AF138" s="73"/>
      <c r="AG138" s="73"/>
      <c r="AH138" s="73"/>
      <c r="AI138" s="73"/>
      <c r="AJ138" s="73"/>
      <c r="AK138" s="73"/>
      <c r="AL138" s="73"/>
      <c r="AM138" s="73"/>
      <c r="AN138" s="73"/>
      <c r="AO138" s="73"/>
      <c r="AP138" s="73"/>
      <c r="AQ138" s="73"/>
      <c r="AR138" s="73"/>
      <c r="AS138" s="73"/>
      <c r="AT138" s="73"/>
      <c r="AU138" s="73"/>
      <c r="AV138" s="73"/>
      <c r="AW138" s="73"/>
      <c r="AX138" s="73"/>
      <c r="AY138" s="73"/>
      <c r="AZ138" s="73"/>
      <c r="BB138" s="103" t="s">
        <v>260</v>
      </c>
      <c r="BC138" s="1318" t="s">
        <v>438</v>
      </c>
      <c r="BD138" s="1300" t="str">
        <f t="shared" si="3"/>
        <v>[216]</v>
      </c>
      <c r="BE138" s="1300" t="s">
        <v>421</v>
      </c>
    </row>
    <row r="139" spans="23:57" ht="27.4" customHeight="1">
      <c r="W139" s="73"/>
      <c r="AA139" s="73"/>
      <c r="AB139" s="73"/>
      <c r="AD139" s="73"/>
      <c r="AE139" s="73"/>
      <c r="AF139" s="73"/>
      <c r="AG139" s="73"/>
      <c r="AH139" s="73"/>
      <c r="AI139" s="73"/>
      <c r="AJ139" s="73"/>
      <c r="AK139" s="73"/>
      <c r="AL139" s="73"/>
      <c r="AM139" s="73"/>
      <c r="AN139" s="73"/>
      <c r="AO139" s="73"/>
      <c r="AP139" s="73"/>
      <c r="AQ139" s="73"/>
      <c r="AR139" s="73"/>
      <c r="AS139" s="73"/>
      <c r="AT139" s="73"/>
      <c r="AU139" s="73"/>
      <c r="AV139" s="73"/>
      <c r="AW139" s="73"/>
      <c r="AX139" s="73"/>
      <c r="AY139" s="73"/>
      <c r="AZ139" s="73"/>
      <c r="BB139" s="103" t="s">
        <v>260</v>
      </c>
      <c r="BC139" s="1308" t="s">
        <v>439</v>
      </c>
      <c r="BD139" s="1300" t="str">
        <f t="shared" si="3"/>
        <v>[217]</v>
      </c>
      <c r="BE139" s="1298">
        <v>17</v>
      </c>
    </row>
    <row r="140" spans="23:57" ht="27.4" customHeight="1">
      <c r="W140" s="73"/>
      <c r="AA140" s="73"/>
      <c r="AB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73"/>
      <c r="BB140" s="1307" t="s">
        <v>261</v>
      </c>
      <c r="BC140" s="1308" t="s">
        <v>435</v>
      </c>
      <c r="BD140" s="1300" t="str">
        <f t="shared" si="3"/>
        <v>[221]</v>
      </c>
      <c r="BE140" s="1300" t="s">
        <v>421</v>
      </c>
    </row>
    <row r="141" spans="23:57" ht="27.4" customHeight="1">
      <c r="W141" s="73"/>
      <c r="AA141" s="73"/>
      <c r="AB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B141" s="103" t="s">
        <v>261</v>
      </c>
      <c r="BC141" s="1308" t="s">
        <v>424</v>
      </c>
      <c r="BD141" s="1300" t="str">
        <f t="shared" si="3"/>
        <v>[222]</v>
      </c>
      <c r="BE141" s="1300">
        <v>14</v>
      </c>
    </row>
    <row r="142" spans="23:57" ht="27.4" customHeight="1">
      <c r="W142" s="73"/>
      <c r="AA142" s="73"/>
      <c r="AB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73"/>
      <c r="BB142" s="103" t="s">
        <v>261</v>
      </c>
      <c r="BC142" s="1318" t="s">
        <v>436</v>
      </c>
      <c r="BD142" s="1300" t="str">
        <f t="shared" si="3"/>
        <v>[223]</v>
      </c>
      <c r="BE142" s="1300" t="s">
        <v>421</v>
      </c>
    </row>
    <row r="143" spans="23:57" ht="27.4" customHeight="1">
      <c r="W143" s="73"/>
      <c r="AA143" s="73"/>
      <c r="AB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73"/>
      <c r="BB143" s="103" t="s">
        <v>261</v>
      </c>
      <c r="BC143" s="1318" t="s">
        <v>425</v>
      </c>
      <c r="BD143" s="1300" t="str">
        <f t="shared" si="3"/>
        <v>[224]</v>
      </c>
      <c r="BE143" s="1300" t="s">
        <v>421</v>
      </c>
    </row>
    <row r="144" spans="23:57" ht="27.4" customHeight="1">
      <c r="W144" s="73"/>
      <c r="AA144" s="73"/>
      <c r="AB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B144" s="103" t="s">
        <v>261</v>
      </c>
      <c r="BC144" s="1308" t="s">
        <v>437</v>
      </c>
      <c r="BD144" s="1300" t="str">
        <f t="shared" si="3"/>
        <v>[225]</v>
      </c>
      <c r="BE144" s="1300" t="s">
        <v>421</v>
      </c>
    </row>
    <row r="145" spans="23:57" ht="27.4" customHeight="1">
      <c r="W145" s="73"/>
      <c r="AA145" s="73"/>
      <c r="AB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B145" s="103" t="s">
        <v>261</v>
      </c>
      <c r="BC145" s="1318" t="s">
        <v>438</v>
      </c>
      <c r="BD145" s="1300" t="str">
        <f t="shared" si="3"/>
        <v>[226]</v>
      </c>
      <c r="BE145" s="1300">
        <v>8</v>
      </c>
    </row>
    <row r="146" spans="23:57" ht="27.4" customHeight="1">
      <c r="W146" s="73"/>
      <c r="AA146" s="73"/>
      <c r="AB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B146" s="103" t="s">
        <v>261</v>
      </c>
      <c r="BC146" s="1308" t="s">
        <v>439</v>
      </c>
      <c r="BD146" s="1300" t="str">
        <f t="shared" si="3"/>
        <v>[227]</v>
      </c>
      <c r="BE146" s="1298">
        <v>14</v>
      </c>
    </row>
    <row r="147" spans="23:57" ht="27.4" customHeight="1">
      <c r="W147" s="73"/>
      <c r="AA147" s="73"/>
      <c r="AB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B147" s="1307" t="s">
        <v>375</v>
      </c>
      <c r="BC147" s="1308" t="s">
        <v>435</v>
      </c>
      <c r="BD147" s="1300" t="str">
        <f t="shared" si="3"/>
        <v>[231]</v>
      </c>
      <c r="BE147" s="1300">
        <v>17</v>
      </c>
    </row>
    <row r="148" spans="23:57" ht="27.4" customHeight="1">
      <c r="W148" s="73"/>
      <c r="AA148" s="73"/>
      <c r="AB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B148" s="103" t="s">
        <v>375</v>
      </c>
      <c r="BC148" s="1308" t="s">
        <v>424</v>
      </c>
      <c r="BD148" s="1300" t="str">
        <f t="shared" si="3"/>
        <v>[232]</v>
      </c>
      <c r="BE148" s="1300" t="s">
        <v>421</v>
      </c>
    </row>
    <row r="149" spans="23:57" ht="27.4" customHeight="1">
      <c r="AA149" s="73"/>
      <c r="AB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B149" s="103" t="s">
        <v>375</v>
      </c>
      <c r="BC149" s="1318" t="s">
        <v>436</v>
      </c>
      <c r="BD149" s="1300" t="str">
        <f t="shared" si="3"/>
        <v>[233]</v>
      </c>
      <c r="BE149" s="1300" t="s">
        <v>421</v>
      </c>
    </row>
    <row r="150" spans="23:57" ht="27.4" customHeight="1">
      <c r="AA150" s="73"/>
      <c r="AB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B150" s="103" t="s">
        <v>375</v>
      </c>
      <c r="BC150" s="1318" t="s">
        <v>425</v>
      </c>
      <c r="BD150" s="1300" t="str">
        <f t="shared" si="3"/>
        <v>[234]</v>
      </c>
      <c r="BE150" s="1300" t="s">
        <v>421</v>
      </c>
    </row>
    <row r="151" spans="23:57" ht="27.4" customHeight="1">
      <c r="AA151" s="73"/>
      <c r="AB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B151" s="103" t="s">
        <v>375</v>
      </c>
      <c r="BC151" s="1308" t="s">
        <v>437</v>
      </c>
      <c r="BD151" s="1300" t="str">
        <f t="shared" si="3"/>
        <v>[235]</v>
      </c>
      <c r="BE151" s="1300">
        <v>8</v>
      </c>
    </row>
    <row r="152" spans="23:57" ht="27.4" customHeight="1">
      <c r="AA152" s="73"/>
      <c r="AB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B152" s="103" t="s">
        <v>375</v>
      </c>
      <c r="BC152" s="1318" t="s">
        <v>438</v>
      </c>
      <c r="BD152" s="1300" t="str">
        <f t="shared" si="3"/>
        <v>[236]</v>
      </c>
      <c r="BE152" s="1300" t="s">
        <v>421</v>
      </c>
    </row>
    <row r="153" spans="23:57" ht="27.4" customHeight="1">
      <c r="AA153" s="73"/>
      <c r="AB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B153" s="103" t="s">
        <v>375</v>
      </c>
      <c r="BC153" s="1308" t="s">
        <v>439</v>
      </c>
      <c r="BD153" s="1300" t="str">
        <f t="shared" si="3"/>
        <v>[237]</v>
      </c>
      <c r="BE153" s="1298">
        <v>17</v>
      </c>
    </row>
    <row r="154" spans="23:57" ht="27.4" customHeight="1">
      <c r="AA154" s="73"/>
      <c r="AB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B154" s="1307" t="s">
        <v>262</v>
      </c>
      <c r="BC154" s="1308" t="s">
        <v>435</v>
      </c>
      <c r="BD154" s="1300" t="str">
        <f t="shared" si="3"/>
        <v>[241]</v>
      </c>
      <c r="BE154" s="1300" t="s">
        <v>421</v>
      </c>
    </row>
    <row r="155" spans="23:57" ht="27.4" customHeight="1">
      <c r="AA155" s="73"/>
      <c r="AB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B155" s="103" t="s">
        <v>262</v>
      </c>
      <c r="BC155" s="1308" t="s">
        <v>424</v>
      </c>
      <c r="BD155" s="1300" t="str">
        <f t="shared" si="3"/>
        <v>[242]</v>
      </c>
      <c r="BE155" s="1300">
        <v>14</v>
      </c>
    </row>
    <row r="156" spans="23:57" ht="27.4" customHeight="1">
      <c r="AA156" s="73"/>
      <c r="AB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B156" s="103" t="s">
        <v>262</v>
      </c>
      <c r="BC156" s="1318" t="s">
        <v>436</v>
      </c>
      <c r="BD156" s="1300" t="str">
        <f t="shared" si="3"/>
        <v>[243]</v>
      </c>
      <c r="BE156" s="1300" t="s">
        <v>421</v>
      </c>
    </row>
    <row r="157" spans="23:57" ht="27.4" customHeight="1">
      <c r="AA157" s="73"/>
      <c r="AB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B157" s="103" t="s">
        <v>262</v>
      </c>
      <c r="BC157" s="1318" t="s">
        <v>425</v>
      </c>
      <c r="BD157" s="1300" t="str">
        <f t="shared" si="3"/>
        <v>[244]</v>
      </c>
      <c r="BE157" s="1300" t="s">
        <v>421</v>
      </c>
    </row>
    <row r="158" spans="23:57" ht="27.4" customHeight="1">
      <c r="AA158" s="73"/>
      <c r="AB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B158" s="103" t="s">
        <v>262</v>
      </c>
      <c r="BC158" s="1308" t="s">
        <v>437</v>
      </c>
      <c r="BD158" s="1300" t="str">
        <f t="shared" ref="BD158:BD202" si="4">LEFT(BB158,3)&amp;MID(BC158,2,2)</f>
        <v>[245]</v>
      </c>
      <c r="BE158" s="1300">
        <v>8</v>
      </c>
    </row>
    <row r="159" spans="23:57" ht="27.4" customHeight="1">
      <c r="AA159" s="73"/>
      <c r="AB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B159" s="103" t="s">
        <v>262</v>
      </c>
      <c r="BC159" s="1318" t="s">
        <v>438</v>
      </c>
      <c r="BD159" s="1300" t="str">
        <f t="shared" si="4"/>
        <v>[246]</v>
      </c>
      <c r="BE159" s="1300" t="s">
        <v>421</v>
      </c>
    </row>
    <row r="160" spans="23:57" ht="27.4" customHeight="1">
      <c r="AA160" s="73"/>
      <c r="AB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B160" s="103" t="s">
        <v>262</v>
      </c>
      <c r="BC160" s="1308" t="s">
        <v>439</v>
      </c>
      <c r="BD160" s="1300" t="str">
        <f t="shared" si="4"/>
        <v>[247]</v>
      </c>
      <c r="BE160" s="1298">
        <v>14</v>
      </c>
    </row>
    <row r="161" spans="27:57" ht="27.4" customHeight="1">
      <c r="AA161" s="73"/>
      <c r="AB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B161" s="1307" t="s">
        <v>376</v>
      </c>
      <c r="BC161" s="1308" t="s">
        <v>435</v>
      </c>
      <c r="BD161" s="1300" t="str">
        <f t="shared" si="4"/>
        <v>[261]</v>
      </c>
      <c r="BE161" s="1300">
        <v>18</v>
      </c>
    </row>
    <row r="162" spans="27:57" ht="27.4" customHeight="1">
      <c r="AA162" s="73"/>
      <c r="AB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B162" s="103" t="s">
        <v>376</v>
      </c>
      <c r="BC162" s="1308" t="s">
        <v>424</v>
      </c>
      <c r="BD162" s="1300" t="str">
        <f t="shared" si="4"/>
        <v>[262]</v>
      </c>
      <c r="BE162" s="1300">
        <v>18</v>
      </c>
    </row>
    <row r="163" spans="27:57" ht="27.4" customHeight="1">
      <c r="AA163" s="73"/>
      <c r="AB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B163" s="103" t="s">
        <v>376</v>
      </c>
      <c r="BC163" s="1318" t="s">
        <v>436</v>
      </c>
      <c r="BD163" s="1300" t="str">
        <f t="shared" si="4"/>
        <v>[263]</v>
      </c>
      <c r="BE163" s="1300">
        <v>18</v>
      </c>
    </row>
    <row r="164" spans="27:57" ht="27.4" customHeight="1">
      <c r="AA164" s="73"/>
      <c r="AB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B164" s="103" t="s">
        <v>376</v>
      </c>
      <c r="BC164" s="1318" t="s">
        <v>425</v>
      </c>
      <c r="BD164" s="1300" t="str">
        <f t="shared" si="4"/>
        <v>[264]</v>
      </c>
      <c r="BE164" s="1300" t="s">
        <v>421</v>
      </c>
    </row>
    <row r="165" spans="27:57" ht="27.4" customHeight="1">
      <c r="AA165" s="73"/>
      <c r="AB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B165" s="103" t="s">
        <v>376</v>
      </c>
      <c r="BC165" s="1308" t="s">
        <v>437</v>
      </c>
      <c r="BD165" s="1300" t="str">
        <f t="shared" si="4"/>
        <v>[265]</v>
      </c>
      <c r="BE165" s="1300">
        <v>18</v>
      </c>
    </row>
    <row r="166" spans="27:57" ht="27.4" customHeight="1">
      <c r="AA166" s="73"/>
      <c r="AB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B166" s="103" t="s">
        <v>376</v>
      </c>
      <c r="BC166" s="1318" t="s">
        <v>438</v>
      </c>
      <c r="BD166" s="1300" t="str">
        <f t="shared" si="4"/>
        <v>[266]</v>
      </c>
      <c r="BE166" s="1300" t="s">
        <v>421</v>
      </c>
    </row>
    <row r="167" spans="27:57" ht="27.4" customHeight="1">
      <c r="AA167" s="73"/>
      <c r="AB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B167" s="103" t="s">
        <v>376</v>
      </c>
      <c r="BC167" s="1308" t="s">
        <v>439</v>
      </c>
      <c r="BD167" s="1300" t="str">
        <f t="shared" si="4"/>
        <v>[267]</v>
      </c>
      <c r="BE167" s="1298">
        <v>18</v>
      </c>
    </row>
    <row r="168" spans="27:57" ht="27.4" customHeight="1">
      <c r="AA168" s="73"/>
      <c r="AB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B168" s="1307" t="s">
        <v>377</v>
      </c>
      <c r="BC168" s="1308" t="s">
        <v>435</v>
      </c>
      <c r="BD168" s="1300" t="str">
        <f t="shared" si="4"/>
        <v>[271]</v>
      </c>
      <c r="BE168" s="1300">
        <v>18</v>
      </c>
    </row>
    <row r="169" spans="27:57" ht="27.4" customHeight="1">
      <c r="AA169" s="73"/>
      <c r="AB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B169" s="103" t="s">
        <v>377</v>
      </c>
      <c r="BC169" s="1308" t="s">
        <v>424</v>
      </c>
      <c r="BD169" s="1300" t="str">
        <f t="shared" si="4"/>
        <v>[272]</v>
      </c>
      <c r="BE169" s="1300">
        <v>18</v>
      </c>
    </row>
    <row r="170" spans="27:57">
      <c r="BB170" s="103" t="s">
        <v>377</v>
      </c>
      <c r="BC170" s="1318" t="s">
        <v>436</v>
      </c>
      <c r="BD170" s="1300" t="str">
        <f t="shared" si="4"/>
        <v>[273]</v>
      </c>
      <c r="BE170" s="1300">
        <v>18</v>
      </c>
    </row>
    <row r="171" spans="27:57">
      <c r="BB171" s="103" t="s">
        <v>377</v>
      </c>
      <c r="BC171" s="1318" t="s">
        <v>425</v>
      </c>
      <c r="BD171" s="1300" t="str">
        <f t="shared" si="4"/>
        <v>[274]</v>
      </c>
      <c r="BE171" s="1300" t="s">
        <v>421</v>
      </c>
    </row>
    <row r="172" spans="27:57" ht="27">
      <c r="BB172" s="103" t="s">
        <v>377</v>
      </c>
      <c r="BC172" s="1308" t="s">
        <v>437</v>
      </c>
      <c r="BD172" s="1300" t="str">
        <f t="shared" si="4"/>
        <v>[275]</v>
      </c>
      <c r="BE172" s="1300">
        <v>18</v>
      </c>
    </row>
    <row r="173" spans="27:57" ht="22.5">
      <c r="BB173" s="103" t="s">
        <v>377</v>
      </c>
      <c r="BC173" s="1318" t="s">
        <v>438</v>
      </c>
      <c r="BD173" s="1300" t="str">
        <f t="shared" si="4"/>
        <v>[276]</v>
      </c>
      <c r="BE173" s="1300" t="s">
        <v>421</v>
      </c>
    </row>
    <row r="174" spans="27:57">
      <c r="BB174" s="104" t="s">
        <v>377</v>
      </c>
      <c r="BC174" s="1308" t="s">
        <v>439</v>
      </c>
      <c r="BD174" s="1300" t="str">
        <f t="shared" si="4"/>
        <v>[277]</v>
      </c>
      <c r="BE174" s="1298">
        <v>18</v>
      </c>
    </row>
    <row r="175" spans="27:57" ht="54">
      <c r="BB175" s="1307" t="s">
        <v>440</v>
      </c>
      <c r="BC175" s="1308" t="s">
        <v>435</v>
      </c>
      <c r="BD175" s="1300" t="str">
        <f t="shared" si="4"/>
        <v>[281]</v>
      </c>
      <c r="BE175" s="1300">
        <v>18</v>
      </c>
    </row>
    <row r="176" spans="27:57">
      <c r="BB176" s="103" t="s">
        <v>440</v>
      </c>
      <c r="BC176" s="1308" t="s">
        <v>424</v>
      </c>
      <c r="BD176" s="1300" t="str">
        <f t="shared" si="4"/>
        <v>[282]</v>
      </c>
      <c r="BE176" s="1300">
        <v>18</v>
      </c>
    </row>
    <row r="177" spans="54:57">
      <c r="BB177" s="103" t="s">
        <v>440</v>
      </c>
      <c r="BC177" s="1318" t="s">
        <v>436</v>
      </c>
      <c r="BD177" s="1300" t="str">
        <f t="shared" si="4"/>
        <v>[283]</v>
      </c>
      <c r="BE177" s="1300">
        <v>18</v>
      </c>
    </row>
    <row r="178" spans="54:57">
      <c r="BB178" s="103" t="s">
        <v>440</v>
      </c>
      <c r="BC178" s="1318" t="s">
        <v>425</v>
      </c>
      <c r="BD178" s="1300" t="str">
        <f t="shared" si="4"/>
        <v>[284]</v>
      </c>
      <c r="BE178" s="1300" t="s">
        <v>421</v>
      </c>
    </row>
    <row r="179" spans="54:57" ht="27">
      <c r="BB179" s="103" t="s">
        <v>440</v>
      </c>
      <c r="BC179" s="1308" t="s">
        <v>437</v>
      </c>
      <c r="BD179" s="1300" t="str">
        <f t="shared" si="4"/>
        <v>[285]</v>
      </c>
      <c r="BE179" s="1300">
        <v>18</v>
      </c>
    </row>
    <row r="180" spans="54:57" ht="22.5">
      <c r="BB180" s="103" t="s">
        <v>440</v>
      </c>
      <c r="BC180" s="1318" t="s">
        <v>438</v>
      </c>
      <c r="BD180" s="1300" t="str">
        <f t="shared" si="4"/>
        <v>[286]</v>
      </c>
      <c r="BE180" s="1300" t="s">
        <v>421</v>
      </c>
    </row>
    <row r="181" spans="54:57">
      <c r="BB181" s="103" t="s">
        <v>440</v>
      </c>
      <c r="BC181" s="1308" t="s">
        <v>439</v>
      </c>
      <c r="BD181" s="1300" t="str">
        <f t="shared" si="4"/>
        <v>[287]</v>
      </c>
      <c r="BE181" s="1298">
        <v>18</v>
      </c>
    </row>
    <row r="182" spans="54:57" ht="54">
      <c r="BB182" s="1307" t="s">
        <v>441</v>
      </c>
      <c r="BC182" s="1308" t="s">
        <v>435</v>
      </c>
      <c r="BD182" s="1300" t="str">
        <f t="shared" si="4"/>
        <v>[291]</v>
      </c>
      <c r="BE182" s="1300" t="s">
        <v>421</v>
      </c>
    </row>
    <row r="183" spans="54:57">
      <c r="BB183" s="103" t="s">
        <v>441</v>
      </c>
      <c r="BC183" s="1308" t="s">
        <v>424</v>
      </c>
      <c r="BD183" s="1300" t="str">
        <f t="shared" si="4"/>
        <v>[292]</v>
      </c>
      <c r="BE183" s="1300">
        <v>14</v>
      </c>
    </row>
    <row r="184" spans="54:57">
      <c r="BB184" s="103" t="s">
        <v>441</v>
      </c>
      <c r="BC184" s="1318" t="s">
        <v>436</v>
      </c>
      <c r="BD184" s="1300" t="str">
        <f t="shared" si="4"/>
        <v>[293]</v>
      </c>
      <c r="BE184" s="1300">
        <v>5</v>
      </c>
    </row>
    <row r="185" spans="54:57">
      <c r="BB185" s="103" t="s">
        <v>441</v>
      </c>
      <c r="BC185" s="1318" t="s">
        <v>425</v>
      </c>
      <c r="BD185" s="1300" t="str">
        <f t="shared" si="4"/>
        <v>[294]</v>
      </c>
      <c r="BE185" s="1300" t="s">
        <v>421</v>
      </c>
    </row>
    <row r="186" spans="54:57" ht="27">
      <c r="BB186" s="103" t="s">
        <v>441</v>
      </c>
      <c r="BC186" s="1308" t="s">
        <v>437</v>
      </c>
      <c r="BD186" s="1300" t="str">
        <f t="shared" si="4"/>
        <v>[295]</v>
      </c>
      <c r="BE186" s="1300">
        <v>8</v>
      </c>
    </row>
    <row r="187" spans="54:57" ht="22.5">
      <c r="BB187" s="103" t="s">
        <v>441</v>
      </c>
      <c r="BC187" s="1318" t="s">
        <v>438</v>
      </c>
      <c r="BD187" s="1300" t="str">
        <f t="shared" si="4"/>
        <v>[296]</v>
      </c>
      <c r="BE187" s="1300" t="s">
        <v>421</v>
      </c>
    </row>
    <row r="188" spans="54:57">
      <c r="BB188" s="103" t="s">
        <v>441</v>
      </c>
      <c r="BC188" s="1308" t="s">
        <v>439</v>
      </c>
      <c r="BD188" s="1300" t="str">
        <f t="shared" si="4"/>
        <v>[297]</v>
      </c>
      <c r="BE188" s="1298">
        <v>14</v>
      </c>
    </row>
    <row r="189" spans="54:57" ht="54">
      <c r="BB189" s="1307" t="s">
        <v>442</v>
      </c>
      <c r="BC189" s="1308" t="s">
        <v>435</v>
      </c>
      <c r="BD189" s="1300" t="str">
        <f t="shared" si="4"/>
        <v>[301]</v>
      </c>
      <c r="BE189" s="1300">
        <v>18</v>
      </c>
    </row>
    <row r="190" spans="54:57">
      <c r="BB190" s="103" t="s">
        <v>442</v>
      </c>
      <c r="BC190" s="1308" t="s">
        <v>424</v>
      </c>
      <c r="BD190" s="1300" t="str">
        <f t="shared" si="4"/>
        <v>[302]</v>
      </c>
      <c r="BE190" s="1300">
        <v>18</v>
      </c>
    </row>
    <row r="191" spans="54:57">
      <c r="BB191" s="103" t="s">
        <v>442</v>
      </c>
      <c r="BC191" s="1318" t="s">
        <v>436</v>
      </c>
      <c r="BD191" s="1300" t="str">
        <f t="shared" si="4"/>
        <v>[303]</v>
      </c>
      <c r="BE191" s="1300">
        <v>18</v>
      </c>
    </row>
    <row r="192" spans="54:57">
      <c r="BB192" s="103" t="s">
        <v>442</v>
      </c>
      <c r="BC192" s="1318" t="s">
        <v>425</v>
      </c>
      <c r="BD192" s="1300" t="str">
        <f t="shared" si="4"/>
        <v>[304]</v>
      </c>
      <c r="BE192" s="1300" t="s">
        <v>421</v>
      </c>
    </row>
    <row r="193" spans="54:57" ht="27">
      <c r="BB193" s="103" t="s">
        <v>442</v>
      </c>
      <c r="BC193" s="1308" t="s">
        <v>437</v>
      </c>
      <c r="BD193" s="1300" t="str">
        <f t="shared" si="4"/>
        <v>[305]</v>
      </c>
      <c r="BE193" s="1300">
        <v>18</v>
      </c>
    </row>
    <row r="194" spans="54:57" ht="22.5">
      <c r="BB194" s="103" t="s">
        <v>442</v>
      </c>
      <c r="BC194" s="1318" t="s">
        <v>438</v>
      </c>
      <c r="BD194" s="1300" t="str">
        <f t="shared" si="4"/>
        <v>[306]</v>
      </c>
      <c r="BE194" s="1300" t="s">
        <v>421</v>
      </c>
    </row>
    <row r="195" spans="54:57">
      <c r="BB195" s="103" t="s">
        <v>442</v>
      </c>
      <c r="BC195" s="1308" t="s">
        <v>439</v>
      </c>
      <c r="BD195" s="1300" t="str">
        <f t="shared" si="4"/>
        <v>[307]</v>
      </c>
      <c r="BE195" s="1298">
        <v>18</v>
      </c>
    </row>
    <row r="196" spans="54:57" ht="54">
      <c r="BB196" s="1307" t="s">
        <v>443</v>
      </c>
      <c r="BC196" s="1308" t="s">
        <v>435</v>
      </c>
      <c r="BD196" s="1300" t="str">
        <f t="shared" si="4"/>
        <v>[311]</v>
      </c>
      <c r="BE196" s="1300">
        <v>17</v>
      </c>
    </row>
    <row r="197" spans="54:57">
      <c r="BB197" s="103" t="s">
        <v>443</v>
      </c>
      <c r="BC197" s="1308" t="s">
        <v>424</v>
      </c>
      <c r="BD197" s="1300" t="str">
        <f t="shared" si="4"/>
        <v>[312]</v>
      </c>
      <c r="BE197" s="1300">
        <v>14</v>
      </c>
    </row>
    <row r="198" spans="54:57">
      <c r="BB198" s="103" t="s">
        <v>443</v>
      </c>
      <c r="BC198" s="1318" t="s">
        <v>436</v>
      </c>
      <c r="BD198" s="1300" t="str">
        <f t="shared" si="4"/>
        <v>[313]</v>
      </c>
      <c r="BE198" s="1300">
        <v>5</v>
      </c>
    </row>
    <row r="199" spans="54:57">
      <c r="BB199" s="103" t="s">
        <v>443</v>
      </c>
      <c r="BC199" s="1318" t="s">
        <v>425</v>
      </c>
      <c r="BD199" s="1300" t="str">
        <f t="shared" si="4"/>
        <v>[314]</v>
      </c>
      <c r="BE199" s="1300">
        <v>10</v>
      </c>
    </row>
    <row r="200" spans="54:57" ht="27">
      <c r="BB200" s="103" t="s">
        <v>443</v>
      </c>
      <c r="BC200" s="1308" t="s">
        <v>437</v>
      </c>
      <c r="BD200" s="1300" t="str">
        <f t="shared" si="4"/>
        <v>[315]</v>
      </c>
      <c r="BE200" s="1300">
        <v>8</v>
      </c>
    </row>
    <row r="201" spans="54:57" ht="22.5">
      <c r="BB201" s="103" t="s">
        <v>443</v>
      </c>
      <c r="BC201" s="1318" t="s">
        <v>438</v>
      </c>
      <c r="BD201" s="1300" t="str">
        <f t="shared" si="4"/>
        <v>[316]</v>
      </c>
      <c r="BE201" s="1300">
        <v>8</v>
      </c>
    </row>
    <row r="202" spans="54:57">
      <c r="BB202" s="103" t="s">
        <v>443</v>
      </c>
      <c r="BC202" s="1308" t="s">
        <v>439</v>
      </c>
      <c r="BD202" s="1300" t="str">
        <f t="shared" si="4"/>
        <v>[317]</v>
      </c>
      <c r="BE202" s="1298">
        <v>8</v>
      </c>
    </row>
    <row r="203" spans="54:57">
      <c r="BB203" s="1319" t="s">
        <v>426</v>
      </c>
      <c r="BC203" s="1320"/>
      <c r="BD203" s="1310"/>
    </row>
  </sheetData>
  <sheetProtection sheet="1" objects="1" scenarios="1"/>
  <mergeCells count="57">
    <mergeCell ref="G32:G40"/>
    <mergeCell ref="G23:G31"/>
    <mergeCell ref="G104:G107"/>
    <mergeCell ref="G108:G112"/>
    <mergeCell ref="G113:G119"/>
    <mergeCell ref="G86:G88"/>
    <mergeCell ref="G89:G93"/>
    <mergeCell ref="G94:G98"/>
    <mergeCell ref="G99:G103"/>
    <mergeCell ref="G77:G85"/>
    <mergeCell ref="G68:G76"/>
    <mergeCell ref="G59:G67"/>
    <mergeCell ref="G50:G58"/>
    <mergeCell ref="G41:G49"/>
    <mergeCell ref="AS13:AT13"/>
    <mergeCell ref="BQ4:BS4"/>
    <mergeCell ref="BL4:BM4"/>
    <mergeCell ref="AL2:AM2"/>
    <mergeCell ref="AL4:AM4"/>
    <mergeCell ref="BG4:BH4"/>
    <mergeCell ref="BG5:BG7"/>
    <mergeCell ref="BG8:BG10"/>
    <mergeCell ref="AS1:AT1"/>
    <mergeCell ref="AS2:AT2"/>
    <mergeCell ref="AS4:AT4"/>
    <mergeCell ref="Y5:Y9"/>
    <mergeCell ref="Y4:Z4"/>
    <mergeCell ref="Y1:Z1"/>
    <mergeCell ref="Y2:Z2"/>
    <mergeCell ref="D14:D20"/>
    <mergeCell ref="D5:D13"/>
    <mergeCell ref="G14:G22"/>
    <mergeCell ref="AO15:AO23"/>
    <mergeCell ref="AF1:AG1"/>
    <mergeCell ref="AF2:AG2"/>
    <mergeCell ref="AF4:AG4"/>
    <mergeCell ref="AO1:AQ1"/>
    <mergeCell ref="AO2:AQ2"/>
    <mergeCell ref="AO4:AQ4"/>
    <mergeCell ref="AI1:AJ1"/>
    <mergeCell ref="AL8:AM8"/>
    <mergeCell ref="AO5:AO14"/>
    <mergeCell ref="AI2:AJ2"/>
    <mergeCell ref="AI4:AJ4"/>
    <mergeCell ref="AL1:AM1"/>
    <mergeCell ref="D4:E4"/>
    <mergeCell ref="G4:H4"/>
    <mergeCell ref="P4:Q4"/>
    <mergeCell ref="P5:P7"/>
    <mergeCell ref="D1:E1"/>
    <mergeCell ref="G1:H1"/>
    <mergeCell ref="P1:Q1"/>
    <mergeCell ref="D2:E2"/>
    <mergeCell ref="G2:H2"/>
    <mergeCell ref="P2:Q2"/>
    <mergeCell ref="G5:G13"/>
    <mergeCell ref="P8:P10"/>
  </mergeCells>
  <phoneticPr fontId="59"/>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7D4455-A017-4639-90CA-AC84350ED404}">
  <ds:schemaRefs>
    <ds:schemaRef ds:uri="http://schemas.microsoft.com/sharepoint/v3/contenttype/forms"/>
  </ds:schemaRefs>
</ds:datastoreItem>
</file>

<file path=customXml/itemProps2.xml><?xml version="1.0" encoding="utf-8"?>
<ds:datastoreItem xmlns:ds="http://schemas.openxmlformats.org/officeDocument/2006/customXml" ds:itemID="{4238B0BE-EBFA-4921-A2A2-9ED20FB30E39}">
  <ds:schemaRefs>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1f80570b-921c-4f4d-b36a-d1e87defc2ad"/>
    <ds:schemaRef ds:uri="http://www.w3.org/XML/1998/namespace"/>
    <ds:schemaRef ds:uri="http://purl.org/dc/dcmitype/"/>
  </ds:schemaRefs>
</ds:datastoreItem>
</file>

<file path=customXml/itemProps3.xml><?xml version="1.0" encoding="utf-8"?>
<ds:datastoreItem xmlns:ds="http://schemas.openxmlformats.org/officeDocument/2006/customXml" ds:itemID="{A04C8143-8009-431F-AEB4-DFB2A8F428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71</vt:i4>
      </vt:variant>
    </vt:vector>
  </HeadingPairs>
  <TitlesOfParts>
    <vt:vector size="85" baseType="lpstr">
      <vt:lpstr>表紙</vt:lpstr>
      <vt:lpstr>説明</vt:lpstr>
      <vt:lpstr>【１】経営概要</vt:lpstr>
      <vt:lpstr>【２】生産物</vt:lpstr>
      <vt:lpstr>【３】１購入飼料～８その他の資材等</vt:lpstr>
      <vt:lpstr>【４】物件税～【７】出荷に要した経費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[43]ミルカー・バケット</vt:lpstr>
      <vt:lpstr>[44]ミルカー・パイプライン</vt:lpstr>
      <vt:lpstr>[45]搾乳ロボット</vt:lpstr>
      <vt:lpstr>[46]牛乳冷却器</vt:lpstr>
      <vt:lpstr>[47]バルククーラー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【10】農業機械!Print_Area</vt:lpstr>
      <vt:lpstr>【12】労働時間!Print_Area</vt:lpstr>
      <vt:lpstr>【２】生産物!Print_Area</vt:lpstr>
      <vt:lpstr>'【３】１購入飼料～８その他の資材等'!Print_Area</vt:lpstr>
      <vt:lpstr>【８】建物!Print_Area</vt:lpstr>
      <vt:lpstr>【９】自動車!Print_Area</vt:lpstr>
      <vt:lpstr>表紙!Print_Area</vt:lpstr>
      <vt:lpstr>【10】農業機械!Print_Titles</vt:lpstr>
      <vt:lpstr>【８】建物!Print_Titles</vt:lpstr>
      <vt:lpstr>【９】自動車!Print_Titles</vt:lpstr>
      <vt:lpstr>建築物</vt:lpstr>
      <vt:lpstr>【11】農具購入費!建築物種類コード</vt:lpstr>
      <vt:lpstr>【12】労働時間!建築物種類コード</vt:lpstr>
      <vt:lpstr>'【４】物件税～【７】出荷に要した経費'!建築物種類コード</vt:lpstr>
      <vt:lpstr>建築物種類コード</vt:lpstr>
      <vt:lpstr>構築物</vt:lpstr>
      <vt:lpstr>構築物種類コード</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cp:lastPrinted>2020-11-05T00:37:02Z</cp:lastPrinted>
  <dcterms:created xsi:type="dcterms:W3CDTF">1997-01-08T22:48:59Z</dcterms:created>
  <dcterms:modified xsi:type="dcterms:W3CDTF">2022-12-07T02:32:05Z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