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P\BRA\H\EXCEL\"/>
    </mc:Choice>
  </mc:AlternateContent>
  <xr:revisionPtr revIDLastSave="0" documentId="13_ncr:1_{2DDC0C46-CEDA-48BA-BE3F-B767B9352627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No.1" sheetId="18" r:id="rId1"/>
    <sheet name="No.2" sheetId="30" r:id="rId2"/>
    <sheet name="No.3" sheetId="31" r:id="rId3"/>
    <sheet name="No.4" sheetId="32" r:id="rId4"/>
    <sheet name="No.5" sheetId="33" r:id="rId5"/>
  </sheets>
  <definedNames>
    <definedName name="_xlnm._FilterDatabase" localSheetId="0" hidden="1">No.1!$A$1</definedName>
    <definedName name="_xlnm.Print_Area" localSheetId="0">No.1!$A$1:$R$45</definedName>
    <definedName name="_xlnm.Print_Area" localSheetId="1">No.2!$A$1:$BW$41</definedName>
    <definedName name="_xlnm.Print_Area" localSheetId="2">No.3!$A$1:$R$48</definedName>
    <definedName name="_xlnm.Print_Area" localSheetId="3">No.4!$A$1:$Q$47</definedName>
    <definedName name="_xlnm.Print_Area" localSheetId="4">No.5!$A$1:$AS$60</definedName>
  </definedNames>
  <calcPr calcId="181029"/>
</workbook>
</file>

<file path=xl/calcChain.xml><?xml version="1.0" encoding="utf-8"?>
<calcChain xmlns="http://schemas.openxmlformats.org/spreadsheetml/2006/main">
  <c r="AL2" i="33" l="1"/>
  <c r="O2" i="32"/>
  <c r="P2" i="31"/>
  <c r="AJ2" i="30"/>
  <c r="AE57" i="33"/>
  <c r="AE56" i="33"/>
  <c r="AE55" i="33"/>
  <c r="AE54" i="33"/>
  <c r="AE53" i="33"/>
  <c r="AE52" i="33"/>
  <c r="AE51" i="33"/>
  <c r="AE50" i="33"/>
  <c r="AE49" i="33"/>
  <c r="AE48" i="33"/>
  <c r="AE47" i="33"/>
  <c r="AE46" i="33"/>
  <c r="AE45" i="33"/>
  <c r="AE44" i="33"/>
  <c r="AE43" i="33"/>
  <c r="AE42" i="33"/>
  <c r="AE41" i="33"/>
  <c r="AE40" i="33"/>
  <c r="AE39" i="33"/>
  <c r="AE38" i="33"/>
  <c r="AE37" i="33"/>
  <c r="AE36" i="33"/>
  <c r="AE35" i="33"/>
  <c r="AE34" i="33"/>
  <c r="AE33" i="33"/>
  <c r="AE32" i="33"/>
  <c r="AE28" i="33"/>
  <c r="M24" i="33"/>
  <c r="M7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5" i="33"/>
  <c r="M26" i="33"/>
  <c r="M27" i="33"/>
  <c r="M8" i="33"/>
  <c r="N20" i="32"/>
  <c r="N19" i="32"/>
  <c r="N18" i="32"/>
  <c r="N17" i="32"/>
  <c r="N16" i="32"/>
  <c r="N15" i="32"/>
  <c r="N25" i="32"/>
  <c r="N45" i="32"/>
  <c r="N44" i="32"/>
  <c r="N43" i="32"/>
  <c r="N42" i="32"/>
  <c r="N41" i="32"/>
  <c r="N40" i="32"/>
  <c r="N39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L45" i="32"/>
  <c r="L44" i="32"/>
  <c r="L43" i="32"/>
  <c r="L42" i="32"/>
  <c r="L41" i="32"/>
  <c r="L40" i="32"/>
  <c r="L39" i="32"/>
  <c r="L25" i="32"/>
  <c r="L16" i="32"/>
  <c r="L17" i="32"/>
  <c r="L18" i="32"/>
  <c r="L19" i="32"/>
  <c r="L20" i="32"/>
  <c r="L15" i="32"/>
  <c r="M47" i="31"/>
  <c r="M46" i="31"/>
  <c r="M45" i="31"/>
  <c r="M43" i="31"/>
  <c r="M41" i="31"/>
  <c r="M40" i="31"/>
  <c r="M39" i="31"/>
  <c r="M38" i="31"/>
  <c r="M37" i="31"/>
  <c r="M36" i="31"/>
  <c r="M34" i="31"/>
  <c r="M33" i="31"/>
  <c r="M32" i="31"/>
  <c r="O45" i="31"/>
  <c r="O46" i="31"/>
  <c r="O47" i="31"/>
  <c r="O43" i="31"/>
  <c r="O36" i="31"/>
  <c r="O37" i="31"/>
  <c r="O38" i="31"/>
  <c r="O39" i="31"/>
  <c r="O40" i="31"/>
  <c r="O41" i="31"/>
  <c r="O32" i="31"/>
  <c r="O33" i="31"/>
  <c r="O34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31" i="31"/>
  <c r="N25" i="31"/>
  <c r="O8" i="31"/>
  <c r="O9" i="31"/>
  <c r="O10" i="31"/>
  <c r="O11" i="31"/>
  <c r="O12" i="31"/>
  <c r="O13" i="31"/>
  <c r="O14" i="31"/>
  <c r="O15" i="31"/>
  <c r="O16" i="31"/>
  <c r="O17" i="31"/>
  <c r="O18" i="31"/>
  <c r="O20" i="31"/>
  <c r="O23" i="31"/>
  <c r="O24" i="31"/>
  <c r="N22" i="31"/>
  <c r="N23" i="31"/>
  <c r="N24" i="31"/>
  <c r="N20" i="31"/>
  <c r="N8" i="31"/>
  <c r="N9" i="31"/>
  <c r="N10" i="31"/>
  <c r="N11" i="31"/>
  <c r="N12" i="31"/>
  <c r="N13" i="31"/>
  <c r="N14" i="31"/>
  <c r="N15" i="31"/>
  <c r="N16" i="31"/>
  <c r="N17" i="31"/>
  <c r="N1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8" i="31"/>
  <c r="AE41" i="30"/>
  <c r="AE40" i="30"/>
  <c r="AE39" i="30"/>
  <c r="AE38" i="30"/>
  <c r="AE37" i="30"/>
  <c r="AE36" i="30"/>
  <c r="AE35" i="30"/>
  <c r="AE34" i="30"/>
  <c r="V41" i="30"/>
  <c r="V40" i="30"/>
  <c r="V39" i="30"/>
  <c r="V38" i="30"/>
  <c r="V37" i="30"/>
  <c r="V36" i="30"/>
  <c r="V35" i="30"/>
  <c r="V34" i="30"/>
  <c r="M35" i="30"/>
  <c r="M36" i="30"/>
  <c r="M37" i="30"/>
  <c r="M38" i="30"/>
  <c r="M39" i="30"/>
  <c r="M40" i="30"/>
  <c r="M41" i="30"/>
  <c r="M34" i="30"/>
  <c r="BG23" i="30" l="1"/>
  <c r="BG22" i="30"/>
  <c r="BG21" i="30"/>
  <c r="BG20" i="30"/>
  <c r="BG19" i="30"/>
  <c r="A1" i="33"/>
  <c r="A1" i="32"/>
  <c r="A1" i="31"/>
  <c r="A1" i="30"/>
  <c r="AN60" i="33" l="1"/>
  <c r="AN59" i="33"/>
  <c r="AN58" i="33"/>
  <c r="AN57" i="33"/>
  <c r="AN56" i="33"/>
  <c r="AN55" i="33"/>
  <c r="AN54" i="33"/>
  <c r="AN53" i="33"/>
  <c r="AN52" i="33"/>
  <c r="AN51" i="33"/>
  <c r="AN50" i="33"/>
  <c r="AN49" i="33"/>
  <c r="AN48" i="33"/>
  <c r="AN47" i="33"/>
  <c r="AN46" i="33"/>
  <c r="AN45" i="33"/>
  <c r="AN44" i="33"/>
  <c r="AN43" i="33"/>
  <c r="AN42" i="33"/>
  <c r="AN41" i="33"/>
  <c r="AN40" i="33"/>
  <c r="AN39" i="33"/>
  <c r="AN38" i="33"/>
  <c r="AN37" i="33"/>
  <c r="AN36" i="33"/>
  <c r="AN35" i="33"/>
  <c r="AN34" i="33"/>
  <c r="AN33" i="33"/>
  <c r="AN32" i="33"/>
  <c r="AN31" i="33"/>
  <c r="AN30" i="33"/>
  <c r="AN29" i="33"/>
  <c r="AN28" i="33"/>
  <c r="AN27" i="33"/>
  <c r="AN26" i="33"/>
  <c r="AN25" i="33"/>
  <c r="AN24" i="33"/>
  <c r="AN23" i="33"/>
  <c r="AN22" i="33"/>
  <c r="AN21" i="33"/>
  <c r="AN20" i="33"/>
  <c r="AN19" i="33"/>
  <c r="AN18" i="33"/>
  <c r="AN17" i="33"/>
  <c r="AN16" i="33"/>
  <c r="AN15" i="33"/>
  <c r="AN14" i="33"/>
  <c r="AN13" i="33"/>
  <c r="AN12" i="33"/>
  <c r="AN11" i="33"/>
  <c r="AN10" i="33"/>
  <c r="AN9" i="33"/>
  <c r="AN8" i="33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BT26" i="30"/>
  <c r="BT25" i="30"/>
  <c r="BT24" i="30"/>
  <c r="BT23" i="30"/>
  <c r="BT22" i="30"/>
  <c r="BT21" i="30"/>
  <c r="BT20" i="30"/>
  <c r="BT19" i="30"/>
  <c r="BT13" i="30"/>
  <c r="BT12" i="30"/>
  <c r="BT11" i="30"/>
  <c r="BT10" i="30"/>
  <c r="BT9" i="30"/>
  <c r="BT8" i="30"/>
  <c r="BT7" i="30"/>
  <c r="BG17" i="30"/>
  <c r="BG16" i="30"/>
  <c r="BG15" i="30"/>
  <c r="BG14" i="30"/>
  <c r="BG13" i="30"/>
  <c r="BG12" i="30"/>
  <c r="BG11" i="30"/>
  <c r="BG10" i="30"/>
  <c r="BG9" i="30"/>
  <c r="BG8" i="30"/>
  <c r="BG7" i="30"/>
  <c r="G5" i="30"/>
  <c r="P32" i="30" s="1"/>
  <c r="M7" i="30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K29" i="18"/>
  <c r="M28" i="18"/>
  <c r="K28" i="18"/>
  <c r="M27" i="18"/>
  <c r="K27" i="18"/>
  <c r="M26" i="18"/>
  <c r="K26" i="18"/>
  <c r="M25" i="18"/>
  <c r="K25" i="18"/>
  <c r="M24" i="18"/>
  <c r="K24" i="18"/>
  <c r="M23" i="18"/>
  <c r="K23" i="18"/>
  <c r="M22" i="18"/>
  <c r="K22" i="18"/>
  <c r="M21" i="18"/>
  <c r="K21" i="18"/>
  <c r="M20" i="18"/>
  <c r="K20" i="18"/>
  <c r="M19" i="18"/>
  <c r="K19" i="18"/>
  <c r="M18" i="18"/>
  <c r="K18" i="18"/>
  <c r="M17" i="18"/>
  <c r="K17" i="18"/>
  <c r="M16" i="18"/>
  <c r="K16" i="18"/>
  <c r="M15" i="18"/>
  <c r="K15" i="18"/>
  <c r="M14" i="18"/>
  <c r="K14" i="18"/>
  <c r="M13" i="18"/>
  <c r="K13" i="18"/>
  <c r="M12" i="18"/>
  <c r="K12" i="18"/>
  <c r="M11" i="18"/>
  <c r="K11" i="18"/>
  <c r="M10" i="18"/>
  <c r="K10" i="18"/>
  <c r="M9" i="18"/>
  <c r="K9" i="18"/>
  <c r="M8" i="18"/>
  <c r="K8" i="18"/>
  <c r="M7" i="18"/>
  <c r="K7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H5" i="18"/>
  <c r="J5" i="18" l="1"/>
  <c r="G5" i="33"/>
  <c r="J5" i="33" s="1"/>
  <c r="AK6" i="33" s="1"/>
  <c r="F5" i="32"/>
  <c r="I5" i="32" s="1"/>
  <c r="G5" i="31"/>
  <c r="G28" i="31" s="1"/>
  <c r="BQ5" i="30"/>
  <c r="J5" i="30"/>
  <c r="G32" i="30"/>
  <c r="Y32" i="30"/>
  <c r="BA5" i="30"/>
  <c r="BQ17" i="30"/>
  <c r="AB6" i="33" l="1"/>
  <c r="AH6" i="33"/>
  <c r="J5" i="31"/>
  <c r="J28" i="31" s="1"/>
  <c r="Y6" i="33"/>
  <c r="S32" i="30"/>
  <c r="BS17" i="30"/>
  <c r="BD5" i="30"/>
  <c r="AB32" i="30"/>
  <c r="J32" i="30"/>
  <c r="BS5" i="30"/>
</calcChain>
</file>

<file path=xl/sharedStrings.xml><?xml version="1.0" encoding="utf-8"?>
<sst xmlns="http://schemas.openxmlformats.org/spreadsheetml/2006/main" count="467" uniqueCount="274">
  <si>
    <t>増減率</t>
    <rPh sb="0" eb="3">
      <t>ゾウゲンリツ</t>
    </rPh>
    <phoneticPr fontId="4"/>
  </si>
  <si>
    <t>（円）</t>
    <rPh sb="1" eb="2">
      <t>エン</t>
    </rPh>
    <phoneticPr fontId="4"/>
  </si>
  <si>
    <t>種苗費</t>
    <rPh sb="0" eb="3">
      <t>シュビョウヒ</t>
    </rPh>
    <phoneticPr fontId="4"/>
  </si>
  <si>
    <t>肥料費</t>
    <rPh sb="0" eb="3">
      <t>ヒリョウヒ</t>
    </rPh>
    <phoneticPr fontId="4"/>
  </si>
  <si>
    <t>農業薬剤費</t>
    <rPh sb="0" eb="2">
      <t>ノウギョウ</t>
    </rPh>
    <rPh sb="2" eb="5">
      <t>ヤクザイヒ</t>
    </rPh>
    <phoneticPr fontId="4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</si>
  <si>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</si>
  <si>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</si>
  <si>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</si>
  <si>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</si>
  <si>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</si>
  <si>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</si>
  <si>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</si>
  <si>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</si>
  <si>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</si>
  <si>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</si>
  <si>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副産物</t>
    <rPh sb="0" eb="3">
      <t>フクサンブツ</t>
    </rPh>
    <phoneticPr fontId="4"/>
  </si>
  <si>
    <t>くず米</t>
    <rPh sb="2" eb="3">
      <t>マイ</t>
    </rPh>
    <phoneticPr fontId="4"/>
  </si>
  <si>
    <t>育苗</t>
    <rPh sb="0" eb="2">
      <t>イクビョウ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</si>
  <si>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</si>
  <si>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</si>
  <si>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直まき</t>
    <rPh sb="0" eb="1">
      <t>ジカ</t>
    </rPh>
    <phoneticPr fontId="4"/>
  </si>
  <si>
    <t>粗収益</t>
    <rPh sb="0" eb="3">
      <t>ソシュウエキ</t>
    </rPh>
    <phoneticPr fontId="4"/>
  </si>
  <si>
    <t>田植</t>
    <rPh sb="0" eb="2">
      <t>タウ</t>
    </rPh>
    <phoneticPr fontId="4"/>
  </si>
  <si>
    <t>所得</t>
    <rPh sb="0" eb="2">
      <t>ショトク</t>
    </rPh>
    <phoneticPr fontId="4"/>
  </si>
  <si>
    <t>追肥</t>
    <rPh sb="0" eb="2">
      <t>ツイヒ</t>
    </rPh>
    <phoneticPr fontId="4"/>
  </si>
  <si>
    <t>１日当たり</t>
    <rPh sb="1" eb="2">
      <t>ニチ</t>
    </rPh>
    <rPh sb="2" eb="3">
      <t>ア</t>
    </rPh>
    <phoneticPr fontId="4"/>
  </si>
  <si>
    <t>除草</t>
    <rPh sb="0" eb="2">
      <t>チュウコウジョソウ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</si>
  <si>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</si>
  <si>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</si>
  <si>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</si>
  <si>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</si>
  <si>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</si>
  <si>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</si>
  <si>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自作地</t>
    <rPh sb="0" eb="3">
      <t>ジサクチ</t>
    </rPh>
    <phoneticPr fontId="4"/>
  </si>
  <si>
    <t>【費用の内訳（10ａ当たり）】</t>
    <rPh sb="1" eb="3">
      <t>ヒヨウ</t>
    </rPh>
    <rPh sb="4" eb="6">
      <t>ウチワケ</t>
    </rPh>
    <rPh sb="10" eb="11">
      <t>ア</t>
    </rPh>
    <phoneticPr fontId="4"/>
  </si>
  <si>
    <t>増　　減　　率</t>
    <rPh sb="0" eb="7">
      <t>ゾウゲンリツ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</si>
  <si>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</si>
  <si>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</si>
  <si>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種子もみ</t>
    <rPh sb="0" eb="2">
      <t>シュシ</t>
    </rPh>
    <phoneticPr fontId="4"/>
  </si>
  <si>
    <t>購入</t>
    <rPh sb="0" eb="2">
      <t>コウニュウ</t>
    </rPh>
    <phoneticPr fontId="4"/>
  </si>
  <si>
    <t>苗</t>
    <rPh sb="0" eb="1">
      <t>ナエ</t>
    </rPh>
    <phoneticPr fontId="4"/>
  </si>
  <si>
    <t>炭酸カルシウム（石灰含む）</t>
    <rPh sb="0" eb="2">
      <t>タンサン</t>
    </rPh>
    <rPh sb="8" eb="10">
      <t>セッカイ</t>
    </rPh>
    <rPh sb="10" eb="11">
      <t>フク</t>
    </rPh>
    <phoneticPr fontId="4"/>
  </si>
  <si>
    <t>土壌改良資材</t>
    <rPh sb="0" eb="2">
      <t>ドジョウ</t>
    </rPh>
    <rPh sb="2" eb="4">
      <t>カイリョウ</t>
    </rPh>
    <rPh sb="4" eb="6">
      <t>シザイ</t>
    </rPh>
    <phoneticPr fontId="4"/>
  </si>
  <si>
    <t>たい肥・きゅう肥</t>
    <rPh sb="2" eb="3">
      <t>ヒ</t>
    </rPh>
    <rPh sb="7" eb="8">
      <t>ヒ</t>
    </rPh>
    <phoneticPr fontId="4"/>
  </si>
  <si>
    <t>その他</t>
    <rPh sb="2" eb="3">
      <t>タ</t>
    </rPh>
    <phoneticPr fontId="4"/>
  </si>
  <si>
    <t>たい肥</t>
    <rPh sb="2" eb="3">
      <t>ヒ</t>
    </rPh>
    <phoneticPr fontId="4"/>
  </si>
  <si>
    <t>きゅう肥</t>
    <rPh sb="3" eb="4">
      <t>ヒ</t>
    </rPh>
    <phoneticPr fontId="4"/>
  </si>
  <si>
    <t>稲・麦わら</t>
    <rPh sb="0" eb="1">
      <t>イネ</t>
    </rPh>
    <rPh sb="2" eb="3">
      <t>ムギ</t>
    </rPh>
    <phoneticPr fontId="4"/>
  </si>
  <si>
    <t>殺虫剤</t>
    <rPh sb="0" eb="3">
      <t>サッチュウザイ</t>
    </rPh>
    <phoneticPr fontId="4"/>
  </si>
  <si>
    <t>殺菌剤</t>
    <rPh sb="0" eb="3">
      <t>サッキンザイ</t>
    </rPh>
    <phoneticPr fontId="4"/>
  </si>
  <si>
    <t>殺虫殺菌剤</t>
    <rPh sb="0" eb="2">
      <t>サッチュウ</t>
    </rPh>
    <rPh sb="2" eb="5">
      <t>サッキンザイ</t>
    </rPh>
    <phoneticPr fontId="4"/>
  </si>
  <si>
    <t>除草剤</t>
    <rPh sb="0" eb="3">
      <t>ジョソウザイ</t>
    </rPh>
    <phoneticPr fontId="4"/>
  </si>
  <si>
    <t>増　　　減　　　率</t>
    <rPh sb="0" eb="9">
      <t>ゾウゲンリツ</t>
    </rPh>
    <phoneticPr fontId="4"/>
  </si>
  <si>
    <t>光熱動力費</t>
    <rPh sb="0" eb="2">
      <t>コウネツ</t>
    </rPh>
    <rPh sb="2" eb="5">
      <t>ドウリョクヒ</t>
    </rPh>
    <phoneticPr fontId="4"/>
  </si>
  <si>
    <t>動力燃料</t>
    <rPh sb="0" eb="2">
      <t>ドウリョク</t>
    </rPh>
    <rPh sb="2" eb="4">
      <t>ネンリョウ</t>
    </rPh>
    <phoneticPr fontId="4"/>
  </si>
  <si>
    <t>重油</t>
    <rPh sb="0" eb="2">
      <t>ジュウユ</t>
    </rPh>
    <phoneticPr fontId="4"/>
  </si>
  <si>
    <t>軽油</t>
    <rPh sb="0" eb="2">
      <t>ケイユ</t>
    </rPh>
    <phoneticPr fontId="4"/>
  </si>
  <si>
    <t>灯油</t>
    <rPh sb="0" eb="2">
      <t>トウユ</t>
    </rPh>
    <phoneticPr fontId="4"/>
  </si>
  <si>
    <t>潤滑油</t>
    <rPh sb="0" eb="3">
      <t>ジュンカツユ</t>
    </rPh>
    <phoneticPr fontId="4"/>
  </si>
  <si>
    <t>混合油</t>
    <rPh sb="0" eb="3">
      <t>コンゴウユ</t>
    </rPh>
    <phoneticPr fontId="4"/>
  </si>
  <si>
    <t>電力料</t>
    <rPh sb="0" eb="3">
      <t>デンリョクリョウ</t>
    </rPh>
    <phoneticPr fontId="4"/>
  </si>
  <si>
    <t>維持負担金</t>
    <rPh sb="0" eb="2">
      <t>イジ</t>
    </rPh>
    <rPh sb="2" eb="5">
      <t>フタンキン</t>
    </rPh>
    <phoneticPr fontId="4"/>
  </si>
  <si>
    <t>償還金</t>
    <rPh sb="0" eb="3">
      <t>ショウカンキン</t>
    </rPh>
    <phoneticPr fontId="4"/>
  </si>
  <si>
    <t>水利組合費</t>
    <rPh sb="0" eb="2">
      <t>スイリ</t>
    </rPh>
    <rPh sb="2" eb="5">
      <t>クミアイヒ</t>
    </rPh>
    <phoneticPr fontId="4"/>
  </si>
  <si>
    <t>揚水ポンプ組合費</t>
    <rPh sb="0" eb="2">
      <t>ヨウスイ</t>
    </rPh>
    <rPh sb="5" eb="8">
      <t>クミアイヒ</t>
    </rPh>
    <phoneticPr fontId="4"/>
  </si>
  <si>
    <t>共　同
負担金</t>
    <rPh sb="0" eb="3">
      <t>キョウドウ</t>
    </rPh>
    <phoneticPr fontId="4"/>
  </si>
  <si>
    <t>薬剤散布</t>
    <rPh sb="0" eb="2">
      <t>ヤクザイ</t>
    </rPh>
    <rPh sb="2" eb="4">
      <t>サンプ</t>
    </rPh>
    <phoneticPr fontId="4"/>
  </si>
  <si>
    <t>共同施設</t>
    <rPh sb="0" eb="2">
      <t>キョウドウ</t>
    </rPh>
    <rPh sb="2" eb="4">
      <t>シセツ</t>
    </rPh>
    <phoneticPr fontId="4"/>
  </si>
  <si>
    <t>共同苗代</t>
    <rPh sb="0" eb="2">
      <t>キョウドウ</t>
    </rPh>
    <rPh sb="2" eb="4">
      <t>ナワシロ</t>
    </rPh>
    <phoneticPr fontId="4"/>
  </si>
  <si>
    <t>農機具借料</t>
    <rPh sb="0" eb="3">
      <t>ノウキグ</t>
    </rPh>
    <rPh sb="3" eb="5">
      <t>シャクリョウ</t>
    </rPh>
    <phoneticPr fontId="4"/>
  </si>
  <si>
    <t>航空防除賃</t>
    <rPh sb="0" eb="2">
      <t>コウクウ</t>
    </rPh>
    <rPh sb="2" eb="4">
      <t>ボウジョ</t>
    </rPh>
    <rPh sb="4" eb="5">
      <t>チン</t>
    </rPh>
    <phoneticPr fontId="4"/>
  </si>
  <si>
    <t>賃耕料</t>
    <rPh sb="0" eb="1">
      <t>チン</t>
    </rPh>
    <rPh sb="1" eb="2">
      <t>コウ</t>
    </rPh>
    <rPh sb="2" eb="3">
      <t>リョウ</t>
    </rPh>
    <phoneticPr fontId="4"/>
  </si>
  <si>
    <t>は種・田植賃</t>
    <rPh sb="1" eb="2">
      <t>シュ</t>
    </rPh>
    <rPh sb="3" eb="5">
      <t>タウ</t>
    </rPh>
    <rPh sb="5" eb="6">
      <t>チン</t>
    </rPh>
    <phoneticPr fontId="4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</si>
  <si>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4"/>
  </si>
  <si>
    <t>ライスセンター費</t>
    <rPh sb="7" eb="8">
      <t>ヒ</t>
    </rPh>
    <phoneticPr fontId="4"/>
  </si>
  <si>
    <t>カントリーエレベーター費</t>
    <rPh sb="11" eb="12">
      <t>ヒ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</si>
  <si>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</si>
  <si>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（台）</t>
    <rPh sb="1" eb="2">
      <t>ダイ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</si>
  <si>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</si>
  <si>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</si>
  <si>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納屋・倉庫</t>
    <rPh sb="0" eb="2">
      <t>ナヤ</t>
    </rPh>
    <rPh sb="3" eb="5">
      <t>ソウコ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</si>
  <si>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</si>
  <si>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</si>
  <si>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</si>
  <si>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</si>
  <si>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</si>
  <si>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電動機</t>
    <rPh sb="0" eb="3">
      <t>デンドウキ</t>
    </rPh>
    <phoneticPr fontId="4"/>
  </si>
  <si>
    <t>発動機</t>
    <rPh sb="0" eb="3">
      <t>ハツドウキ</t>
    </rPh>
    <phoneticPr fontId="4"/>
  </si>
  <si>
    <t>揚水ポンプ</t>
    <rPh sb="0" eb="2">
      <t>ヨウスイ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</si>
  <si>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</si>
  <si>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</si>
  <si>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電熱育苗機</t>
    <rPh sb="0" eb="2">
      <t>デンネツ</t>
    </rPh>
    <rPh sb="2" eb="5">
      <t>イクビョウキ</t>
    </rPh>
    <phoneticPr fontId="4"/>
  </si>
  <si>
    <t>田植機</t>
    <rPh sb="0" eb="3">
      <t>タウエキ</t>
    </rPh>
    <phoneticPr fontId="4"/>
  </si>
  <si>
    <t>２条植</t>
    <rPh sb="1" eb="2">
      <t>ジョウ</t>
    </rPh>
    <rPh sb="2" eb="3">
      <t>ウエ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</si>
  <si>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</si>
  <si>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</si>
  <si>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普通型コンバイン</t>
    <rPh sb="0" eb="2">
      <t>フツウ</t>
    </rPh>
    <rPh sb="2" eb="3">
      <t>ガタ</t>
    </rPh>
    <phoneticPr fontId="4"/>
  </si>
  <si>
    <t>脱穀機</t>
    <rPh sb="0" eb="3">
      <t>ダッコクキ</t>
    </rPh>
    <phoneticPr fontId="4"/>
  </si>
  <si>
    <t>乾燥機</t>
    <rPh sb="0" eb="3">
      <t>カンソウキ</t>
    </rPh>
    <phoneticPr fontId="4"/>
  </si>
  <si>
    <t>静置式</t>
    <rPh sb="0" eb="1">
      <t>セイ</t>
    </rPh>
    <rPh sb="1" eb="2">
      <t>チ</t>
    </rPh>
    <rPh sb="2" eb="3">
      <t>シキ</t>
    </rPh>
    <phoneticPr fontId="4"/>
  </si>
  <si>
    <t>循環式</t>
    <rPh sb="0" eb="2">
      <t>ジュンカン</t>
    </rPh>
    <rPh sb="2" eb="3">
      <t>シキ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</si>
  <si>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</si>
  <si>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物件税</t>
    <rPh sb="0" eb="2">
      <t>ブッケン</t>
    </rPh>
    <rPh sb="2" eb="3">
      <t>ゼイ</t>
    </rPh>
    <phoneticPr fontId="4"/>
  </si>
  <si>
    <t>固定資産税</t>
    <rPh sb="0" eb="2">
      <t>コテイ</t>
    </rPh>
    <rPh sb="2" eb="5">
      <t>シサンゼイ</t>
    </rPh>
    <phoneticPr fontId="4"/>
  </si>
  <si>
    <t>建物</t>
    <rPh sb="0" eb="2">
      <t>タテモノ</t>
    </rPh>
    <phoneticPr fontId="4"/>
  </si>
  <si>
    <t>自動車重量税</t>
    <rPh sb="0" eb="3">
      <t>ジドウシャ</t>
    </rPh>
    <rPh sb="3" eb="6">
      <t>ジュウリョウゼイ</t>
    </rPh>
    <phoneticPr fontId="4"/>
  </si>
  <si>
    <t>自動車税</t>
    <rPh sb="0" eb="3">
      <t>ジドウシャ</t>
    </rPh>
    <rPh sb="3" eb="4">
      <t>ジュウリョウゼイ</t>
    </rPh>
    <phoneticPr fontId="4"/>
  </si>
  <si>
    <t>不動産取得税</t>
    <rPh sb="0" eb="3">
      <t>フドウサン</t>
    </rPh>
    <rPh sb="3" eb="6">
      <t>シュトクゼイ</t>
    </rPh>
    <phoneticPr fontId="4"/>
  </si>
  <si>
    <t>水利地益税</t>
    <rPh sb="0" eb="2">
      <t>スイリ</t>
    </rPh>
    <rPh sb="2" eb="3">
      <t>チ</t>
    </rPh>
    <rPh sb="3" eb="5">
      <t>エキゼイ</t>
    </rPh>
    <phoneticPr fontId="4"/>
  </si>
  <si>
    <t>都市計画税</t>
    <rPh sb="0" eb="2">
      <t>トシ</t>
    </rPh>
    <rPh sb="2" eb="4">
      <t>ケイカク</t>
    </rPh>
    <rPh sb="4" eb="5">
      <t>ゼイ</t>
    </rPh>
    <phoneticPr fontId="4"/>
  </si>
  <si>
    <t>共同施設税</t>
    <rPh sb="0" eb="2">
      <t>キョウドウ</t>
    </rPh>
    <rPh sb="2" eb="4">
      <t>シセツ</t>
    </rPh>
    <rPh sb="4" eb="5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</si>
  <si>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4"/>
  </si>
  <si>
    <t>集落協議会費</t>
    <rPh sb="0" eb="2">
      <t>シュウラク</t>
    </rPh>
    <rPh sb="2" eb="5">
      <t>キョウギカイ</t>
    </rPh>
    <rPh sb="5" eb="6">
      <t>ヒ</t>
    </rPh>
    <phoneticPr fontId="4"/>
  </si>
  <si>
    <t>農業協同組合費</t>
    <rPh sb="0" eb="2">
      <t>ノウギョウ</t>
    </rPh>
    <rPh sb="2" eb="4">
      <t>キョウドウ</t>
    </rPh>
    <rPh sb="4" eb="7">
      <t>クミアイヒ</t>
    </rPh>
    <phoneticPr fontId="4"/>
  </si>
  <si>
    <t>農事実行組合費</t>
    <rPh sb="0" eb="2">
      <t>ノウジ</t>
    </rPh>
    <rPh sb="2" eb="4">
      <t>ジッコウ</t>
    </rPh>
    <rPh sb="4" eb="7">
      <t>クミアイヒ</t>
    </rPh>
    <phoneticPr fontId="4"/>
  </si>
  <si>
    <t>自賠責保険</t>
    <rPh sb="0" eb="3">
      <t>ジバイセキ</t>
    </rPh>
    <rPh sb="3" eb="5">
      <t>ホケン</t>
    </rPh>
    <phoneticPr fontId="4"/>
  </si>
  <si>
    <t>借入金・調査開始時残高合計</t>
    <rPh sb="0" eb="3">
      <t>カリイレキン</t>
    </rPh>
    <rPh sb="4" eb="6">
      <t>チョウサ</t>
    </rPh>
    <rPh sb="6" eb="8">
      <t>カイシ</t>
    </rPh>
    <rPh sb="8" eb="9">
      <t>トキ</t>
    </rPh>
    <rPh sb="9" eb="11">
      <t>ザンダカ</t>
    </rPh>
    <rPh sb="11" eb="13">
      <t>ゴウケイ</t>
    </rPh>
    <phoneticPr fontId="4"/>
  </si>
  <si>
    <t>借入金</t>
    <rPh sb="0" eb="1">
      <t>シャク</t>
    </rPh>
    <rPh sb="1" eb="2">
      <t>イリ</t>
    </rPh>
    <rPh sb="2" eb="3">
      <t>キン</t>
    </rPh>
    <phoneticPr fontId="4"/>
  </si>
  <si>
    <t>買掛未払金</t>
    <rPh sb="0" eb="2">
      <t>カイカケ</t>
    </rPh>
    <rPh sb="2" eb="5">
      <t>ミバライキン</t>
    </rPh>
    <phoneticPr fontId="4"/>
  </si>
  <si>
    <t>粗収益</t>
    <rPh sb="0" eb="1">
      <t>ソ</t>
    </rPh>
    <rPh sb="1" eb="3">
      <t>シュウエキ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</si>
  <si>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</si>
  <si>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たい肥盤</t>
    <rPh sb="2" eb="3">
      <t>ヒ</t>
    </rPh>
    <rPh sb="3" eb="4">
      <t>バン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</si>
  <si>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</si>
  <si>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玄米（予定を含む）</t>
    <rPh sb="0" eb="2">
      <t>ゲンマイ</t>
    </rPh>
    <rPh sb="3" eb="5">
      <t>ヨテイ</t>
    </rPh>
    <rPh sb="6" eb="7">
      <t>フク</t>
    </rPh>
    <phoneticPr fontId="9"/>
  </si>
  <si>
    <t>販売用</t>
    <rPh sb="0" eb="3">
      <t>ハンバイヨウ</t>
    </rPh>
    <phoneticPr fontId="9"/>
  </si>
  <si>
    <t>主食用</t>
    <rPh sb="0" eb="3">
      <t>シュショクヨウ</t>
    </rPh>
    <phoneticPr fontId="9"/>
  </si>
  <si>
    <t>加工用</t>
    <rPh sb="0" eb="3">
      <t>カコウヨウ</t>
    </rPh>
    <phoneticPr fontId="9"/>
  </si>
  <si>
    <t>区分出荷</t>
    <rPh sb="0" eb="2">
      <t>クブン</t>
    </rPh>
    <rPh sb="2" eb="4">
      <t>シュッカ</t>
    </rPh>
    <phoneticPr fontId="9"/>
  </si>
  <si>
    <t>小計</t>
    <rPh sb="0" eb="2">
      <t>ショウケイ</t>
    </rPh>
    <phoneticPr fontId="9"/>
  </si>
  <si>
    <t>種子用</t>
    <rPh sb="0" eb="2">
      <t>シュシ</t>
    </rPh>
    <rPh sb="2" eb="3">
      <t>ヨウ</t>
    </rPh>
    <phoneticPr fontId="9"/>
  </si>
  <si>
    <t>飯米用</t>
    <rPh sb="0" eb="2">
      <t>ハンマイ</t>
    </rPh>
    <rPh sb="2" eb="3">
      <t>ヨウ</t>
    </rPh>
    <phoneticPr fontId="9"/>
  </si>
  <si>
    <t>その他</t>
    <rPh sb="2" eb="3">
      <t>タ</t>
    </rPh>
    <phoneticPr fontId="9"/>
  </si>
  <si>
    <t>合計</t>
    <rPh sb="0" eb="2">
      <t>ゴウケイ</t>
    </rPh>
    <phoneticPr fontId="9"/>
  </si>
  <si>
    <t>いなわら等</t>
    <rPh sb="4" eb="5">
      <t>トウ</t>
    </rPh>
    <phoneticPr fontId="9"/>
  </si>
  <si>
    <t>販売</t>
    <rPh sb="0" eb="2">
      <t>ハンバイヨウ</t>
    </rPh>
    <phoneticPr fontId="9"/>
  </si>
  <si>
    <t>生わら</t>
    <rPh sb="0" eb="1">
      <t>ナマ</t>
    </rPh>
    <phoneticPr fontId="9"/>
  </si>
  <si>
    <t>乾燥わら</t>
    <rPh sb="0" eb="2">
      <t>カンソウ</t>
    </rPh>
    <phoneticPr fontId="9"/>
  </si>
  <si>
    <t>いなわら小計</t>
    <rPh sb="4" eb="6">
      <t>ショウケイ</t>
    </rPh>
    <phoneticPr fontId="9"/>
  </si>
  <si>
    <t>くず米</t>
    <rPh sb="2" eb="3">
      <t>マイ</t>
    </rPh>
    <phoneticPr fontId="9"/>
  </si>
  <si>
    <t>もみがら</t>
  </si>
  <si>
    <t>計</t>
    <rPh sb="0" eb="1">
      <t>ケイ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</si>
  <si>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</si>
  <si>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</si>
  <si>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</si>
  <si>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使用面積</t>
    <rPh sb="0" eb="2">
      <t>シヨウ</t>
    </rPh>
    <rPh sb="2" eb="4">
      <t>メンセキ</t>
    </rPh>
    <phoneticPr fontId="10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</si>
  <si>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</si>
  <si>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10a当たり負担地代</t>
    <rPh sb="3" eb="4">
      <t>ア</t>
    </rPh>
    <rPh sb="6" eb="8">
      <t>フタン</t>
    </rPh>
    <rPh sb="8" eb="10">
      <t>チダイ</t>
    </rPh>
    <phoneticPr fontId="10"/>
  </si>
  <si>
    <t>10a当たり地代総額</t>
    <rPh sb="3" eb="4">
      <t>ア</t>
    </rPh>
    <rPh sb="6" eb="8">
      <t>チダイ</t>
    </rPh>
    <rPh sb="8" eb="10">
      <t>ソウガク</t>
    </rPh>
    <phoneticPr fontId="10"/>
  </si>
  <si>
    <t>窒素質肥料</t>
    <rPh sb="0" eb="2">
      <t>チッソ</t>
    </rPh>
    <rPh sb="2" eb="3">
      <t>シツ</t>
    </rPh>
    <rPh sb="3" eb="5">
      <t>ヒリョウ</t>
    </rPh>
    <phoneticPr fontId="4"/>
  </si>
  <si>
    <t>りん酸質肥料</t>
    <rPh sb="2" eb="3">
      <t>サン</t>
    </rPh>
    <rPh sb="3" eb="4">
      <t>シツ</t>
    </rPh>
    <rPh sb="4" eb="6">
      <t>ヒリョウ</t>
    </rPh>
    <phoneticPr fontId="4"/>
  </si>
  <si>
    <t>けい酸質肥料</t>
    <rPh sb="2" eb="3">
      <t>サン</t>
    </rPh>
    <rPh sb="3" eb="4">
      <t>シツ</t>
    </rPh>
    <rPh sb="4" eb="6">
      <t>ヒリョウ</t>
    </rPh>
    <phoneticPr fontId="4"/>
  </si>
  <si>
    <t>カリ質肥料</t>
    <rPh sb="2" eb="3">
      <t>シツ</t>
    </rPh>
    <rPh sb="3" eb="5">
      <t>ヒリョウ</t>
    </rPh>
    <phoneticPr fontId="4"/>
  </si>
  <si>
    <t>複合肥料</t>
    <rPh sb="0" eb="2">
      <t>フクゴウ</t>
    </rPh>
    <rPh sb="2" eb="4">
      <t>ヒリョウ</t>
    </rPh>
    <phoneticPr fontId="4"/>
  </si>
  <si>
    <t>育苗用土（購入）（素土を含む）</t>
    <rPh sb="0" eb="2">
      <t>イクビョウ</t>
    </rPh>
    <rPh sb="2" eb="3">
      <t>ヨウ</t>
    </rPh>
    <rPh sb="3" eb="4">
      <t>ヨウド</t>
    </rPh>
    <rPh sb="5" eb="7">
      <t>コウニュウ</t>
    </rPh>
    <rPh sb="9" eb="10">
      <t>モト</t>
    </rPh>
    <rPh sb="10" eb="11">
      <t>ツチ</t>
    </rPh>
    <rPh sb="12" eb="13">
      <t>フク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</si>
  <si>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</si>
  <si>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</si>
  <si>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</si>
  <si>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</si>
  <si>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</si>
  <si>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</si>
  <si>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</si>
  <si>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</si>
  <si>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</si>
  <si>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</si>
  <si>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</si>
  <si>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</si>
  <si>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</si>
  <si>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</si>
  <si>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</si>
  <si>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</si>
  <si>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</si>
  <si>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</si>
  <si>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</si>
  <si>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</si>
  <si>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</si>
  <si>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</si>
  <si>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</si>
  <si>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</si>
  <si>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</si>
  <si>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</si>
  <si>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</si>
  <si>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</si>
  <si>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</si>
  <si>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</si>
  <si>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</si>
  <si>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</si>
  <si>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</si>
  <si>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</si>
  <si>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</si>
  <si>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</si>
  <si>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</si>
  <si>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</si>
  <si>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</si>
  <si>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【生産費】</t>
    <rPh sb="1" eb="4">
      <t>セイサンヒ</t>
    </rPh>
    <phoneticPr fontId="4"/>
  </si>
  <si>
    <t>（％）</t>
    <phoneticPr fontId="1"/>
  </si>
  <si>
    <t>kg</t>
    <phoneticPr fontId="1"/>
  </si>
  <si>
    <t>ａ</t>
    <phoneticPr fontId="1"/>
  </si>
  <si>
    <t>（％）</t>
    <phoneticPr fontId="4"/>
  </si>
  <si>
    <t>（kg）</t>
    <phoneticPr fontId="4"/>
  </si>
  <si>
    <t>（ａ）</t>
    <phoneticPr fontId="4"/>
  </si>
  <si>
    <t>ガソリン</t>
    <phoneticPr fontId="4"/>
  </si>
  <si>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4"/>
  </si>
  <si>
    <t>軽自動車税</t>
    <phoneticPr fontId="4"/>
  </si>
  <si>
    <t>農業共済組合賦課金</t>
    <phoneticPr fontId="4"/>
  </si>
  <si>
    <t>短期</t>
    <phoneticPr fontId="4"/>
  </si>
  <si>
    <t>長期</t>
    <phoneticPr fontId="4"/>
  </si>
  <si>
    <t>貨物自動車</t>
    <rPh sb="0" eb="2">
      <t>カモツ</t>
    </rPh>
    <rPh sb="2" eb="5">
      <t>ジドウシャ</t>
    </rPh>
    <phoneticPr fontId="4"/>
  </si>
  <si>
    <t>乗　用
トラク
タ　ー</t>
    <phoneticPr fontId="4"/>
  </si>
  <si>
    <t>バインダー</t>
    <phoneticPr fontId="4"/>
  </si>
  <si>
    <t>自脱型コ
ンバイン</t>
    <phoneticPr fontId="4"/>
  </si>
  <si>
    <t>歩行用トラクター</t>
    <rPh sb="0" eb="3">
      <t>ホコウヨウ</t>
    </rPh>
    <phoneticPr fontId="4"/>
  </si>
  <si>
    <t>借入地</t>
    <rPh sb="0" eb="2">
      <t>カリイレ</t>
    </rPh>
    <rPh sb="2" eb="3">
      <t>チ</t>
    </rPh>
    <phoneticPr fontId="4"/>
  </si>
  <si>
    <t>構成員</t>
    <rPh sb="0" eb="3">
      <t>コウセイイン</t>
    </rPh>
    <phoneticPr fontId="1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</si>
  <si>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1"/>
  </si>
  <si>
    <t>構成員労働時間</t>
    <rPh sb="0" eb="3">
      <t>コウセイイン</t>
    </rPh>
    <rPh sb="3" eb="5">
      <t>ロウドウ</t>
    </rPh>
    <rPh sb="5" eb="7">
      <t>ジカン</t>
    </rPh>
    <phoneticPr fontId="4"/>
  </si>
  <si>
    <t>組織用</t>
    <rPh sb="0" eb="2">
      <t>ソシキ</t>
    </rPh>
    <rPh sb="2" eb="3">
      <t>ヨウ</t>
    </rPh>
    <phoneticPr fontId="9"/>
  </si>
  <si>
    <t>全作業</t>
    <rPh sb="0" eb="1">
      <t>ゼン</t>
    </rPh>
    <rPh sb="1" eb="3">
      <t>サギョウ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</si>
  <si>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</si>
  <si>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</si>
  <si>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田植</t>
    <rPh sb="0" eb="2">
      <t>タウエ</t>
    </rPh>
    <phoneticPr fontId="4"/>
  </si>
  <si>
    <t>耕うん・整地</t>
    <rPh sb="0" eb="1">
      <t>コウ</t>
    </rPh>
    <rPh sb="4" eb="6">
      <t>セイチ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</si>
  <si>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</si>
  <si>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作付地
以外</t>
    <rPh sb="0" eb="3">
      <t>サクツケチ</t>
    </rPh>
    <rPh sb="4" eb="6">
      <t>イガイ</t>
    </rPh>
    <phoneticPr fontId="1"/>
  </si>
  <si>
    <t>増減率</t>
    <phoneticPr fontId="1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</si>
  <si>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</si>
  <si>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【稲作作業の受託状況（１経営体当たり）】</t>
    <rPh sb="1" eb="3">
      <t>イナサク</t>
    </rPh>
    <rPh sb="3" eb="5">
      <t>サギョウ</t>
    </rPh>
    <rPh sb="6" eb="8">
      <t>ジュタク</t>
    </rPh>
    <rPh sb="8" eb="10">
      <t>ジョウキョウ</t>
    </rPh>
    <rPh sb="12" eb="14">
      <t>ケイエイ</t>
    </rPh>
    <rPh sb="15" eb="16">
      <t>ア</t>
    </rPh>
    <phoneticPr fontId="4"/>
  </si>
  <si>
    <t>【稲作作業の委託状況（１経営体当たり）】</t>
    <rPh sb="12" eb="14">
      <t>ケイエイ</t>
    </rPh>
    <rPh sb="14" eb="16">
      <t>タイア</t>
    </rPh>
    <phoneticPr fontId="4"/>
  </si>
  <si>
    <t>ａ</t>
  </si>
  <si>
    <t>構成員労働報酬</t>
    <rPh sb="0" eb="3">
      <t>コウセイイン</t>
    </rPh>
    <rPh sb="3" eb="5">
      <t>ロウドウ</t>
    </rPh>
    <rPh sb="5" eb="7">
      <t>ホウシュウ</t>
    </rPh>
    <phoneticPr fontId="4"/>
  </si>
  <si>
    <t>（円）</t>
    <rPh sb="1" eb="2">
      <t>エン</t>
    </rPh>
    <phoneticPr fontId="1"/>
  </si>
  <si>
    <t>（円）</t>
    <phoneticPr fontId="1"/>
  </si>
  <si>
    <t>（ａ）</t>
    <phoneticPr fontId="1"/>
  </si>
  <si>
    <t>（L）</t>
    <phoneticPr fontId="4"/>
  </si>
  <si>
    <t>（kg）</t>
    <phoneticPr fontId="1"/>
  </si>
  <si>
    <t>（円）</t>
    <phoneticPr fontId="4"/>
  </si>
  <si>
    <t>その他の諸材料費</t>
    <rPh sb="2" eb="3">
      <t>タ</t>
    </rPh>
    <rPh sb="4" eb="7">
      <t>ショザイリョウ</t>
    </rPh>
    <phoneticPr fontId="4"/>
  </si>
  <si>
    <t>増減差</t>
    <rPh sb="0" eb="2">
      <t>ゾウゲン</t>
    </rPh>
    <rPh sb="2" eb="3">
      <t>サ</t>
    </rPh>
    <phoneticPr fontId="4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</si>
  <si>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</si>
  <si>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</si>
  <si>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</si>
  <si>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加工用</t>
    <rPh sb="0" eb="2">
      <t>カコウ</t>
    </rPh>
    <rPh sb="2" eb="3">
      <t>ヨウ</t>
    </rPh>
    <phoneticPr fontId="9"/>
  </si>
  <si>
    <t>その他</t>
    <phoneticPr fontId="1"/>
  </si>
  <si>
    <t>動力噴霧機</t>
    <rPh sb="0" eb="2">
      <t>ドウリョク</t>
    </rPh>
    <rPh sb="2" eb="4">
      <t>フンム</t>
    </rPh>
    <rPh sb="4" eb="5">
      <t>キ</t>
    </rPh>
    <phoneticPr fontId="4"/>
  </si>
  <si>
    <t>自給</t>
    <rPh sb="0" eb="2">
      <t>ジキュウ</t>
    </rPh>
    <phoneticPr fontId="4"/>
  </si>
  <si>
    <t>住宅</t>
    <rPh sb="0" eb="2">
      <t>ジュウタク</t>
    </rPh>
    <phoneticPr fontId="4"/>
  </si>
  <si>
    <t>【費用の内訳（10ａ当たり）（続き）】</t>
    <rPh sb="1" eb="3">
      <t>ヒヨウ</t>
    </rPh>
    <rPh sb="4" eb="6">
      <t>ウチワケ</t>
    </rPh>
    <rPh sb="10" eb="11">
      <t>ア</t>
    </rPh>
    <rPh sb="15" eb="16">
      <t>ツヅ</t>
    </rPh>
    <phoneticPr fontId="4"/>
  </si>
  <si>
    <t>稲わら
(もみがら含む)</t>
    <rPh sb="0" eb="1">
      <t>イナ</t>
    </rPh>
    <phoneticPr fontId="4"/>
  </si>
  <si>
    <t>60kg当たり生産費</t>
    <rPh sb="4" eb="5">
      <t>ア</t>
    </rPh>
    <rPh sb="7" eb="10">
      <t>セイサンヒ</t>
    </rPh>
    <phoneticPr fontId="1"/>
  </si>
  <si>
    <t>60kg当たり支払利子・地代算入生産費</t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</si>
  <si>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60kg当たり全算入生産費</t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</si>
  <si>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年産　米生産費統計（組織法人経営体）　個別結果検討表　№１</t>
    <phoneticPr fontId="1"/>
  </si>
  <si>
    <t>構成割合</t>
    <rPh sb="0" eb="2">
      <t>コウセイ</t>
    </rPh>
    <rPh sb="2" eb="4">
      <t>ワリアイ</t>
    </rPh>
    <phoneticPr fontId="1"/>
  </si>
  <si>
    <t>３～５条植</t>
    <rPh sb="3" eb="4">
      <t>ジョウ</t>
    </rPh>
    <rPh sb="4" eb="5">
      <t>ウエ</t>
    </rPh>
    <phoneticPr fontId="4"/>
  </si>
  <si>
    <t>備考欄</t>
    <rPh sb="0" eb="3">
      <t>ビコウラン</t>
    </rPh>
    <phoneticPr fontId="1"/>
  </si>
  <si>
    <t>事務所</t>
    <rPh sb="0" eb="3">
      <t>ジムショ</t>
    </rPh>
    <phoneticPr fontId="1"/>
  </si>
  <si>
    <t>作業場</t>
    <rPh sb="0" eb="3">
      <t>サギョウバ</t>
    </rPh>
    <phoneticPr fontId="1"/>
  </si>
  <si>
    <t>車庫</t>
    <rPh sb="0" eb="2">
      <t>シャコ</t>
    </rPh>
    <phoneticPr fontId="1"/>
  </si>
  <si>
    <t>ライスセンター</t>
    <phoneticPr fontId="1"/>
  </si>
  <si>
    <t>育苗ハウス</t>
    <rPh sb="0" eb="2">
      <t>イクビョウ</t>
    </rPh>
    <phoneticPr fontId="1"/>
  </si>
  <si>
    <t>稲架</t>
    <rPh sb="0" eb="1">
      <t>イナ</t>
    </rPh>
    <rPh sb="1" eb="2">
      <t>カ</t>
    </rPh>
    <phoneticPr fontId="1"/>
  </si>
  <si>
    <t>作業道</t>
    <rPh sb="0" eb="3">
      <t>サギョウミチ</t>
    </rPh>
    <phoneticPr fontId="1"/>
  </si>
  <si>
    <t>50～80馬力未満</t>
    <rPh sb="5" eb="7">
      <t>バリキ</t>
    </rPh>
    <rPh sb="7" eb="9">
      <t>ミマン</t>
    </rPh>
    <phoneticPr fontId="4"/>
  </si>
  <si>
    <t>80～100馬力未満</t>
    <rPh sb="6" eb="8">
      <t>バリキ</t>
    </rPh>
    <rPh sb="8" eb="10">
      <t>ミマン</t>
    </rPh>
    <phoneticPr fontId="4"/>
  </si>
  <si>
    <t>100馬力以上</t>
    <rPh sb="3" eb="5">
      <t>バリキ</t>
    </rPh>
    <rPh sb="5" eb="7">
      <t>イジョウ</t>
    </rPh>
    <phoneticPr fontId="4"/>
  </si>
  <si>
    <t>６～７条植</t>
    <rPh sb="3" eb="4">
      <t>ジョウ</t>
    </rPh>
    <rPh sb="4" eb="5">
      <t>ウエ</t>
    </rPh>
    <phoneticPr fontId="4"/>
  </si>
  <si>
    <t>８条植以上</t>
    <rPh sb="1" eb="2">
      <t>ジョウ</t>
    </rPh>
    <rPh sb="2" eb="3">
      <t>ウエ</t>
    </rPh>
    <rPh sb="3" eb="5">
      <t>イジョウ</t>
    </rPh>
    <phoneticPr fontId="4"/>
  </si>
  <si>
    <t>４～５条刈</t>
    <rPh sb="3" eb="4">
      <t>ジョウ</t>
    </rPh>
    <rPh sb="4" eb="5">
      <t>カリ</t>
    </rPh>
    <phoneticPr fontId="4"/>
  </si>
  <si>
    <t>６条以上</t>
    <rPh sb="1" eb="2">
      <t>ジョウ</t>
    </rPh>
    <rPh sb="2" eb="4">
      <t>イジョウ</t>
    </rPh>
    <phoneticPr fontId="1"/>
  </si>
  <si>
    <t>もみすり機</t>
    <rPh sb="4" eb="5">
      <t>キ</t>
    </rPh>
    <phoneticPr fontId="4"/>
  </si>
  <si>
    <t>ドローン</t>
    <phoneticPr fontId="1"/>
  </si>
  <si>
    <t>備考</t>
    <rPh sb="0" eb="2">
      <t>ビコウ</t>
    </rPh>
    <phoneticPr fontId="1"/>
  </si>
  <si>
    <t>上記以外の乾燥・調製委託料</t>
    <rPh sb="0" eb="2">
      <t>ジョウキ</t>
    </rPh>
    <rPh sb="2" eb="4">
      <t>イガイ</t>
    </rPh>
    <rPh sb="5" eb="7">
      <t>カンソウ</t>
    </rPh>
    <rPh sb="8" eb="10">
      <t>チョウセイ</t>
    </rPh>
    <rPh sb="10" eb="13">
      <t>イタクリョウ</t>
    </rPh>
    <phoneticPr fontId="4"/>
  </si>
  <si>
    <t>用水路</t>
    <rPh sb="0" eb="3">
      <t>ヨウスイロ</t>
    </rPh>
    <phoneticPr fontId="4"/>
  </si>
  <si>
    <t>使 用 台 数 （ １ 経 営 体 当 た り ）</t>
    <rPh sb="0" eb="1">
      <t>シ</t>
    </rPh>
    <rPh sb="2" eb="3">
      <t>ヨウ</t>
    </rPh>
    <rPh sb="4" eb="5">
      <t>ダイ</t>
    </rPh>
    <rPh sb="6" eb="7">
      <t>カズ</t>
    </rPh>
    <rPh sb="12" eb="13">
      <t>キョウ</t>
    </rPh>
    <rPh sb="14" eb="15">
      <t>エイ</t>
    </rPh>
    <rPh sb="16" eb="17">
      <t>カラダ</t>
    </rPh>
    <rPh sb="18" eb="19">
      <t>ア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</si>
</sst>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\ ###\ ##0"/>
    <numFmt numFmtId="177" formatCode="###\ ###\ ##0.0"/>
    <numFmt numFmtId="178" formatCode="###\ ###\ ##0;\-###\ ###\ ##0;"/>
    <numFmt numFmtId="179" formatCode="###\ ###\ ##0.00;\-###\ ###\ ##0.00;"/>
    <numFmt numFmtId="180" formatCode="00&quot;&quot;"/>
    <numFmt numFmtId="181" formatCode="###\ ###\ ##0.000;\-###\ ###\ ##0.000;"/>
    <numFmt numFmtId="182" formatCode="0000"/>
    <numFmt numFmtId="183" formatCode="\≪000000\≫"/>
    <numFmt numFmtId="184" formatCode="#0&quot;年産&quot;"/>
    <numFmt numFmtId="185" formatCode="#,##0_ "/>
    <numFmt numFmtId="186" formatCode="#,##0.0_ "/>
    <numFmt numFmtId="187" formatCode="#,##0.000_ "/>
    <numFmt numFmtId="188" formatCode="#,##0.00_ "/>
  </numFmts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color indexed="10"/>
      <name val="ＭＳ Ｐ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57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8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</borders>
  <cellStyleXfs count="6">
    <xf numFmtId="0" fontId="0" fillId="0" borderId="0">
      <alignment vertical="center"/>
    </xf>
    <xf numFmtId="0" fontId="3" fillId="0" borderId="0"/>
    <xf numFmtId="0" fontId="3" fillId="0" borderId="0"/>
    <xf numFmtId="0" fontId="11" fillId="0" borderId="0"/>
    <xf numFmtId="0" fontId="14" fillId="0" borderId="0"/>
    <xf numFmtId="0" fontId="11" fillId="0" borderId="0">
      <alignment vertical="center"/>
    </xf>
  </cellStyleXfs>
  <cellXfs count="611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25" xfId="1" applyFont="1" applyBorder="1" applyAlignment="1">
      <alignment horizontal="distributed" vertical="center" justifyLastLine="1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24" xfId="1" applyFont="1" applyBorder="1" applyAlignment="1">
      <alignment horizontal="distributed" vertical="center" justifyLastLine="1"/>
    </xf>
    <xf numFmtId="0" fontId="5" fillId="0" borderId="14" xfId="1" applyFont="1" applyBorder="1" applyAlignment="1">
      <alignment horizontal="distributed" vertical="center"/>
    </xf>
    <xf numFmtId="0" fontId="2" fillId="0" borderId="0" xfId="1" applyFont="1"/>
    <xf numFmtId="0" fontId="5" fillId="0" borderId="38" xfId="1" applyFont="1" applyBorder="1" applyAlignment="1">
      <alignment horizontal="distributed" vertical="center" justifyLastLine="1"/>
    </xf>
    <xf numFmtId="0" fontId="5" fillId="0" borderId="1" xfId="1" applyFont="1" applyBorder="1" applyAlignment="1">
      <alignment horizontal="distributed" vertical="center" justifyLastLine="1"/>
    </xf>
    <xf numFmtId="0" fontId="7" fillId="0" borderId="39" xfId="1" applyFont="1" applyBorder="1" applyAlignment="1">
      <alignment horizontal="center" vertical="center"/>
    </xf>
    <xf numFmtId="178" fontId="5" fillId="0" borderId="0" xfId="1" applyNumberFormat="1" applyFont="1" applyAlignment="1">
      <alignment horizontal="right"/>
    </xf>
    <xf numFmtId="177" fontId="5" fillId="0" borderId="0" xfId="1" applyNumberFormat="1" applyFont="1" applyAlignment="1">
      <alignment horizontal="right" shrinkToFit="1"/>
    </xf>
    <xf numFmtId="0" fontId="5" fillId="0" borderId="1" xfId="1" applyFont="1" applyBorder="1" applyAlignment="1">
      <alignment horizontal="distributed" vertical="center"/>
    </xf>
    <xf numFmtId="0" fontId="5" fillId="0" borderId="7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7" xfId="1" applyFont="1" applyBorder="1" applyAlignment="1">
      <alignment vertical="center" shrinkToFit="1"/>
    </xf>
    <xf numFmtId="0" fontId="5" fillId="0" borderId="17" xfId="1" applyFont="1" applyBorder="1" applyAlignment="1">
      <alignment vertical="center"/>
    </xf>
    <xf numFmtId="0" fontId="5" fillId="0" borderId="7" xfId="1" applyFont="1" applyBorder="1" applyAlignment="1">
      <alignment horizontal="center" vertical="center" shrinkToFit="1"/>
    </xf>
    <xf numFmtId="180" fontId="5" fillId="0" borderId="0" xfId="1" applyNumberFormat="1" applyFont="1" applyAlignment="1">
      <alignment horizontal="center" vertical="center"/>
    </xf>
    <xf numFmtId="182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2" fillId="0" borderId="0" xfId="1" applyFont="1" applyAlignment="1">
      <alignment horizontal="left" vertical="center"/>
    </xf>
    <xf numFmtId="176" fontId="5" fillId="0" borderId="81" xfId="1" applyNumberFormat="1" applyFont="1" applyBorder="1" applyAlignment="1">
      <alignment shrinkToFit="1"/>
    </xf>
    <xf numFmtId="176" fontId="5" fillId="0" borderId="20" xfId="1" applyNumberFormat="1" applyFont="1" applyBorder="1" applyAlignment="1">
      <alignment shrinkToFit="1"/>
    </xf>
    <xf numFmtId="176" fontId="5" fillId="0" borderId="42" xfId="1" applyNumberFormat="1" applyFont="1" applyBorder="1" applyAlignment="1">
      <alignment shrinkToFit="1"/>
    </xf>
    <xf numFmtId="176" fontId="5" fillId="0" borderId="73" xfId="1" applyNumberFormat="1" applyFont="1" applyBorder="1" applyAlignment="1">
      <alignment shrinkToFit="1"/>
    </xf>
    <xf numFmtId="0" fontId="5" fillId="2" borderId="91" xfId="3" applyFont="1" applyFill="1" applyBorder="1" applyAlignment="1">
      <alignment vertical="center"/>
    </xf>
    <xf numFmtId="0" fontId="5" fillId="2" borderId="93" xfId="3" applyFont="1" applyFill="1" applyBorder="1" applyAlignment="1">
      <alignment vertical="center"/>
    </xf>
    <xf numFmtId="176" fontId="5" fillId="0" borderId="45" xfId="1" applyNumberFormat="1" applyFont="1" applyBorder="1" applyAlignment="1">
      <alignment shrinkToFit="1"/>
    </xf>
    <xf numFmtId="0" fontId="5" fillId="2" borderId="0" xfId="3" applyFont="1" applyFill="1" applyAlignment="1">
      <alignment vertical="center"/>
    </xf>
    <xf numFmtId="176" fontId="5" fillId="0" borderId="0" xfId="1" applyNumberFormat="1" applyFont="1" applyAlignment="1">
      <alignment shrinkToFit="1"/>
    </xf>
    <xf numFmtId="180" fontId="5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0" fontId="5" fillId="0" borderId="2" xfId="1" applyFont="1" applyBorder="1" applyAlignment="1">
      <alignment horizontal="distributed" vertical="center"/>
    </xf>
    <xf numFmtId="0" fontId="5" fillId="0" borderId="23" xfId="1" applyFont="1" applyBorder="1" applyAlignment="1">
      <alignment horizontal="distributed" vertical="center"/>
    </xf>
    <xf numFmtId="0" fontId="5" fillId="0" borderId="17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24" xfId="1" applyFont="1" applyBorder="1" applyAlignment="1">
      <alignment horizontal="center" vertical="center"/>
    </xf>
    <xf numFmtId="181" fontId="5" fillId="0" borderId="0" xfId="1" applyNumberFormat="1" applyFont="1" applyAlignment="1">
      <alignment horizontal="right"/>
    </xf>
    <xf numFmtId="177" fontId="5" fillId="0" borderId="0" xfId="1" applyNumberFormat="1" applyFont="1" applyAlignment="1">
      <alignment horizontal="right"/>
    </xf>
    <xf numFmtId="0" fontId="7" fillId="0" borderId="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179" fontId="5" fillId="0" borderId="0" xfId="1" applyNumberFormat="1" applyFont="1" applyAlignment="1">
      <alignment horizontal="right"/>
    </xf>
    <xf numFmtId="0" fontId="5" fillId="0" borderId="0" xfId="1" applyFont="1" applyAlignment="1">
      <alignment horizontal="distributed" vertical="distributed" textRotation="255"/>
    </xf>
    <xf numFmtId="181" fontId="5" fillId="0" borderId="0" xfId="1" applyNumberFormat="1" applyFont="1"/>
    <xf numFmtId="0" fontId="7" fillId="0" borderId="0" xfId="4" applyFont="1" applyAlignment="1">
      <alignment vertical="center" shrinkToFit="1"/>
    </xf>
    <xf numFmtId="0" fontId="4" fillId="0" borderId="0" xfId="4" applyFont="1" applyAlignment="1">
      <alignment vertical="center"/>
    </xf>
    <xf numFmtId="0" fontId="5" fillId="0" borderId="17" xfId="1" applyFont="1" applyBorder="1" applyAlignment="1">
      <alignment vertical="center" justifyLastLine="1"/>
    </xf>
    <xf numFmtId="0" fontId="7" fillId="0" borderId="17" xfId="1" applyFont="1" applyBorder="1" applyAlignment="1">
      <alignment vertical="center"/>
    </xf>
    <xf numFmtId="181" fontId="5" fillId="0" borderId="17" xfId="1" applyNumberFormat="1" applyFont="1" applyBorder="1"/>
    <xf numFmtId="0" fontId="6" fillId="0" borderId="12" xfId="1" applyFont="1" applyBorder="1" applyAlignment="1">
      <alignment vertical="center"/>
    </xf>
    <xf numFmtId="0" fontId="5" fillId="0" borderId="81" xfId="4" applyFont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5" fillId="0" borderId="19" xfId="1" applyFont="1" applyBorder="1" applyAlignment="1">
      <alignment horizontal="distributed" vertical="center"/>
    </xf>
    <xf numFmtId="0" fontId="5" fillId="0" borderId="36" xfId="1" applyFont="1" applyBorder="1" applyAlignment="1">
      <alignment horizontal="distributed" vertical="center"/>
    </xf>
    <xf numFmtId="0" fontId="5" fillId="0" borderId="22" xfId="1" applyFont="1" applyBorder="1" applyAlignment="1">
      <alignment horizontal="center" vertical="center"/>
    </xf>
    <xf numFmtId="183" fontId="5" fillId="0" borderId="17" xfId="1" applyNumberFormat="1" applyFont="1" applyBorder="1" applyAlignment="1">
      <alignment vertical="center"/>
    </xf>
    <xf numFmtId="0" fontId="5" fillId="0" borderId="11" xfId="1" applyFont="1" applyBorder="1" applyAlignment="1">
      <alignment horizontal="distributed" vertical="center" justifyLastLine="1"/>
    </xf>
    <xf numFmtId="0" fontId="7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distributed" vertical="center"/>
    </xf>
    <xf numFmtId="0" fontId="5" fillId="0" borderId="27" xfId="1" applyFont="1" applyBorder="1" applyAlignment="1">
      <alignment horizontal="distributed" vertical="center" justifyLastLine="1"/>
    </xf>
    <xf numFmtId="0" fontId="5" fillId="0" borderId="135" xfId="3" applyFont="1" applyBorder="1" applyAlignment="1">
      <alignment horizontal="center" vertical="center" shrinkToFit="1"/>
    </xf>
    <xf numFmtId="0" fontId="5" fillId="0" borderId="103" xfId="3" applyFont="1" applyBorder="1" applyAlignment="1">
      <alignment horizontal="center" vertical="center" shrinkToFit="1"/>
    </xf>
    <xf numFmtId="0" fontId="5" fillId="0" borderId="115" xfId="3" applyFont="1" applyBorder="1" applyAlignment="1">
      <alignment horizontal="center" vertical="center" shrinkToFit="1"/>
    </xf>
    <xf numFmtId="176" fontId="5" fillId="0" borderId="109" xfId="3" applyNumberFormat="1" applyFont="1" applyBorder="1" applyAlignment="1">
      <alignment horizontal="center" vertical="center" shrinkToFit="1"/>
    </xf>
    <xf numFmtId="176" fontId="5" fillId="0" borderId="117" xfId="3" applyNumberFormat="1" applyFont="1" applyBorder="1" applyAlignment="1">
      <alignment horizontal="center" vertical="center" shrinkToFit="1"/>
    </xf>
    <xf numFmtId="0" fontId="5" fillId="0" borderId="46" xfId="2" applyFont="1" applyBorder="1" applyAlignment="1">
      <alignment horizontal="distributed" vertical="center"/>
    </xf>
    <xf numFmtId="0" fontId="13" fillId="0" borderId="118" xfId="3" applyFont="1" applyBorder="1" applyAlignment="1">
      <alignment horizontal="center" vertical="center" wrapText="1"/>
    </xf>
    <xf numFmtId="185" fontId="15" fillId="0" borderId="119" xfId="3" applyNumberFormat="1" applyFont="1" applyBorder="1" applyAlignment="1">
      <alignment horizontal="right" vertical="center" shrinkToFit="1"/>
    </xf>
    <xf numFmtId="186" fontId="15" fillId="0" borderId="120" xfId="3" applyNumberFormat="1" applyFont="1" applyBorder="1" applyAlignment="1">
      <alignment horizontal="right" vertical="center" shrinkToFit="1"/>
    </xf>
    <xf numFmtId="185" fontId="15" fillId="0" borderId="121" xfId="3" applyNumberFormat="1" applyFont="1" applyBorder="1" applyAlignment="1">
      <alignment horizontal="right" vertical="center" shrinkToFit="1"/>
    </xf>
    <xf numFmtId="186" fontId="16" fillId="0" borderId="122" xfId="3" applyNumberFormat="1" applyFont="1" applyBorder="1" applyAlignment="1">
      <alignment horizontal="right" vertical="center" shrinkToFit="1"/>
    </xf>
    <xf numFmtId="185" fontId="15" fillId="0" borderId="123" xfId="3" applyNumberFormat="1" applyFont="1" applyBorder="1" applyAlignment="1">
      <alignment horizontal="right" vertical="center" shrinkToFit="1"/>
    </xf>
    <xf numFmtId="0" fontId="13" fillId="0" borderId="126" xfId="3" applyFont="1" applyBorder="1" applyAlignment="1">
      <alignment horizontal="center" vertical="center" wrapText="1"/>
    </xf>
    <xf numFmtId="185" fontId="15" fillId="0" borderId="97" xfId="3" applyNumberFormat="1" applyFont="1" applyBorder="1" applyAlignment="1">
      <alignment horizontal="right" vertical="center" shrinkToFit="1"/>
    </xf>
    <xf numFmtId="186" fontId="15" fillId="0" borderId="6" xfId="3" applyNumberFormat="1" applyFont="1" applyBorder="1" applyAlignment="1">
      <alignment horizontal="right" vertical="center" shrinkToFit="1"/>
    </xf>
    <xf numFmtId="185" fontId="15" fillId="0" borderId="5" xfId="3" applyNumberFormat="1" applyFont="1" applyBorder="1" applyAlignment="1">
      <alignment horizontal="right" vertical="center" shrinkToFit="1"/>
    </xf>
    <xf numFmtId="186" fontId="16" fillId="0" borderId="20" xfId="3" applyNumberFormat="1" applyFont="1" applyBorder="1" applyAlignment="1">
      <alignment horizontal="right" vertical="center" shrinkToFit="1"/>
    </xf>
    <xf numFmtId="185" fontId="15" fillId="0" borderId="29" xfId="3" applyNumberFormat="1" applyFont="1" applyBorder="1" applyAlignment="1">
      <alignment horizontal="right" vertical="center" shrinkToFit="1"/>
    </xf>
    <xf numFmtId="0" fontId="13" fillId="0" borderId="126" xfId="3" applyFont="1" applyBorder="1" applyAlignment="1">
      <alignment horizontal="center" vertical="center"/>
    </xf>
    <xf numFmtId="0" fontId="5" fillId="0" borderId="45" xfId="2" applyFont="1" applyBorder="1" applyAlignment="1">
      <alignment horizontal="distributed" vertical="center"/>
    </xf>
    <xf numFmtId="177" fontId="15" fillId="0" borderId="53" xfId="3" applyNumberFormat="1" applyFont="1" applyBorder="1" applyAlignment="1">
      <alignment horizontal="right" vertical="center" shrinkToFit="1"/>
    </xf>
    <xf numFmtId="177" fontId="16" fillId="0" borderId="53" xfId="3" applyNumberFormat="1" applyFont="1" applyBorder="1" applyAlignment="1">
      <alignment horizontal="right" vertical="center"/>
    </xf>
    <xf numFmtId="185" fontId="16" fillId="0" borderId="5" xfId="3" applyNumberFormat="1" applyFont="1" applyBorder="1" applyAlignment="1">
      <alignment horizontal="right" vertical="center" shrinkToFit="1"/>
    </xf>
    <xf numFmtId="185" fontId="16" fillId="0" borderId="29" xfId="3" applyNumberFormat="1" applyFont="1" applyBorder="1" applyAlignment="1">
      <alignment horizontal="right" vertical="center" shrinkToFit="1"/>
    </xf>
    <xf numFmtId="0" fontId="13" fillId="0" borderId="127" xfId="3" applyFont="1" applyBorder="1" applyAlignment="1">
      <alignment horizontal="center" vertical="center" wrapText="1"/>
    </xf>
    <xf numFmtId="177" fontId="15" fillId="0" borderId="88" xfId="3" applyNumberFormat="1" applyFont="1" applyBorder="1" applyAlignment="1">
      <alignment horizontal="right" vertical="center" shrinkToFit="1"/>
    </xf>
    <xf numFmtId="185" fontId="15" fillId="0" borderId="131" xfId="3" applyNumberFormat="1" applyFont="1" applyBorder="1" applyAlignment="1">
      <alignment horizontal="right" vertical="center" shrinkToFit="1"/>
    </xf>
    <xf numFmtId="177" fontId="15" fillId="0" borderId="141" xfId="3" applyNumberFormat="1" applyFont="1" applyBorder="1" applyAlignment="1">
      <alignment horizontal="right" vertical="center" shrinkToFit="1"/>
    </xf>
    <xf numFmtId="186" fontId="16" fillId="0" borderId="21" xfId="3" applyNumberFormat="1" applyFont="1" applyBorder="1" applyAlignment="1">
      <alignment horizontal="right" vertical="center" shrinkToFit="1"/>
    </xf>
    <xf numFmtId="185" fontId="15" fillId="0" borderId="34" xfId="3" applyNumberFormat="1" applyFont="1" applyBorder="1" applyAlignment="1">
      <alignment horizontal="right" vertical="center" shrinkToFit="1"/>
    </xf>
    <xf numFmtId="0" fontId="13" fillId="0" borderId="128" xfId="3" applyFont="1" applyBorder="1" applyAlignment="1">
      <alignment horizontal="center" vertical="center" wrapText="1"/>
    </xf>
    <xf numFmtId="185" fontId="15" fillId="0" borderId="96" xfId="3" applyNumberFormat="1" applyFont="1" applyBorder="1" applyAlignment="1">
      <alignment horizontal="right" vertical="center" shrinkToFit="1"/>
    </xf>
    <xf numFmtId="177" fontId="15" fillId="0" borderId="51" xfId="3" applyNumberFormat="1" applyFont="1" applyBorder="1" applyAlignment="1">
      <alignment horizontal="right" vertical="center" shrinkToFit="1"/>
    </xf>
    <xf numFmtId="185" fontId="15" fillId="0" borderId="35" xfId="3" applyNumberFormat="1" applyFont="1" applyBorder="1" applyAlignment="1">
      <alignment horizontal="right" vertical="center" shrinkToFit="1"/>
    </xf>
    <xf numFmtId="186" fontId="16" fillId="0" borderId="81" xfId="3" applyNumberFormat="1" applyFont="1" applyBorder="1" applyAlignment="1">
      <alignment horizontal="right" vertical="center" shrinkToFit="1"/>
    </xf>
    <xf numFmtId="185" fontId="15" fillId="0" borderId="47" xfId="3" applyNumberFormat="1" applyFont="1" applyBorder="1" applyAlignment="1">
      <alignment horizontal="right" vertical="center" shrinkToFit="1"/>
    </xf>
    <xf numFmtId="185" fontId="15" fillId="0" borderId="98" xfId="3" applyNumberFormat="1" applyFont="1" applyBorder="1" applyAlignment="1">
      <alignment horizontal="right" vertical="center" shrinkToFit="1"/>
    </xf>
    <xf numFmtId="185" fontId="15" fillId="0" borderId="8" xfId="3" applyNumberFormat="1" applyFont="1" applyBorder="1" applyAlignment="1">
      <alignment horizontal="right" vertical="center" shrinkToFit="1"/>
    </xf>
    <xf numFmtId="186" fontId="16" fillId="0" borderId="42" xfId="3" applyNumberFormat="1" applyFont="1" applyBorder="1" applyAlignment="1">
      <alignment horizontal="right" vertical="center" shrinkToFit="1"/>
    </xf>
    <xf numFmtId="185" fontId="15" fillId="0" borderId="31" xfId="3" applyNumberFormat="1" applyFont="1" applyBorder="1" applyAlignment="1">
      <alignment horizontal="right" vertical="center" shrinkToFit="1"/>
    </xf>
    <xf numFmtId="185" fontId="15" fillId="0" borderId="36" xfId="3" applyNumberFormat="1" applyFont="1" applyBorder="1" applyAlignment="1">
      <alignment horizontal="right" vertical="center" shrinkToFit="1"/>
    </xf>
    <xf numFmtId="177" fontId="15" fillId="0" borderId="142" xfId="3" applyNumberFormat="1" applyFont="1" applyBorder="1" applyAlignment="1">
      <alignment horizontal="right" vertical="center" shrinkToFit="1"/>
    </xf>
    <xf numFmtId="186" fontId="16" fillId="0" borderId="45" xfId="3" applyNumberFormat="1" applyFont="1" applyBorder="1" applyAlignment="1">
      <alignment horizontal="right" vertical="center" shrinkToFit="1"/>
    </xf>
    <xf numFmtId="185" fontId="15" fillId="0" borderId="33" xfId="3" applyNumberFormat="1" applyFont="1" applyBorder="1" applyAlignment="1">
      <alignment horizontal="right" vertical="center" shrinkToFit="1"/>
    </xf>
    <xf numFmtId="187" fontId="15" fillId="0" borderId="97" xfId="3" applyNumberFormat="1" applyFont="1" applyBorder="1" applyAlignment="1">
      <alignment horizontal="right" vertical="center" shrinkToFit="1"/>
    </xf>
    <xf numFmtId="187" fontId="16" fillId="0" borderId="5" xfId="3" applyNumberFormat="1" applyFont="1" applyBorder="1" applyAlignment="1">
      <alignment horizontal="right" vertical="center" shrinkToFit="1"/>
    </xf>
    <xf numFmtId="187" fontId="16" fillId="0" borderId="29" xfId="3" applyNumberFormat="1" applyFont="1" applyBorder="1" applyAlignment="1">
      <alignment horizontal="right" vertical="center" shrinkToFit="1"/>
    </xf>
    <xf numFmtId="187" fontId="15" fillId="0" borderId="5" xfId="3" applyNumberFormat="1" applyFont="1" applyBorder="1" applyAlignment="1">
      <alignment horizontal="right" vertical="center" shrinkToFit="1"/>
    </xf>
    <xf numFmtId="187" fontId="15" fillId="0" borderId="29" xfId="3" applyNumberFormat="1" applyFont="1" applyBorder="1" applyAlignment="1">
      <alignment horizontal="right" vertical="center" shrinkToFit="1"/>
    </xf>
    <xf numFmtId="0" fontId="13" fillId="0" borderId="129" xfId="3" applyFont="1" applyBorder="1" applyAlignment="1">
      <alignment horizontal="center" vertical="center" wrapText="1"/>
    </xf>
    <xf numFmtId="186" fontId="15" fillId="0" borderId="130" xfId="3" applyNumberFormat="1" applyFont="1" applyBorder="1" applyAlignment="1">
      <alignment horizontal="right" vertical="center" shrinkToFit="1"/>
    </xf>
    <xf numFmtId="177" fontId="15" fillId="0" borderId="113" xfId="3" applyNumberFormat="1" applyFont="1" applyBorder="1" applyAlignment="1">
      <alignment horizontal="right" vertical="center" shrinkToFit="1"/>
    </xf>
    <xf numFmtId="186" fontId="15" fillId="0" borderId="112" xfId="3" applyNumberFormat="1" applyFont="1" applyBorder="1" applyAlignment="1">
      <alignment horizontal="right" vertical="center" shrinkToFit="1"/>
    </xf>
    <xf numFmtId="186" fontId="16" fillId="0" borderId="102" xfId="3" applyNumberFormat="1" applyFont="1" applyBorder="1" applyAlignment="1">
      <alignment horizontal="right" vertical="center" shrinkToFit="1"/>
    </xf>
    <xf numFmtId="186" fontId="15" fillId="0" borderId="108" xfId="3" applyNumberFormat="1" applyFont="1" applyBorder="1" applyAlignment="1">
      <alignment horizontal="right" vertical="center" shrinkToFit="1"/>
    </xf>
    <xf numFmtId="0" fontId="7" fillId="0" borderId="0" xfId="1" applyFont="1" applyAlignment="1">
      <alignment horizontal="center" vertical="center"/>
    </xf>
    <xf numFmtId="0" fontId="5" fillId="0" borderId="54" xfId="1" applyFont="1" applyBorder="1" applyAlignment="1">
      <alignment horizontal="distributed" vertical="center"/>
    </xf>
    <xf numFmtId="186" fontId="15" fillId="0" borderId="6" xfId="1" applyNumberFormat="1" applyFont="1" applyBorder="1" applyAlignment="1">
      <alignment horizontal="right" vertical="center"/>
    </xf>
    <xf numFmtId="186" fontId="15" fillId="0" borderId="13" xfId="1" applyNumberFormat="1" applyFont="1" applyBorder="1" applyAlignment="1">
      <alignment horizontal="right" vertical="center"/>
    </xf>
    <xf numFmtId="186" fontId="15" fillId="0" borderId="53" xfId="1" applyNumberFormat="1" applyFont="1" applyBorder="1" applyAlignment="1">
      <alignment horizontal="right" vertical="center"/>
    </xf>
    <xf numFmtId="186" fontId="15" fillId="0" borderId="89" xfId="1" applyNumberFormat="1" applyFont="1" applyBorder="1" applyAlignment="1">
      <alignment horizontal="right" vertical="center"/>
    </xf>
    <xf numFmtId="186" fontId="15" fillId="0" borderId="40" xfId="1" applyNumberFormat="1" applyFont="1" applyBorder="1" applyAlignment="1">
      <alignment horizontal="right" vertical="center"/>
    </xf>
    <xf numFmtId="186" fontId="15" fillId="0" borderId="88" xfId="1" applyNumberFormat="1" applyFont="1" applyBorder="1" applyAlignment="1">
      <alignment horizontal="right" vertical="center"/>
    </xf>
    <xf numFmtId="186" fontId="15" fillId="0" borderId="61" xfId="1" applyNumberFormat="1" applyFont="1" applyBorder="1" applyAlignment="1">
      <alignment horizontal="right" vertical="center"/>
    </xf>
    <xf numFmtId="186" fontId="15" fillId="0" borderId="7" xfId="1" applyNumberFormat="1" applyFont="1" applyBorder="1" applyAlignment="1">
      <alignment horizontal="right" vertical="center"/>
    </xf>
    <xf numFmtId="186" fontId="15" fillId="0" borderId="41" xfId="1" applyNumberFormat="1" applyFont="1" applyBorder="1" applyAlignment="1">
      <alignment horizontal="right" vertical="center"/>
    </xf>
    <xf numFmtId="186" fontId="15" fillId="0" borderId="44" xfId="1" applyNumberFormat="1" applyFont="1" applyBorder="1" applyAlignment="1">
      <alignment horizontal="right" vertical="center"/>
    </xf>
    <xf numFmtId="186" fontId="15" fillId="0" borderId="55" xfId="1" applyNumberFormat="1" applyFont="1" applyBorder="1" applyAlignment="1">
      <alignment horizontal="right" vertical="center"/>
    </xf>
    <xf numFmtId="186" fontId="15" fillId="0" borderId="37" xfId="1" applyNumberFormat="1" applyFont="1" applyBorder="1" applyAlignment="1">
      <alignment horizontal="right" vertical="center"/>
    </xf>
    <xf numFmtId="186" fontId="15" fillId="0" borderId="10" xfId="1" applyNumberFormat="1" applyFont="1" applyBorder="1" applyAlignment="1">
      <alignment horizontal="right" vertical="center"/>
    </xf>
    <xf numFmtId="185" fontId="15" fillId="0" borderId="147" xfId="1" applyNumberFormat="1" applyFont="1" applyBorder="1" applyAlignment="1">
      <alignment horizontal="right" vertical="center"/>
    </xf>
    <xf numFmtId="185" fontId="15" fillId="0" borderId="148" xfId="1" applyNumberFormat="1" applyFont="1" applyBorder="1" applyAlignment="1">
      <alignment horizontal="right" vertical="center"/>
    </xf>
    <xf numFmtId="186" fontId="15" fillId="0" borderId="146" xfId="1" applyNumberFormat="1" applyFont="1" applyBorder="1" applyAlignment="1">
      <alignment horizontal="right" vertical="center"/>
    </xf>
    <xf numFmtId="186" fontId="15" fillId="0" borderId="147" xfId="1" applyNumberFormat="1" applyFont="1" applyBorder="1" applyAlignment="1">
      <alignment horizontal="right" vertical="center"/>
    </xf>
    <xf numFmtId="186" fontId="15" fillId="0" borderId="6" xfId="4" applyNumberFormat="1" applyFont="1" applyBorder="1" applyAlignment="1">
      <alignment horizontal="right" vertical="center" shrinkToFit="1"/>
    </xf>
    <xf numFmtId="186" fontId="15" fillId="0" borderId="6" xfId="4" applyNumberFormat="1" applyFont="1" applyBorder="1" applyAlignment="1">
      <alignment horizontal="right" vertical="center"/>
    </xf>
    <xf numFmtId="186" fontId="15" fillId="0" borderId="9" xfId="4" applyNumberFormat="1" applyFont="1" applyBorder="1" applyAlignment="1">
      <alignment horizontal="right" vertical="center"/>
    </xf>
    <xf numFmtId="186" fontId="15" fillId="0" borderId="59" xfId="1" applyNumberFormat="1" applyFont="1" applyBorder="1" applyAlignment="1">
      <alignment horizontal="right" vertical="center"/>
    </xf>
    <xf numFmtId="185" fontId="15" fillId="0" borderId="61" xfId="1" applyNumberFormat="1" applyFont="1" applyBorder="1" applyAlignment="1">
      <alignment horizontal="right" vertical="center"/>
    </xf>
    <xf numFmtId="188" fontId="15" fillId="0" borderId="70" xfId="1" applyNumberFormat="1" applyFont="1" applyBorder="1" applyAlignment="1">
      <alignment horizontal="right" vertical="center"/>
    </xf>
    <xf numFmtId="185" fontId="15" fillId="0" borderId="40" xfId="1" applyNumberFormat="1" applyFont="1" applyBorder="1" applyAlignment="1">
      <alignment horizontal="right" vertical="center"/>
    </xf>
    <xf numFmtId="188" fontId="15" fillId="0" borderId="60" xfId="1" applyNumberFormat="1" applyFont="1" applyBorder="1" applyAlignment="1">
      <alignment horizontal="right" vertical="center"/>
    </xf>
    <xf numFmtId="186" fontId="15" fillId="0" borderId="5" xfId="1" applyNumberFormat="1" applyFont="1" applyBorder="1" applyAlignment="1">
      <alignment horizontal="right" vertical="center"/>
    </xf>
    <xf numFmtId="188" fontId="15" fillId="0" borderId="45" xfId="1" applyNumberFormat="1" applyFont="1" applyBorder="1" applyAlignment="1">
      <alignment horizontal="right" vertical="center"/>
    </xf>
    <xf numFmtId="188" fontId="15" fillId="0" borderId="20" xfId="1" applyNumberFormat="1" applyFont="1" applyBorder="1" applyAlignment="1">
      <alignment horizontal="right" vertical="center"/>
    </xf>
    <xf numFmtId="185" fontId="15" fillId="0" borderId="41" xfId="1" applyNumberFormat="1" applyFont="1" applyBorder="1" applyAlignment="1">
      <alignment horizontal="right" vertical="center"/>
    </xf>
    <xf numFmtId="188" fontId="15" fillId="0" borderId="51" xfId="1" applyNumberFormat="1" applyFont="1" applyBorder="1" applyAlignment="1">
      <alignment horizontal="right" vertical="center"/>
    </xf>
    <xf numFmtId="185" fontId="15" fillId="0" borderId="44" xfId="1" applyNumberFormat="1" applyFont="1" applyBorder="1" applyAlignment="1">
      <alignment horizontal="right" vertical="center"/>
    </xf>
    <xf numFmtId="188" fontId="15" fillId="0" borderId="62" xfId="1" applyNumberFormat="1" applyFont="1" applyBorder="1" applyAlignment="1">
      <alignment horizontal="right" vertical="center"/>
    </xf>
    <xf numFmtId="188" fontId="15" fillId="0" borderId="64" xfId="1" applyNumberFormat="1" applyFont="1" applyBorder="1" applyAlignment="1">
      <alignment horizontal="right" vertical="center"/>
    </xf>
    <xf numFmtId="188" fontId="15" fillId="0" borderId="7" xfId="1" applyNumberFormat="1" applyFont="1" applyBorder="1" applyAlignment="1">
      <alignment horizontal="right" vertical="center"/>
    </xf>
    <xf numFmtId="188" fontId="15" fillId="0" borderId="63" xfId="1" applyNumberFormat="1" applyFont="1" applyBorder="1" applyAlignment="1">
      <alignment horizontal="right" vertical="center"/>
    </xf>
    <xf numFmtId="186" fontId="15" fillId="0" borderId="66" xfId="1" applyNumberFormat="1" applyFont="1" applyBorder="1" applyAlignment="1">
      <alignment horizontal="right" vertical="center"/>
    </xf>
    <xf numFmtId="188" fontId="15" fillId="0" borderId="67" xfId="1" applyNumberFormat="1" applyFont="1" applyBorder="1" applyAlignment="1">
      <alignment horizontal="right" vertical="center"/>
    </xf>
    <xf numFmtId="188" fontId="15" fillId="0" borderId="69" xfId="1" applyNumberFormat="1" applyFont="1" applyBorder="1" applyAlignment="1">
      <alignment horizontal="right" vertical="center"/>
    </xf>
    <xf numFmtId="185" fontId="15" fillId="0" borderId="5" xfId="1" applyNumberFormat="1" applyFont="1" applyBorder="1" applyAlignment="1">
      <alignment horizontal="right" vertical="center"/>
    </xf>
    <xf numFmtId="185" fontId="15" fillId="0" borderId="8" xfId="1" applyNumberFormat="1" applyFont="1" applyBorder="1" applyAlignment="1">
      <alignment horizontal="right" vertical="center"/>
    </xf>
    <xf numFmtId="188" fontId="15" fillId="0" borderId="42" xfId="1" applyNumberFormat="1" applyFont="1" applyBorder="1" applyAlignment="1">
      <alignment horizontal="right" vertical="center"/>
    </xf>
    <xf numFmtId="185" fontId="15" fillId="0" borderId="36" xfId="1" applyNumberFormat="1" applyFont="1" applyBorder="1" applyAlignment="1">
      <alignment horizontal="right" vertical="center"/>
    </xf>
    <xf numFmtId="188" fontId="15" fillId="0" borderId="81" xfId="1" applyNumberFormat="1" applyFont="1" applyBorder="1" applyAlignment="1">
      <alignment horizontal="right" vertical="center"/>
    </xf>
    <xf numFmtId="185" fontId="15" fillId="0" borderId="35" xfId="1" applyNumberFormat="1" applyFont="1" applyBorder="1" applyAlignment="1">
      <alignment horizontal="right" vertical="center"/>
    </xf>
    <xf numFmtId="185" fontId="15" fillId="0" borderId="89" xfId="1" applyNumberFormat="1" applyFont="1" applyBorder="1" applyAlignment="1">
      <alignment horizontal="right" vertical="center"/>
    </xf>
    <xf numFmtId="185" fontId="15" fillId="0" borderId="66" xfId="1" applyNumberFormat="1" applyFont="1" applyBorder="1" applyAlignment="1">
      <alignment horizontal="right" vertical="center"/>
    </xf>
    <xf numFmtId="185" fontId="15" fillId="0" borderId="38" xfId="1" applyNumberFormat="1" applyFont="1" applyBorder="1" applyAlignment="1">
      <alignment horizontal="right" vertical="center"/>
    </xf>
    <xf numFmtId="186" fontId="15" fillId="0" borderId="58" xfId="1" applyNumberFormat="1" applyFont="1" applyBorder="1" applyAlignment="1">
      <alignment horizontal="right" vertical="center"/>
    </xf>
    <xf numFmtId="188" fontId="15" fillId="0" borderId="65" xfId="1" applyNumberFormat="1" applyFont="1" applyBorder="1" applyAlignment="1">
      <alignment horizontal="right" vertical="center"/>
    </xf>
    <xf numFmtId="188" fontId="15" fillId="0" borderId="53" xfId="1" applyNumberFormat="1" applyFont="1" applyBorder="1" applyAlignment="1">
      <alignment horizontal="right" vertical="center"/>
    </xf>
    <xf numFmtId="186" fontId="15" fillId="0" borderId="35" xfId="1" applyNumberFormat="1" applyFont="1" applyBorder="1" applyAlignment="1">
      <alignment horizontal="right" vertical="center"/>
    </xf>
    <xf numFmtId="186" fontId="15" fillId="0" borderId="131" xfId="1" applyNumberFormat="1" applyFont="1" applyBorder="1" applyAlignment="1">
      <alignment horizontal="right" vertical="center"/>
    </xf>
    <xf numFmtId="186" fontId="15" fillId="0" borderId="84" xfId="1" applyNumberFormat="1" applyFont="1" applyBorder="1" applyAlignment="1">
      <alignment horizontal="right" vertical="center"/>
    </xf>
    <xf numFmtId="186" fontId="15" fillId="0" borderId="154" xfId="1" applyNumberFormat="1" applyFont="1" applyBorder="1" applyAlignment="1">
      <alignment horizontal="right" vertical="center"/>
    </xf>
    <xf numFmtId="186" fontId="15" fillId="0" borderId="51" xfId="1" applyNumberFormat="1" applyFont="1" applyBorder="1" applyAlignment="1">
      <alignment horizontal="right" vertical="center"/>
    </xf>
    <xf numFmtId="186" fontId="15" fillId="0" borderId="155" xfId="1" applyNumberFormat="1" applyFont="1" applyBorder="1" applyAlignment="1">
      <alignment horizontal="right" vertical="center"/>
    </xf>
    <xf numFmtId="186" fontId="15" fillId="0" borderId="156" xfId="1" applyNumberFormat="1" applyFont="1" applyBorder="1" applyAlignment="1">
      <alignment horizontal="right" vertical="center"/>
    </xf>
    <xf numFmtId="0" fontId="5" fillId="0" borderId="18" xfId="1" applyFont="1" applyBorder="1" applyAlignment="1">
      <alignment horizontal="distributed" vertical="center"/>
    </xf>
    <xf numFmtId="0" fontId="5" fillId="0" borderId="19" xfId="1" applyFont="1" applyBorder="1" applyAlignment="1">
      <alignment horizontal="distributed" vertical="center" wrapText="1"/>
    </xf>
    <xf numFmtId="0" fontId="7" fillId="0" borderId="18" xfId="1" applyFont="1" applyBorder="1" applyAlignment="1">
      <alignment horizontal="distributed" vertical="center" wrapText="1"/>
    </xf>
    <xf numFmtId="0" fontId="7" fillId="0" borderId="18" xfId="1" applyFont="1" applyBorder="1" applyAlignment="1">
      <alignment horizontal="distributed" vertical="center"/>
    </xf>
    <xf numFmtId="186" fontId="15" fillId="0" borderId="23" xfId="1" applyNumberFormat="1" applyFont="1" applyBorder="1" applyAlignment="1">
      <alignment horizontal="right" vertical="center"/>
    </xf>
    <xf numFmtId="186" fontId="15" fillId="0" borderId="149" xfId="1" applyNumberFormat="1" applyFont="1" applyBorder="1" applyAlignment="1">
      <alignment horizontal="right" vertical="center"/>
    </xf>
    <xf numFmtId="0" fontId="14" fillId="0" borderId="0" xfId="4" applyAlignment="1">
      <alignment vertical="center"/>
    </xf>
    <xf numFmtId="0" fontId="5" fillId="0" borderId="0" xfId="4" applyFont="1" applyAlignment="1">
      <alignment vertical="center" justifyLastLine="1"/>
    </xf>
    <xf numFmtId="186" fontId="15" fillId="0" borderId="56" xfId="1" applyNumberFormat="1" applyFont="1" applyBorder="1" applyAlignment="1">
      <alignment horizontal="right" vertical="center"/>
    </xf>
    <xf numFmtId="186" fontId="15" fillId="0" borderId="150" xfId="1" applyNumberFormat="1" applyFont="1" applyBorder="1" applyAlignment="1">
      <alignment horizontal="right" vertical="center"/>
    </xf>
    <xf numFmtId="0" fontId="5" fillId="0" borderId="0" xfId="1" applyFont="1" applyAlignment="1">
      <alignment horizontal="right"/>
    </xf>
    <xf numFmtId="0" fontId="2" fillId="0" borderId="0" xfId="1" applyFont="1" applyAlignment="1">
      <alignment horizontal="center" vertical="center"/>
    </xf>
    <xf numFmtId="0" fontId="5" fillId="0" borderId="72" xfId="1" applyFont="1" applyBorder="1" applyAlignment="1">
      <alignment horizontal="distributed" vertical="center"/>
    </xf>
    <xf numFmtId="0" fontId="5" fillId="0" borderId="73" xfId="1" applyFont="1" applyBorder="1" applyAlignment="1">
      <alignment horizontal="distributed" vertical="center"/>
    </xf>
    <xf numFmtId="0" fontId="5" fillId="0" borderId="74" xfId="1" applyFont="1" applyBorder="1" applyAlignment="1">
      <alignment horizontal="distributed" vertical="center"/>
    </xf>
    <xf numFmtId="177" fontId="5" fillId="0" borderId="26" xfId="3" applyNumberFormat="1" applyFont="1" applyBorder="1" applyAlignment="1">
      <alignment horizontal="left" vertical="center" shrinkToFit="1"/>
    </xf>
    <xf numFmtId="177" fontId="5" fillId="0" borderId="20" xfId="3" applyNumberFormat="1" applyFont="1" applyBorder="1" applyAlignment="1">
      <alignment horizontal="left" vertical="center" shrinkToFit="1"/>
    </xf>
    <xf numFmtId="177" fontId="5" fillId="0" borderId="107" xfId="3" applyNumberFormat="1" applyFont="1" applyBorder="1" applyAlignment="1">
      <alignment horizontal="left" vertical="center" shrinkToFit="1"/>
    </xf>
    <xf numFmtId="49" fontId="15" fillId="0" borderId="72" xfId="1" applyNumberFormat="1" applyFont="1" applyBorder="1" applyAlignment="1">
      <alignment horizontal="center" vertical="center"/>
    </xf>
    <xf numFmtId="49" fontId="15" fillId="0" borderId="73" xfId="1" applyNumberFormat="1" applyFont="1" applyBorder="1" applyAlignment="1">
      <alignment horizontal="center" vertical="center"/>
    </xf>
    <xf numFmtId="49" fontId="15" fillId="0" borderId="74" xfId="1" applyNumberFormat="1" applyFont="1" applyBorder="1" applyAlignment="1">
      <alignment horizontal="center" vertical="center"/>
    </xf>
    <xf numFmtId="0" fontId="5" fillId="0" borderId="105" xfId="3" applyFont="1" applyBorder="1" applyAlignment="1">
      <alignment horizontal="center" vertical="center"/>
    </xf>
    <xf numFmtId="0" fontId="5" fillId="0" borderId="91" xfId="3" applyFont="1" applyBorder="1" applyAlignment="1">
      <alignment horizontal="center" vertical="center"/>
    </xf>
    <xf numFmtId="0" fontId="5" fillId="0" borderId="106" xfId="3" applyFont="1" applyBorder="1" applyAlignment="1">
      <alignment horizontal="center" vertical="center"/>
    </xf>
    <xf numFmtId="0" fontId="5" fillId="0" borderId="110" xfId="3" applyFont="1" applyBorder="1" applyAlignment="1">
      <alignment horizontal="center" vertical="center"/>
    </xf>
    <xf numFmtId="0" fontId="5" fillId="0" borderId="93" xfId="3" applyFont="1" applyBorder="1" applyAlignment="1">
      <alignment horizontal="center" vertical="center"/>
    </xf>
    <xf numFmtId="0" fontId="5" fillId="0" borderId="111" xfId="3" applyFont="1" applyBorder="1" applyAlignment="1">
      <alignment horizontal="center" vertical="center"/>
    </xf>
    <xf numFmtId="177" fontId="5" fillId="0" borderId="124" xfId="3" applyNumberFormat="1" applyFont="1" applyBorder="1" applyAlignment="1">
      <alignment horizontal="left" vertical="center" shrinkToFit="1"/>
    </xf>
    <xf numFmtId="177" fontId="5" fillId="0" borderId="122" xfId="3" applyNumberFormat="1" applyFont="1" applyBorder="1" applyAlignment="1">
      <alignment horizontal="left" vertical="center" shrinkToFit="1"/>
    </xf>
    <xf numFmtId="177" fontId="5" fillId="0" borderId="125" xfId="3" applyNumberFormat="1" applyFont="1" applyBorder="1" applyAlignment="1">
      <alignment horizontal="left" vertical="center" shrinkToFit="1"/>
    </xf>
    <xf numFmtId="0" fontId="5" fillId="0" borderId="115" xfId="1" applyFont="1" applyBorder="1" applyAlignment="1">
      <alignment horizontal="distributed" vertical="center" justifyLastLine="1"/>
    </xf>
    <xf numFmtId="0" fontId="5" fillId="0" borderId="117" xfId="1" applyFont="1" applyBorder="1" applyAlignment="1">
      <alignment horizontal="distributed" vertical="center" justifyLastLine="1"/>
    </xf>
    <xf numFmtId="0" fontId="5" fillId="0" borderId="40" xfId="2" applyFont="1" applyBorder="1" applyAlignment="1">
      <alignment horizontal="distributed" vertical="center"/>
    </xf>
    <xf numFmtId="0" fontId="5" fillId="0" borderId="23" xfId="2" applyFont="1" applyBorder="1" applyAlignment="1">
      <alignment horizontal="distributed" vertical="center"/>
    </xf>
    <xf numFmtId="0" fontId="5" fillId="0" borderId="90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92" xfId="2" applyFont="1" applyBorder="1" applyAlignment="1">
      <alignment horizontal="center" vertical="center"/>
    </xf>
    <xf numFmtId="0" fontId="5" fillId="0" borderId="93" xfId="2" applyFont="1" applyBorder="1" applyAlignment="1">
      <alignment horizontal="center" vertical="center"/>
    </xf>
    <xf numFmtId="0" fontId="12" fillId="0" borderId="114" xfId="3" applyFont="1" applyBorder="1" applyAlignment="1">
      <alignment horizontal="center" vertical="center" wrapText="1"/>
    </xf>
    <xf numFmtId="0" fontId="12" fillId="0" borderId="116" xfId="3" applyFont="1" applyBorder="1" applyAlignment="1">
      <alignment horizontal="center" vertical="center" wrapText="1"/>
    </xf>
    <xf numFmtId="184" fontId="5" fillId="0" borderId="104" xfId="1" applyNumberFormat="1" applyFont="1" applyBorder="1" applyAlignment="1">
      <alignment horizontal="distributed" vertical="center" justifyLastLine="1"/>
    </xf>
    <xf numFmtId="184" fontId="5" fillId="0" borderId="151" xfId="1" applyNumberFormat="1" applyFont="1" applyBorder="1" applyAlignment="1">
      <alignment horizontal="distributed" vertical="center" justifyLastLine="1"/>
    </xf>
    <xf numFmtId="184" fontId="5" fillId="0" borderId="134" xfId="1" applyNumberFormat="1" applyFont="1" applyBorder="1" applyAlignment="1">
      <alignment horizontal="distributed" vertical="center" justifyLastLine="1"/>
    </xf>
    <xf numFmtId="184" fontId="5" fillId="0" borderId="100" xfId="1" applyNumberFormat="1" applyFont="1" applyBorder="1" applyAlignment="1">
      <alignment horizontal="distributed" vertical="center" justifyLastLine="1"/>
    </xf>
    <xf numFmtId="177" fontId="5" fillId="0" borderId="30" xfId="3" applyNumberFormat="1" applyFont="1" applyBorder="1" applyAlignment="1">
      <alignment horizontal="left" vertical="center" shrinkToFit="1"/>
    </xf>
    <xf numFmtId="177" fontId="5" fillId="0" borderId="42" xfId="3" applyNumberFormat="1" applyFont="1" applyBorder="1" applyAlignment="1">
      <alignment horizontal="left" vertical="center" shrinkToFit="1"/>
    </xf>
    <xf numFmtId="177" fontId="5" fillId="0" borderId="145" xfId="3" applyNumberFormat="1" applyFont="1" applyBorder="1" applyAlignment="1">
      <alignment horizontal="left" vertical="center" shrinkToFit="1"/>
    </xf>
    <xf numFmtId="177" fontId="5" fillId="0" borderId="28" xfId="3" applyNumberFormat="1" applyFont="1" applyBorder="1" applyAlignment="1">
      <alignment horizontal="left" vertical="center" shrinkToFit="1"/>
    </xf>
    <xf numFmtId="177" fontId="5" fillId="0" borderId="81" xfId="3" applyNumberFormat="1" applyFont="1" applyBorder="1" applyAlignment="1">
      <alignment horizontal="left" vertical="center" shrinkToFit="1"/>
    </xf>
    <xf numFmtId="177" fontId="5" fillId="0" borderId="144" xfId="3" applyNumberFormat="1" applyFont="1" applyBorder="1" applyAlignment="1">
      <alignment horizontal="left" vertical="center" shrinkToFit="1"/>
    </xf>
    <xf numFmtId="0" fontId="5" fillId="0" borderId="99" xfId="2" applyFont="1" applyBorder="1" applyAlignment="1">
      <alignment horizontal="center" vertical="center" wrapText="1"/>
    </xf>
    <xf numFmtId="0" fontId="5" fillId="0" borderId="94" xfId="2" applyFont="1" applyBorder="1" applyAlignment="1">
      <alignment horizontal="center" vertical="center" wrapText="1"/>
    </xf>
    <xf numFmtId="0" fontId="5" fillId="0" borderId="100" xfId="2" applyFont="1" applyBorder="1" applyAlignment="1">
      <alignment horizontal="center" vertical="center" wrapText="1"/>
    </xf>
    <xf numFmtId="0" fontId="5" fillId="0" borderId="82" xfId="2" applyFont="1" applyBorder="1" applyAlignment="1">
      <alignment horizontal="distributed" vertical="center"/>
    </xf>
    <xf numFmtId="0" fontId="5" fillId="0" borderId="81" xfId="2" applyFont="1" applyBorder="1" applyAlignment="1">
      <alignment horizontal="distributed" vertical="center"/>
    </xf>
    <xf numFmtId="177" fontId="5" fillId="0" borderId="15" xfId="3" applyNumberFormat="1" applyFont="1" applyBorder="1" applyAlignment="1">
      <alignment horizontal="left" vertical="center" shrinkToFit="1"/>
    </xf>
    <xf numFmtId="177" fontId="5" fillId="0" borderId="45" xfId="3" applyNumberFormat="1" applyFont="1" applyBorder="1" applyAlignment="1">
      <alignment horizontal="left" vertical="center" shrinkToFit="1"/>
    </xf>
    <xf numFmtId="177" fontId="5" fillId="0" borderId="143" xfId="3" applyNumberFormat="1" applyFont="1" applyBorder="1" applyAlignment="1">
      <alignment horizontal="left" vertical="center" shrinkToFit="1"/>
    </xf>
    <xf numFmtId="0" fontId="5" fillId="0" borderId="20" xfId="2" applyFont="1" applyBorder="1" applyAlignment="1">
      <alignment horizontal="distributed" vertical="center"/>
    </xf>
    <xf numFmtId="0" fontId="5" fillId="0" borderId="57" xfId="2" applyFont="1" applyBorder="1" applyAlignment="1">
      <alignment horizontal="distributed" vertical="center"/>
    </xf>
    <xf numFmtId="0" fontId="5" fillId="0" borderId="21" xfId="2" applyFont="1" applyBorder="1" applyAlignment="1">
      <alignment horizontal="distributed" vertical="center"/>
    </xf>
    <xf numFmtId="0" fontId="5" fillId="0" borderId="101" xfId="2" applyFont="1" applyBorder="1" applyAlignment="1">
      <alignment horizontal="distributed" vertical="center"/>
    </xf>
    <xf numFmtId="0" fontId="5" fillId="0" borderId="102" xfId="2" applyFont="1" applyBorder="1" applyAlignment="1">
      <alignment horizontal="distributed" vertical="center"/>
    </xf>
    <xf numFmtId="176" fontId="5" fillId="0" borderId="110" xfId="1" applyNumberFormat="1" applyFont="1" applyBorder="1" applyAlignment="1">
      <alignment horizontal="left" shrinkToFit="1"/>
    </xf>
    <xf numFmtId="176" fontId="5" fillId="0" borderId="93" xfId="1" applyNumberFormat="1" applyFont="1" applyBorder="1" applyAlignment="1">
      <alignment horizontal="left" shrinkToFit="1"/>
    </xf>
    <xf numFmtId="176" fontId="5" fillId="0" borderId="111" xfId="1" applyNumberFormat="1" applyFont="1" applyBorder="1" applyAlignment="1">
      <alignment horizontal="left" shrinkToFit="1"/>
    </xf>
    <xf numFmtId="0" fontId="5" fillId="0" borderId="98" xfId="2" applyFont="1" applyBorder="1" applyAlignment="1">
      <alignment horizontal="distributed" vertical="center"/>
    </xf>
    <xf numFmtId="0" fontId="5" fillId="0" borderId="41" xfId="2" applyFont="1" applyBorder="1" applyAlignment="1">
      <alignment horizontal="distributed" vertical="center"/>
    </xf>
    <xf numFmtId="0" fontId="5" fillId="0" borderId="43" xfId="2" applyFont="1" applyBorder="1" applyAlignment="1">
      <alignment horizontal="distributed" vertical="center"/>
    </xf>
    <xf numFmtId="0" fontId="5" fillId="0" borderId="9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distributed" vertical="center"/>
    </xf>
    <xf numFmtId="0" fontId="5" fillId="0" borderId="44" xfId="2" applyFont="1" applyBorder="1" applyAlignment="1">
      <alignment horizontal="distributed" vertical="center"/>
    </xf>
    <xf numFmtId="0" fontId="5" fillId="0" borderId="46" xfId="2" applyFont="1" applyBorder="1" applyAlignment="1">
      <alignment horizontal="distributed" vertical="center"/>
    </xf>
    <xf numFmtId="0" fontId="5" fillId="0" borderId="84" xfId="2" applyFont="1" applyBorder="1" applyAlignment="1">
      <alignment horizontal="distributed" vertical="center"/>
    </xf>
    <xf numFmtId="0" fontId="5" fillId="0" borderId="43" xfId="2" applyFont="1" applyBorder="1" applyAlignment="1">
      <alignment horizontal="distributed" vertical="center" shrinkToFit="1"/>
    </xf>
    <xf numFmtId="0" fontId="5" fillId="0" borderId="42" xfId="2" applyFont="1" applyBorder="1" applyAlignment="1">
      <alignment horizontal="distributed" vertical="center" shrinkToFit="1"/>
    </xf>
    <xf numFmtId="0" fontId="5" fillId="0" borderId="148" xfId="2" applyFont="1" applyBorder="1" applyAlignment="1">
      <alignment horizontal="distributed" vertical="center" shrinkToFit="1"/>
    </xf>
    <xf numFmtId="0" fontId="5" fillId="0" borderId="96" xfId="2" applyFont="1" applyBorder="1" applyAlignment="1">
      <alignment horizontal="distributed" vertical="center"/>
    </xf>
    <xf numFmtId="0" fontId="5" fillId="0" borderId="61" xfId="2" applyFont="1" applyBorder="1" applyAlignment="1">
      <alignment horizontal="distributed" vertical="center"/>
    </xf>
    <xf numFmtId="0" fontId="5" fillId="0" borderId="97" xfId="2" applyFont="1" applyBorder="1" applyAlignment="1">
      <alignment horizontal="distributed" vertical="center" shrinkToFit="1"/>
    </xf>
    <xf numFmtId="0" fontId="5" fillId="0" borderId="40" xfId="2" applyFont="1" applyBorder="1" applyAlignment="1">
      <alignment horizontal="distributed" vertical="center" shrinkToFit="1"/>
    </xf>
    <xf numFmtId="0" fontId="5" fillId="0" borderId="23" xfId="2" applyFont="1" applyBorder="1" applyAlignment="1">
      <alignment horizontal="distributed" vertical="center" shrinkToFit="1"/>
    </xf>
    <xf numFmtId="186" fontId="5" fillId="0" borderId="26" xfId="1" applyNumberFormat="1" applyFont="1" applyBorder="1" applyAlignment="1">
      <alignment vertical="center"/>
    </xf>
    <xf numFmtId="186" fontId="5" fillId="0" borderId="20" xfId="1" applyNumberFormat="1" applyFont="1" applyBorder="1" applyAlignment="1">
      <alignment vertical="center"/>
    </xf>
    <xf numFmtId="186" fontId="5" fillId="0" borderId="7" xfId="1" applyNumberFormat="1" applyFont="1" applyBorder="1" applyAlignment="1">
      <alignment vertical="center"/>
    </xf>
    <xf numFmtId="186" fontId="5" fillId="0" borderId="30" xfId="1" applyNumberFormat="1" applyFont="1" applyBorder="1" applyAlignment="1">
      <alignment vertical="center"/>
    </xf>
    <xf numFmtId="186" fontId="5" fillId="0" borderId="42" xfId="1" applyNumberFormat="1" applyFont="1" applyBorder="1" applyAlignment="1">
      <alignment vertical="center"/>
    </xf>
    <xf numFmtId="186" fontId="5" fillId="0" borderId="10" xfId="1" applyNumberFormat="1" applyFont="1" applyBorder="1" applyAlignment="1">
      <alignment vertical="center"/>
    </xf>
    <xf numFmtId="0" fontId="5" fillId="0" borderId="72" xfId="1" applyFont="1" applyBorder="1" applyAlignment="1">
      <alignment horizontal="center" vertical="center"/>
    </xf>
    <xf numFmtId="0" fontId="5" fillId="0" borderId="73" xfId="1" applyFont="1" applyBorder="1" applyAlignment="1">
      <alignment horizontal="center" vertical="center"/>
    </xf>
    <xf numFmtId="0" fontId="5" fillId="0" borderId="74" xfId="1" applyFont="1" applyBorder="1" applyAlignment="1">
      <alignment horizontal="center" vertical="center"/>
    </xf>
    <xf numFmtId="0" fontId="5" fillId="0" borderId="72" xfId="0" applyFont="1" applyBorder="1" applyAlignment="1">
      <alignment horizontal="distributed" vertical="center" justifyLastLine="1"/>
    </xf>
    <xf numFmtId="0" fontId="5" fillId="0" borderId="73" xfId="0" applyFont="1" applyBorder="1" applyAlignment="1">
      <alignment horizontal="distributed" vertical="center" justifyLastLine="1"/>
    </xf>
    <xf numFmtId="0" fontId="5" fillId="0" borderId="74" xfId="0" applyFont="1" applyBorder="1" applyAlignment="1">
      <alignment horizontal="distributed" vertical="center" justifyLastLine="1"/>
    </xf>
    <xf numFmtId="0" fontId="5" fillId="0" borderId="72" xfId="1" applyFont="1" applyBorder="1" applyAlignment="1">
      <alignment horizontal="center" vertical="center" justifyLastLine="1"/>
    </xf>
    <xf numFmtId="0" fontId="5" fillId="0" borderId="73" xfId="1" applyFont="1" applyBorder="1" applyAlignment="1">
      <alignment horizontal="center" vertical="center" justifyLastLine="1"/>
    </xf>
    <xf numFmtId="0" fontId="5" fillId="0" borderId="74" xfId="1" applyFont="1" applyBorder="1" applyAlignment="1">
      <alignment horizontal="center" vertical="center" justifyLastLine="1"/>
    </xf>
    <xf numFmtId="186" fontId="5" fillId="0" borderId="28" xfId="1" applyNumberFormat="1" applyFont="1" applyBorder="1" applyAlignment="1">
      <alignment vertical="center"/>
    </xf>
    <xf numFmtId="186" fontId="5" fillId="0" borderId="81" xfId="1" applyNumberFormat="1" applyFont="1" applyBorder="1" applyAlignment="1">
      <alignment vertical="center"/>
    </xf>
    <xf numFmtId="186" fontId="5" fillId="0" borderId="37" xfId="1" applyNumberFormat="1" applyFont="1" applyBorder="1" applyAlignment="1">
      <alignment vertical="center"/>
    </xf>
    <xf numFmtId="186" fontId="15" fillId="0" borderId="23" xfId="1" applyNumberFormat="1" applyFont="1" applyBorder="1" applyAlignment="1">
      <alignment horizontal="right" vertical="center"/>
    </xf>
    <xf numFmtId="186" fontId="15" fillId="0" borderId="20" xfId="1" applyNumberFormat="1" applyFont="1" applyBorder="1" applyAlignment="1">
      <alignment horizontal="right" vertical="center"/>
    </xf>
    <xf numFmtId="186" fontId="15" fillId="0" borderId="7" xfId="1" applyNumberFormat="1" applyFont="1" applyBorder="1" applyAlignment="1">
      <alignment horizontal="right" vertical="center"/>
    </xf>
    <xf numFmtId="185" fontId="15" fillId="0" borderId="43" xfId="1" applyNumberFormat="1" applyFont="1" applyBorder="1" applyAlignment="1">
      <alignment horizontal="right" vertical="center"/>
    </xf>
    <xf numFmtId="185" fontId="15" fillId="0" borderId="42" xfId="1" applyNumberFormat="1" applyFont="1" applyBorder="1" applyAlignment="1">
      <alignment horizontal="right" vertical="center"/>
    </xf>
    <xf numFmtId="185" fontId="15" fillId="0" borderId="148" xfId="1" applyNumberFormat="1" applyFont="1" applyBorder="1" applyAlignment="1">
      <alignment horizontal="right" vertical="center"/>
    </xf>
    <xf numFmtId="186" fontId="15" fillId="0" borderId="43" xfId="1" applyNumberFormat="1" applyFont="1" applyBorder="1" applyAlignment="1">
      <alignment horizontal="right" vertical="center"/>
    </xf>
    <xf numFmtId="186" fontId="15" fillId="0" borderId="42" xfId="1" applyNumberFormat="1" applyFont="1" applyBorder="1" applyAlignment="1">
      <alignment horizontal="right" vertical="center"/>
    </xf>
    <xf numFmtId="186" fontId="15" fillId="0" borderId="10" xfId="1" applyNumberFormat="1" applyFont="1" applyBorder="1" applyAlignment="1">
      <alignment horizontal="right" vertical="center"/>
    </xf>
    <xf numFmtId="185" fontId="15" fillId="0" borderId="30" xfId="1" applyNumberFormat="1" applyFont="1" applyBorder="1" applyAlignment="1">
      <alignment horizontal="right" vertical="center"/>
    </xf>
    <xf numFmtId="185" fontId="15" fillId="0" borderId="26" xfId="1" applyNumberFormat="1" applyFont="1" applyBorder="1" applyAlignment="1">
      <alignment horizontal="right" vertical="center"/>
    </xf>
    <xf numFmtId="185" fontId="15" fillId="0" borderId="20" xfId="1" applyNumberFormat="1" applyFont="1" applyBorder="1" applyAlignment="1">
      <alignment horizontal="right" vertical="center"/>
    </xf>
    <xf numFmtId="185" fontId="15" fillId="0" borderId="147" xfId="1" applyNumberFormat="1" applyFont="1" applyBorder="1" applyAlignment="1">
      <alignment horizontal="right" vertical="center"/>
    </xf>
    <xf numFmtId="185" fontId="15" fillId="0" borderId="23" xfId="1" applyNumberFormat="1" applyFont="1" applyBorder="1" applyAlignment="1">
      <alignment horizontal="right" vertical="center"/>
    </xf>
    <xf numFmtId="186" fontId="15" fillId="0" borderId="26" xfId="1" applyNumberFormat="1" applyFont="1" applyBorder="1" applyAlignment="1">
      <alignment horizontal="right" vertical="center"/>
    </xf>
    <xf numFmtId="186" fontId="15" fillId="0" borderId="147" xfId="1" applyNumberFormat="1" applyFont="1" applyBorder="1" applyAlignment="1">
      <alignment horizontal="right" vertical="center"/>
    </xf>
    <xf numFmtId="0" fontId="5" fillId="0" borderId="30" xfId="1" applyFont="1" applyBorder="1" applyAlignment="1">
      <alignment horizontal="distributed" vertical="center"/>
    </xf>
    <xf numFmtId="0" fontId="5" fillId="0" borderId="42" xfId="1" applyFont="1" applyBorder="1" applyAlignment="1">
      <alignment horizontal="distributed" vertical="center"/>
    </xf>
    <xf numFmtId="0" fontId="5" fillId="0" borderId="23" xfId="1" applyFont="1" applyBorder="1" applyAlignment="1">
      <alignment horizontal="center" vertical="center" shrinkToFit="1"/>
    </xf>
    <xf numFmtId="0" fontId="5" fillId="0" borderId="20" xfId="1" applyFont="1" applyBorder="1" applyAlignment="1">
      <alignment horizontal="center" vertical="center" shrinkToFit="1"/>
    </xf>
    <xf numFmtId="0" fontId="5" fillId="0" borderId="32" xfId="1" applyFont="1" applyBorder="1" applyAlignment="1">
      <alignment horizontal="center" vertical="center" wrapText="1"/>
    </xf>
    <xf numFmtId="0" fontId="5" fillId="0" borderId="83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71" xfId="1" applyFont="1" applyBorder="1" applyAlignment="1">
      <alignment horizontal="center" vertical="center" wrapText="1"/>
    </xf>
    <xf numFmtId="0" fontId="5" fillId="0" borderId="132" xfId="1" applyFont="1" applyBorder="1" applyAlignment="1">
      <alignment horizontal="center" vertical="center" wrapText="1"/>
    </xf>
    <xf numFmtId="0" fontId="5" fillId="0" borderId="82" xfId="1" applyFont="1" applyBorder="1" applyAlignment="1">
      <alignment horizontal="distributed" vertical="center"/>
    </xf>
    <xf numFmtId="0" fontId="5" fillId="0" borderId="81" xfId="1" applyFont="1" applyBorder="1" applyAlignment="1">
      <alignment horizontal="distributed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136" xfId="0" applyFont="1" applyBorder="1" applyAlignment="1">
      <alignment horizontal="distributed" vertical="center" justifyLastLine="1"/>
    </xf>
    <xf numFmtId="186" fontId="15" fillId="0" borderId="82" xfId="1" applyNumberFormat="1" applyFont="1" applyBorder="1" applyAlignment="1">
      <alignment horizontal="right" vertical="center"/>
    </xf>
    <xf numFmtId="186" fontId="15" fillId="0" borderId="81" xfId="1" applyNumberFormat="1" applyFont="1" applyBorder="1" applyAlignment="1">
      <alignment horizontal="right" vertical="center"/>
    </xf>
    <xf numFmtId="186" fontId="15" fillId="0" borderId="146" xfId="1" applyNumberFormat="1" applyFont="1" applyBorder="1" applyAlignment="1">
      <alignment horizontal="right" vertical="center"/>
    </xf>
    <xf numFmtId="186" fontId="15" fillId="0" borderId="37" xfId="1" applyNumberFormat="1" applyFont="1" applyBorder="1" applyAlignment="1">
      <alignment horizontal="right" vertical="center"/>
    </xf>
    <xf numFmtId="186" fontId="15" fillId="0" borderId="28" xfId="1" applyNumberFormat="1" applyFont="1" applyBorder="1" applyAlignment="1">
      <alignment horizontal="right" vertical="center"/>
    </xf>
    <xf numFmtId="184" fontId="5" fillId="0" borderId="71" xfId="1" applyNumberFormat="1" applyFont="1" applyBorder="1" applyAlignment="1">
      <alignment horizontal="distributed" vertical="center" justifyLastLine="1"/>
    </xf>
    <xf numFmtId="184" fontId="5" fillId="0" borderId="11" xfId="1" applyNumberFormat="1" applyFont="1" applyBorder="1" applyAlignment="1">
      <alignment horizontal="distributed" vertical="center" justifyLastLine="1"/>
    </xf>
    <xf numFmtId="184" fontId="5" fillId="0" borderId="132" xfId="1" applyNumberFormat="1" applyFont="1" applyBorder="1" applyAlignment="1">
      <alignment horizontal="distributed" vertical="center" justifyLastLine="1"/>
    </xf>
    <xf numFmtId="184" fontId="5" fillId="0" borderId="14" xfId="1" applyNumberFormat="1" applyFont="1" applyBorder="1" applyAlignment="1">
      <alignment horizontal="distributed" vertical="center" justifyLastLine="1"/>
    </xf>
    <xf numFmtId="184" fontId="5" fillId="0" borderId="12" xfId="1" applyNumberFormat="1" applyFont="1" applyBorder="1" applyAlignment="1">
      <alignment horizontal="distributed" vertical="center" justifyLastLine="1"/>
    </xf>
    <xf numFmtId="184" fontId="5" fillId="0" borderId="133" xfId="1" applyNumberFormat="1" applyFont="1" applyBorder="1" applyAlignment="1">
      <alignment horizontal="distributed" vertical="center" justifyLastLine="1"/>
    </xf>
    <xf numFmtId="184" fontId="5" fillId="0" borderId="137" xfId="1" applyNumberFormat="1" applyFont="1" applyBorder="1" applyAlignment="1">
      <alignment horizontal="distributed" vertical="center" justifyLastLine="1"/>
    </xf>
    <xf numFmtId="184" fontId="5" fillId="0" borderId="16" xfId="1" applyNumberFormat="1" applyFont="1" applyBorder="1" applyAlignment="1">
      <alignment horizontal="distributed" vertical="center" justifyLastLine="1"/>
    </xf>
    <xf numFmtId="0" fontId="5" fillId="0" borderId="11" xfId="1" applyFont="1" applyBorder="1" applyAlignment="1">
      <alignment horizontal="distributed" vertical="center" justifyLastLine="1"/>
    </xf>
    <xf numFmtId="0" fontId="5" fillId="0" borderId="24" xfId="1" applyFont="1" applyBorder="1" applyAlignment="1">
      <alignment horizontal="distributed" vertical="center" justifyLastLine="1"/>
    </xf>
    <xf numFmtId="0" fontId="7" fillId="0" borderId="1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85" fontId="15" fillId="0" borderId="26" xfId="1" applyNumberFormat="1" applyFont="1" applyBorder="1" applyAlignment="1">
      <alignment horizontal="right" vertical="center" shrinkToFit="1"/>
    </xf>
    <xf numFmtId="185" fontId="15" fillId="0" borderId="147" xfId="1" applyNumberFormat="1" applyFont="1" applyBorder="1" applyAlignment="1">
      <alignment horizontal="right" vertical="center" shrinkToFit="1"/>
    </xf>
    <xf numFmtId="0" fontId="5" fillId="0" borderId="26" xfId="4" applyFont="1" applyBorder="1" applyAlignment="1">
      <alignment horizontal="distributed" vertical="center"/>
    </xf>
    <xf numFmtId="0" fontId="5" fillId="0" borderId="20" xfId="4" applyFont="1" applyBorder="1" applyAlignment="1">
      <alignment horizontal="distributed" vertical="center"/>
    </xf>
    <xf numFmtId="0" fontId="5" fillId="0" borderId="147" xfId="4" applyFont="1" applyBorder="1" applyAlignment="1">
      <alignment horizontal="distributed" vertical="center"/>
    </xf>
    <xf numFmtId="0" fontId="5" fillId="0" borderId="30" xfId="4" applyFont="1" applyBorder="1" applyAlignment="1">
      <alignment horizontal="distributed" vertical="center"/>
    </xf>
    <xf numFmtId="0" fontId="5" fillId="0" borderId="42" xfId="4" applyFont="1" applyBorder="1" applyAlignment="1">
      <alignment horizontal="distributed" vertical="center"/>
    </xf>
    <xf numFmtId="0" fontId="5" fillId="0" borderId="148" xfId="4" applyFont="1" applyBorder="1" applyAlignment="1">
      <alignment horizontal="distributed" vertical="center"/>
    </xf>
    <xf numFmtId="185" fontId="15" fillId="0" borderId="30" xfId="1" applyNumberFormat="1" applyFont="1" applyBorder="1" applyAlignment="1">
      <alignment horizontal="right" vertical="center" shrinkToFit="1"/>
    </xf>
    <xf numFmtId="185" fontId="15" fillId="0" borderId="148" xfId="1" applyNumberFormat="1" applyFont="1" applyBorder="1" applyAlignment="1">
      <alignment horizontal="right" vertical="center" shrinkToFit="1"/>
    </xf>
    <xf numFmtId="0" fontId="5" fillId="0" borderId="14" xfId="1" applyFont="1" applyBorder="1" applyAlignment="1">
      <alignment horizontal="distributed" vertical="center"/>
    </xf>
    <xf numFmtId="0" fontId="5" fillId="0" borderId="12" xfId="1" applyFont="1" applyBorder="1" applyAlignment="1">
      <alignment horizontal="distributed" vertical="center"/>
    </xf>
    <xf numFmtId="0" fontId="5" fillId="0" borderId="3" xfId="1" applyFont="1" applyBorder="1" applyAlignment="1">
      <alignment horizontal="distributed" vertical="center"/>
    </xf>
    <xf numFmtId="187" fontId="15" fillId="0" borderId="30" xfId="1" applyNumberFormat="1" applyFont="1" applyBorder="1" applyAlignment="1">
      <alignment horizontal="right" vertical="center"/>
    </xf>
    <xf numFmtId="187" fontId="15" fillId="0" borderId="42" xfId="1" applyNumberFormat="1" applyFont="1" applyBorder="1" applyAlignment="1">
      <alignment horizontal="right" vertical="center"/>
    </xf>
    <xf numFmtId="187" fontId="15" fillId="0" borderId="148" xfId="1" applyNumberFormat="1" applyFont="1" applyBorder="1" applyAlignment="1">
      <alignment horizontal="right" vertical="center"/>
    </xf>
    <xf numFmtId="187" fontId="15" fillId="0" borderId="43" xfId="1" applyNumberFormat="1" applyFont="1" applyBorder="1" applyAlignment="1">
      <alignment horizontal="right" vertical="center"/>
    </xf>
    <xf numFmtId="186" fontId="5" fillId="0" borderId="43" xfId="1" applyNumberFormat="1" applyFont="1" applyBorder="1" applyAlignment="1">
      <alignment horizontal="right" vertical="center"/>
    </xf>
    <xf numFmtId="186" fontId="5" fillId="0" borderId="10" xfId="1" applyNumberFormat="1" applyFont="1" applyBorder="1" applyAlignment="1">
      <alignment horizontal="right" vertical="center"/>
    </xf>
    <xf numFmtId="186" fontId="15" fillId="0" borderId="26" xfId="1" applyNumberFormat="1" applyFont="1" applyBorder="1" applyAlignment="1">
      <alignment horizontal="right" vertical="center" shrinkToFit="1"/>
    </xf>
    <xf numFmtId="186" fontId="15" fillId="0" borderId="147" xfId="1" applyNumberFormat="1" applyFont="1" applyBorder="1" applyAlignment="1">
      <alignment horizontal="right" vertical="center" shrinkToFit="1"/>
    </xf>
    <xf numFmtId="0" fontId="5" fillId="0" borderId="28" xfId="1" applyFont="1" applyBorder="1" applyAlignment="1">
      <alignment horizontal="distributed" vertical="center"/>
    </xf>
    <xf numFmtId="0" fontId="5" fillId="0" borderId="37" xfId="1" applyFont="1" applyBorder="1" applyAlignment="1">
      <alignment horizontal="distributed" vertical="center"/>
    </xf>
    <xf numFmtId="187" fontId="15" fillId="0" borderId="28" xfId="1" applyNumberFormat="1" applyFont="1" applyBorder="1" applyAlignment="1">
      <alignment horizontal="right" vertical="center"/>
    </xf>
    <xf numFmtId="187" fontId="15" fillId="0" borderId="81" xfId="1" applyNumberFormat="1" applyFont="1" applyBorder="1" applyAlignment="1">
      <alignment horizontal="right" vertical="center"/>
    </xf>
    <xf numFmtId="187" fontId="15" fillId="0" borderId="146" xfId="1" applyNumberFormat="1" applyFont="1" applyBorder="1" applyAlignment="1">
      <alignment horizontal="right" vertical="center"/>
    </xf>
    <xf numFmtId="187" fontId="15" fillId="0" borderId="46" xfId="1" applyNumberFormat="1" applyFont="1" applyBorder="1" applyAlignment="1">
      <alignment horizontal="right" vertical="center"/>
    </xf>
    <xf numFmtId="187" fontId="15" fillId="0" borderId="45" xfId="1" applyNumberFormat="1" applyFont="1" applyBorder="1" applyAlignment="1">
      <alignment horizontal="right" vertical="center"/>
    </xf>
    <xf numFmtId="187" fontId="15" fillId="0" borderId="54" xfId="1" applyNumberFormat="1" applyFont="1" applyBorder="1" applyAlignment="1">
      <alignment horizontal="right" vertical="center"/>
    </xf>
    <xf numFmtId="186" fontId="5" fillId="0" borderId="82" xfId="1" applyNumberFormat="1" applyFont="1" applyBorder="1" applyAlignment="1">
      <alignment horizontal="right" vertical="center"/>
    </xf>
    <xf numFmtId="186" fontId="5" fillId="0" borderId="37" xfId="1" applyNumberFormat="1" applyFont="1" applyBorder="1" applyAlignment="1">
      <alignment horizontal="right" vertical="center"/>
    </xf>
    <xf numFmtId="0" fontId="5" fillId="0" borderId="43" xfId="1" applyFont="1" applyBorder="1" applyAlignment="1">
      <alignment horizontal="distributed" vertical="center"/>
    </xf>
    <xf numFmtId="0" fontId="5" fillId="0" borderId="10" xfId="1" applyFont="1" applyBorder="1" applyAlignment="1">
      <alignment horizontal="distributed" vertical="center"/>
    </xf>
    <xf numFmtId="186" fontId="5" fillId="0" borderId="32" xfId="1" applyNumberFormat="1" applyFont="1" applyBorder="1" applyAlignment="1">
      <alignment vertical="center"/>
    </xf>
    <xf numFmtId="186" fontId="5" fillId="0" borderId="21" xfId="1" applyNumberFormat="1" applyFont="1" applyBorder="1" applyAlignment="1">
      <alignment vertical="center"/>
    </xf>
    <xf numFmtId="186" fontId="5" fillId="0" borderId="22" xfId="1" applyNumberFormat="1" applyFont="1" applyBorder="1" applyAlignment="1">
      <alignment vertical="center"/>
    </xf>
    <xf numFmtId="0" fontId="5" fillId="0" borderId="57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22" xfId="1" applyFont="1" applyBorder="1" applyAlignment="1">
      <alignment horizontal="distributed" vertical="center"/>
    </xf>
    <xf numFmtId="0" fontId="5" fillId="0" borderId="7" xfId="1" applyFont="1" applyBorder="1" applyAlignment="1">
      <alignment horizontal="distributed" vertical="center"/>
    </xf>
    <xf numFmtId="187" fontId="15" fillId="0" borderId="26" xfId="1" applyNumberFormat="1" applyFont="1" applyBorder="1" applyAlignment="1">
      <alignment horizontal="right" vertical="center"/>
    </xf>
    <xf numFmtId="187" fontId="15" fillId="0" borderId="20" xfId="1" applyNumberFormat="1" applyFont="1" applyBorder="1" applyAlignment="1">
      <alignment horizontal="right" vertical="center"/>
    </xf>
    <xf numFmtId="187" fontId="15" fillId="0" borderId="147" xfId="1" applyNumberFormat="1" applyFont="1" applyBorder="1" applyAlignment="1">
      <alignment horizontal="right" vertical="center"/>
    </xf>
    <xf numFmtId="187" fontId="15" fillId="0" borderId="23" xfId="1" applyNumberFormat="1" applyFont="1" applyBorder="1" applyAlignment="1">
      <alignment horizontal="right" vertical="center"/>
    </xf>
    <xf numFmtId="186" fontId="5" fillId="0" borderId="23" xfId="1" applyNumberFormat="1" applyFont="1" applyBorder="1" applyAlignment="1">
      <alignment horizontal="right" vertical="center"/>
    </xf>
    <xf numFmtId="186" fontId="5" fillId="0" borderId="7" xfId="1" applyNumberFormat="1" applyFont="1" applyBorder="1" applyAlignment="1">
      <alignment horizontal="right" vertical="center"/>
    </xf>
    <xf numFmtId="186" fontId="5" fillId="0" borderId="71" xfId="1" applyNumberFormat="1" applyFont="1" applyBorder="1" applyAlignment="1">
      <alignment vertical="center"/>
    </xf>
    <xf numFmtId="186" fontId="5" fillId="0" borderId="11" xfId="1" applyNumberFormat="1" applyFont="1" applyBorder="1" applyAlignment="1">
      <alignment vertical="center"/>
    </xf>
    <xf numFmtId="186" fontId="5" fillId="0" borderId="24" xfId="1" applyNumberFormat="1" applyFont="1" applyBorder="1" applyAlignment="1">
      <alignment vertical="center"/>
    </xf>
    <xf numFmtId="185" fontId="15" fillId="0" borderId="15" xfId="1" applyNumberFormat="1" applyFont="1" applyBorder="1" applyAlignment="1">
      <alignment horizontal="right" vertical="center"/>
    </xf>
    <xf numFmtId="185" fontId="15" fillId="0" borderId="45" xfId="1" applyNumberFormat="1" applyFont="1" applyBorder="1" applyAlignment="1">
      <alignment horizontal="right" vertical="center"/>
    </xf>
    <xf numFmtId="0" fontId="5" fillId="0" borderId="28" xfId="4" applyFont="1" applyBorder="1" applyAlignment="1">
      <alignment horizontal="distributed" vertical="center"/>
    </xf>
    <xf numFmtId="0" fontId="5" fillId="0" borderId="81" xfId="4" applyFont="1" applyBorder="1" applyAlignment="1">
      <alignment horizontal="distributed" vertical="center"/>
    </xf>
    <xf numFmtId="0" fontId="5" fillId="0" borderId="146" xfId="4" applyFont="1" applyBorder="1" applyAlignment="1">
      <alignment horizontal="distributed" vertical="center"/>
    </xf>
    <xf numFmtId="186" fontId="15" fillId="0" borderId="28" xfId="1" applyNumberFormat="1" applyFont="1" applyBorder="1" applyAlignment="1">
      <alignment horizontal="right" vertical="center" shrinkToFit="1"/>
    </xf>
    <xf numFmtId="186" fontId="15" fillId="0" borderId="146" xfId="1" applyNumberFormat="1" applyFont="1" applyBorder="1" applyAlignment="1">
      <alignment horizontal="right" vertical="center" shrinkToFit="1"/>
    </xf>
    <xf numFmtId="0" fontId="5" fillId="0" borderId="23" xfId="1" applyFont="1" applyBorder="1" applyAlignment="1">
      <alignment horizontal="distributed" vertical="center" shrinkToFit="1"/>
    </xf>
    <xf numFmtId="0" fontId="5" fillId="0" borderId="20" xfId="1" applyFont="1" applyBorder="1" applyAlignment="1">
      <alignment horizontal="distributed" vertical="center" shrinkToFit="1"/>
    </xf>
    <xf numFmtId="0" fontId="5" fillId="0" borderId="7" xfId="1" applyFont="1" applyBorder="1" applyAlignment="1">
      <alignment horizontal="distributed" vertical="center" shrinkToFit="1"/>
    </xf>
    <xf numFmtId="184" fontId="5" fillId="0" borderId="71" xfId="4" applyNumberFormat="1" applyFont="1" applyBorder="1" applyAlignment="1">
      <alignment horizontal="distributed" vertical="center" justifyLastLine="1"/>
    </xf>
    <xf numFmtId="184" fontId="5" fillId="0" borderId="132" xfId="4" applyNumberFormat="1" applyFont="1" applyBorder="1" applyAlignment="1">
      <alignment horizontal="distributed" vertical="center" justifyLastLine="1"/>
    </xf>
    <xf numFmtId="184" fontId="5" fillId="0" borderId="14" xfId="4" applyNumberFormat="1" applyFont="1" applyBorder="1" applyAlignment="1">
      <alignment horizontal="distributed" vertical="center" justifyLastLine="1"/>
    </xf>
    <xf numFmtId="184" fontId="5" fillId="0" borderId="133" xfId="4" applyNumberFormat="1" applyFont="1" applyBorder="1" applyAlignment="1">
      <alignment horizontal="distributed" vertical="center" justifyLastLine="1"/>
    </xf>
    <xf numFmtId="184" fontId="5" fillId="0" borderId="38" xfId="4" applyNumberFormat="1" applyFont="1" applyBorder="1" applyAlignment="1">
      <alignment horizontal="distributed" vertical="center" justifyLastLine="1"/>
    </xf>
    <xf numFmtId="184" fontId="5" fillId="0" borderId="39" xfId="4" applyNumberFormat="1" applyFont="1" applyBorder="1" applyAlignment="1">
      <alignment horizontal="distributed" vertical="center" justifyLastLine="1"/>
    </xf>
    <xf numFmtId="0" fontId="5" fillId="0" borderId="71" xfId="1" applyFont="1" applyBorder="1" applyAlignment="1">
      <alignment horizontal="center" vertical="center" justifyLastLine="1"/>
    </xf>
    <xf numFmtId="0" fontId="5" fillId="0" borderId="11" xfId="1" applyFont="1" applyBorder="1" applyAlignment="1">
      <alignment horizontal="center" vertical="center" justifyLastLine="1"/>
    </xf>
    <xf numFmtId="0" fontId="5" fillId="0" borderId="24" xfId="1" applyFont="1" applyBorder="1" applyAlignment="1">
      <alignment horizontal="center" vertical="center" justifyLastLine="1"/>
    </xf>
    <xf numFmtId="0" fontId="5" fillId="0" borderId="14" xfId="1" applyFont="1" applyBorder="1" applyAlignment="1">
      <alignment horizontal="center" vertical="center" justifyLastLine="1"/>
    </xf>
    <xf numFmtId="0" fontId="5" fillId="0" borderId="12" xfId="1" applyFont="1" applyBorder="1" applyAlignment="1">
      <alignment horizontal="center" vertical="center" justifyLastLine="1"/>
    </xf>
    <xf numFmtId="0" fontId="5" fillId="0" borderId="3" xfId="1" applyFont="1" applyBorder="1" applyAlignment="1">
      <alignment horizontal="center" vertical="center" justifyLastLine="1"/>
    </xf>
    <xf numFmtId="0" fontId="5" fillId="0" borderId="71" xfId="1" applyFont="1" applyBorder="1" applyAlignment="1">
      <alignment horizontal="center" vertical="center" shrinkToFit="1"/>
    </xf>
    <xf numFmtId="0" fontId="5" fillId="0" borderId="11" xfId="1" applyFont="1" applyBorder="1" applyAlignment="1">
      <alignment horizontal="center" vertical="center" shrinkToFit="1"/>
    </xf>
    <xf numFmtId="0" fontId="5" fillId="0" borderId="24" xfId="1" applyFont="1" applyBorder="1" applyAlignment="1">
      <alignment horizontal="center" vertical="center" shrinkToFit="1"/>
    </xf>
    <xf numFmtId="185" fontId="15" fillId="0" borderId="50" xfId="1" applyNumberFormat="1" applyFont="1" applyBorder="1" applyAlignment="1">
      <alignment horizontal="right" vertical="center"/>
    </xf>
    <xf numFmtId="185" fontId="15" fillId="0" borderId="60" xfId="1" applyNumberFormat="1" applyFont="1" applyBorder="1" applyAlignment="1">
      <alignment horizontal="right" vertical="center"/>
    </xf>
    <xf numFmtId="185" fontId="15" fillId="0" borderId="138" xfId="1" applyNumberFormat="1" applyFont="1" applyBorder="1" applyAlignment="1">
      <alignment horizontal="right" vertical="center"/>
    </xf>
    <xf numFmtId="0" fontId="14" fillId="0" borderId="75" xfId="4" applyBorder="1" applyAlignment="1">
      <alignment horizontal="center" vertical="center"/>
    </xf>
    <xf numFmtId="0" fontId="14" fillId="0" borderId="76" xfId="4" applyBorder="1" applyAlignment="1">
      <alignment horizontal="center" vertical="center"/>
    </xf>
    <xf numFmtId="0" fontId="14" fillId="0" borderId="77" xfId="4" applyBorder="1" applyAlignment="1">
      <alignment horizontal="center" vertical="center"/>
    </xf>
    <xf numFmtId="0" fontId="14" fillId="0" borderId="78" xfId="4" applyBorder="1" applyAlignment="1">
      <alignment horizontal="center" vertical="center"/>
    </xf>
    <xf numFmtId="0" fontId="14" fillId="0" borderId="79" xfId="4" applyBorder="1" applyAlignment="1">
      <alignment horizontal="center" vertical="center"/>
    </xf>
    <xf numFmtId="0" fontId="14" fillId="0" borderId="80" xfId="4" applyBorder="1" applyAlignment="1">
      <alignment horizontal="center" vertical="center"/>
    </xf>
    <xf numFmtId="185" fontId="15" fillId="0" borderId="149" xfId="1" applyNumberFormat="1" applyFont="1" applyBorder="1" applyAlignment="1">
      <alignment horizontal="right" vertical="center"/>
    </xf>
    <xf numFmtId="186" fontId="15" fillId="0" borderId="149" xfId="1" applyNumberFormat="1" applyFont="1" applyBorder="1" applyAlignment="1">
      <alignment horizontal="right" vertical="center"/>
    </xf>
    <xf numFmtId="186" fontId="15" fillId="0" borderId="62" xfId="1" applyNumberFormat="1" applyFont="1" applyBorder="1" applyAlignment="1">
      <alignment horizontal="right" vertical="center"/>
    </xf>
    <xf numFmtId="0" fontId="5" fillId="0" borderId="32" xfId="1" applyFont="1" applyBorder="1" applyAlignment="1">
      <alignment horizontal="distributed" vertical="center"/>
    </xf>
    <xf numFmtId="186" fontId="5" fillId="0" borderId="15" xfId="1" applyNumberFormat="1" applyFont="1" applyBorder="1" applyAlignment="1">
      <alignment vertical="center"/>
    </xf>
    <xf numFmtId="186" fontId="5" fillId="0" borderId="45" xfId="1" applyNumberFormat="1" applyFont="1" applyBorder="1" applyAlignment="1">
      <alignment vertical="center"/>
    </xf>
    <xf numFmtId="186" fontId="5" fillId="0" borderId="48" xfId="1" applyNumberFormat="1" applyFont="1" applyBorder="1" applyAlignment="1">
      <alignment vertical="center"/>
    </xf>
    <xf numFmtId="0" fontId="5" fillId="0" borderId="15" xfId="1" applyFont="1" applyBorder="1" applyAlignment="1">
      <alignment horizontal="distributed" vertical="center"/>
    </xf>
    <xf numFmtId="0" fontId="5" fillId="0" borderId="45" xfId="1" applyFont="1" applyBorder="1" applyAlignment="1">
      <alignment horizontal="distributed" vertical="center"/>
    </xf>
    <xf numFmtId="185" fontId="15" fillId="0" borderId="46" xfId="1" applyNumberFormat="1" applyFont="1" applyBorder="1" applyAlignment="1">
      <alignment horizontal="right" vertical="center"/>
    </xf>
    <xf numFmtId="185" fontId="15" fillId="0" borderId="54" xfId="1" applyNumberFormat="1" applyFont="1" applyBorder="1" applyAlignment="1">
      <alignment horizontal="right" vertical="center"/>
    </xf>
    <xf numFmtId="0" fontId="5" fillId="0" borderId="16" xfId="1" applyFont="1" applyBorder="1" applyAlignment="1">
      <alignment horizontal="distributed" vertical="center"/>
    </xf>
    <xf numFmtId="0" fontId="5" fillId="0" borderId="57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33" xfId="1" applyFont="1" applyBorder="1" applyAlignment="1">
      <alignment horizontal="center" vertical="center" wrapText="1"/>
    </xf>
    <xf numFmtId="185" fontId="15" fillId="0" borderId="82" xfId="1" applyNumberFormat="1" applyFont="1" applyBorder="1" applyAlignment="1">
      <alignment horizontal="right" vertical="center"/>
    </xf>
    <xf numFmtId="185" fontId="15" fillId="0" borderId="81" xfId="1" applyNumberFormat="1" applyFont="1" applyBorder="1" applyAlignment="1">
      <alignment horizontal="right" vertical="center"/>
    </xf>
    <xf numFmtId="185" fontId="15" fillId="0" borderId="146" xfId="1" applyNumberFormat="1" applyFont="1" applyBorder="1" applyAlignment="1">
      <alignment horizontal="right" vertical="center"/>
    </xf>
    <xf numFmtId="0" fontId="5" fillId="0" borderId="27" xfId="1" applyFont="1" applyBorder="1" applyAlignment="1">
      <alignment horizontal="center" vertical="center" textRotation="255" shrinkToFit="1"/>
    </xf>
    <xf numFmtId="0" fontId="5" fillId="0" borderId="1" xfId="1" applyFont="1" applyBorder="1" applyAlignment="1">
      <alignment horizontal="center" vertical="center" textRotation="255" shrinkToFit="1"/>
    </xf>
    <xf numFmtId="0" fontId="2" fillId="0" borderId="1" xfId="1" applyFont="1" applyBorder="1" applyAlignment="1">
      <alignment horizontal="center" vertical="center" textRotation="255" shrinkToFit="1"/>
    </xf>
    <xf numFmtId="0" fontId="2" fillId="0" borderId="2" xfId="1" applyFont="1" applyBorder="1" applyAlignment="1">
      <alignment horizontal="center" vertical="center" textRotation="255" shrinkToFit="1"/>
    </xf>
    <xf numFmtId="0" fontId="5" fillId="0" borderId="137" xfId="1" applyFont="1" applyBorder="1" applyAlignment="1">
      <alignment horizontal="center" vertical="center"/>
    </xf>
    <xf numFmtId="0" fontId="5" fillId="0" borderId="132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185" fontId="15" fillId="0" borderId="28" xfId="1" applyNumberFormat="1" applyFont="1" applyBorder="1" applyAlignment="1">
      <alignment horizontal="right" vertical="center"/>
    </xf>
    <xf numFmtId="185" fontId="15" fillId="0" borderId="32" xfId="1" applyNumberFormat="1" applyFont="1" applyBorder="1" applyAlignment="1">
      <alignment horizontal="right" vertical="center"/>
    </xf>
    <xf numFmtId="185" fontId="15" fillId="0" borderId="21" xfId="1" applyNumberFormat="1" applyFont="1" applyBorder="1" applyAlignment="1">
      <alignment horizontal="right" vertical="center"/>
    </xf>
    <xf numFmtId="185" fontId="15" fillId="0" borderId="57" xfId="1" applyNumberFormat="1" applyFont="1" applyBorder="1" applyAlignment="1">
      <alignment horizontal="right" vertical="center"/>
    </xf>
    <xf numFmtId="185" fontId="15" fillId="0" borderId="83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5" fillId="0" borderId="71" xfId="1" applyFont="1" applyBorder="1" applyAlignment="1">
      <alignment horizontal="distributed" vertical="center"/>
    </xf>
    <xf numFmtId="0" fontId="5" fillId="0" borderId="11" xfId="1" applyFont="1" applyBorder="1" applyAlignment="1">
      <alignment horizontal="distributed" vertical="center"/>
    </xf>
    <xf numFmtId="0" fontId="5" fillId="0" borderId="24" xfId="1" applyFont="1" applyBorder="1" applyAlignment="1">
      <alignment horizontal="distributed" vertical="center"/>
    </xf>
    <xf numFmtId="187" fontId="15" fillId="0" borderId="82" xfId="1" applyNumberFormat="1" applyFont="1" applyBorder="1" applyAlignment="1">
      <alignment horizontal="right" vertical="center"/>
    </xf>
    <xf numFmtId="0" fontId="5" fillId="0" borderId="137" xfId="1" applyFont="1" applyBorder="1" applyAlignment="1">
      <alignment horizontal="distributed" vertical="center" justifyLastLine="1"/>
    </xf>
    <xf numFmtId="0" fontId="5" fillId="0" borderId="75" xfId="1" applyFont="1" applyBorder="1" applyAlignment="1">
      <alignment horizontal="center" vertical="center"/>
    </xf>
    <xf numFmtId="0" fontId="5" fillId="0" borderId="76" xfId="1" applyFont="1" applyBorder="1" applyAlignment="1">
      <alignment horizontal="center" vertical="center"/>
    </xf>
    <xf numFmtId="0" fontId="5" fillId="0" borderId="77" xfId="1" applyFont="1" applyBorder="1" applyAlignment="1">
      <alignment horizontal="center" vertical="center"/>
    </xf>
    <xf numFmtId="0" fontId="5" fillId="0" borderId="78" xfId="1" applyFont="1" applyBorder="1" applyAlignment="1">
      <alignment horizontal="center" vertical="center"/>
    </xf>
    <xf numFmtId="0" fontId="5" fillId="0" borderId="79" xfId="1" applyFont="1" applyBorder="1" applyAlignment="1">
      <alignment horizontal="center" vertical="center"/>
    </xf>
    <xf numFmtId="0" fontId="5" fillId="0" borderId="80" xfId="1" applyFont="1" applyBorder="1" applyAlignment="1">
      <alignment horizontal="center" vertical="center"/>
    </xf>
    <xf numFmtId="0" fontId="5" fillId="0" borderId="84" xfId="1" applyFont="1" applyBorder="1" applyAlignment="1">
      <alignment horizontal="center" vertical="distributed" textRotation="255" justifyLastLine="1"/>
    </xf>
    <xf numFmtId="0" fontId="5" fillId="0" borderId="18" xfId="1" applyFont="1" applyBorder="1" applyAlignment="1">
      <alignment horizontal="center" vertical="distributed" textRotation="255" justifyLastLine="1"/>
    </xf>
    <xf numFmtId="0" fontId="5" fillId="0" borderId="39" xfId="1" applyFont="1" applyBorder="1" applyAlignment="1">
      <alignment horizontal="center" vertical="distributed" textRotation="255" justifyLastLine="1"/>
    </xf>
    <xf numFmtId="0" fontId="5" fillId="0" borderId="57" xfId="1" applyFont="1" applyBorder="1" applyAlignment="1">
      <alignment horizontal="center" vertical="center" shrinkToFit="1"/>
    </xf>
    <xf numFmtId="0" fontId="2" fillId="0" borderId="83" xfId="1" applyFont="1" applyBorder="1" applyAlignment="1">
      <alignment horizontal="center" vertical="center" shrinkToFit="1"/>
    </xf>
    <xf numFmtId="0" fontId="5" fillId="0" borderId="46" xfId="1" applyFont="1" applyBorder="1" applyAlignment="1">
      <alignment horizontal="center" vertical="center" shrinkToFit="1"/>
    </xf>
    <xf numFmtId="0" fontId="2" fillId="0" borderId="54" xfId="1" applyFont="1" applyBorder="1" applyAlignment="1">
      <alignment horizontal="center" vertical="center" shrinkToFit="1"/>
    </xf>
    <xf numFmtId="0" fontId="2" fillId="0" borderId="77" xfId="1" applyFont="1" applyBorder="1" applyAlignment="1">
      <alignment horizontal="center" vertical="center"/>
    </xf>
    <xf numFmtId="0" fontId="5" fillId="0" borderId="85" xfId="1" applyFont="1" applyBorder="1" applyAlignment="1">
      <alignment horizontal="center" vertical="center"/>
    </xf>
    <xf numFmtId="0" fontId="5" fillId="0" borderId="86" xfId="1" applyFont="1" applyBorder="1" applyAlignment="1">
      <alignment horizontal="center" vertical="center"/>
    </xf>
    <xf numFmtId="0" fontId="2" fillId="0" borderId="87" xfId="1" applyFont="1" applyBorder="1" applyAlignment="1">
      <alignment horizontal="center" vertical="center"/>
    </xf>
    <xf numFmtId="0" fontId="2" fillId="0" borderId="80" xfId="1" applyFont="1" applyBorder="1" applyAlignment="1">
      <alignment horizontal="center" vertical="center"/>
    </xf>
    <xf numFmtId="184" fontId="5" fillId="0" borderId="72" xfId="1" applyNumberFormat="1" applyFont="1" applyBorder="1" applyAlignment="1">
      <alignment horizontal="distributed" vertical="center" justifyLastLine="1"/>
    </xf>
    <xf numFmtId="184" fontId="5" fillId="0" borderId="73" xfId="1" applyNumberFormat="1" applyFont="1" applyBorder="1" applyAlignment="1">
      <alignment horizontal="distributed" vertical="center" justifyLastLine="1"/>
    </xf>
    <xf numFmtId="184" fontId="5" fillId="0" borderId="74" xfId="1" applyNumberFormat="1" applyFont="1" applyBorder="1" applyAlignment="1">
      <alignment horizontal="distributed" vertical="center" justifyLastLine="1"/>
    </xf>
    <xf numFmtId="184" fontId="5" fillId="0" borderId="24" xfId="1" applyNumberFormat="1" applyFont="1" applyBorder="1" applyAlignment="1">
      <alignment horizontal="distributed" vertical="center" justifyLastLine="1"/>
    </xf>
    <xf numFmtId="0" fontId="5" fillId="0" borderId="11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 justifyLastLine="1"/>
    </xf>
    <xf numFmtId="0" fontId="5" fillId="0" borderId="0" xfId="1" applyFont="1" applyAlignment="1">
      <alignment horizontal="center" vertical="center" justifyLastLine="1"/>
    </xf>
    <xf numFmtId="0" fontId="5" fillId="0" borderId="25" xfId="1" applyFont="1" applyBorder="1" applyAlignment="1">
      <alignment horizontal="center" vertical="center" justifyLastLine="1"/>
    </xf>
    <xf numFmtId="0" fontId="5" fillId="0" borderId="27" xfId="1" applyFont="1" applyBorder="1" applyAlignment="1">
      <alignment horizontal="distributed" vertical="center" justifyLastLine="1"/>
    </xf>
    <xf numFmtId="0" fontId="5" fillId="0" borderId="2" xfId="1" applyFont="1" applyBorder="1" applyAlignment="1">
      <alignment horizontal="distributed" vertical="center" justifyLastLine="1"/>
    </xf>
    <xf numFmtId="0" fontId="5" fillId="0" borderId="40" xfId="1" applyFont="1" applyBorder="1" applyAlignment="1">
      <alignment horizontal="distributed" vertical="center" shrinkToFit="1"/>
    </xf>
    <xf numFmtId="0" fontId="5" fillId="0" borderId="6" xfId="1" applyFont="1" applyBorder="1" applyAlignment="1">
      <alignment horizontal="distributed" vertical="center" shrinkToFit="1"/>
    </xf>
    <xf numFmtId="0" fontId="5" fillId="0" borderId="40" xfId="1" applyFont="1" applyBorder="1" applyAlignment="1">
      <alignment horizontal="distributed" vertical="center"/>
    </xf>
    <xf numFmtId="0" fontId="5" fillId="0" borderId="6" xfId="1" applyFont="1" applyBorder="1" applyAlignment="1">
      <alignment horizontal="distributed" vertical="center"/>
    </xf>
    <xf numFmtId="0" fontId="5" fillId="0" borderId="41" xfId="1" applyFont="1" applyBorder="1" applyAlignment="1">
      <alignment horizontal="distributed" vertical="center"/>
    </xf>
    <xf numFmtId="0" fontId="5" fillId="0" borderId="9" xfId="1" applyFont="1" applyBorder="1" applyAlignment="1">
      <alignment horizontal="distributed" vertical="center"/>
    </xf>
    <xf numFmtId="0" fontId="5" fillId="0" borderId="35" xfId="1" applyFont="1" applyBorder="1" applyAlignment="1">
      <alignment horizontal="distributed" vertical="distributed" textRotation="255"/>
    </xf>
    <xf numFmtId="0" fontId="5" fillId="0" borderId="5" xfId="1" applyFont="1" applyBorder="1" applyAlignment="1">
      <alignment horizontal="distributed" vertical="distributed" textRotation="255"/>
    </xf>
    <xf numFmtId="0" fontId="5" fillId="0" borderId="8" xfId="1" applyFont="1" applyBorder="1" applyAlignment="1">
      <alignment horizontal="distributed" vertical="distributed" textRotation="255"/>
    </xf>
    <xf numFmtId="0" fontId="5" fillId="0" borderId="61" xfId="1" applyFont="1" applyBorder="1" applyAlignment="1">
      <alignment horizontal="distributed" vertical="center"/>
    </xf>
    <xf numFmtId="0" fontId="5" fillId="0" borderId="13" xfId="1" applyFont="1" applyBorder="1" applyAlignment="1">
      <alignment horizontal="distributed" vertical="center"/>
    </xf>
    <xf numFmtId="0" fontId="5" fillId="0" borderId="84" xfId="1" applyFont="1" applyBorder="1" applyAlignment="1">
      <alignment horizontal="center" vertical="center" textRotation="255" shrinkToFit="1"/>
    </xf>
    <xf numFmtId="0" fontId="5" fillId="0" borderId="18" xfId="1" applyFont="1" applyBorder="1" applyAlignment="1">
      <alignment horizontal="center" vertical="center" textRotation="255" shrinkToFit="1"/>
    </xf>
    <xf numFmtId="0" fontId="5" fillId="0" borderId="44" xfId="1" applyFont="1" applyBorder="1" applyAlignment="1">
      <alignment horizontal="center" vertical="center" textRotation="255" shrinkToFit="1"/>
    </xf>
    <xf numFmtId="0" fontId="5" fillId="0" borderId="36" xfId="1" applyFont="1" applyBorder="1" applyAlignment="1">
      <alignment horizontal="distributed" vertical="distributed" textRotation="255"/>
    </xf>
    <xf numFmtId="0" fontId="5" fillId="0" borderId="44" xfId="1" applyFont="1" applyBorder="1" applyAlignment="1">
      <alignment horizontal="distributed" vertical="distributed" textRotation="255" justifyLastLine="1"/>
    </xf>
    <xf numFmtId="0" fontId="5" fillId="0" borderId="40" xfId="1" applyFont="1" applyBorder="1" applyAlignment="1">
      <alignment horizontal="distributed" vertical="distributed" textRotation="255" justifyLastLine="1"/>
    </xf>
    <xf numFmtId="0" fontId="5" fillId="0" borderId="44" xfId="1" applyFont="1" applyBorder="1" applyAlignment="1">
      <alignment horizontal="distributed" vertical="center"/>
    </xf>
    <xf numFmtId="0" fontId="5" fillId="0" borderId="46" xfId="1" applyFont="1" applyBorder="1" applyAlignment="1">
      <alignment horizontal="distributed" vertical="center"/>
    </xf>
    <xf numFmtId="0" fontId="5" fillId="0" borderId="4" xfId="1" applyFont="1" applyBorder="1" applyAlignment="1">
      <alignment horizontal="distributed" vertical="center"/>
    </xf>
    <xf numFmtId="184" fontId="5" fillId="0" borderId="81" xfId="1" applyNumberFormat="1" applyFont="1" applyBorder="1" applyAlignment="1">
      <alignment horizontal="distributed" vertical="center" justifyLastLine="1"/>
    </xf>
    <xf numFmtId="0" fontId="5" fillId="0" borderId="83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84" xfId="1" applyFont="1" applyBorder="1" applyAlignment="1">
      <alignment horizontal="center" vertical="distributed" textRotation="255"/>
    </xf>
    <xf numFmtId="0" fontId="5" fillId="0" borderId="18" xfId="1" applyFont="1" applyBorder="1" applyAlignment="1">
      <alignment horizontal="center" vertical="distributed" textRotation="255"/>
    </xf>
    <xf numFmtId="0" fontId="5" fillId="0" borderId="44" xfId="1" applyFont="1" applyBorder="1" applyAlignment="1">
      <alignment horizontal="center" vertical="distributed" textRotation="255"/>
    </xf>
    <xf numFmtId="0" fontId="5" fillId="0" borderId="87" xfId="1" applyFont="1" applyBorder="1" applyAlignment="1">
      <alignment horizontal="center" vertical="center"/>
    </xf>
    <xf numFmtId="186" fontId="15" fillId="0" borderId="23" xfId="1" applyNumberFormat="1" applyFont="1" applyBorder="1" applyAlignment="1">
      <alignment vertical="center"/>
    </xf>
    <xf numFmtId="186" fontId="15" fillId="0" borderId="20" xfId="1" applyNumberFormat="1" applyFont="1" applyBorder="1" applyAlignment="1">
      <alignment vertical="center"/>
    </xf>
    <xf numFmtId="186" fontId="15" fillId="0" borderId="147" xfId="1" applyNumberFormat="1" applyFont="1" applyBorder="1" applyAlignment="1">
      <alignment vertical="center"/>
    </xf>
    <xf numFmtId="0" fontId="5" fillId="0" borderId="152" xfId="1" applyFont="1" applyBorder="1" applyAlignment="1">
      <alignment horizontal="center" vertical="center" justifyLastLine="1"/>
    </xf>
    <xf numFmtId="0" fontId="5" fillId="0" borderId="153" xfId="1" applyFont="1" applyBorder="1" applyAlignment="1">
      <alignment horizontal="center" vertical="center" justifyLastLine="1"/>
    </xf>
    <xf numFmtId="186" fontId="15" fillId="0" borderId="68" xfId="1" applyNumberFormat="1" applyFont="1" applyBorder="1" applyAlignment="1">
      <alignment vertical="center"/>
    </xf>
    <xf numFmtId="186" fontId="15" fillId="0" borderId="67" xfId="1" applyNumberFormat="1" applyFont="1" applyBorder="1" applyAlignment="1">
      <alignment vertical="center"/>
    </xf>
    <xf numFmtId="186" fontId="15" fillId="0" borderId="150" xfId="1" applyNumberFormat="1" applyFont="1" applyBorder="1" applyAlignment="1">
      <alignment vertical="center"/>
    </xf>
    <xf numFmtId="186" fontId="15" fillId="0" borderId="140" xfId="1" applyNumberFormat="1" applyFont="1" applyBorder="1" applyAlignment="1">
      <alignment vertical="center"/>
    </xf>
    <xf numFmtId="186" fontId="15" fillId="0" borderId="67" xfId="1" applyNumberFormat="1" applyFont="1" applyBorder="1" applyAlignment="1">
      <alignment horizontal="right" vertical="center"/>
    </xf>
    <xf numFmtId="186" fontId="15" fillId="0" borderId="140" xfId="1" applyNumberFormat="1" applyFont="1" applyBorder="1" applyAlignment="1">
      <alignment horizontal="right" vertical="center"/>
    </xf>
    <xf numFmtId="185" fontId="15" fillId="0" borderId="30" xfId="1" applyNumberFormat="1" applyFont="1" applyBorder="1" applyAlignment="1">
      <alignment vertical="center"/>
    </xf>
    <xf numFmtId="185" fontId="15" fillId="0" borderId="42" xfId="1" applyNumberFormat="1" applyFont="1" applyBorder="1" applyAlignment="1">
      <alignment vertical="center"/>
    </xf>
    <xf numFmtId="185" fontId="15" fillId="0" borderId="148" xfId="1" applyNumberFormat="1" applyFont="1" applyBorder="1" applyAlignment="1">
      <alignment vertical="center"/>
    </xf>
    <xf numFmtId="185" fontId="15" fillId="0" borderId="43" xfId="1" applyNumberFormat="1" applyFont="1" applyBorder="1" applyAlignment="1">
      <alignment vertical="center"/>
    </xf>
    <xf numFmtId="186" fontId="15" fillId="0" borderId="52" xfId="1" applyNumberFormat="1" applyFont="1" applyBorder="1" applyAlignment="1">
      <alignment vertical="center"/>
    </xf>
    <xf numFmtId="186" fontId="15" fillId="0" borderId="63" xfId="1" applyNumberFormat="1" applyFont="1" applyBorder="1" applyAlignment="1">
      <alignment vertical="center"/>
    </xf>
    <xf numFmtId="186" fontId="15" fillId="0" borderId="56" xfId="1" applyNumberFormat="1" applyFont="1" applyBorder="1" applyAlignment="1">
      <alignment vertical="center"/>
    </xf>
    <xf numFmtId="186" fontId="15" fillId="0" borderId="139" xfId="1" applyNumberFormat="1" applyFont="1" applyBorder="1" applyAlignment="1">
      <alignment vertical="center"/>
    </xf>
    <xf numFmtId="186" fontId="15" fillId="0" borderId="63" xfId="1" applyNumberFormat="1" applyFont="1" applyBorder="1" applyAlignment="1">
      <alignment horizontal="right" vertical="center"/>
    </xf>
    <xf numFmtId="186" fontId="15" fillId="0" borderId="139" xfId="1" applyNumberFormat="1" applyFont="1" applyBorder="1" applyAlignment="1">
      <alignment horizontal="right" vertical="center"/>
    </xf>
    <xf numFmtId="185" fontId="15" fillId="0" borderId="26" xfId="1" applyNumberFormat="1" applyFont="1" applyBorder="1" applyAlignment="1">
      <alignment vertical="center"/>
    </xf>
    <xf numFmtId="185" fontId="15" fillId="0" borderId="20" xfId="1" applyNumberFormat="1" applyFont="1" applyBorder="1" applyAlignment="1">
      <alignment vertical="center"/>
    </xf>
    <xf numFmtId="185" fontId="15" fillId="0" borderId="147" xfId="1" applyNumberFormat="1" applyFont="1" applyBorder="1" applyAlignment="1">
      <alignment vertical="center"/>
    </xf>
    <xf numFmtId="185" fontId="15" fillId="0" borderId="23" xfId="1" applyNumberFormat="1" applyFont="1" applyBorder="1" applyAlignment="1">
      <alignment vertical="center"/>
    </xf>
    <xf numFmtId="186" fontId="15" fillId="0" borderId="26" xfId="1" applyNumberFormat="1" applyFont="1" applyBorder="1" applyAlignment="1">
      <alignment vertical="center"/>
    </xf>
    <xf numFmtId="0" fontId="5" fillId="0" borderId="57" xfId="1" applyFont="1" applyBorder="1" applyAlignment="1">
      <alignment horizontal="distributed" vertical="center" shrinkToFit="1"/>
    </xf>
    <xf numFmtId="0" fontId="5" fillId="0" borderId="21" xfId="1" applyFont="1" applyBorder="1" applyAlignment="1">
      <alignment horizontal="distributed" vertical="center" shrinkToFit="1"/>
    </xf>
    <xf numFmtId="0" fontId="5" fillId="0" borderId="19" xfId="1" applyFont="1" applyBorder="1" applyAlignment="1">
      <alignment horizontal="distributed" vertical="center" shrinkToFit="1"/>
    </xf>
    <xf numFmtId="0" fontId="5" fillId="0" borderId="0" xfId="1" applyFont="1" applyAlignment="1">
      <alignment horizontal="distributed" vertical="center" shrinkToFit="1"/>
    </xf>
    <xf numFmtId="0" fontId="5" fillId="0" borderId="57" xfId="1" applyFont="1" applyBorder="1" applyAlignment="1">
      <alignment horizontal="distributed" vertical="center" wrapText="1" shrinkToFit="1"/>
    </xf>
    <xf numFmtId="0" fontId="5" fillId="0" borderId="83" xfId="1" applyFont="1" applyBorder="1" applyAlignment="1">
      <alignment horizontal="distributed" vertical="center" wrapText="1" shrinkToFit="1"/>
    </xf>
    <xf numFmtId="0" fontId="5" fillId="0" borderId="19" xfId="1" applyFont="1" applyBorder="1" applyAlignment="1">
      <alignment horizontal="distributed" vertical="center" wrapText="1" shrinkToFit="1"/>
    </xf>
    <xf numFmtId="0" fontId="5" fillId="0" borderId="49" xfId="1" applyFont="1" applyBorder="1" applyAlignment="1">
      <alignment horizontal="distributed" vertical="center" wrapText="1" shrinkToFit="1"/>
    </xf>
    <xf numFmtId="0" fontId="5" fillId="0" borderId="83" xfId="1" applyFont="1" applyBorder="1" applyAlignment="1">
      <alignment horizontal="distributed" vertical="center" shrinkToFit="1"/>
    </xf>
    <xf numFmtId="0" fontId="5" fillId="0" borderId="49" xfId="1" applyFont="1" applyBorder="1" applyAlignment="1">
      <alignment horizontal="distributed" vertical="center" shrinkToFit="1"/>
    </xf>
    <xf numFmtId="0" fontId="5" fillId="0" borderId="57" xfId="1" applyFont="1" applyBorder="1" applyAlignment="1">
      <alignment horizontal="distributed" vertical="center" wrapText="1"/>
    </xf>
    <xf numFmtId="0" fontId="5" fillId="0" borderId="83" xfId="1" applyFont="1" applyBorder="1" applyAlignment="1">
      <alignment horizontal="distributed" vertical="center" wrapText="1"/>
    </xf>
    <xf numFmtId="0" fontId="5" fillId="0" borderId="19" xfId="1" applyFont="1" applyBorder="1" applyAlignment="1">
      <alignment horizontal="distributed" vertical="center" wrapText="1"/>
    </xf>
    <xf numFmtId="0" fontId="5" fillId="0" borderId="49" xfId="1" applyFont="1" applyBorder="1" applyAlignment="1">
      <alignment horizontal="distributed" vertical="center" wrapText="1"/>
    </xf>
    <xf numFmtId="0" fontId="5" fillId="0" borderId="46" xfId="1" applyFont="1" applyBorder="1" applyAlignment="1">
      <alignment horizontal="distributed" vertical="center" wrapText="1"/>
    </xf>
    <xf numFmtId="0" fontId="5" fillId="0" borderId="54" xfId="1" applyFont="1" applyBorder="1" applyAlignment="1">
      <alignment horizontal="distributed" vertical="center" wrapText="1"/>
    </xf>
    <xf numFmtId="0" fontId="5" fillId="0" borderId="28" xfId="1" applyFont="1" applyBorder="1" applyAlignment="1">
      <alignment horizontal="distributed" vertical="center" shrinkToFit="1"/>
    </xf>
    <xf numFmtId="0" fontId="5" fillId="0" borderId="81" xfId="1" applyFont="1" applyBorder="1" applyAlignment="1">
      <alignment horizontal="distributed" vertical="center" shrinkToFit="1"/>
    </xf>
    <xf numFmtId="185" fontId="15" fillId="0" borderId="15" xfId="1" applyNumberFormat="1" applyFont="1" applyBorder="1" applyAlignment="1">
      <alignment vertical="center"/>
    </xf>
    <xf numFmtId="185" fontId="15" fillId="0" borderId="45" xfId="1" applyNumberFormat="1" applyFont="1" applyBorder="1" applyAlignment="1">
      <alignment vertical="center"/>
    </xf>
    <xf numFmtId="185" fontId="15" fillId="0" borderId="46" xfId="1" applyNumberFormat="1" applyFont="1" applyBorder="1" applyAlignment="1">
      <alignment vertical="center"/>
    </xf>
    <xf numFmtId="185" fontId="15" fillId="0" borderId="54" xfId="1" applyNumberFormat="1" applyFont="1" applyBorder="1" applyAlignment="1">
      <alignment vertical="center"/>
    </xf>
    <xf numFmtId="0" fontId="5" fillId="0" borderId="83" xfId="1" applyFont="1" applyBorder="1" applyAlignment="1">
      <alignment horizontal="distributed" vertical="center"/>
    </xf>
    <xf numFmtId="0" fontId="5" fillId="0" borderId="54" xfId="1" applyFont="1" applyBorder="1" applyAlignment="1">
      <alignment horizontal="distributed" vertical="center"/>
    </xf>
    <xf numFmtId="0" fontId="5" fillId="0" borderId="17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185" fontId="15" fillId="0" borderId="28" xfId="1" applyNumberFormat="1" applyFont="1" applyBorder="1" applyAlignment="1">
      <alignment vertical="center"/>
    </xf>
    <xf numFmtId="185" fontId="15" fillId="0" borderId="81" xfId="1" applyNumberFormat="1" applyFont="1" applyBorder="1" applyAlignment="1">
      <alignment vertical="center"/>
    </xf>
    <xf numFmtId="185" fontId="15" fillId="0" borderId="82" xfId="1" applyNumberFormat="1" applyFont="1" applyBorder="1" applyAlignment="1">
      <alignment vertical="center"/>
    </xf>
    <xf numFmtId="185" fontId="15" fillId="0" borderId="146" xfId="1" applyNumberFormat="1" applyFont="1" applyBorder="1" applyAlignment="1">
      <alignment vertical="center"/>
    </xf>
    <xf numFmtId="186" fontId="15" fillId="0" borderId="50" xfId="1" applyNumberFormat="1" applyFont="1" applyBorder="1" applyAlignment="1">
      <alignment vertical="center"/>
    </xf>
    <xf numFmtId="186" fontId="15" fillId="0" borderId="60" xfId="1" applyNumberFormat="1" applyFont="1" applyBorder="1" applyAlignment="1">
      <alignment vertical="center"/>
    </xf>
    <xf numFmtId="186" fontId="15" fillId="0" borderId="149" xfId="1" applyNumberFormat="1" applyFont="1" applyBorder="1" applyAlignment="1">
      <alignment vertical="center"/>
    </xf>
    <xf numFmtId="186" fontId="15" fillId="0" borderId="138" xfId="1" applyNumberFormat="1" applyFont="1" applyBorder="1" applyAlignment="1">
      <alignment vertical="center"/>
    </xf>
    <xf numFmtId="186" fontId="15" fillId="0" borderId="60" xfId="1" applyNumberFormat="1" applyFont="1" applyBorder="1" applyAlignment="1">
      <alignment horizontal="right" vertical="center"/>
    </xf>
    <xf numFmtId="186" fontId="15" fillId="0" borderId="138" xfId="1" applyNumberFormat="1" applyFont="1" applyBorder="1" applyAlignment="1">
      <alignment horizontal="right" vertical="center"/>
    </xf>
    <xf numFmtId="0" fontId="7" fillId="0" borderId="14" xfId="1" applyFont="1" applyBorder="1" applyAlignment="1">
      <alignment horizontal="center" vertical="center"/>
    </xf>
    <xf numFmtId="0" fontId="7" fillId="0" borderId="133" xfId="1" applyFont="1" applyBorder="1" applyAlignment="1">
      <alignment horizontal="center" vertical="center"/>
    </xf>
    <xf numFmtId="0" fontId="5" fillId="0" borderId="72" xfId="1" applyFont="1" applyBorder="1" applyAlignment="1">
      <alignment horizontal="center" vertical="center" shrinkToFit="1"/>
    </xf>
    <xf numFmtId="0" fontId="5" fillId="0" borderId="73" xfId="1" applyFont="1" applyBorder="1" applyAlignment="1">
      <alignment horizontal="center" vertical="center" shrinkToFit="1"/>
    </xf>
    <xf numFmtId="0" fontId="5" fillId="0" borderId="74" xfId="1" applyFont="1" applyBorder="1" applyAlignment="1">
      <alignment horizontal="center" vertical="center" shrinkToFit="1"/>
    </xf>
    <xf numFmtId="186" fontId="5" fillId="0" borderId="71" xfId="1" applyNumberFormat="1" applyFont="1" applyBorder="1" applyAlignment="1">
      <alignment horizontal="left" vertical="center"/>
    </xf>
    <xf numFmtId="186" fontId="5" fillId="0" borderId="11" xfId="1" applyNumberFormat="1" applyFont="1" applyBorder="1" applyAlignment="1">
      <alignment horizontal="left" vertical="center"/>
    </xf>
    <xf numFmtId="186" fontId="5" fillId="0" borderId="24" xfId="1" applyNumberFormat="1" applyFont="1" applyBorder="1" applyAlignment="1">
      <alignment horizontal="left" vertical="center"/>
    </xf>
    <xf numFmtId="186" fontId="5" fillId="0" borderId="32" xfId="1" applyNumberFormat="1" applyFont="1" applyBorder="1" applyAlignment="1">
      <alignment horizontal="left" vertical="center"/>
    </xf>
    <xf numFmtId="186" fontId="5" fillId="0" borderId="21" xfId="1" applyNumberFormat="1" applyFont="1" applyBorder="1" applyAlignment="1">
      <alignment horizontal="left" vertical="center"/>
    </xf>
    <xf numFmtId="186" fontId="5" fillId="0" borderId="22" xfId="1" applyNumberFormat="1" applyFont="1" applyBorder="1" applyAlignment="1">
      <alignment horizontal="left" vertical="center"/>
    </xf>
    <xf numFmtId="186" fontId="5" fillId="0" borderId="28" xfId="1" applyNumberFormat="1" applyFont="1" applyBorder="1" applyAlignment="1">
      <alignment horizontal="left" vertical="center"/>
    </xf>
    <xf numFmtId="186" fontId="5" fillId="0" borderId="81" xfId="1" applyNumberFormat="1" applyFont="1" applyBorder="1" applyAlignment="1">
      <alignment horizontal="left" vertical="center"/>
    </xf>
    <xf numFmtId="186" fontId="5" fillId="0" borderId="37" xfId="1" applyNumberFormat="1" applyFont="1" applyBorder="1" applyAlignment="1">
      <alignment horizontal="left" vertical="center"/>
    </xf>
    <xf numFmtId="186" fontId="5" fillId="0" borderId="26" xfId="1" applyNumberFormat="1" applyFont="1" applyBorder="1" applyAlignment="1">
      <alignment horizontal="left" vertical="center"/>
    </xf>
    <xf numFmtId="186" fontId="5" fillId="0" borderId="20" xfId="1" applyNumberFormat="1" applyFont="1" applyBorder="1" applyAlignment="1">
      <alignment horizontal="left" vertical="center"/>
    </xf>
    <xf numFmtId="186" fontId="5" fillId="0" borderId="7" xfId="1" applyNumberFormat="1" applyFont="1" applyBorder="1" applyAlignment="1">
      <alignment horizontal="left" vertical="center"/>
    </xf>
    <xf numFmtId="186" fontId="5" fillId="0" borderId="30" xfId="1" applyNumberFormat="1" applyFont="1" applyBorder="1" applyAlignment="1">
      <alignment horizontal="left" vertical="center"/>
    </xf>
    <xf numFmtId="186" fontId="5" fillId="0" borderId="42" xfId="1" applyNumberFormat="1" applyFont="1" applyBorder="1" applyAlignment="1">
      <alignment horizontal="left" vertical="center"/>
    </xf>
    <xf numFmtId="186" fontId="5" fillId="0" borderId="10" xfId="1" applyNumberFormat="1" applyFont="1" applyBorder="1" applyAlignment="1">
      <alignment horizontal="left" vertical="center"/>
    </xf>
    <xf numFmtId="186" fontId="5" fillId="0" borderId="15" xfId="1" applyNumberFormat="1" applyFont="1" applyBorder="1" applyAlignment="1">
      <alignment horizontal="left" vertical="center"/>
    </xf>
    <xf numFmtId="186" fontId="5" fillId="0" borderId="45" xfId="1" applyNumberFormat="1" applyFont="1" applyBorder="1" applyAlignment="1">
      <alignment horizontal="left" vertical="center"/>
    </xf>
    <xf numFmtId="186" fontId="5" fillId="0" borderId="48" xfId="1" applyNumberFormat="1" applyFont="1" applyBorder="1" applyAlignment="1">
      <alignment horizontal="left" vertical="center"/>
    </xf>
    <xf numFmtId="186" fontId="5" fillId="0" borderId="47" xfId="1" applyNumberFormat="1" applyFont="1" applyBorder="1" applyAlignment="1">
      <alignment horizontal="left"/>
    </xf>
    <xf numFmtId="186" fontId="5" fillId="0" borderId="29" xfId="1" applyNumberFormat="1" applyFont="1" applyBorder="1" applyAlignment="1">
      <alignment horizontal="left"/>
    </xf>
    <xf numFmtId="186" fontId="5" fillId="0" borderId="31" xfId="1" applyNumberFormat="1" applyFont="1" applyBorder="1" applyAlignment="1">
      <alignment horizontal="left"/>
    </xf>
  </cellXfs>
  <cellStyles count="6">
    <cellStyle name="Normal 4" xfId="5" xr:uid="{00000000-0005-0000-0000-000000000000}"/>
    <cellStyle name="標準" xfId="0" builtinId="0"/>
    <cellStyle name="標準 2" xfId="3" xr:uid="{00000000-0005-0000-0000-000002000000}"/>
    <cellStyle name="標準 2 2" xfId="2" xr:uid="{00000000-0005-0000-0000-000003000000}"/>
    <cellStyle name="標準_BDA1S0T05201" xfId="4" xr:uid="{00000000-0005-0000-0000-000004000000}"/>
    <cellStyle name="標準_GQII0033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5"/>
  <sheetViews>
    <sheetView showGridLines="0" view="pageBreakPreview" zoomScaleNormal="100" zoomScaleSheetLayoutView="100" workbookViewId="0">
      <selection activeCell="L10" sqref="L10"/>
    </sheetView>
  </sheetViews>
  <sheetFormatPr defaultColWidth="9" defaultRowHeight="12.75" customHeight="1"/>
  <cols>
    <col min="1" max="1" width="3.44140625" style="2" customWidth="1"/>
    <col min="2" max="4" width="2.6640625" style="2" customWidth="1"/>
    <col min="5" max="5" width="8.77734375" style="2" customWidth="1"/>
    <col min="6" max="6" width="9" style="2" customWidth="1"/>
    <col min="7" max="7" width="3.6640625" style="2" customWidth="1"/>
    <col min="8" max="8" width="10.6640625" style="2" customWidth="1"/>
    <col min="9" max="9" width="6.6640625" style="2" customWidth="1"/>
    <col min="10" max="10" width="10.6640625" style="2" customWidth="1"/>
    <col min="11" max="11" width="6.6640625" style="2" customWidth="1"/>
    <col min="12" max="12" width="7.6640625" style="2" customWidth="1"/>
    <col min="13" max="13" width="8.6640625" style="2" customWidth="1"/>
    <col min="14" max="14" width="30.6640625" style="2" customWidth="1"/>
    <col min="15" max="15" width="11.6640625" style="2" customWidth="1"/>
    <col min="16" max="17" width="9.6640625" style="2" customWidth="1"/>
    <col min="18" max="18" width="7.109375" style="2" hidden="1" customWidth="1"/>
    <col min="19" max="19" width="6.109375" style="2" customWidth="1"/>
    <col min="20" max="20" width="3.6640625" style="2" customWidth="1"/>
    <col min="21" max="23" width="2.6640625" style="2" customWidth="1"/>
    <col min="24" max="24" width="8.6640625" style="2" customWidth="1"/>
    <col min="25" max="25" width="7.6640625" style="2" customWidth="1"/>
    <col min="26" max="26" width="6" style="2" customWidth="1"/>
    <col min="27" max="27" width="6.109375" style="2" customWidth="1"/>
    <col min="28" max="16384" width="9" style="2"/>
  </cols>
  <sheetData>
    <row r="1" spans="1:27" ht="15" customHeight="1">
      <c r="A1" s="196">
        <v>2019</v>
      </c>
      <c r="B1" s="196"/>
      <c r="C1" s="1" t="s">
        <v>250</v>
      </c>
      <c r="D1" s="1"/>
      <c r="E1" s="1"/>
      <c r="F1" s="1"/>
      <c r="G1" s="1"/>
      <c r="H1" s="1"/>
      <c r="I1" s="1"/>
      <c r="J1" s="1"/>
      <c r="K1" s="1"/>
      <c r="O1" s="197" t="s">
        <v>154</v>
      </c>
      <c r="P1" s="198"/>
      <c r="Q1" s="199"/>
      <c r="X1" s="29"/>
      <c r="Y1" s="29"/>
    </row>
    <row r="2" spans="1:27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O2" s="203"/>
      <c r="P2" s="204"/>
      <c r="Q2" s="205"/>
      <c r="U2" s="40"/>
      <c r="V2" s="40"/>
      <c r="W2" s="40"/>
      <c r="X2" s="27"/>
      <c r="Y2" s="28"/>
    </row>
    <row r="3" spans="1:27" ht="14.25" customHeight="1">
      <c r="B3" s="1"/>
      <c r="C3" s="1"/>
      <c r="D3" s="1"/>
      <c r="E3" s="1"/>
      <c r="F3" s="1"/>
      <c r="G3" s="1"/>
      <c r="H3" s="1"/>
      <c r="I3" s="1"/>
      <c r="J3" s="1"/>
      <c r="K3" s="1"/>
      <c r="U3" s="9"/>
      <c r="V3" s="30"/>
      <c r="W3" s="30"/>
      <c r="X3" s="9"/>
      <c r="Y3" s="3"/>
      <c r="Z3" s="3"/>
      <c r="AA3" s="3"/>
    </row>
    <row r="4" spans="1:27" ht="14.4" customHeight="1" thickBot="1">
      <c r="A4" s="5" t="s">
        <v>193</v>
      </c>
      <c r="M4" s="5"/>
      <c r="U4" s="5"/>
    </row>
    <row r="5" spans="1:27" ht="15" customHeight="1">
      <c r="A5" s="219" t="s">
        <v>155</v>
      </c>
      <c r="B5" s="220"/>
      <c r="C5" s="220"/>
      <c r="D5" s="220"/>
      <c r="E5" s="220"/>
      <c r="F5" s="220"/>
      <c r="G5" s="223" t="s">
        <v>156</v>
      </c>
      <c r="H5" s="227">
        <f>A1-2000</f>
        <v>19</v>
      </c>
      <c r="I5" s="71" t="s">
        <v>251</v>
      </c>
      <c r="J5" s="225">
        <f>H5-1</f>
        <v>18</v>
      </c>
      <c r="K5" s="72" t="s">
        <v>251</v>
      </c>
      <c r="L5" s="73" t="s">
        <v>191</v>
      </c>
      <c r="M5" s="215" t="s">
        <v>236</v>
      </c>
      <c r="N5" s="206" t="s">
        <v>192</v>
      </c>
      <c r="O5" s="207"/>
      <c r="P5" s="207"/>
      <c r="Q5" s="208"/>
      <c r="R5" s="35"/>
      <c r="S5" s="38"/>
      <c r="T5" s="38"/>
      <c r="U5" s="38"/>
      <c r="V5" s="38"/>
      <c r="W5" s="38"/>
      <c r="X5" s="38"/>
      <c r="Y5" s="38"/>
      <c r="Z5" s="38"/>
      <c r="AA5" s="38"/>
    </row>
    <row r="6" spans="1:27" ht="15" customHeight="1" thickBot="1">
      <c r="A6" s="221"/>
      <c r="B6" s="222"/>
      <c r="C6" s="222"/>
      <c r="D6" s="222"/>
      <c r="E6" s="222"/>
      <c r="F6" s="222"/>
      <c r="G6" s="224"/>
      <c r="H6" s="228"/>
      <c r="I6" s="74" t="s">
        <v>194</v>
      </c>
      <c r="J6" s="226"/>
      <c r="K6" s="74" t="s">
        <v>194</v>
      </c>
      <c r="L6" s="75" t="s">
        <v>194</v>
      </c>
      <c r="M6" s="216"/>
      <c r="N6" s="209"/>
      <c r="O6" s="210"/>
      <c r="P6" s="210"/>
      <c r="Q6" s="211"/>
      <c r="R6" s="36"/>
      <c r="S6" s="38"/>
      <c r="T6" s="38"/>
      <c r="U6" s="38"/>
      <c r="V6" s="38"/>
      <c r="W6" s="38"/>
      <c r="X6" s="38"/>
      <c r="Y6" s="38"/>
      <c r="Z6" s="38"/>
      <c r="AA6" s="38"/>
    </row>
    <row r="7" spans="1:27" ht="14.25" customHeight="1">
      <c r="A7" s="236" t="s">
        <v>157</v>
      </c>
      <c r="B7" s="255" t="s">
        <v>158</v>
      </c>
      <c r="C7" s="256"/>
      <c r="D7" s="256"/>
      <c r="E7" s="256"/>
      <c r="F7" s="257"/>
      <c r="G7" s="77" t="s">
        <v>159</v>
      </c>
      <c r="H7" s="78"/>
      <c r="I7" s="79" t="str">
        <f>IFERROR(H7/$H$29*100,"-")</f>
        <v>-</v>
      </c>
      <c r="J7" s="80"/>
      <c r="K7" s="79" t="str">
        <f>IFERROR(J7/$J$29*100,"-")</f>
        <v>-</v>
      </c>
      <c r="L7" s="81" t="str">
        <f>IF(H7="-", "-", IF(J7="-", "-", IF(ABS(J7)=0, "-", ROUND(100*(H7-J7)/ABS(J7),1))))</f>
        <v>-</v>
      </c>
      <c r="M7" s="82">
        <f>H7-J7</f>
        <v>0</v>
      </c>
      <c r="N7" s="212"/>
      <c r="O7" s="213"/>
      <c r="P7" s="213"/>
      <c r="Q7" s="214"/>
      <c r="R7" s="37"/>
      <c r="S7" s="39"/>
      <c r="T7" s="39"/>
      <c r="U7" s="39"/>
      <c r="V7" s="39"/>
    </row>
    <row r="8" spans="1:27" ht="14.25" customHeight="1">
      <c r="A8" s="236"/>
      <c r="B8" s="256"/>
      <c r="C8" s="217" t="s">
        <v>160</v>
      </c>
      <c r="D8" s="217"/>
      <c r="E8" s="217"/>
      <c r="F8" s="218"/>
      <c r="G8" s="83" t="s">
        <v>161</v>
      </c>
      <c r="H8" s="84"/>
      <c r="I8" s="85" t="str">
        <f t="shared" ref="I8:I29" si="0">IFERROR(H8/$H$29*100,"-")</f>
        <v>-</v>
      </c>
      <c r="J8" s="86"/>
      <c r="K8" s="85" t="str">
        <f t="shared" ref="K8:K29" si="1">IFERROR(J8/$J$29*100,"-")</f>
        <v>-</v>
      </c>
      <c r="L8" s="87" t="str">
        <f t="shared" ref="L8:L45" si="2">IF(H8="-", "-", IF(J8="-", "-", IF(ABS(J8)=0, "-", ROUND(100*(H8-J8)/ABS(J8),1))))</f>
        <v>-</v>
      </c>
      <c r="M8" s="88">
        <f t="shared" ref="M8:M45" si="3">H8-J8</f>
        <v>0</v>
      </c>
      <c r="N8" s="200"/>
      <c r="O8" s="201"/>
      <c r="P8" s="201"/>
      <c r="Q8" s="202"/>
      <c r="R8" s="32"/>
      <c r="S8" s="39"/>
      <c r="T8" s="39"/>
      <c r="U8" s="39"/>
      <c r="V8" s="39"/>
    </row>
    <row r="9" spans="1:27" ht="14.25" customHeight="1">
      <c r="A9" s="236"/>
      <c r="B9" s="217"/>
      <c r="C9" s="217" t="s">
        <v>162</v>
      </c>
      <c r="D9" s="217"/>
      <c r="E9" s="217"/>
      <c r="F9" s="218"/>
      <c r="G9" s="83" t="s">
        <v>161</v>
      </c>
      <c r="H9" s="84"/>
      <c r="I9" s="85" t="str">
        <f t="shared" si="0"/>
        <v>-</v>
      </c>
      <c r="J9" s="86"/>
      <c r="K9" s="85" t="str">
        <f t="shared" si="1"/>
        <v>-</v>
      </c>
      <c r="L9" s="87" t="str">
        <f t="shared" si="2"/>
        <v>-</v>
      </c>
      <c r="M9" s="88">
        <f t="shared" si="3"/>
        <v>0</v>
      </c>
      <c r="N9" s="200"/>
      <c r="O9" s="201"/>
      <c r="P9" s="201"/>
      <c r="Q9" s="202"/>
      <c r="R9" s="32"/>
      <c r="S9" s="39"/>
      <c r="T9" s="39"/>
      <c r="U9" s="39"/>
      <c r="V9" s="39"/>
    </row>
    <row r="10" spans="1:27" ht="14.25" customHeight="1">
      <c r="A10" s="236"/>
      <c r="B10" s="217"/>
      <c r="C10" s="217" t="s">
        <v>163</v>
      </c>
      <c r="D10" s="217"/>
      <c r="E10" s="217"/>
      <c r="F10" s="218"/>
      <c r="G10" s="83" t="s">
        <v>161</v>
      </c>
      <c r="H10" s="84"/>
      <c r="I10" s="85" t="str">
        <f t="shared" si="0"/>
        <v>-</v>
      </c>
      <c r="J10" s="86"/>
      <c r="K10" s="85" t="str">
        <f t="shared" si="1"/>
        <v>-</v>
      </c>
      <c r="L10" s="87" t="str">
        <f t="shared" si="2"/>
        <v>-</v>
      </c>
      <c r="M10" s="88">
        <f t="shared" si="3"/>
        <v>0</v>
      </c>
      <c r="N10" s="200"/>
      <c r="O10" s="201"/>
      <c r="P10" s="201"/>
      <c r="Q10" s="202"/>
      <c r="R10" s="32"/>
      <c r="S10" s="39"/>
      <c r="T10" s="39"/>
      <c r="U10" s="39"/>
      <c r="V10" s="39"/>
    </row>
    <row r="11" spans="1:27" ht="14.25" customHeight="1">
      <c r="A11" s="236"/>
      <c r="B11" s="217"/>
      <c r="C11" s="217" t="s">
        <v>164</v>
      </c>
      <c r="D11" s="217"/>
      <c r="E11" s="217"/>
      <c r="F11" s="218"/>
      <c r="G11" s="83" t="s">
        <v>161</v>
      </c>
      <c r="H11" s="84"/>
      <c r="I11" s="85" t="str">
        <f t="shared" si="0"/>
        <v>-</v>
      </c>
      <c r="J11" s="86"/>
      <c r="K11" s="85" t="str">
        <f t="shared" si="1"/>
        <v>-</v>
      </c>
      <c r="L11" s="87" t="str">
        <f t="shared" si="2"/>
        <v>-</v>
      </c>
      <c r="M11" s="88">
        <f t="shared" si="3"/>
        <v>0</v>
      </c>
      <c r="N11" s="200"/>
      <c r="O11" s="201"/>
      <c r="P11" s="201"/>
      <c r="Q11" s="202"/>
      <c r="R11" s="32"/>
      <c r="S11" s="39"/>
      <c r="T11" s="39"/>
      <c r="U11" s="39"/>
      <c r="V11" s="39"/>
    </row>
    <row r="12" spans="1:27" ht="14.25" customHeight="1">
      <c r="A12" s="236"/>
      <c r="B12" s="217"/>
      <c r="C12" s="217" t="s">
        <v>165</v>
      </c>
      <c r="D12" s="217"/>
      <c r="E12" s="217"/>
      <c r="F12" s="218"/>
      <c r="G12" s="83" t="s">
        <v>161</v>
      </c>
      <c r="H12" s="84"/>
      <c r="I12" s="85" t="str">
        <f t="shared" si="0"/>
        <v>-</v>
      </c>
      <c r="J12" s="86"/>
      <c r="K12" s="85" t="str">
        <f t="shared" si="1"/>
        <v>-</v>
      </c>
      <c r="L12" s="87" t="str">
        <f t="shared" si="2"/>
        <v>-</v>
      </c>
      <c r="M12" s="88">
        <f t="shared" si="3"/>
        <v>0</v>
      </c>
      <c r="N12" s="200"/>
      <c r="O12" s="201"/>
      <c r="P12" s="201"/>
      <c r="Q12" s="202"/>
      <c r="R12" s="32"/>
      <c r="S12" s="39"/>
      <c r="T12" s="39"/>
      <c r="U12" s="39"/>
      <c r="V12" s="39"/>
    </row>
    <row r="13" spans="1:27" ht="14.25" customHeight="1">
      <c r="A13" s="236"/>
      <c r="B13" s="217"/>
      <c r="C13" s="217" t="s">
        <v>166</v>
      </c>
      <c r="D13" s="217"/>
      <c r="E13" s="217"/>
      <c r="F13" s="218"/>
      <c r="G13" s="83" t="s">
        <v>161</v>
      </c>
      <c r="H13" s="84"/>
      <c r="I13" s="85" t="str">
        <f t="shared" si="0"/>
        <v>-</v>
      </c>
      <c r="J13" s="86"/>
      <c r="K13" s="85" t="str">
        <f t="shared" si="1"/>
        <v>-</v>
      </c>
      <c r="L13" s="87" t="str">
        <f t="shared" si="2"/>
        <v>-</v>
      </c>
      <c r="M13" s="88">
        <f t="shared" si="3"/>
        <v>0</v>
      </c>
      <c r="N13" s="200"/>
      <c r="O13" s="201"/>
      <c r="P13" s="201"/>
      <c r="Q13" s="202"/>
      <c r="R13" s="32"/>
      <c r="S13" s="39"/>
      <c r="T13" s="39"/>
      <c r="U13" s="39"/>
      <c r="V13" s="39"/>
    </row>
    <row r="14" spans="1:27" ht="14.25" customHeight="1">
      <c r="A14" s="236"/>
      <c r="B14" s="217"/>
      <c r="C14" s="217" t="s">
        <v>167</v>
      </c>
      <c r="D14" s="217"/>
      <c r="E14" s="217"/>
      <c r="F14" s="218"/>
      <c r="G14" s="83" t="s">
        <v>161</v>
      </c>
      <c r="H14" s="84"/>
      <c r="I14" s="85" t="str">
        <f t="shared" si="0"/>
        <v>-</v>
      </c>
      <c r="J14" s="86"/>
      <c r="K14" s="85" t="str">
        <f t="shared" si="1"/>
        <v>-</v>
      </c>
      <c r="L14" s="87" t="str">
        <f t="shared" si="2"/>
        <v>-</v>
      </c>
      <c r="M14" s="88">
        <f t="shared" si="3"/>
        <v>0</v>
      </c>
      <c r="N14" s="200"/>
      <c r="O14" s="201"/>
      <c r="P14" s="201"/>
      <c r="Q14" s="202"/>
      <c r="R14" s="32"/>
      <c r="S14" s="39"/>
      <c r="T14" s="39"/>
      <c r="U14" s="39"/>
      <c r="V14" s="39"/>
    </row>
    <row r="15" spans="1:27" ht="14.25" customHeight="1">
      <c r="A15" s="236"/>
      <c r="B15" s="217"/>
      <c r="C15" s="265" t="s">
        <v>168</v>
      </c>
      <c r="D15" s="265"/>
      <c r="E15" s="265"/>
      <c r="F15" s="266"/>
      <c r="G15" s="83" t="s">
        <v>161</v>
      </c>
      <c r="H15" s="84"/>
      <c r="I15" s="85" t="str">
        <f t="shared" si="0"/>
        <v>-</v>
      </c>
      <c r="J15" s="86"/>
      <c r="K15" s="85" t="str">
        <f t="shared" si="1"/>
        <v>-</v>
      </c>
      <c r="L15" s="87" t="str">
        <f t="shared" si="2"/>
        <v>-</v>
      </c>
      <c r="M15" s="88">
        <f t="shared" si="3"/>
        <v>0</v>
      </c>
      <c r="N15" s="200"/>
      <c r="O15" s="201"/>
      <c r="P15" s="201"/>
      <c r="Q15" s="202"/>
      <c r="R15" s="32"/>
      <c r="S15" s="39"/>
      <c r="T15" s="39"/>
      <c r="U15" s="39"/>
      <c r="V15" s="39"/>
    </row>
    <row r="16" spans="1:27" ht="14.25" customHeight="1">
      <c r="A16" s="236"/>
      <c r="B16" s="217"/>
      <c r="C16" s="258" t="s">
        <v>169</v>
      </c>
      <c r="D16" s="258"/>
      <c r="E16" s="258"/>
      <c r="F16" s="244"/>
      <c r="G16" s="83" t="s">
        <v>161</v>
      </c>
      <c r="H16" s="84"/>
      <c r="I16" s="85" t="str">
        <f t="shared" si="0"/>
        <v>-</v>
      </c>
      <c r="J16" s="86"/>
      <c r="K16" s="85" t="str">
        <f t="shared" si="1"/>
        <v>-</v>
      </c>
      <c r="L16" s="87" t="str">
        <f t="shared" si="2"/>
        <v>-</v>
      </c>
      <c r="M16" s="88">
        <f t="shared" si="3"/>
        <v>0</v>
      </c>
      <c r="N16" s="200"/>
      <c r="O16" s="201"/>
      <c r="P16" s="201"/>
      <c r="Q16" s="202"/>
      <c r="R16" s="32"/>
      <c r="S16" s="39"/>
      <c r="T16" s="39"/>
      <c r="U16" s="39"/>
      <c r="V16" s="39"/>
    </row>
    <row r="17" spans="1:22" ht="14.25" customHeight="1">
      <c r="A17" s="236"/>
      <c r="B17" s="217"/>
      <c r="C17" s="76"/>
      <c r="D17" s="218" t="s">
        <v>170</v>
      </c>
      <c r="E17" s="243"/>
      <c r="F17" s="243"/>
      <c r="G17" s="83" t="s">
        <v>161</v>
      </c>
      <c r="H17" s="84"/>
      <c r="I17" s="85" t="str">
        <f t="shared" si="0"/>
        <v>-</v>
      </c>
      <c r="J17" s="86"/>
      <c r="K17" s="85" t="str">
        <f t="shared" si="1"/>
        <v>-</v>
      </c>
      <c r="L17" s="87" t="str">
        <f t="shared" si="2"/>
        <v>-</v>
      </c>
      <c r="M17" s="88">
        <f t="shared" si="3"/>
        <v>0</v>
      </c>
      <c r="N17" s="200"/>
      <c r="O17" s="201"/>
      <c r="P17" s="201"/>
      <c r="Q17" s="202"/>
      <c r="R17" s="32"/>
      <c r="S17" s="39"/>
      <c r="T17" s="39"/>
      <c r="U17" s="39"/>
      <c r="V17" s="39"/>
    </row>
    <row r="18" spans="1:22" ht="14.25" customHeight="1">
      <c r="A18" s="236"/>
      <c r="B18" s="217"/>
      <c r="C18" s="258" t="s">
        <v>171</v>
      </c>
      <c r="D18" s="258"/>
      <c r="E18" s="258"/>
      <c r="F18" s="244"/>
      <c r="G18" s="83" t="s">
        <v>161</v>
      </c>
      <c r="H18" s="84"/>
      <c r="I18" s="85" t="str">
        <f t="shared" si="0"/>
        <v>-</v>
      </c>
      <c r="J18" s="86"/>
      <c r="K18" s="85" t="str">
        <f t="shared" si="1"/>
        <v>-</v>
      </c>
      <c r="L18" s="87" t="str">
        <f t="shared" si="2"/>
        <v>-</v>
      </c>
      <c r="M18" s="88">
        <f t="shared" si="3"/>
        <v>0</v>
      </c>
      <c r="N18" s="200"/>
      <c r="O18" s="201"/>
      <c r="P18" s="201"/>
      <c r="Q18" s="202"/>
      <c r="R18" s="32"/>
      <c r="S18" s="39"/>
      <c r="T18" s="39"/>
      <c r="U18" s="39"/>
      <c r="V18" s="39"/>
    </row>
    <row r="19" spans="1:22" ht="14.25" customHeight="1">
      <c r="A19" s="236"/>
      <c r="B19" s="217"/>
      <c r="C19" s="76"/>
      <c r="D19" s="218" t="s">
        <v>170</v>
      </c>
      <c r="E19" s="243"/>
      <c r="F19" s="243"/>
      <c r="G19" s="83" t="s">
        <v>161</v>
      </c>
      <c r="H19" s="84"/>
      <c r="I19" s="85" t="str">
        <f t="shared" si="0"/>
        <v>-</v>
      </c>
      <c r="J19" s="86"/>
      <c r="K19" s="85" t="str">
        <f t="shared" si="1"/>
        <v>-</v>
      </c>
      <c r="L19" s="87" t="str">
        <f t="shared" si="2"/>
        <v>-</v>
      </c>
      <c r="M19" s="88">
        <f t="shared" si="3"/>
        <v>0</v>
      </c>
      <c r="N19" s="200"/>
      <c r="O19" s="201"/>
      <c r="P19" s="201"/>
      <c r="Q19" s="202"/>
      <c r="R19" s="32"/>
      <c r="S19" s="39"/>
      <c r="T19" s="39"/>
      <c r="U19" s="39"/>
      <c r="V19" s="39"/>
    </row>
    <row r="20" spans="1:22" ht="14.25" customHeight="1">
      <c r="A20" s="236"/>
      <c r="B20" s="217"/>
      <c r="C20" s="258" t="s">
        <v>172</v>
      </c>
      <c r="D20" s="258"/>
      <c r="E20" s="258"/>
      <c r="F20" s="244"/>
      <c r="G20" s="83" t="s">
        <v>161</v>
      </c>
      <c r="H20" s="84"/>
      <c r="I20" s="85" t="str">
        <f t="shared" si="0"/>
        <v>-</v>
      </c>
      <c r="J20" s="86"/>
      <c r="K20" s="85" t="str">
        <f t="shared" si="1"/>
        <v>-</v>
      </c>
      <c r="L20" s="87" t="str">
        <f t="shared" si="2"/>
        <v>-</v>
      </c>
      <c r="M20" s="88">
        <f t="shared" si="3"/>
        <v>0</v>
      </c>
      <c r="N20" s="200"/>
      <c r="O20" s="201"/>
      <c r="P20" s="201"/>
      <c r="Q20" s="202"/>
      <c r="R20" s="32"/>
      <c r="S20" s="39"/>
      <c r="T20" s="39"/>
      <c r="U20" s="39"/>
      <c r="V20" s="39"/>
    </row>
    <row r="21" spans="1:22" ht="14.25" customHeight="1">
      <c r="A21" s="236"/>
      <c r="B21" s="217"/>
      <c r="C21" s="76"/>
      <c r="D21" s="218" t="s">
        <v>170</v>
      </c>
      <c r="E21" s="243"/>
      <c r="F21" s="243"/>
      <c r="G21" s="83" t="s">
        <v>161</v>
      </c>
      <c r="H21" s="84"/>
      <c r="I21" s="85" t="str">
        <f t="shared" si="0"/>
        <v>-</v>
      </c>
      <c r="J21" s="86"/>
      <c r="K21" s="85" t="str">
        <f t="shared" si="1"/>
        <v>-</v>
      </c>
      <c r="L21" s="87" t="str">
        <f t="shared" si="2"/>
        <v>-</v>
      </c>
      <c r="M21" s="88">
        <f t="shared" si="3"/>
        <v>0</v>
      </c>
      <c r="N21" s="200"/>
      <c r="O21" s="201"/>
      <c r="P21" s="201"/>
      <c r="Q21" s="202"/>
      <c r="R21" s="32"/>
      <c r="S21" s="39"/>
      <c r="T21" s="39"/>
      <c r="U21" s="39"/>
      <c r="V21" s="39"/>
    </row>
    <row r="22" spans="1:22" ht="14.25" customHeight="1">
      <c r="A22" s="236"/>
      <c r="B22" s="217"/>
      <c r="C22" s="258" t="s">
        <v>173</v>
      </c>
      <c r="D22" s="258"/>
      <c r="E22" s="258"/>
      <c r="F22" s="244"/>
      <c r="G22" s="89" t="s">
        <v>161</v>
      </c>
      <c r="H22" s="84"/>
      <c r="I22" s="85" t="str">
        <f t="shared" si="0"/>
        <v>-</v>
      </c>
      <c r="J22" s="86"/>
      <c r="K22" s="85" t="str">
        <f t="shared" si="1"/>
        <v>-</v>
      </c>
      <c r="L22" s="87" t="str">
        <f t="shared" si="2"/>
        <v>-</v>
      </c>
      <c r="M22" s="88">
        <f t="shared" si="3"/>
        <v>0</v>
      </c>
      <c r="N22" s="200"/>
      <c r="O22" s="201"/>
      <c r="P22" s="201"/>
      <c r="Q22" s="202"/>
      <c r="R22" s="32"/>
      <c r="S22" s="39"/>
      <c r="T22" s="39"/>
      <c r="U22" s="39"/>
      <c r="V22" s="39"/>
    </row>
    <row r="23" spans="1:22" ht="14.25" customHeight="1">
      <c r="A23" s="236"/>
      <c r="B23" s="217"/>
      <c r="C23" s="76"/>
      <c r="D23" s="218" t="s">
        <v>170</v>
      </c>
      <c r="E23" s="243"/>
      <c r="F23" s="243"/>
      <c r="G23" s="83" t="s">
        <v>161</v>
      </c>
      <c r="H23" s="84"/>
      <c r="I23" s="85" t="str">
        <f t="shared" si="0"/>
        <v>-</v>
      </c>
      <c r="J23" s="86"/>
      <c r="K23" s="85" t="str">
        <f t="shared" si="1"/>
        <v>-</v>
      </c>
      <c r="L23" s="87" t="str">
        <f t="shared" si="2"/>
        <v>-</v>
      </c>
      <c r="M23" s="88">
        <f t="shared" si="3"/>
        <v>0</v>
      </c>
      <c r="N23" s="200"/>
      <c r="O23" s="201"/>
      <c r="P23" s="201"/>
      <c r="Q23" s="202"/>
      <c r="R23" s="33"/>
      <c r="S23" s="39"/>
      <c r="T23" s="39"/>
      <c r="U23" s="39"/>
      <c r="V23" s="39"/>
    </row>
    <row r="24" spans="1:22" ht="14.25" customHeight="1">
      <c r="A24" s="236"/>
      <c r="B24" s="258" t="s">
        <v>174</v>
      </c>
      <c r="C24" s="258"/>
      <c r="D24" s="258"/>
      <c r="E24" s="258"/>
      <c r="F24" s="244"/>
      <c r="G24" s="83" t="s">
        <v>161</v>
      </c>
      <c r="H24" s="84"/>
      <c r="I24" s="85" t="str">
        <f t="shared" si="0"/>
        <v>-</v>
      </c>
      <c r="J24" s="86"/>
      <c r="K24" s="85" t="str">
        <f t="shared" si="1"/>
        <v>-</v>
      </c>
      <c r="L24" s="87" t="str">
        <f t="shared" si="2"/>
        <v>-</v>
      </c>
      <c r="M24" s="88">
        <f t="shared" si="3"/>
        <v>0</v>
      </c>
      <c r="N24" s="200"/>
      <c r="O24" s="201"/>
      <c r="P24" s="201"/>
      <c r="Q24" s="202"/>
      <c r="R24" s="31"/>
      <c r="S24" s="39"/>
      <c r="T24" s="39"/>
      <c r="U24" s="39"/>
      <c r="V24" s="39"/>
    </row>
    <row r="25" spans="1:22" ht="14.25" customHeight="1">
      <c r="A25" s="236"/>
      <c r="B25" s="257"/>
      <c r="C25" s="90"/>
      <c r="D25" s="218" t="s">
        <v>212</v>
      </c>
      <c r="E25" s="243"/>
      <c r="F25" s="243"/>
      <c r="G25" s="83" t="s">
        <v>161</v>
      </c>
      <c r="H25" s="84"/>
      <c r="I25" s="85" t="str">
        <f t="shared" si="0"/>
        <v>-</v>
      </c>
      <c r="J25" s="86"/>
      <c r="K25" s="85" t="str">
        <f t="shared" si="1"/>
        <v>-</v>
      </c>
      <c r="L25" s="87" t="str">
        <f t="shared" si="2"/>
        <v>-</v>
      </c>
      <c r="M25" s="88">
        <f t="shared" si="3"/>
        <v>0</v>
      </c>
      <c r="N25" s="200"/>
      <c r="O25" s="201"/>
      <c r="P25" s="201"/>
      <c r="Q25" s="202"/>
      <c r="R25" s="32"/>
      <c r="S25" s="39"/>
      <c r="T25" s="39"/>
      <c r="U25" s="39"/>
      <c r="V25" s="39"/>
    </row>
    <row r="26" spans="1:22" ht="14.25" customHeight="1">
      <c r="A26" s="236"/>
      <c r="B26" s="217"/>
      <c r="C26" s="258" t="s">
        <v>175</v>
      </c>
      <c r="D26" s="258"/>
      <c r="E26" s="258"/>
      <c r="F26" s="244"/>
      <c r="G26" s="83" t="s">
        <v>161</v>
      </c>
      <c r="H26" s="84"/>
      <c r="I26" s="85" t="str">
        <f t="shared" si="0"/>
        <v>-</v>
      </c>
      <c r="J26" s="86"/>
      <c r="K26" s="85" t="str">
        <f t="shared" si="1"/>
        <v>-</v>
      </c>
      <c r="L26" s="87" t="str">
        <f t="shared" si="2"/>
        <v>-</v>
      </c>
      <c r="M26" s="88">
        <f t="shared" si="3"/>
        <v>0</v>
      </c>
      <c r="N26" s="200"/>
      <c r="O26" s="201"/>
      <c r="P26" s="201"/>
      <c r="Q26" s="202"/>
      <c r="R26" s="32"/>
      <c r="S26" s="39"/>
      <c r="T26" s="39"/>
      <c r="U26" s="39"/>
      <c r="V26" s="39"/>
    </row>
    <row r="27" spans="1:22" ht="14.25" customHeight="1">
      <c r="A27" s="236"/>
      <c r="B27" s="217"/>
      <c r="C27" s="76"/>
      <c r="D27" s="218" t="s">
        <v>212</v>
      </c>
      <c r="E27" s="243"/>
      <c r="F27" s="243"/>
      <c r="G27" s="83" t="s">
        <v>161</v>
      </c>
      <c r="H27" s="84"/>
      <c r="I27" s="85" t="str">
        <f t="shared" si="0"/>
        <v>-</v>
      </c>
      <c r="J27" s="86"/>
      <c r="K27" s="85" t="str">
        <f t="shared" si="1"/>
        <v>-</v>
      </c>
      <c r="L27" s="87" t="str">
        <f t="shared" si="2"/>
        <v>-</v>
      </c>
      <c r="M27" s="88">
        <f t="shared" si="3"/>
        <v>0</v>
      </c>
      <c r="N27" s="200"/>
      <c r="O27" s="201"/>
      <c r="P27" s="201"/>
      <c r="Q27" s="202"/>
      <c r="R27" s="32"/>
      <c r="S27" s="39"/>
      <c r="T27" s="39"/>
      <c r="U27" s="39"/>
      <c r="V27" s="39"/>
    </row>
    <row r="28" spans="1:22" ht="14.25" customHeight="1">
      <c r="A28" s="236"/>
      <c r="B28" s="217"/>
      <c r="C28" s="217" t="s">
        <v>176</v>
      </c>
      <c r="D28" s="217"/>
      <c r="E28" s="217"/>
      <c r="F28" s="218"/>
      <c r="G28" s="83" t="s">
        <v>161</v>
      </c>
      <c r="H28" s="84"/>
      <c r="I28" s="85" t="str">
        <f t="shared" si="0"/>
        <v>-</v>
      </c>
      <c r="J28" s="86"/>
      <c r="K28" s="85" t="str">
        <f t="shared" si="1"/>
        <v>-</v>
      </c>
      <c r="L28" s="87" t="str">
        <f t="shared" si="2"/>
        <v>-</v>
      </c>
      <c r="M28" s="88">
        <f t="shared" si="3"/>
        <v>0</v>
      </c>
      <c r="N28" s="200"/>
      <c r="O28" s="201"/>
      <c r="P28" s="201"/>
      <c r="Q28" s="202"/>
      <c r="R28" s="33"/>
      <c r="S28" s="39"/>
      <c r="T28" s="39"/>
      <c r="U28" s="39"/>
      <c r="V28" s="39"/>
    </row>
    <row r="29" spans="1:22" ht="14.25" customHeight="1">
      <c r="A29" s="236"/>
      <c r="B29" s="217" t="s">
        <v>177</v>
      </c>
      <c r="C29" s="217"/>
      <c r="D29" s="217"/>
      <c r="E29" s="217"/>
      <c r="F29" s="218"/>
      <c r="G29" s="83" t="s">
        <v>161</v>
      </c>
      <c r="H29" s="84"/>
      <c r="I29" s="85" t="str">
        <f t="shared" si="0"/>
        <v>-</v>
      </c>
      <c r="J29" s="86"/>
      <c r="K29" s="85" t="str">
        <f t="shared" si="1"/>
        <v>-</v>
      </c>
      <c r="L29" s="87" t="str">
        <f t="shared" si="2"/>
        <v>-</v>
      </c>
      <c r="M29" s="88">
        <f t="shared" si="3"/>
        <v>0</v>
      </c>
      <c r="N29" s="200"/>
      <c r="O29" s="201"/>
      <c r="P29" s="201"/>
      <c r="Q29" s="202"/>
      <c r="R29" s="34"/>
      <c r="S29" s="39"/>
      <c r="T29" s="39"/>
      <c r="U29" s="39"/>
      <c r="V29" s="39"/>
    </row>
    <row r="30" spans="1:22" ht="14.25" customHeight="1">
      <c r="A30" s="236"/>
      <c r="B30" s="217" t="s">
        <v>178</v>
      </c>
      <c r="C30" s="217"/>
      <c r="D30" s="217"/>
      <c r="E30" s="217"/>
      <c r="F30" s="218"/>
      <c r="G30" s="83" t="s">
        <v>161</v>
      </c>
      <c r="H30" s="84"/>
      <c r="I30" s="91"/>
      <c r="J30" s="86"/>
      <c r="K30" s="91"/>
      <c r="L30" s="87" t="str">
        <f t="shared" si="2"/>
        <v>-</v>
      </c>
      <c r="M30" s="88">
        <f t="shared" si="3"/>
        <v>0</v>
      </c>
      <c r="N30" s="200"/>
      <c r="O30" s="201"/>
      <c r="P30" s="201"/>
      <c r="Q30" s="202"/>
      <c r="R30" s="34"/>
      <c r="S30" s="39"/>
      <c r="T30" s="39"/>
      <c r="U30" s="39"/>
      <c r="V30" s="39"/>
    </row>
    <row r="31" spans="1:22" ht="14.25" customHeight="1">
      <c r="A31" s="236"/>
      <c r="B31" s="217" t="s">
        <v>179</v>
      </c>
      <c r="C31" s="217"/>
      <c r="D31" s="217"/>
      <c r="E31" s="217"/>
      <c r="F31" s="218"/>
      <c r="G31" s="83" t="s">
        <v>161</v>
      </c>
      <c r="H31" s="84"/>
      <c r="I31" s="91"/>
      <c r="J31" s="86"/>
      <c r="K31" s="91"/>
      <c r="L31" s="87" t="str">
        <f t="shared" si="2"/>
        <v>-</v>
      </c>
      <c r="M31" s="88">
        <f t="shared" si="3"/>
        <v>0</v>
      </c>
      <c r="N31" s="200"/>
      <c r="O31" s="201"/>
      <c r="P31" s="201"/>
      <c r="Q31" s="202"/>
      <c r="R31" s="34"/>
      <c r="S31" s="39"/>
      <c r="T31" s="39"/>
      <c r="U31" s="39"/>
      <c r="V31" s="39"/>
    </row>
    <row r="32" spans="1:22" ht="14.25" customHeight="1">
      <c r="A32" s="236"/>
      <c r="B32" s="217" t="s">
        <v>180</v>
      </c>
      <c r="C32" s="217"/>
      <c r="D32" s="217"/>
      <c r="E32" s="217"/>
      <c r="F32" s="218"/>
      <c r="G32" s="83" t="s">
        <v>161</v>
      </c>
      <c r="H32" s="84"/>
      <c r="I32" s="91"/>
      <c r="J32" s="86"/>
      <c r="K32" s="91"/>
      <c r="L32" s="87" t="str">
        <f t="shared" si="2"/>
        <v>-</v>
      </c>
      <c r="M32" s="88">
        <f t="shared" si="3"/>
        <v>0</v>
      </c>
      <c r="N32" s="200"/>
      <c r="O32" s="201"/>
      <c r="P32" s="201"/>
      <c r="Q32" s="202"/>
      <c r="R32" s="34"/>
      <c r="S32" s="39"/>
      <c r="T32" s="39"/>
      <c r="U32" s="39"/>
      <c r="V32" s="39"/>
    </row>
    <row r="33" spans="1:22" ht="14.25" customHeight="1">
      <c r="A33" s="236"/>
      <c r="B33" s="217" t="s">
        <v>181</v>
      </c>
      <c r="C33" s="217"/>
      <c r="D33" s="217"/>
      <c r="E33" s="217"/>
      <c r="F33" s="218"/>
      <c r="G33" s="83" t="s">
        <v>161</v>
      </c>
      <c r="H33" s="84"/>
      <c r="I33" s="92"/>
      <c r="J33" s="93"/>
      <c r="K33" s="92"/>
      <c r="L33" s="87" t="str">
        <f t="shared" si="2"/>
        <v>-</v>
      </c>
      <c r="M33" s="94">
        <f t="shared" si="3"/>
        <v>0</v>
      </c>
      <c r="N33" s="200"/>
      <c r="O33" s="201"/>
      <c r="P33" s="201"/>
      <c r="Q33" s="202"/>
      <c r="R33" s="34"/>
      <c r="S33" s="39"/>
      <c r="T33" s="39"/>
      <c r="U33" s="39"/>
      <c r="V33" s="39"/>
    </row>
    <row r="34" spans="1:22" ht="14.25" customHeight="1">
      <c r="A34" s="236"/>
      <c r="B34" s="265" t="s">
        <v>182</v>
      </c>
      <c r="C34" s="265"/>
      <c r="D34" s="265"/>
      <c r="E34" s="265"/>
      <c r="F34" s="266"/>
      <c r="G34" s="89" t="s">
        <v>161</v>
      </c>
      <c r="H34" s="84"/>
      <c r="I34" s="91"/>
      <c r="J34" s="93"/>
      <c r="K34" s="91"/>
      <c r="L34" s="87" t="str">
        <f t="shared" si="2"/>
        <v>-</v>
      </c>
      <c r="M34" s="94">
        <f t="shared" si="3"/>
        <v>0</v>
      </c>
      <c r="N34" s="200"/>
      <c r="O34" s="201"/>
      <c r="P34" s="201"/>
      <c r="Q34" s="202"/>
      <c r="R34" s="34"/>
      <c r="S34" s="39"/>
      <c r="T34" s="39"/>
      <c r="U34" s="39"/>
      <c r="V34" s="39"/>
    </row>
    <row r="35" spans="1:22" ht="14.25" customHeight="1">
      <c r="A35" s="236"/>
      <c r="B35" s="217" t="s">
        <v>183</v>
      </c>
      <c r="C35" s="217"/>
      <c r="D35" s="217"/>
      <c r="E35" s="217"/>
      <c r="F35" s="218"/>
      <c r="G35" s="83" t="s">
        <v>161</v>
      </c>
      <c r="H35" s="84"/>
      <c r="I35" s="91"/>
      <c r="J35" s="93"/>
      <c r="K35" s="91"/>
      <c r="L35" s="87" t="str">
        <f t="shared" si="2"/>
        <v>-</v>
      </c>
      <c r="M35" s="94">
        <f t="shared" si="3"/>
        <v>0</v>
      </c>
      <c r="N35" s="200"/>
      <c r="O35" s="201"/>
      <c r="P35" s="201"/>
      <c r="Q35" s="202"/>
      <c r="R35" s="34"/>
      <c r="S35" s="39"/>
      <c r="T35" s="39"/>
      <c r="U35" s="39"/>
      <c r="V35" s="39"/>
    </row>
    <row r="36" spans="1:22" ht="14.25" customHeight="1">
      <c r="A36" s="236"/>
      <c r="B36" s="217" t="s">
        <v>184</v>
      </c>
      <c r="C36" s="217"/>
      <c r="D36" s="217"/>
      <c r="E36" s="217"/>
      <c r="F36" s="218"/>
      <c r="G36" s="83" t="s">
        <v>161</v>
      </c>
      <c r="H36" s="84"/>
      <c r="I36" s="91"/>
      <c r="J36" s="86"/>
      <c r="K36" s="91"/>
      <c r="L36" s="87" t="str">
        <f t="shared" si="2"/>
        <v>-</v>
      </c>
      <c r="M36" s="88">
        <f t="shared" si="3"/>
        <v>0</v>
      </c>
      <c r="N36" s="200"/>
      <c r="O36" s="201"/>
      <c r="P36" s="201"/>
      <c r="Q36" s="202"/>
      <c r="R36" s="34"/>
      <c r="S36" s="39"/>
      <c r="T36" s="39"/>
      <c r="U36" s="39"/>
      <c r="V36" s="39"/>
    </row>
    <row r="37" spans="1:22" ht="12.75" customHeight="1">
      <c r="A37" s="254"/>
      <c r="B37" s="259" t="s">
        <v>185</v>
      </c>
      <c r="C37" s="260"/>
      <c r="D37" s="260"/>
      <c r="E37" s="260"/>
      <c r="F37" s="261"/>
      <c r="G37" s="95" t="s">
        <v>161</v>
      </c>
      <c r="H37" s="84"/>
      <c r="I37" s="96"/>
      <c r="J37" s="97"/>
      <c r="K37" s="98"/>
      <c r="L37" s="99" t="str">
        <f t="shared" si="2"/>
        <v>-</v>
      </c>
      <c r="M37" s="100">
        <f t="shared" si="3"/>
        <v>0</v>
      </c>
      <c r="N37" s="229"/>
      <c r="O37" s="230"/>
      <c r="P37" s="230"/>
      <c r="Q37" s="231"/>
      <c r="R37" s="34"/>
      <c r="S37" s="39"/>
      <c r="T37" s="39"/>
      <c r="U37" s="39"/>
      <c r="V37" s="39"/>
    </row>
    <row r="38" spans="1:22" ht="12.75" customHeight="1">
      <c r="A38" s="262" t="s">
        <v>247</v>
      </c>
      <c r="B38" s="263"/>
      <c r="C38" s="263"/>
      <c r="D38" s="263"/>
      <c r="E38" s="263"/>
      <c r="F38" s="238"/>
      <c r="G38" s="101" t="s">
        <v>161</v>
      </c>
      <c r="H38" s="102"/>
      <c r="I38" s="103"/>
      <c r="J38" s="104"/>
      <c r="K38" s="103"/>
      <c r="L38" s="105" t="str">
        <f t="shared" si="2"/>
        <v>-</v>
      </c>
      <c r="M38" s="106">
        <f t="shared" si="3"/>
        <v>0</v>
      </c>
      <c r="N38" s="232"/>
      <c r="O38" s="233"/>
      <c r="P38" s="233"/>
      <c r="Q38" s="234"/>
      <c r="R38" s="34"/>
      <c r="S38" s="39"/>
      <c r="T38" s="39"/>
      <c r="U38" s="39"/>
      <c r="V38" s="39"/>
    </row>
    <row r="39" spans="1:22" ht="12.75" customHeight="1">
      <c r="A39" s="264" t="s">
        <v>248</v>
      </c>
      <c r="B39" s="265"/>
      <c r="C39" s="265"/>
      <c r="D39" s="265"/>
      <c r="E39" s="265"/>
      <c r="F39" s="266"/>
      <c r="G39" s="83" t="s">
        <v>161</v>
      </c>
      <c r="H39" s="84"/>
      <c r="I39" s="91"/>
      <c r="J39" s="86"/>
      <c r="K39" s="91"/>
      <c r="L39" s="87" t="str">
        <f t="shared" si="2"/>
        <v>-</v>
      </c>
      <c r="M39" s="88">
        <f t="shared" si="3"/>
        <v>0</v>
      </c>
      <c r="N39" s="200"/>
      <c r="O39" s="201"/>
      <c r="P39" s="201"/>
      <c r="Q39" s="202"/>
      <c r="R39" s="34"/>
      <c r="S39" s="39"/>
      <c r="T39" s="39"/>
      <c r="U39" s="39"/>
      <c r="V39" s="39"/>
    </row>
    <row r="40" spans="1:22" ht="10.5" customHeight="1">
      <c r="A40" s="251" t="s">
        <v>249</v>
      </c>
      <c r="B40" s="252"/>
      <c r="C40" s="252"/>
      <c r="D40" s="252"/>
      <c r="E40" s="252"/>
      <c r="F40" s="253"/>
      <c r="G40" s="95" t="s">
        <v>161</v>
      </c>
      <c r="H40" s="107"/>
      <c r="I40" s="96"/>
      <c r="J40" s="108"/>
      <c r="K40" s="96"/>
      <c r="L40" s="109" t="str">
        <f t="shared" si="2"/>
        <v>-</v>
      </c>
      <c r="M40" s="110">
        <f t="shared" si="3"/>
        <v>0</v>
      </c>
      <c r="N40" s="229"/>
      <c r="O40" s="230"/>
      <c r="P40" s="230"/>
      <c r="Q40" s="231"/>
      <c r="R40" s="34"/>
      <c r="S40" s="39"/>
      <c r="T40" s="39"/>
      <c r="U40" s="39"/>
      <c r="V40" s="39"/>
    </row>
    <row r="41" spans="1:22" ht="12.75" customHeight="1">
      <c r="A41" s="235" t="s">
        <v>186</v>
      </c>
      <c r="B41" s="238" t="s">
        <v>187</v>
      </c>
      <c r="C41" s="239"/>
      <c r="D41" s="239"/>
      <c r="E41" s="239"/>
      <c r="F41" s="239"/>
      <c r="G41" s="101" t="s">
        <v>195</v>
      </c>
      <c r="H41" s="102"/>
      <c r="I41" s="103"/>
      <c r="J41" s="111"/>
      <c r="K41" s="112"/>
      <c r="L41" s="113" t="str">
        <f t="shared" si="2"/>
        <v>-</v>
      </c>
      <c r="M41" s="114">
        <f t="shared" si="3"/>
        <v>0</v>
      </c>
      <c r="N41" s="240"/>
      <c r="O41" s="241"/>
      <c r="P41" s="241"/>
      <c r="Q41" s="242"/>
    </row>
    <row r="42" spans="1:22" ht="12.75" customHeight="1">
      <c r="A42" s="236"/>
      <c r="B42" s="218" t="s">
        <v>188</v>
      </c>
      <c r="C42" s="243"/>
      <c r="D42" s="243"/>
      <c r="E42" s="243"/>
      <c r="F42" s="243"/>
      <c r="G42" s="83" t="s">
        <v>159</v>
      </c>
      <c r="H42" s="84"/>
      <c r="I42" s="91"/>
      <c r="J42" s="86"/>
      <c r="K42" s="91"/>
      <c r="L42" s="87" t="str">
        <f t="shared" si="2"/>
        <v>-</v>
      </c>
      <c r="M42" s="88">
        <f t="shared" si="3"/>
        <v>0</v>
      </c>
      <c r="N42" s="200"/>
      <c r="O42" s="201"/>
      <c r="P42" s="201"/>
      <c r="Q42" s="202"/>
    </row>
    <row r="43" spans="1:22" ht="12.75" customHeight="1">
      <c r="A43" s="236"/>
      <c r="B43" s="244" t="s">
        <v>189</v>
      </c>
      <c r="C43" s="245"/>
      <c r="D43" s="245"/>
      <c r="E43" s="245"/>
      <c r="F43" s="245"/>
      <c r="G43" s="83" t="s">
        <v>190</v>
      </c>
      <c r="H43" s="115"/>
      <c r="I43" s="92"/>
      <c r="J43" s="116"/>
      <c r="K43" s="92"/>
      <c r="L43" s="87" t="str">
        <f t="shared" si="2"/>
        <v>-</v>
      </c>
      <c r="M43" s="117">
        <f t="shared" si="3"/>
        <v>0</v>
      </c>
      <c r="N43" s="200"/>
      <c r="O43" s="201"/>
      <c r="P43" s="201"/>
      <c r="Q43" s="202"/>
    </row>
    <row r="44" spans="1:22" ht="12.75" customHeight="1">
      <c r="A44" s="236"/>
      <c r="B44" s="76"/>
      <c r="C44" s="90"/>
      <c r="D44" s="218" t="s">
        <v>212</v>
      </c>
      <c r="E44" s="243"/>
      <c r="F44" s="243"/>
      <c r="G44" s="83" t="s">
        <v>161</v>
      </c>
      <c r="H44" s="115"/>
      <c r="I44" s="91"/>
      <c r="J44" s="118"/>
      <c r="K44" s="91"/>
      <c r="L44" s="87" t="str">
        <f t="shared" si="2"/>
        <v>-</v>
      </c>
      <c r="M44" s="119">
        <f t="shared" si="3"/>
        <v>0</v>
      </c>
      <c r="N44" s="200"/>
      <c r="O44" s="201"/>
      <c r="P44" s="201"/>
      <c r="Q44" s="202"/>
    </row>
    <row r="45" spans="1:22" ht="12.75" customHeight="1" thickBot="1">
      <c r="A45" s="237"/>
      <c r="B45" s="246" t="s">
        <v>213</v>
      </c>
      <c r="C45" s="247"/>
      <c r="D45" s="247"/>
      <c r="E45" s="247"/>
      <c r="F45" s="247"/>
      <c r="G45" s="120" t="s">
        <v>196</v>
      </c>
      <c r="H45" s="121"/>
      <c r="I45" s="122"/>
      <c r="J45" s="123"/>
      <c r="K45" s="122"/>
      <c r="L45" s="124" t="str">
        <f t="shared" si="2"/>
        <v>-</v>
      </c>
      <c r="M45" s="125">
        <f t="shared" si="3"/>
        <v>0</v>
      </c>
      <c r="N45" s="248"/>
      <c r="O45" s="249"/>
      <c r="P45" s="249"/>
      <c r="Q45" s="250"/>
    </row>
  </sheetData>
  <mergeCells count="91">
    <mergeCell ref="N37:Q37"/>
    <mergeCell ref="N31:Q31"/>
    <mergeCell ref="N32:Q32"/>
    <mergeCell ref="N11:Q11"/>
    <mergeCell ref="N12:Q12"/>
    <mergeCell ref="B30:F30"/>
    <mergeCell ref="N30:Q30"/>
    <mergeCell ref="D23:F23"/>
    <mergeCell ref="N23:Q23"/>
    <mergeCell ref="B24:F24"/>
    <mergeCell ref="N24:Q24"/>
    <mergeCell ref="B8:B23"/>
    <mergeCell ref="C8:F8"/>
    <mergeCell ref="C22:F22"/>
    <mergeCell ref="D17:F17"/>
    <mergeCell ref="N29:Q29"/>
    <mergeCell ref="A38:F38"/>
    <mergeCell ref="A39:F39"/>
    <mergeCell ref="N8:Q8"/>
    <mergeCell ref="C9:F9"/>
    <mergeCell ref="N36:Q36"/>
    <mergeCell ref="B34:F34"/>
    <mergeCell ref="N34:Q34"/>
    <mergeCell ref="C13:F13"/>
    <mergeCell ref="C14:F14"/>
    <mergeCell ref="C15:F15"/>
    <mergeCell ref="C16:F16"/>
    <mergeCell ref="B25:B28"/>
    <mergeCell ref="D25:F25"/>
    <mergeCell ref="C26:F26"/>
    <mergeCell ref="D27:F27"/>
    <mergeCell ref="C28:F28"/>
    <mergeCell ref="A40:F40"/>
    <mergeCell ref="B31:F31"/>
    <mergeCell ref="B32:F32"/>
    <mergeCell ref="B33:F33"/>
    <mergeCell ref="B36:F36"/>
    <mergeCell ref="A7:A37"/>
    <mergeCell ref="B7:F7"/>
    <mergeCell ref="B35:F35"/>
    <mergeCell ref="D19:F19"/>
    <mergeCell ref="C20:F20"/>
    <mergeCell ref="D21:F21"/>
    <mergeCell ref="C12:F12"/>
    <mergeCell ref="C11:F11"/>
    <mergeCell ref="C18:F18"/>
    <mergeCell ref="B29:F29"/>
    <mergeCell ref="B37:F37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N45:Q45"/>
    <mergeCell ref="N40:Q40"/>
    <mergeCell ref="N13:Q13"/>
    <mergeCell ref="N14:Q14"/>
    <mergeCell ref="N15:Q15"/>
    <mergeCell ref="N19:Q19"/>
    <mergeCell ref="N20:Q20"/>
    <mergeCell ref="N21:Q21"/>
    <mergeCell ref="N38:Q38"/>
    <mergeCell ref="N39:Q39"/>
    <mergeCell ref="N33:Q33"/>
    <mergeCell ref="N16:Q16"/>
    <mergeCell ref="N22:Q22"/>
    <mergeCell ref="N17:Q17"/>
    <mergeCell ref="N28:Q28"/>
    <mergeCell ref="N18:Q18"/>
    <mergeCell ref="N35:Q35"/>
    <mergeCell ref="A1:B1"/>
    <mergeCell ref="O1:Q1"/>
    <mergeCell ref="N25:Q25"/>
    <mergeCell ref="N26:Q26"/>
    <mergeCell ref="N27:Q27"/>
    <mergeCell ref="O2:Q2"/>
    <mergeCell ref="N5:Q6"/>
    <mergeCell ref="N7:Q7"/>
    <mergeCell ref="N9:Q9"/>
    <mergeCell ref="M5:M6"/>
    <mergeCell ref="C10:F10"/>
    <mergeCell ref="N10:Q10"/>
    <mergeCell ref="A5:F6"/>
    <mergeCell ref="G5:G6"/>
    <mergeCell ref="J5:J6"/>
    <mergeCell ref="H5:H6"/>
  </mergeCells>
  <phoneticPr fontId="1"/>
  <pageMargins left="0.78740157480314965" right="0.43307086614173229" top="0.78740157480314965" bottom="0.39370078740157483" header="0.43307086614173229" footer="0.19685039370078741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6D29-8AA6-4420-A4E3-C718113BA7FE}">
  <dimension ref="A1:CD41"/>
  <sheetViews>
    <sheetView showGridLines="0" view="pageBreakPreview" topLeftCell="AW1" zoomScaleNormal="100" zoomScaleSheetLayoutView="100" workbookViewId="0">
      <selection activeCell="BI7" sqref="BI7:BK7"/>
    </sheetView>
  </sheetViews>
  <sheetFormatPr defaultColWidth="9" defaultRowHeight="12.75" customHeight="1"/>
  <cols>
    <col min="1" max="55" width="3.6640625" style="2" customWidth="1"/>
    <col min="56" max="56" width="5.33203125" style="2" customWidth="1"/>
    <col min="57" max="57" width="3.6640625" style="2" customWidth="1"/>
    <col min="58" max="58" width="2.33203125" style="2" customWidth="1"/>
    <col min="59" max="59" width="1.6640625" style="2" customWidth="1"/>
    <col min="60" max="60" width="6.88671875" style="2" customWidth="1"/>
    <col min="61" max="63" width="10" style="2" customWidth="1"/>
    <col min="64" max="64" width="3.88671875" style="2" customWidth="1"/>
    <col min="65" max="68" width="4.44140625" style="2" customWidth="1"/>
    <col min="69" max="70" width="6.33203125" style="2" customWidth="1"/>
    <col min="71" max="71" width="12.44140625" style="2" customWidth="1"/>
    <col min="72" max="72" width="8.44140625" style="2" customWidth="1"/>
    <col min="73" max="75" width="10" style="2" customWidth="1"/>
    <col min="76" max="76" width="3.21875" style="2" customWidth="1"/>
    <col min="77" max="16384" width="9" style="2"/>
  </cols>
  <sheetData>
    <row r="1" spans="1:82" ht="15" customHeight="1">
      <c r="A1" s="1" t="str">
        <f>No.1!A1&amp;"年産　米生産費統計（組織法人経営体）　個別結果検討表　№２"</f>
        <v>2019年産　米生産費統計（組織法人経営体）　個別結果検討表　№２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AJ1" s="197" t="s">
        <v>154</v>
      </c>
      <c r="AK1" s="198"/>
      <c r="AL1" s="198"/>
      <c r="AM1" s="198"/>
      <c r="AN1" s="198"/>
      <c r="AO1" s="198"/>
      <c r="AP1" s="198"/>
      <c r="AQ1" s="198"/>
      <c r="AR1" s="198"/>
      <c r="AS1" s="199"/>
      <c r="AU1" s="45"/>
      <c r="AV1" s="45"/>
      <c r="AW1" s="45"/>
      <c r="AX1" s="45"/>
    </row>
    <row r="2" spans="1:82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J2" s="273" t="str">
        <f>IF(No.1!O2="","",No.1!O2)</f>
        <v/>
      </c>
      <c r="AK2" s="274"/>
      <c r="AL2" s="274"/>
      <c r="AM2" s="274"/>
      <c r="AN2" s="274"/>
      <c r="AO2" s="274"/>
      <c r="AP2" s="274"/>
      <c r="AQ2" s="274"/>
      <c r="AR2" s="274"/>
      <c r="AS2" s="275"/>
      <c r="AT2" s="40"/>
      <c r="AU2" s="40"/>
      <c r="AV2" s="40"/>
      <c r="AW2" s="40"/>
      <c r="AX2" s="40"/>
    </row>
    <row r="3" spans="1:82" ht="15" customHeight="1"/>
    <row r="4" spans="1:82" ht="15" customHeight="1">
      <c r="A4" s="5" t="s">
        <v>7</v>
      </c>
      <c r="AU4" s="5" t="s">
        <v>8</v>
      </c>
      <c r="BD4" s="59"/>
      <c r="BE4" s="59"/>
      <c r="BF4" s="59"/>
      <c r="BG4" s="59"/>
      <c r="BH4" s="59"/>
      <c r="BM4" s="59" t="s">
        <v>225</v>
      </c>
    </row>
    <row r="5" spans="1:82" ht="15" customHeight="1">
      <c r="A5" s="464"/>
      <c r="B5" s="465"/>
      <c r="C5" s="465"/>
      <c r="D5" s="465"/>
      <c r="E5" s="465"/>
      <c r="F5" s="466"/>
      <c r="G5" s="332">
        <f>No.1!A1-2000</f>
        <v>19</v>
      </c>
      <c r="H5" s="333"/>
      <c r="I5" s="334"/>
      <c r="J5" s="338">
        <f>G5-1</f>
        <v>18</v>
      </c>
      <c r="K5" s="333"/>
      <c r="L5" s="334"/>
      <c r="M5" s="463" t="s">
        <v>0</v>
      </c>
      <c r="N5" s="341"/>
      <c r="O5" s="409" t="s">
        <v>253</v>
      </c>
      <c r="P5" s="410"/>
      <c r="Q5" s="410"/>
      <c r="R5" s="410"/>
      <c r="S5" s="410"/>
      <c r="T5" s="410"/>
      <c r="U5" s="410"/>
      <c r="V5" s="410"/>
      <c r="W5" s="410"/>
      <c r="X5" s="410"/>
      <c r="Y5" s="410"/>
      <c r="Z5" s="410"/>
      <c r="AA5" s="410"/>
      <c r="AB5" s="410"/>
      <c r="AC5" s="410"/>
      <c r="AD5" s="410"/>
      <c r="AE5" s="410"/>
      <c r="AF5" s="410"/>
      <c r="AG5" s="410"/>
      <c r="AH5" s="410"/>
      <c r="AI5" s="410"/>
      <c r="AJ5" s="410"/>
      <c r="AK5" s="410"/>
      <c r="AL5" s="410"/>
      <c r="AM5" s="410"/>
      <c r="AN5" s="410"/>
      <c r="AO5" s="410"/>
      <c r="AP5" s="410"/>
      <c r="AQ5" s="410"/>
      <c r="AR5" s="410"/>
      <c r="AS5" s="411"/>
      <c r="AT5" s="56"/>
      <c r="AU5" s="464"/>
      <c r="AV5" s="465"/>
      <c r="AW5" s="465"/>
      <c r="AX5" s="465"/>
      <c r="AY5" s="465"/>
      <c r="AZ5" s="465"/>
      <c r="BA5" s="332">
        <f>$G$5</f>
        <v>19</v>
      </c>
      <c r="BB5" s="333"/>
      <c r="BC5" s="334"/>
      <c r="BD5" s="338">
        <f>$J$5</f>
        <v>18</v>
      </c>
      <c r="BE5" s="333"/>
      <c r="BF5" s="334"/>
      <c r="BG5" s="463" t="s">
        <v>0</v>
      </c>
      <c r="BH5" s="341"/>
      <c r="BI5" s="409" t="s">
        <v>253</v>
      </c>
      <c r="BJ5" s="410"/>
      <c r="BK5" s="411"/>
      <c r="BM5" s="421"/>
      <c r="BN5" s="422"/>
      <c r="BO5" s="422"/>
      <c r="BP5" s="423"/>
      <c r="BQ5" s="403">
        <f>$G$5</f>
        <v>19</v>
      </c>
      <c r="BR5" s="404"/>
      <c r="BS5" s="407">
        <f>$J$5</f>
        <v>18</v>
      </c>
      <c r="BT5" s="10" t="s">
        <v>223</v>
      </c>
      <c r="BU5" s="409" t="s">
        <v>253</v>
      </c>
      <c r="BV5" s="410"/>
      <c r="BW5" s="411"/>
    </row>
    <row r="6" spans="1:82" ht="15" customHeight="1">
      <c r="A6" s="467"/>
      <c r="B6" s="468"/>
      <c r="C6" s="468"/>
      <c r="D6" s="468"/>
      <c r="E6" s="468"/>
      <c r="F6" s="469"/>
      <c r="G6" s="335"/>
      <c r="H6" s="336"/>
      <c r="I6" s="337"/>
      <c r="J6" s="339"/>
      <c r="K6" s="336"/>
      <c r="L6" s="337"/>
      <c r="M6" s="458" t="s">
        <v>197</v>
      </c>
      <c r="N6" s="343"/>
      <c r="O6" s="412"/>
      <c r="P6" s="413"/>
      <c r="Q6" s="413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3"/>
      <c r="AE6" s="413"/>
      <c r="AF6" s="413"/>
      <c r="AG6" s="413"/>
      <c r="AH6" s="413"/>
      <c r="AI6" s="413"/>
      <c r="AJ6" s="413"/>
      <c r="AK6" s="413"/>
      <c r="AL6" s="413"/>
      <c r="AM6" s="413"/>
      <c r="AN6" s="413"/>
      <c r="AO6" s="413"/>
      <c r="AP6" s="413"/>
      <c r="AQ6" s="413"/>
      <c r="AR6" s="413"/>
      <c r="AS6" s="414"/>
      <c r="AT6" s="57"/>
      <c r="AU6" s="467"/>
      <c r="AV6" s="468"/>
      <c r="AW6" s="468"/>
      <c r="AX6" s="468"/>
      <c r="AY6" s="468"/>
      <c r="AZ6" s="468"/>
      <c r="BA6" s="335"/>
      <c r="BB6" s="336"/>
      <c r="BC6" s="337"/>
      <c r="BD6" s="339"/>
      <c r="BE6" s="336"/>
      <c r="BF6" s="337"/>
      <c r="BG6" s="458" t="s">
        <v>197</v>
      </c>
      <c r="BH6" s="343"/>
      <c r="BI6" s="412"/>
      <c r="BJ6" s="413"/>
      <c r="BK6" s="414"/>
      <c r="BM6" s="424"/>
      <c r="BN6" s="425"/>
      <c r="BO6" s="425"/>
      <c r="BP6" s="426"/>
      <c r="BQ6" s="405"/>
      <c r="BR6" s="406"/>
      <c r="BS6" s="408"/>
      <c r="BT6" s="8" t="s">
        <v>194</v>
      </c>
      <c r="BU6" s="412"/>
      <c r="BV6" s="413"/>
      <c r="BW6" s="414"/>
    </row>
    <row r="7" spans="1:82" ht="15" customHeight="1">
      <c r="A7" s="459" t="s">
        <v>9</v>
      </c>
      <c r="B7" s="460"/>
      <c r="C7" s="460"/>
      <c r="D7" s="460"/>
      <c r="E7" s="460"/>
      <c r="F7" s="461"/>
      <c r="G7" s="367"/>
      <c r="H7" s="368"/>
      <c r="I7" s="369"/>
      <c r="J7" s="462"/>
      <c r="K7" s="368"/>
      <c r="L7" s="369"/>
      <c r="M7" s="327" t="str">
        <f>IF(G7="-", "-", IF(J7="-", "-", IF(ABS(J7)=0, "-", ROUND(100*(G7-J7)/ABS(J7),1))))</f>
        <v>-</v>
      </c>
      <c r="N7" s="330"/>
      <c r="O7" s="390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  <c r="AA7" s="391"/>
      <c r="AB7" s="391"/>
      <c r="AC7" s="391"/>
      <c r="AD7" s="391"/>
      <c r="AE7" s="391"/>
      <c r="AF7" s="391"/>
      <c r="AG7" s="391"/>
      <c r="AH7" s="391"/>
      <c r="AI7" s="391"/>
      <c r="AJ7" s="391"/>
      <c r="AK7" s="391"/>
      <c r="AL7" s="391"/>
      <c r="AM7" s="391"/>
      <c r="AN7" s="391"/>
      <c r="AO7" s="391"/>
      <c r="AP7" s="391"/>
      <c r="AQ7" s="391"/>
      <c r="AR7" s="391"/>
      <c r="AS7" s="392"/>
      <c r="AT7" s="58"/>
      <c r="AU7" s="445" t="s">
        <v>10</v>
      </c>
      <c r="AV7" s="315" t="s">
        <v>11</v>
      </c>
      <c r="AW7" s="316"/>
      <c r="AX7" s="316"/>
      <c r="AY7" s="316"/>
      <c r="AZ7" s="316"/>
      <c r="BA7" s="453"/>
      <c r="BB7" s="443"/>
      <c r="BC7" s="443"/>
      <c r="BD7" s="442"/>
      <c r="BE7" s="443"/>
      <c r="BF7" s="444"/>
      <c r="BG7" s="327" t="str">
        <f>IF(BA7="-", "-", IF(BD7="-", "-", IF(ABS(BD7)=0, "-", ROUND(100*(BA7-BD7)/ABS(BD7),1))))</f>
        <v>-</v>
      </c>
      <c r="BH7" s="330"/>
      <c r="BI7" s="590"/>
      <c r="BJ7" s="591"/>
      <c r="BK7" s="592"/>
      <c r="BM7" s="395" t="s">
        <v>216</v>
      </c>
      <c r="BN7" s="396"/>
      <c r="BO7" s="397"/>
      <c r="BP7" s="60" t="s">
        <v>196</v>
      </c>
      <c r="BQ7" s="398"/>
      <c r="BR7" s="399"/>
      <c r="BS7" s="143"/>
      <c r="BT7" s="139" t="str">
        <f>IF(BQ7="-", "-", IF(BS7="-", "-", IF(ABS(BS7)=0, "-", ROUND(100*(BQ7-BS7)/ABS(BS7),1))))</f>
        <v>-</v>
      </c>
      <c r="BU7" s="390"/>
      <c r="BV7" s="391"/>
      <c r="BW7" s="392"/>
    </row>
    <row r="8" spans="1:82" ht="15" customHeight="1">
      <c r="A8" s="44"/>
      <c r="B8" s="380" t="s">
        <v>12</v>
      </c>
      <c r="C8" s="381"/>
      <c r="D8" s="381"/>
      <c r="E8" s="381"/>
      <c r="F8" s="382"/>
      <c r="G8" s="384"/>
      <c r="H8" s="385"/>
      <c r="I8" s="386"/>
      <c r="J8" s="387"/>
      <c r="K8" s="385"/>
      <c r="L8" s="386"/>
      <c r="M8" s="388" t="str">
        <f t="shared" ref="M8:M24" si="0">IF(G8="-", "-", IF(J8="-", "-", IF(ABS(J8)=0, "-", ROUND(100*(G8-J8)/ABS(J8),1))))</f>
        <v>-</v>
      </c>
      <c r="N8" s="389"/>
      <c r="O8" s="267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9"/>
      <c r="AT8" s="58"/>
      <c r="AU8" s="446"/>
      <c r="AV8" s="380" t="s">
        <v>13</v>
      </c>
      <c r="AW8" s="381"/>
      <c r="AX8" s="381"/>
      <c r="AY8" s="381"/>
      <c r="AZ8" s="381"/>
      <c r="BA8" s="454"/>
      <c r="BB8" s="455"/>
      <c r="BC8" s="455"/>
      <c r="BD8" s="456"/>
      <c r="BE8" s="455"/>
      <c r="BF8" s="457"/>
      <c r="BG8" s="291" t="str">
        <f t="shared" ref="BG8:BG17" si="1">IF(BA8="-", "-", IF(BD8="-", "-", IF(ABS(BD8)=0, "-", ROUND(100*(BA8-BD8)/ABS(BD8),1))))</f>
        <v>-</v>
      </c>
      <c r="BH8" s="293"/>
      <c r="BI8" s="593"/>
      <c r="BJ8" s="594"/>
      <c r="BK8" s="595"/>
      <c r="BM8" s="346" t="s">
        <v>220</v>
      </c>
      <c r="BN8" s="347"/>
      <c r="BO8" s="348"/>
      <c r="BP8" s="61" t="s">
        <v>227</v>
      </c>
      <c r="BQ8" s="363"/>
      <c r="BR8" s="364"/>
      <c r="BS8" s="144"/>
      <c r="BT8" s="135" t="str">
        <f t="shared" ref="BT8:BT13" si="2">IF(BQ8="-", "-", IF(BS8="-", "-", IF(ABS(BS8)=0, "-", ROUND(100*(BQ8-BS8)/ABS(BS8),1))))</f>
        <v>-</v>
      </c>
      <c r="BU8" s="267"/>
      <c r="BV8" s="268"/>
      <c r="BW8" s="269"/>
      <c r="CD8" s="55"/>
    </row>
    <row r="9" spans="1:82" ht="15" customHeight="1">
      <c r="A9" s="44"/>
      <c r="B9" s="63"/>
      <c r="C9" s="311" t="s">
        <v>14</v>
      </c>
      <c r="D9" s="312"/>
      <c r="E9" s="312"/>
      <c r="F9" s="383"/>
      <c r="G9" s="384"/>
      <c r="H9" s="385"/>
      <c r="I9" s="386"/>
      <c r="J9" s="387"/>
      <c r="K9" s="385"/>
      <c r="L9" s="386"/>
      <c r="M9" s="388" t="str">
        <f t="shared" si="0"/>
        <v>-</v>
      </c>
      <c r="N9" s="389"/>
      <c r="O9" s="267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9"/>
      <c r="AT9" s="58"/>
      <c r="AU9" s="445" t="s">
        <v>15</v>
      </c>
      <c r="AV9" s="449" t="s">
        <v>16</v>
      </c>
      <c r="AW9" s="450"/>
      <c r="AX9" s="315" t="s">
        <v>11</v>
      </c>
      <c r="AY9" s="316"/>
      <c r="AZ9" s="366"/>
      <c r="BA9" s="453"/>
      <c r="BB9" s="443"/>
      <c r="BC9" s="443"/>
      <c r="BD9" s="442"/>
      <c r="BE9" s="443"/>
      <c r="BF9" s="444"/>
      <c r="BG9" s="327" t="str">
        <f t="shared" si="1"/>
        <v>-</v>
      </c>
      <c r="BH9" s="330"/>
      <c r="BI9" s="596"/>
      <c r="BJ9" s="597"/>
      <c r="BK9" s="598"/>
      <c r="BM9" s="346" t="s">
        <v>17</v>
      </c>
      <c r="BN9" s="347"/>
      <c r="BO9" s="348"/>
      <c r="BP9" s="61" t="s">
        <v>227</v>
      </c>
      <c r="BQ9" s="363"/>
      <c r="BR9" s="364"/>
      <c r="BS9" s="144"/>
      <c r="BT9" s="135" t="str">
        <f t="shared" si="2"/>
        <v>-</v>
      </c>
      <c r="BU9" s="267"/>
      <c r="BV9" s="268"/>
      <c r="BW9" s="269"/>
    </row>
    <row r="10" spans="1:82" ht="15" customHeight="1">
      <c r="A10" s="44"/>
      <c r="B10" s="63"/>
      <c r="C10" s="311" t="s">
        <v>17</v>
      </c>
      <c r="D10" s="312"/>
      <c r="E10" s="312"/>
      <c r="F10" s="383"/>
      <c r="G10" s="384"/>
      <c r="H10" s="385"/>
      <c r="I10" s="386"/>
      <c r="J10" s="387"/>
      <c r="K10" s="385"/>
      <c r="L10" s="386"/>
      <c r="M10" s="388" t="str">
        <f t="shared" si="0"/>
        <v>-</v>
      </c>
      <c r="N10" s="389"/>
      <c r="O10" s="267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9"/>
      <c r="AT10" s="58"/>
      <c r="AU10" s="446"/>
      <c r="AV10" s="451"/>
      <c r="AW10" s="452"/>
      <c r="AX10" s="311" t="s">
        <v>13</v>
      </c>
      <c r="AY10" s="312"/>
      <c r="AZ10" s="312"/>
      <c r="BA10" s="295"/>
      <c r="BB10" s="296"/>
      <c r="BC10" s="296"/>
      <c r="BD10" s="298"/>
      <c r="BE10" s="296"/>
      <c r="BF10" s="297"/>
      <c r="BG10" s="285" t="str">
        <f t="shared" si="1"/>
        <v>-</v>
      </c>
      <c r="BH10" s="287"/>
      <c r="BI10" s="599"/>
      <c r="BJ10" s="600"/>
      <c r="BK10" s="601"/>
      <c r="BM10" s="346" t="s">
        <v>219</v>
      </c>
      <c r="BN10" s="347"/>
      <c r="BO10" s="348"/>
      <c r="BP10" s="61" t="s">
        <v>227</v>
      </c>
      <c r="BQ10" s="363"/>
      <c r="BR10" s="364"/>
      <c r="BS10" s="144"/>
      <c r="BT10" s="135" t="str">
        <f t="shared" si="2"/>
        <v>-</v>
      </c>
      <c r="BU10" s="267"/>
      <c r="BV10" s="268"/>
      <c r="BW10" s="269"/>
      <c r="BX10" s="54"/>
    </row>
    <row r="11" spans="1:82" ht="15" customHeight="1">
      <c r="A11" s="44"/>
      <c r="B11" s="63"/>
      <c r="C11" s="311" t="s">
        <v>18</v>
      </c>
      <c r="D11" s="312"/>
      <c r="E11" s="312"/>
      <c r="F11" s="383"/>
      <c r="G11" s="384"/>
      <c r="H11" s="385"/>
      <c r="I11" s="386"/>
      <c r="J11" s="387"/>
      <c r="K11" s="385"/>
      <c r="L11" s="386"/>
      <c r="M11" s="388" t="str">
        <f t="shared" si="0"/>
        <v>-</v>
      </c>
      <c r="N11" s="389"/>
      <c r="O11" s="267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9"/>
      <c r="AT11" s="58"/>
      <c r="AU11" s="447"/>
      <c r="AV11" s="439" t="s">
        <v>246</v>
      </c>
      <c r="AW11" s="306"/>
      <c r="AX11" s="311" t="s">
        <v>11</v>
      </c>
      <c r="AY11" s="312"/>
      <c r="AZ11" s="383"/>
      <c r="BA11" s="295"/>
      <c r="BB11" s="296"/>
      <c r="BC11" s="296"/>
      <c r="BD11" s="298"/>
      <c r="BE11" s="296"/>
      <c r="BF11" s="297"/>
      <c r="BG11" s="285" t="str">
        <f t="shared" si="1"/>
        <v>-</v>
      </c>
      <c r="BH11" s="287"/>
      <c r="BI11" s="599"/>
      <c r="BJ11" s="600"/>
      <c r="BK11" s="601"/>
      <c r="BM11" s="346" t="s">
        <v>28</v>
      </c>
      <c r="BN11" s="347"/>
      <c r="BO11" s="348"/>
      <c r="BP11" s="61" t="s">
        <v>227</v>
      </c>
      <c r="BQ11" s="363"/>
      <c r="BR11" s="364"/>
      <c r="BS11" s="144"/>
      <c r="BT11" s="135" t="str">
        <f t="shared" si="2"/>
        <v>-</v>
      </c>
      <c r="BU11" s="267"/>
      <c r="BV11" s="268"/>
      <c r="BW11" s="269"/>
      <c r="BX11" s="191"/>
    </row>
    <row r="12" spans="1:82" ht="15" customHeight="1">
      <c r="A12" s="44"/>
      <c r="B12" s="63"/>
      <c r="C12" s="311" t="s">
        <v>19</v>
      </c>
      <c r="D12" s="312"/>
      <c r="E12" s="312"/>
      <c r="F12" s="383"/>
      <c r="G12" s="384"/>
      <c r="H12" s="385"/>
      <c r="I12" s="386"/>
      <c r="J12" s="387"/>
      <c r="K12" s="385"/>
      <c r="L12" s="386"/>
      <c r="M12" s="388" t="str">
        <f t="shared" si="0"/>
        <v>-</v>
      </c>
      <c r="N12" s="389"/>
      <c r="O12" s="267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9"/>
      <c r="AT12" s="58"/>
      <c r="AU12" s="448"/>
      <c r="AV12" s="440"/>
      <c r="AW12" s="441"/>
      <c r="AX12" s="438" t="s">
        <v>13</v>
      </c>
      <c r="AY12" s="355"/>
      <c r="AZ12" s="355"/>
      <c r="BA12" s="294"/>
      <c r="BB12" s="289"/>
      <c r="BC12" s="289"/>
      <c r="BD12" s="288"/>
      <c r="BE12" s="289"/>
      <c r="BF12" s="290"/>
      <c r="BG12" s="291" t="str">
        <f t="shared" si="1"/>
        <v>-</v>
      </c>
      <c r="BH12" s="293"/>
      <c r="BI12" s="602"/>
      <c r="BJ12" s="603"/>
      <c r="BK12" s="604"/>
      <c r="BM12" s="346" t="s">
        <v>217</v>
      </c>
      <c r="BN12" s="347"/>
      <c r="BO12" s="348"/>
      <c r="BP12" s="61" t="s">
        <v>227</v>
      </c>
      <c r="BQ12" s="363"/>
      <c r="BR12" s="364"/>
      <c r="BS12" s="144"/>
      <c r="BT12" s="135" t="str">
        <f t="shared" si="2"/>
        <v>-</v>
      </c>
      <c r="BU12" s="267"/>
      <c r="BV12" s="268"/>
      <c r="BW12" s="269"/>
      <c r="BX12" s="55"/>
    </row>
    <row r="13" spans="1:82" ht="15" customHeight="1">
      <c r="A13" s="44"/>
      <c r="B13" s="63"/>
      <c r="C13" s="311" t="s">
        <v>20</v>
      </c>
      <c r="D13" s="312"/>
      <c r="E13" s="312"/>
      <c r="F13" s="383"/>
      <c r="G13" s="384"/>
      <c r="H13" s="385"/>
      <c r="I13" s="386"/>
      <c r="J13" s="387"/>
      <c r="K13" s="385"/>
      <c r="L13" s="386"/>
      <c r="M13" s="388" t="str">
        <f t="shared" si="0"/>
        <v>-</v>
      </c>
      <c r="N13" s="389"/>
      <c r="O13" s="267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9"/>
      <c r="AT13" s="58"/>
      <c r="AU13" s="434" t="s">
        <v>21</v>
      </c>
      <c r="AV13" s="435"/>
      <c r="AW13" s="435"/>
      <c r="AX13" s="435"/>
      <c r="AY13" s="435"/>
      <c r="AZ13" s="435"/>
      <c r="BA13" s="393"/>
      <c r="BB13" s="394"/>
      <c r="BC13" s="394"/>
      <c r="BD13" s="436"/>
      <c r="BE13" s="394"/>
      <c r="BF13" s="437"/>
      <c r="BG13" s="327" t="str">
        <f t="shared" si="1"/>
        <v>-</v>
      </c>
      <c r="BH13" s="330"/>
      <c r="BI13" s="605"/>
      <c r="BJ13" s="606"/>
      <c r="BK13" s="607"/>
      <c r="BM13" s="349" t="s">
        <v>218</v>
      </c>
      <c r="BN13" s="350"/>
      <c r="BO13" s="351"/>
      <c r="BP13" s="62" t="s">
        <v>195</v>
      </c>
      <c r="BQ13" s="352"/>
      <c r="BR13" s="353"/>
      <c r="BS13" s="142"/>
      <c r="BT13" s="140" t="str">
        <f t="shared" si="2"/>
        <v>-</v>
      </c>
      <c r="BU13" s="270"/>
      <c r="BV13" s="271"/>
      <c r="BW13" s="272"/>
      <c r="BX13" s="55"/>
    </row>
    <row r="14" spans="1:82" ht="15" customHeight="1">
      <c r="A14" s="44"/>
      <c r="B14" s="63"/>
      <c r="C14" s="311" t="s">
        <v>22</v>
      </c>
      <c r="D14" s="312"/>
      <c r="E14" s="312"/>
      <c r="F14" s="383"/>
      <c r="G14" s="384"/>
      <c r="H14" s="385"/>
      <c r="I14" s="386"/>
      <c r="J14" s="387"/>
      <c r="K14" s="385"/>
      <c r="L14" s="386"/>
      <c r="M14" s="388" t="str">
        <f t="shared" si="0"/>
        <v>-</v>
      </c>
      <c r="N14" s="389"/>
      <c r="O14" s="267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9"/>
      <c r="AT14" s="58"/>
      <c r="AU14" s="430" t="s">
        <v>23</v>
      </c>
      <c r="AV14" s="381"/>
      <c r="AW14" s="381"/>
      <c r="AX14" s="381"/>
      <c r="AY14" s="381"/>
      <c r="AZ14" s="382"/>
      <c r="BA14" s="295"/>
      <c r="BB14" s="296"/>
      <c r="BC14" s="296"/>
      <c r="BD14" s="298"/>
      <c r="BE14" s="296"/>
      <c r="BF14" s="297"/>
      <c r="BG14" s="285" t="str">
        <f t="shared" si="1"/>
        <v>-</v>
      </c>
      <c r="BH14" s="287"/>
      <c r="BI14" s="599"/>
      <c r="BJ14" s="600"/>
      <c r="BK14" s="601"/>
      <c r="BU14" s="55"/>
    </row>
    <row r="15" spans="1:82" ht="15" customHeight="1">
      <c r="A15" s="44"/>
      <c r="B15" s="63"/>
      <c r="C15" s="311" t="s">
        <v>24</v>
      </c>
      <c r="D15" s="312"/>
      <c r="E15" s="312"/>
      <c r="F15" s="383"/>
      <c r="G15" s="384"/>
      <c r="H15" s="385"/>
      <c r="I15" s="386"/>
      <c r="J15" s="387"/>
      <c r="K15" s="385"/>
      <c r="L15" s="386"/>
      <c r="M15" s="388" t="str">
        <f t="shared" si="0"/>
        <v>-</v>
      </c>
      <c r="N15" s="389"/>
      <c r="O15" s="267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9"/>
      <c r="AT15" s="58"/>
      <c r="AU15" s="64"/>
      <c r="AV15" s="311" t="s">
        <v>25</v>
      </c>
      <c r="AW15" s="312"/>
      <c r="AX15" s="312"/>
      <c r="AY15" s="312"/>
      <c r="AZ15" s="383"/>
      <c r="BA15" s="295"/>
      <c r="BB15" s="296"/>
      <c r="BC15" s="296"/>
      <c r="BD15" s="298"/>
      <c r="BE15" s="296"/>
      <c r="BF15" s="297"/>
      <c r="BG15" s="285" t="str">
        <f t="shared" si="1"/>
        <v>-</v>
      </c>
      <c r="BH15" s="287"/>
      <c r="BI15" s="599"/>
      <c r="BJ15" s="600"/>
      <c r="BK15" s="601"/>
      <c r="BU15" s="55"/>
    </row>
    <row r="16" spans="1:82" ht="15" customHeight="1">
      <c r="A16" s="44"/>
      <c r="B16" s="63"/>
      <c r="C16" s="311" t="s">
        <v>26</v>
      </c>
      <c r="D16" s="312"/>
      <c r="E16" s="312"/>
      <c r="F16" s="383"/>
      <c r="G16" s="384"/>
      <c r="H16" s="385"/>
      <c r="I16" s="386"/>
      <c r="J16" s="387"/>
      <c r="K16" s="385"/>
      <c r="L16" s="386"/>
      <c r="M16" s="388" t="str">
        <f t="shared" si="0"/>
        <v>-</v>
      </c>
      <c r="N16" s="389"/>
      <c r="O16" s="267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9"/>
      <c r="AT16" s="58"/>
      <c r="AU16" s="430" t="s">
        <v>228</v>
      </c>
      <c r="AV16" s="381"/>
      <c r="AW16" s="381"/>
      <c r="AX16" s="381"/>
      <c r="AY16" s="381"/>
      <c r="AZ16" s="382"/>
      <c r="BA16" s="295"/>
      <c r="BB16" s="296"/>
      <c r="BC16" s="296"/>
      <c r="BD16" s="298"/>
      <c r="BE16" s="296"/>
      <c r="BF16" s="297"/>
      <c r="BG16" s="285" t="str">
        <f t="shared" si="1"/>
        <v>-</v>
      </c>
      <c r="BH16" s="287"/>
      <c r="BI16" s="599"/>
      <c r="BJ16" s="600"/>
      <c r="BK16" s="601"/>
      <c r="BM16" s="59" t="s">
        <v>226</v>
      </c>
      <c r="BN16" s="59"/>
      <c r="BO16" s="59"/>
      <c r="BP16" s="59"/>
      <c r="BQ16" s="59"/>
      <c r="BR16" s="59"/>
      <c r="BU16" s="55"/>
    </row>
    <row r="17" spans="1:77" ht="15" customHeight="1">
      <c r="A17" s="44"/>
      <c r="B17" s="63"/>
      <c r="C17" s="311" t="s">
        <v>27</v>
      </c>
      <c r="D17" s="312"/>
      <c r="E17" s="312"/>
      <c r="F17" s="383"/>
      <c r="G17" s="384"/>
      <c r="H17" s="385"/>
      <c r="I17" s="386"/>
      <c r="J17" s="387"/>
      <c r="K17" s="385"/>
      <c r="L17" s="386"/>
      <c r="M17" s="388" t="str">
        <f t="shared" si="0"/>
        <v>-</v>
      </c>
      <c r="N17" s="389"/>
      <c r="O17" s="267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9"/>
      <c r="AT17" s="58"/>
      <c r="AU17" s="11"/>
      <c r="AV17" s="375" t="s">
        <v>25</v>
      </c>
      <c r="AW17" s="302"/>
      <c r="AX17" s="302"/>
      <c r="AY17" s="302"/>
      <c r="AZ17" s="376"/>
      <c r="BA17" s="294"/>
      <c r="BB17" s="289"/>
      <c r="BC17" s="289"/>
      <c r="BD17" s="288"/>
      <c r="BE17" s="289"/>
      <c r="BF17" s="290"/>
      <c r="BG17" s="291" t="str">
        <f t="shared" si="1"/>
        <v>-</v>
      </c>
      <c r="BH17" s="293"/>
      <c r="BI17" s="593"/>
      <c r="BJ17" s="594"/>
      <c r="BK17" s="595"/>
      <c r="BM17" s="421"/>
      <c r="BN17" s="422"/>
      <c r="BO17" s="422"/>
      <c r="BP17" s="423"/>
      <c r="BQ17" s="403">
        <f>$G$5</f>
        <v>19</v>
      </c>
      <c r="BR17" s="404"/>
      <c r="BS17" s="407">
        <f>$J$5</f>
        <v>18</v>
      </c>
      <c r="BT17" s="10" t="s">
        <v>223</v>
      </c>
      <c r="BU17" s="409" t="s">
        <v>253</v>
      </c>
      <c r="BV17" s="410"/>
      <c r="BW17" s="411"/>
      <c r="BX17" s="192"/>
      <c r="BY17" s="192"/>
    </row>
    <row r="18" spans="1:77" ht="15" customHeight="1">
      <c r="A18" s="44"/>
      <c r="B18" s="63"/>
      <c r="C18" s="311" t="s">
        <v>28</v>
      </c>
      <c r="D18" s="312"/>
      <c r="E18" s="312"/>
      <c r="F18" s="383"/>
      <c r="G18" s="384"/>
      <c r="H18" s="385"/>
      <c r="I18" s="386"/>
      <c r="J18" s="387"/>
      <c r="K18" s="385"/>
      <c r="L18" s="386"/>
      <c r="M18" s="388" t="str">
        <f t="shared" si="0"/>
        <v>-</v>
      </c>
      <c r="N18" s="389"/>
      <c r="O18" s="267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9"/>
      <c r="AT18" s="58"/>
      <c r="AU18" s="415" t="s">
        <v>120</v>
      </c>
      <c r="AV18" s="416"/>
      <c r="AW18" s="416"/>
      <c r="AX18" s="416"/>
      <c r="AY18" s="416"/>
      <c r="AZ18" s="417"/>
      <c r="BA18" s="418"/>
      <c r="BB18" s="419"/>
      <c r="BC18" s="420"/>
      <c r="BD18" s="427"/>
      <c r="BE18" s="419"/>
      <c r="BF18" s="420"/>
      <c r="BG18" s="428"/>
      <c r="BH18" s="429"/>
      <c r="BI18" s="596"/>
      <c r="BJ18" s="597"/>
      <c r="BK18" s="598"/>
      <c r="BM18" s="424"/>
      <c r="BN18" s="425"/>
      <c r="BO18" s="425"/>
      <c r="BP18" s="426"/>
      <c r="BQ18" s="405"/>
      <c r="BR18" s="406"/>
      <c r="BS18" s="408"/>
      <c r="BT18" s="8" t="s">
        <v>194</v>
      </c>
      <c r="BU18" s="412"/>
      <c r="BV18" s="413"/>
      <c r="BW18" s="414"/>
    </row>
    <row r="19" spans="1:77" ht="15" customHeight="1">
      <c r="A19" s="44"/>
      <c r="B19" s="63"/>
      <c r="C19" s="311" t="s">
        <v>29</v>
      </c>
      <c r="D19" s="312"/>
      <c r="E19" s="312"/>
      <c r="F19" s="383"/>
      <c r="G19" s="384"/>
      <c r="H19" s="385"/>
      <c r="I19" s="386"/>
      <c r="J19" s="387"/>
      <c r="K19" s="385"/>
      <c r="L19" s="386"/>
      <c r="M19" s="388" t="str">
        <f t="shared" si="0"/>
        <v>-</v>
      </c>
      <c r="N19" s="389"/>
      <c r="O19" s="267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8"/>
      <c r="AF19" s="268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9"/>
      <c r="AT19" s="58"/>
      <c r="AU19" s="24"/>
      <c r="AV19" s="400" t="s">
        <v>119</v>
      </c>
      <c r="AW19" s="401"/>
      <c r="AX19" s="401"/>
      <c r="AY19" s="401"/>
      <c r="AZ19" s="402"/>
      <c r="BA19" s="393"/>
      <c r="BB19" s="394"/>
      <c r="BC19" s="394"/>
      <c r="BD19" s="298"/>
      <c r="BE19" s="296"/>
      <c r="BF19" s="297"/>
      <c r="BG19" s="285" t="str">
        <f t="shared" ref="BG19:BG23" si="3">IF(BA19="-", "-", IF(BD19="-", "-", IF(ABS(BD19)=0, "-", ROUND(100*(BA19-BD19)/ABS(BD19),1))))</f>
        <v>-</v>
      </c>
      <c r="BH19" s="287"/>
      <c r="BI19" s="599"/>
      <c r="BJ19" s="600"/>
      <c r="BK19" s="601"/>
      <c r="BM19" s="395" t="s">
        <v>17</v>
      </c>
      <c r="BN19" s="396"/>
      <c r="BO19" s="397"/>
      <c r="BP19" s="60" t="s">
        <v>196</v>
      </c>
      <c r="BQ19" s="398"/>
      <c r="BR19" s="399"/>
      <c r="BS19" s="143"/>
      <c r="BT19" s="129" t="str">
        <f>IF(BQ19="-", "-", IF(BS19="-", "-", IF(ABS(BS19)=0, "-", ROUND(100*(BQ19-BS19)/ABS(BS19),1))))</f>
        <v>-</v>
      </c>
      <c r="BU19" s="390"/>
      <c r="BV19" s="391"/>
      <c r="BW19" s="392"/>
    </row>
    <row r="20" spans="1:77" ht="15" customHeight="1">
      <c r="A20" s="44"/>
      <c r="B20" s="63"/>
      <c r="C20" s="311" t="s">
        <v>30</v>
      </c>
      <c r="D20" s="312"/>
      <c r="E20" s="312"/>
      <c r="F20" s="383"/>
      <c r="G20" s="384"/>
      <c r="H20" s="385"/>
      <c r="I20" s="386"/>
      <c r="J20" s="387"/>
      <c r="K20" s="385"/>
      <c r="L20" s="386"/>
      <c r="M20" s="388" t="str">
        <f t="shared" si="0"/>
        <v>-</v>
      </c>
      <c r="N20" s="389"/>
      <c r="O20" s="267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8"/>
      <c r="AF20" s="268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9"/>
      <c r="AT20" s="58"/>
      <c r="AU20" s="25"/>
      <c r="AV20" s="380" t="s">
        <v>23</v>
      </c>
      <c r="AW20" s="381"/>
      <c r="AX20" s="381"/>
      <c r="AY20" s="381"/>
      <c r="AZ20" s="382"/>
      <c r="BA20" s="295"/>
      <c r="BB20" s="296"/>
      <c r="BC20" s="296"/>
      <c r="BD20" s="298"/>
      <c r="BE20" s="296"/>
      <c r="BF20" s="297"/>
      <c r="BG20" s="285" t="str">
        <f t="shared" si="3"/>
        <v>-</v>
      </c>
      <c r="BH20" s="287"/>
      <c r="BI20" s="599"/>
      <c r="BJ20" s="600"/>
      <c r="BK20" s="601"/>
      <c r="BM20" s="346" t="s">
        <v>28</v>
      </c>
      <c r="BN20" s="347"/>
      <c r="BO20" s="348"/>
      <c r="BP20" s="61" t="s">
        <v>227</v>
      </c>
      <c r="BQ20" s="363"/>
      <c r="BR20" s="364"/>
      <c r="BS20" s="144"/>
      <c r="BT20" s="128" t="str">
        <f t="shared" ref="BT20:BT26" si="4">IF(BQ20="-", "-", IF(BS20="-", "-", IF(ABS(BS20)=0, "-", ROUND(100*(BQ20-BS20)/ABS(BS20),1))))</f>
        <v>-</v>
      </c>
      <c r="BU20" s="267"/>
      <c r="BV20" s="268"/>
      <c r="BW20" s="269"/>
    </row>
    <row r="21" spans="1:77" ht="15" customHeight="1">
      <c r="A21" s="44"/>
      <c r="B21" s="63"/>
      <c r="C21" s="311" t="s">
        <v>31</v>
      </c>
      <c r="D21" s="312"/>
      <c r="E21" s="312"/>
      <c r="F21" s="383"/>
      <c r="G21" s="384"/>
      <c r="H21" s="385"/>
      <c r="I21" s="386"/>
      <c r="J21" s="387"/>
      <c r="K21" s="385"/>
      <c r="L21" s="386"/>
      <c r="M21" s="388" t="str">
        <f t="shared" si="0"/>
        <v>-</v>
      </c>
      <c r="N21" s="389"/>
      <c r="O21" s="267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9"/>
      <c r="AT21" s="58"/>
      <c r="AU21" s="44"/>
      <c r="AV21" s="63"/>
      <c r="AW21" s="311" t="s">
        <v>25</v>
      </c>
      <c r="AX21" s="312"/>
      <c r="AY21" s="312"/>
      <c r="AZ21" s="383"/>
      <c r="BA21" s="295"/>
      <c r="BB21" s="296"/>
      <c r="BC21" s="296"/>
      <c r="BD21" s="298"/>
      <c r="BE21" s="296"/>
      <c r="BF21" s="297"/>
      <c r="BG21" s="285" t="str">
        <f t="shared" si="3"/>
        <v>-</v>
      </c>
      <c r="BH21" s="287"/>
      <c r="BI21" s="599"/>
      <c r="BJ21" s="600"/>
      <c r="BK21" s="601"/>
      <c r="BM21" s="346"/>
      <c r="BN21" s="347"/>
      <c r="BO21" s="348"/>
      <c r="BP21" s="61"/>
      <c r="BQ21" s="363"/>
      <c r="BR21" s="364"/>
      <c r="BS21" s="144"/>
      <c r="BT21" s="128" t="str">
        <f t="shared" si="4"/>
        <v>-</v>
      </c>
      <c r="BU21" s="267"/>
      <c r="BV21" s="268"/>
      <c r="BW21" s="269"/>
    </row>
    <row r="22" spans="1:77" ht="15" customHeight="1">
      <c r="A22" s="11"/>
      <c r="B22" s="375" t="s">
        <v>32</v>
      </c>
      <c r="C22" s="302"/>
      <c r="D22" s="302"/>
      <c r="E22" s="302"/>
      <c r="F22" s="376"/>
      <c r="G22" s="357"/>
      <c r="H22" s="358"/>
      <c r="I22" s="359"/>
      <c r="J22" s="360"/>
      <c r="K22" s="358"/>
      <c r="L22" s="359"/>
      <c r="M22" s="361" t="str">
        <f t="shared" si="0"/>
        <v>-</v>
      </c>
      <c r="N22" s="362"/>
      <c r="O22" s="377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9"/>
      <c r="AT22" s="58"/>
      <c r="AU22" s="25"/>
      <c r="AV22" s="380" t="s">
        <v>228</v>
      </c>
      <c r="AW22" s="381"/>
      <c r="AX22" s="381"/>
      <c r="AY22" s="381"/>
      <c r="AZ22" s="382"/>
      <c r="BA22" s="295"/>
      <c r="BB22" s="296"/>
      <c r="BC22" s="296"/>
      <c r="BD22" s="298"/>
      <c r="BE22" s="296"/>
      <c r="BF22" s="297"/>
      <c r="BG22" s="285" t="str">
        <f t="shared" si="3"/>
        <v>-</v>
      </c>
      <c r="BH22" s="287"/>
      <c r="BI22" s="599"/>
      <c r="BJ22" s="600"/>
      <c r="BK22" s="601"/>
      <c r="BM22" s="346"/>
      <c r="BN22" s="347"/>
      <c r="BO22" s="348"/>
      <c r="BP22" s="61"/>
      <c r="BQ22" s="363"/>
      <c r="BR22" s="364"/>
      <c r="BS22" s="144"/>
      <c r="BT22" s="145" t="str">
        <f t="shared" si="4"/>
        <v>-</v>
      </c>
      <c r="BU22" s="267"/>
      <c r="BV22" s="268"/>
      <c r="BW22" s="269"/>
    </row>
    <row r="23" spans="1:77" ht="15" customHeight="1">
      <c r="A23" s="365" t="s">
        <v>214</v>
      </c>
      <c r="B23" s="316"/>
      <c r="C23" s="316"/>
      <c r="D23" s="316"/>
      <c r="E23" s="316"/>
      <c r="F23" s="366"/>
      <c r="G23" s="367"/>
      <c r="H23" s="368"/>
      <c r="I23" s="369"/>
      <c r="J23" s="370"/>
      <c r="K23" s="371"/>
      <c r="L23" s="372"/>
      <c r="M23" s="373" t="str">
        <f t="shared" si="0"/>
        <v>-</v>
      </c>
      <c r="N23" s="374"/>
      <c r="O23" s="282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4"/>
      <c r="AT23" s="58"/>
      <c r="AU23" s="11"/>
      <c r="AV23" s="69"/>
      <c r="AW23" s="375" t="s">
        <v>25</v>
      </c>
      <c r="AX23" s="302"/>
      <c r="AY23" s="302"/>
      <c r="AZ23" s="376"/>
      <c r="BA23" s="294"/>
      <c r="BB23" s="289"/>
      <c r="BC23" s="289"/>
      <c r="BD23" s="288"/>
      <c r="BE23" s="289"/>
      <c r="BF23" s="290"/>
      <c r="BG23" s="291" t="str">
        <f t="shared" si="3"/>
        <v>-</v>
      </c>
      <c r="BH23" s="293"/>
      <c r="BI23" s="602"/>
      <c r="BJ23" s="603"/>
      <c r="BK23" s="604"/>
      <c r="BM23" s="346"/>
      <c r="BN23" s="347"/>
      <c r="BO23" s="348"/>
      <c r="BP23" s="61"/>
      <c r="BQ23" s="363"/>
      <c r="BR23" s="364"/>
      <c r="BS23" s="144"/>
      <c r="BT23" s="146" t="str">
        <f t="shared" si="4"/>
        <v>-</v>
      </c>
      <c r="BU23" s="267"/>
      <c r="BV23" s="268"/>
      <c r="BW23" s="269"/>
    </row>
    <row r="24" spans="1:77" ht="15" customHeight="1">
      <c r="A24" s="354" t="s">
        <v>221</v>
      </c>
      <c r="B24" s="355"/>
      <c r="C24" s="355"/>
      <c r="D24" s="355"/>
      <c r="E24" s="355"/>
      <c r="F24" s="356"/>
      <c r="G24" s="357"/>
      <c r="H24" s="358"/>
      <c r="I24" s="359"/>
      <c r="J24" s="360"/>
      <c r="K24" s="358"/>
      <c r="L24" s="359"/>
      <c r="M24" s="361" t="str">
        <f t="shared" si="0"/>
        <v>-</v>
      </c>
      <c r="N24" s="362"/>
      <c r="O24" s="270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2"/>
      <c r="AT24" s="58"/>
      <c r="BI24" s="53"/>
      <c r="BJ24" s="53"/>
      <c r="BK24" s="53"/>
      <c r="BM24" s="346"/>
      <c r="BN24" s="347"/>
      <c r="BO24" s="348"/>
      <c r="BP24" s="61"/>
      <c r="BQ24" s="344"/>
      <c r="BR24" s="345"/>
      <c r="BS24" s="141"/>
      <c r="BT24" s="146" t="str">
        <f t="shared" si="4"/>
        <v>-</v>
      </c>
      <c r="BU24" s="267"/>
      <c r="BV24" s="268"/>
      <c r="BW24" s="269"/>
    </row>
    <row r="25" spans="1:77" ht="15" customHeight="1">
      <c r="B25" s="45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BI25" s="53"/>
      <c r="BJ25" s="53"/>
      <c r="BK25" s="53"/>
      <c r="BM25" s="346"/>
      <c r="BN25" s="347"/>
      <c r="BO25" s="348"/>
      <c r="BP25" s="61"/>
      <c r="BQ25" s="344"/>
      <c r="BR25" s="345"/>
      <c r="BS25" s="141"/>
      <c r="BT25" s="146" t="str">
        <f t="shared" si="4"/>
        <v>-</v>
      </c>
      <c r="BU25" s="267"/>
      <c r="BV25" s="268"/>
      <c r="BW25" s="269"/>
    </row>
    <row r="26" spans="1:77" ht="15" customHeight="1">
      <c r="A26" s="191"/>
      <c r="B26" s="191"/>
      <c r="C26" s="191"/>
      <c r="D26" s="191"/>
      <c r="E26" s="191"/>
      <c r="F26" s="191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BI26" s="53"/>
      <c r="BJ26" s="53"/>
      <c r="BK26" s="53"/>
      <c r="BM26" s="349"/>
      <c r="BN26" s="350"/>
      <c r="BO26" s="351"/>
      <c r="BP26" s="62"/>
      <c r="BQ26" s="352"/>
      <c r="BR26" s="353"/>
      <c r="BS26" s="142"/>
      <c r="BT26" s="147" t="str">
        <f t="shared" si="4"/>
        <v>-</v>
      </c>
      <c r="BU26" s="270"/>
      <c r="BV26" s="271"/>
      <c r="BW26" s="272"/>
    </row>
    <row r="27" spans="1:77" ht="15" customHeight="1">
      <c r="A27" s="55"/>
      <c r="B27" s="55"/>
      <c r="C27" s="55"/>
      <c r="D27" s="55"/>
      <c r="E27" s="55"/>
      <c r="F27" s="55"/>
      <c r="G27" s="53"/>
      <c r="H27" s="53"/>
      <c r="I27" s="53"/>
      <c r="J27" s="53"/>
      <c r="K27" s="53"/>
      <c r="L27" s="53"/>
      <c r="M27" s="53"/>
      <c r="N27" s="53"/>
      <c r="O27" s="53"/>
      <c r="BI27" s="53"/>
      <c r="BM27" s="191"/>
      <c r="BN27" s="55"/>
    </row>
    <row r="28" spans="1:77" ht="15" customHeight="1">
      <c r="A28" s="55"/>
      <c r="B28" s="55"/>
      <c r="C28" s="55"/>
      <c r="D28" s="55"/>
      <c r="E28" s="55"/>
      <c r="F28" s="55"/>
      <c r="G28" s="53"/>
      <c r="H28" s="53"/>
      <c r="I28" s="53"/>
      <c r="J28" s="53"/>
      <c r="K28" s="53"/>
      <c r="L28" s="53"/>
      <c r="M28" s="53"/>
      <c r="N28" s="53"/>
      <c r="O28" s="53"/>
      <c r="BJ28" s="191"/>
    </row>
    <row r="29" spans="1:77" ht="15" customHeight="1">
      <c r="A29" s="55"/>
      <c r="B29" s="55"/>
      <c r="C29" s="55"/>
      <c r="D29" s="55"/>
      <c r="E29" s="55"/>
      <c r="F29" s="55"/>
      <c r="G29" s="47"/>
      <c r="H29" s="47"/>
      <c r="I29" s="47"/>
      <c r="J29" s="47"/>
      <c r="K29" s="47"/>
      <c r="L29" s="48"/>
      <c r="M29" s="48"/>
    </row>
    <row r="30" spans="1:77" ht="15" customHeight="1">
      <c r="A30" s="5" t="s">
        <v>145</v>
      </c>
    </row>
    <row r="31" spans="1:77" ht="15" customHeight="1">
      <c r="A31" s="317"/>
      <c r="B31" s="318"/>
      <c r="C31" s="318"/>
      <c r="D31" s="318"/>
      <c r="E31" s="318"/>
      <c r="F31" s="319"/>
      <c r="G31" s="276" t="s">
        <v>33</v>
      </c>
      <c r="H31" s="277"/>
      <c r="I31" s="277"/>
      <c r="J31" s="277"/>
      <c r="K31" s="277"/>
      <c r="L31" s="277"/>
      <c r="M31" s="277"/>
      <c r="N31" s="277"/>
      <c r="O31" s="326"/>
      <c r="P31" s="276" t="s">
        <v>211</v>
      </c>
      <c r="Q31" s="277"/>
      <c r="R31" s="277"/>
      <c r="S31" s="277"/>
      <c r="T31" s="277"/>
      <c r="U31" s="277"/>
      <c r="V31" s="277"/>
      <c r="W31" s="277"/>
      <c r="X31" s="278"/>
      <c r="Y31" s="276" t="s">
        <v>140</v>
      </c>
      <c r="Z31" s="277"/>
      <c r="AA31" s="277"/>
      <c r="AB31" s="277"/>
      <c r="AC31" s="277"/>
      <c r="AD31" s="277"/>
      <c r="AE31" s="277"/>
      <c r="AF31" s="277"/>
      <c r="AG31" s="278"/>
      <c r="AH31" s="279" t="s">
        <v>253</v>
      </c>
      <c r="AI31" s="280"/>
      <c r="AJ31" s="280"/>
      <c r="AK31" s="280"/>
      <c r="AL31" s="280"/>
      <c r="AM31" s="280"/>
      <c r="AN31" s="280"/>
      <c r="AO31" s="280"/>
      <c r="AP31" s="280"/>
      <c r="AQ31" s="280"/>
      <c r="AR31" s="280"/>
      <c r="AS31" s="281"/>
    </row>
    <row r="32" spans="1:77" ht="15" customHeight="1">
      <c r="A32" s="320"/>
      <c r="B32" s="321"/>
      <c r="C32" s="321"/>
      <c r="D32" s="321"/>
      <c r="E32" s="321"/>
      <c r="F32" s="322"/>
      <c r="G32" s="332">
        <f>$G$5</f>
        <v>19</v>
      </c>
      <c r="H32" s="333"/>
      <c r="I32" s="334"/>
      <c r="J32" s="338">
        <f>$J$5</f>
        <v>18</v>
      </c>
      <c r="K32" s="333"/>
      <c r="L32" s="334"/>
      <c r="M32" s="340" t="s">
        <v>0</v>
      </c>
      <c r="N32" s="340"/>
      <c r="O32" s="341"/>
      <c r="P32" s="332">
        <f>$G$5</f>
        <v>19</v>
      </c>
      <c r="Q32" s="333"/>
      <c r="R32" s="334"/>
      <c r="S32" s="338">
        <f>$J$5</f>
        <v>18</v>
      </c>
      <c r="T32" s="333"/>
      <c r="U32" s="334"/>
      <c r="V32" s="340" t="s">
        <v>0</v>
      </c>
      <c r="W32" s="340"/>
      <c r="X32" s="341"/>
      <c r="Y32" s="332">
        <f>$G$5</f>
        <v>19</v>
      </c>
      <c r="Z32" s="333"/>
      <c r="AA32" s="334"/>
      <c r="AB32" s="338">
        <f>$J$5</f>
        <v>18</v>
      </c>
      <c r="AC32" s="333"/>
      <c r="AD32" s="334"/>
      <c r="AE32" s="340" t="s">
        <v>0</v>
      </c>
      <c r="AF32" s="340"/>
      <c r="AG32" s="341"/>
      <c r="AH32" s="279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1"/>
    </row>
    <row r="33" spans="1:45" ht="15" customHeight="1">
      <c r="A33" s="323"/>
      <c r="B33" s="324"/>
      <c r="C33" s="324"/>
      <c r="D33" s="324"/>
      <c r="E33" s="324"/>
      <c r="F33" s="325"/>
      <c r="G33" s="335"/>
      <c r="H33" s="336"/>
      <c r="I33" s="337"/>
      <c r="J33" s="339"/>
      <c r="K33" s="336"/>
      <c r="L33" s="337"/>
      <c r="M33" s="342" t="s">
        <v>197</v>
      </c>
      <c r="N33" s="342"/>
      <c r="O33" s="343"/>
      <c r="P33" s="335"/>
      <c r="Q33" s="336"/>
      <c r="R33" s="337"/>
      <c r="S33" s="339"/>
      <c r="T33" s="336"/>
      <c r="U33" s="337"/>
      <c r="V33" s="342" t="s">
        <v>197</v>
      </c>
      <c r="W33" s="342"/>
      <c r="X33" s="343"/>
      <c r="Y33" s="335"/>
      <c r="Z33" s="336"/>
      <c r="AA33" s="337"/>
      <c r="AB33" s="339"/>
      <c r="AC33" s="336"/>
      <c r="AD33" s="337"/>
      <c r="AE33" s="342" t="s">
        <v>197</v>
      </c>
      <c r="AF33" s="342"/>
      <c r="AG33" s="343"/>
      <c r="AH33" s="279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1"/>
    </row>
    <row r="34" spans="1:45" ht="15" customHeight="1">
      <c r="A34" s="313" t="s">
        <v>141</v>
      </c>
      <c r="B34" s="314"/>
      <c r="C34" s="315" t="s">
        <v>142</v>
      </c>
      <c r="D34" s="316"/>
      <c r="E34" s="316"/>
      <c r="F34" s="49" t="s">
        <v>231</v>
      </c>
      <c r="G34" s="331"/>
      <c r="H34" s="328"/>
      <c r="I34" s="329"/>
      <c r="J34" s="327"/>
      <c r="K34" s="328"/>
      <c r="L34" s="329"/>
      <c r="M34" s="327" t="str">
        <f>IF(G34="-", "-", IF(J34="-", "-", IF(ABS(J34)=0, "-", ROUND(100*(G34-J34)/ABS(J34),1))))</f>
        <v>-</v>
      </c>
      <c r="N34" s="328"/>
      <c r="O34" s="330"/>
      <c r="P34" s="331"/>
      <c r="Q34" s="328"/>
      <c r="R34" s="329"/>
      <c r="S34" s="327"/>
      <c r="T34" s="328"/>
      <c r="U34" s="329"/>
      <c r="V34" s="327" t="str">
        <f>IF(P34="-", "-", IF(S34="-", "-", IF(ABS(S34)=0, "-", ROUND(100*(P34-S34)/ABS(S34),1))))</f>
        <v>-</v>
      </c>
      <c r="W34" s="328"/>
      <c r="X34" s="330"/>
      <c r="Y34" s="331"/>
      <c r="Z34" s="328"/>
      <c r="AA34" s="329"/>
      <c r="AB34" s="327"/>
      <c r="AC34" s="328"/>
      <c r="AD34" s="329"/>
      <c r="AE34" s="327" t="str">
        <f>IF(Y34="-", "-", IF(AB34="-", "-", IF(ABS(AB34)=0, "-", ROUND(100*(Y34-AB34)/ABS(AB34),1))))</f>
        <v>-</v>
      </c>
      <c r="AF34" s="328"/>
      <c r="AG34" s="330"/>
      <c r="AH34" s="282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4"/>
    </row>
    <row r="35" spans="1:45" ht="15" customHeight="1">
      <c r="A35" s="307"/>
      <c r="B35" s="308"/>
      <c r="C35" s="311" t="s">
        <v>143</v>
      </c>
      <c r="D35" s="312"/>
      <c r="E35" s="312"/>
      <c r="F35" s="49" t="s">
        <v>231</v>
      </c>
      <c r="G35" s="299"/>
      <c r="H35" s="286"/>
      <c r="I35" s="300"/>
      <c r="J35" s="285"/>
      <c r="K35" s="286"/>
      <c r="L35" s="300"/>
      <c r="M35" s="285" t="str">
        <f t="shared" ref="M35:M41" si="5">IF(G35="-", "-", IF(J35="-", "-", IF(ABS(J35)=0, "-", ROUND(100*(G35-J35)/ABS(J35),1))))</f>
        <v>-</v>
      </c>
      <c r="N35" s="286"/>
      <c r="O35" s="287"/>
      <c r="P35" s="299"/>
      <c r="Q35" s="286"/>
      <c r="R35" s="300"/>
      <c r="S35" s="285"/>
      <c r="T35" s="286"/>
      <c r="U35" s="300"/>
      <c r="V35" s="285" t="str">
        <f t="shared" ref="V35:V41" si="6">IF(P35="-", "-", IF(S35="-", "-", IF(ABS(S35)=0, "-", ROUND(100*(P35-S35)/ABS(S35),1))))</f>
        <v>-</v>
      </c>
      <c r="W35" s="286"/>
      <c r="X35" s="287"/>
      <c r="Y35" s="299"/>
      <c r="Z35" s="286"/>
      <c r="AA35" s="300"/>
      <c r="AB35" s="285"/>
      <c r="AC35" s="286"/>
      <c r="AD35" s="300"/>
      <c r="AE35" s="285" t="str">
        <f t="shared" ref="AE35:AE41" si="7">IF(Y35="-", "-", IF(AB35="-", "-", IF(ABS(AB35)=0, "-", ROUND(100*(Y35-AB35)/ABS(AB35),1))))</f>
        <v>-</v>
      </c>
      <c r="AF35" s="286"/>
      <c r="AG35" s="287"/>
      <c r="AH35" s="267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9"/>
    </row>
    <row r="36" spans="1:45" ht="15" customHeight="1">
      <c r="A36" s="307"/>
      <c r="B36" s="308"/>
      <c r="C36" s="303" t="s">
        <v>147</v>
      </c>
      <c r="D36" s="304"/>
      <c r="E36" s="304"/>
      <c r="F36" s="49" t="s">
        <v>229</v>
      </c>
      <c r="G36" s="295"/>
      <c r="H36" s="296"/>
      <c r="I36" s="297"/>
      <c r="J36" s="298"/>
      <c r="K36" s="296"/>
      <c r="L36" s="297"/>
      <c r="M36" s="285" t="str">
        <f t="shared" si="5"/>
        <v>-</v>
      </c>
      <c r="N36" s="286"/>
      <c r="O36" s="287"/>
      <c r="P36" s="295"/>
      <c r="Q36" s="296"/>
      <c r="R36" s="297"/>
      <c r="S36" s="298"/>
      <c r="T36" s="296"/>
      <c r="U36" s="297"/>
      <c r="V36" s="285" t="str">
        <f t="shared" si="6"/>
        <v>-</v>
      </c>
      <c r="W36" s="286"/>
      <c r="X36" s="287"/>
      <c r="Y36" s="295"/>
      <c r="Z36" s="296"/>
      <c r="AA36" s="297"/>
      <c r="AB36" s="298"/>
      <c r="AC36" s="296"/>
      <c r="AD36" s="297"/>
      <c r="AE36" s="285" t="str">
        <f t="shared" si="7"/>
        <v>-</v>
      </c>
      <c r="AF36" s="286"/>
      <c r="AG36" s="287"/>
      <c r="AH36" s="267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9"/>
    </row>
    <row r="37" spans="1:45" ht="15" customHeight="1">
      <c r="A37" s="309"/>
      <c r="B37" s="310"/>
      <c r="C37" s="303" t="s">
        <v>146</v>
      </c>
      <c r="D37" s="304"/>
      <c r="E37" s="304"/>
      <c r="F37" s="49" t="s">
        <v>230</v>
      </c>
      <c r="G37" s="295"/>
      <c r="H37" s="296"/>
      <c r="I37" s="297"/>
      <c r="J37" s="298"/>
      <c r="K37" s="296"/>
      <c r="L37" s="297"/>
      <c r="M37" s="285" t="str">
        <f t="shared" si="5"/>
        <v>-</v>
      </c>
      <c r="N37" s="286"/>
      <c r="O37" s="287"/>
      <c r="P37" s="295"/>
      <c r="Q37" s="296"/>
      <c r="R37" s="297"/>
      <c r="S37" s="298"/>
      <c r="T37" s="296"/>
      <c r="U37" s="297"/>
      <c r="V37" s="285" t="str">
        <f t="shared" si="6"/>
        <v>-</v>
      </c>
      <c r="W37" s="286"/>
      <c r="X37" s="287"/>
      <c r="Y37" s="295"/>
      <c r="Z37" s="296"/>
      <c r="AA37" s="297"/>
      <c r="AB37" s="298"/>
      <c r="AC37" s="296"/>
      <c r="AD37" s="297"/>
      <c r="AE37" s="285" t="str">
        <f t="shared" si="7"/>
        <v>-</v>
      </c>
      <c r="AF37" s="286"/>
      <c r="AG37" s="287"/>
      <c r="AH37" s="267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9"/>
    </row>
    <row r="38" spans="1:45" ht="15" customHeight="1">
      <c r="A38" s="305" t="s">
        <v>222</v>
      </c>
      <c r="B38" s="306"/>
      <c r="C38" s="311" t="s">
        <v>144</v>
      </c>
      <c r="D38" s="312"/>
      <c r="E38" s="312"/>
      <c r="F38" s="49" t="s">
        <v>231</v>
      </c>
      <c r="G38" s="299"/>
      <c r="H38" s="286"/>
      <c r="I38" s="300"/>
      <c r="J38" s="285"/>
      <c r="K38" s="286"/>
      <c r="L38" s="300"/>
      <c r="M38" s="285" t="str">
        <f t="shared" si="5"/>
        <v>-</v>
      </c>
      <c r="N38" s="286"/>
      <c r="O38" s="287"/>
      <c r="P38" s="299"/>
      <c r="Q38" s="286"/>
      <c r="R38" s="300"/>
      <c r="S38" s="285"/>
      <c r="T38" s="286"/>
      <c r="U38" s="300"/>
      <c r="V38" s="285" t="str">
        <f t="shared" si="6"/>
        <v>-</v>
      </c>
      <c r="W38" s="286"/>
      <c r="X38" s="287"/>
      <c r="Y38" s="299"/>
      <c r="Z38" s="286"/>
      <c r="AA38" s="300"/>
      <c r="AB38" s="285"/>
      <c r="AC38" s="286"/>
      <c r="AD38" s="300"/>
      <c r="AE38" s="285" t="str">
        <f t="shared" si="7"/>
        <v>-</v>
      </c>
      <c r="AF38" s="286"/>
      <c r="AG38" s="287"/>
      <c r="AH38" s="267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9"/>
    </row>
    <row r="39" spans="1:45" ht="15" customHeight="1">
      <c r="A39" s="307"/>
      <c r="B39" s="308"/>
      <c r="C39" s="303" t="s">
        <v>237</v>
      </c>
      <c r="D39" s="304"/>
      <c r="E39" s="304"/>
      <c r="F39" s="49" t="s">
        <v>230</v>
      </c>
      <c r="G39" s="295"/>
      <c r="H39" s="296"/>
      <c r="I39" s="297"/>
      <c r="J39" s="298"/>
      <c r="K39" s="296"/>
      <c r="L39" s="297"/>
      <c r="M39" s="285" t="str">
        <f t="shared" si="5"/>
        <v>-</v>
      </c>
      <c r="N39" s="286"/>
      <c r="O39" s="287"/>
      <c r="P39" s="295"/>
      <c r="Q39" s="296"/>
      <c r="R39" s="297"/>
      <c r="S39" s="298"/>
      <c r="T39" s="296"/>
      <c r="U39" s="297"/>
      <c r="V39" s="285" t="str">
        <f t="shared" si="6"/>
        <v>-</v>
      </c>
      <c r="W39" s="286"/>
      <c r="X39" s="287"/>
      <c r="Y39" s="295"/>
      <c r="Z39" s="296"/>
      <c r="AA39" s="297"/>
      <c r="AB39" s="298"/>
      <c r="AC39" s="296"/>
      <c r="AD39" s="297"/>
      <c r="AE39" s="285" t="str">
        <f t="shared" si="7"/>
        <v>-</v>
      </c>
      <c r="AF39" s="286"/>
      <c r="AG39" s="287"/>
      <c r="AH39" s="267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9"/>
    </row>
    <row r="40" spans="1:45" ht="15" customHeight="1">
      <c r="A40" s="309"/>
      <c r="B40" s="310"/>
      <c r="C40" s="303" t="s">
        <v>238</v>
      </c>
      <c r="D40" s="304"/>
      <c r="E40" s="304"/>
      <c r="F40" s="49" t="s">
        <v>230</v>
      </c>
      <c r="G40" s="295"/>
      <c r="H40" s="296"/>
      <c r="I40" s="297"/>
      <c r="J40" s="298"/>
      <c r="K40" s="296"/>
      <c r="L40" s="297"/>
      <c r="M40" s="285" t="str">
        <f t="shared" si="5"/>
        <v>-</v>
      </c>
      <c r="N40" s="286"/>
      <c r="O40" s="287"/>
      <c r="P40" s="295"/>
      <c r="Q40" s="296"/>
      <c r="R40" s="297"/>
      <c r="S40" s="298"/>
      <c r="T40" s="296"/>
      <c r="U40" s="297"/>
      <c r="V40" s="285" t="str">
        <f t="shared" si="6"/>
        <v>-</v>
      </c>
      <c r="W40" s="286"/>
      <c r="X40" s="287"/>
      <c r="Y40" s="295"/>
      <c r="Z40" s="296"/>
      <c r="AA40" s="297"/>
      <c r="AB40" s="298"/>
      <c r="AC40" s="296"/>
      <c r="AD40" s="297"/>
      <c r="AE40" s="285" t="str">
        <f t="shared" si="7"/>
        <v>-</v>
      </c>
      <c r="AF40" s="286"/>
      <c r="AG40" s="287"/>
      <c r="AH40" s="267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9"/>
    </row>
    <row r="41" spans="1:45" ht="15" customHeight="1">
      <c r="A41" s="301" t="s">
        <v>239</v>
      </c>
      <c r="B41" s="302"/>
      <c r="C41" s="302"/>
      <c r="D41" s="302"/>
      <c r="E41" s="302"/>
      <c r="F41" s="50" t="s">
        <v>230</v>
      </c>
      <c r="G41" s="294"/>
      <c r="H41" s="289"/>
      <c r="I41" s="289"/>
      <c r="J41" s="288"/>
      <c r="K41" s="289"/>
      <c r="L41" s="290"/>
      <c r="M41" s="291" t="str">
        <f t="shared" si="5"/>
        <v>-</v>
      </c>
      <c r="N41" s="292"/>
      <c r="O41" s="293"/>
      <c r="P41" s="294"/>
      <c r="Q41" s="289"/>
      <c r="R41" s="289"/>
      <c r="S41" s="288"/>
      <c r="T41" s="289"/>
      <c r="U41" s="290"/>
      <c r="V41" s="291" t="str">
        <f t="shared" si="6"/>
        <v>-</v>
      </c>
      <c r="W41" s="292"/>
      <c r="X41" s="293"/>
      <c r="Y41" s="294"/>
      <c r="Z41" s="289"/>
      <c r="AA41" s="289"/>
      <c r="AB41" s="288"/>
      <c r="AC41" s="289"/>
      <c r="AD41" s="290"/>
      <c r="AE41" s="291" t="str">
        <f t="shared" si="7"/>
        <v>-</v>
      </c>
      <c r="AF41" s="292"/>
      <c r="AG41" s="293"/>
      <c r="AH41" s="270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2"/>
    </row>
  </sheetData>
  <mergeCells count="353">
    <mergeCell ref="BG5:BH5"/>
    <mergeCell ref="BI5:BK6"/>
    <mergeCell ref="BM5:BP6"/>
    <mergeCell ref="BQ5:BR6"/>
    <mergeCell ref="BS5:BS6"/>
    <mergeCell ref="BU5:BW6"/>
    <mergeCell ref="A5:F6"/>
    <mergeCell ref="G5:I6"/>
    <mergeCell ref="J5:L6"/>
    <mergeCell ref="M5:N5"/>
    <mergeCell ref="O5:AS6"/>
    <mergeCell ref="AU5:AZ6"/>
    <mergeCell ref="BA5:BC6"/>
    <mergeCell ref="BD5:BF6"/>
    <mergeCell ref="BU7:BW7"/>
    <mergeCell ref="M6:N6"/>
    <mergeCell ref="BG6:BH6"/>
    <mergeCell ref="A7:F7"/>
    <mergeCell ref="G7:I7"/>
    <mergeCell ref="J7:L7"/>
    <mergeCell ref="M7:N7"/>
    <mergeCell ref="O7:AS7"/>
    <mergeCell ref="AU7:AU8"/>
    <mergeCell ref="AV7:AZ7"/>
    <mergeCell ref="BA7:BC7"/>
    <mergeCell ref="J8:L8"/>
    <mergeCell ref="M8:N8"/>
    <mergeCell ref="O8:AS8"/>
    <mergeCell ref="AV8:AZ8"/>
    <mergeCell ref="BD7:BF7"/>
    <mergeCell ref="BG7:BH7"/>
    <mergeCell ref="BI7:BK7"/>
    <mergeCell ref="BM7:BO7"/>
    <mergeCell ref="BQ7:BR7"/>
    <mergeCell ref="BD9:BF9"/>
    <mergeCell ref="BG9:BH9"/>
    <mergeCell ref="BI9:BK9"/>
    <mergeCell ref="BM9:BO9"/>
    <mergeCell ref="BQ9:BR9"/>
    <mergeCell ref="BU9:BW9"/>
    <mergeCell ref="BU8:BW8"/>
    <mergeCell ref="C9:F9"/>
    <mergeCell ref="G9:I9"/>
    <mergeCell ref="J9:L9"/>
    <mergeCell ref="M9:N9"/>
    <mergeCell ref="O9:AS9"/>
    <mergeCell ref="AU9:AU12"/>
    <mergeCell ref="AV9:AW10"/>
    <mergeCell ref="AX9:AZ9"/>
    <mergeCell ref="BA9:BC9"/>
    <mergeCell ref="BA8:BC8"/>
    <mergeCell ref="BD8:BF8"/>
    <mergeCell ref="BG8:BH8"/>
    <mergeCell ref="BI8:BK8"/>
    <mergeCell ref="BM8:BO8"/>
    <mergeCell ref="BQ8:BR8"/>
    <mergeCell ref="B8:F8"/>
    <mergeCell ref="G8:I8"/>
    <mergeCell ref="BU10:BW10"/>
    <mergeCell ref="C11:F11"/>
    <mergeCell ref="G11:I11"/>
    <mergeCell ref="J11:L11"/>
    <mergeCell ref="M11:N11"/>
    <mergeCell ref="O11:AS11"/>
    <mergeCell ref="AV11:AW12"/>
    <mergeCell ref="AX11:AZ11"/>
    <mergeCell ref="BA11:BC11"/>
    <mergeCell ref="BD11:BF11"/>
    <mergeCell ref="BA10:BC10"/>
    <mergeCell ref="BD10:BF10"/>
    <mergeCell ref="BG10:BH10"/>
    <mergeCell ref="BI10:BK10"/>
    <mergeCell ref="BM10:BO10"/>
    <mergeCell ref="BQ10:BR10"/>
    <mergeCell ref="C10:F10"/>
    <mergeCell ref="G10:I10"/>
    <mergeCell ref="J10:L10"/>
    <mergeCell ref="M10:N10"/>
    <mergeCell ref="O10:AS10"/>
    <mergeCell ref="AX10:AZ10"/>
    <mergeCell ref="BG11:BH11"/>
    <mergeCell ref="BI11:BK11"/>
    <mergeCell ref="AX12:AZ12"/>
    <mergeCell ref="BA12:BC12"/>
    <mergeCell ref="BD12:BF12"/>
    <mergeCell ref="BM11:BO11"/>
    <mergeCell ref="BQ11:BR11"/>
    <mergeCell ref="BU11:BW11"/>
    <mergeCell ref="C12:F12"/>
    <mergeCell ref="G12:I12"/>
    <mergeCell ref="J12:L12"/>
    <mergeCell ref="M12:N12"/>
    <mergeCell ref="O12:AS12"/>
    <mergeCell ref="BQ12:BR12"/>
    <mergeCell ref="BU12:BW12"/>
    <mergeCell ref="BG12:BH12"/>
    <mergeCell ref="BI12:BK12"/>
    <mergeCell ref="BM12:BO12"/>
    <mergeCell ref="BG13:BH13"/>
    <mergeCell ref="BI13:BK13"/>
    <mergeCell ref="BM13:BO13"/>
    <mergeCell ref="BQ13:BR13"/>
    <mergeCell ref="BU13:BW13"/>
    <mergeCell ref="C14:F14"/>
    <mergeCell ref="G14:I14"/>
    <mergeCell ref="J14:L14"/>
    <mergeCell ref="M14:N14"/>
    <mergeCell ref="O14:AS14"/>
    <mergeCell ref="AU14:AZ14"/>
    <mergeCell ref="BA14:BC14"/>
    <mergeCell ref="BD14:BF14"/>
    <mergeCell ref="BG14:BH14"/>
    <mergeCell ref="BI14:BK14"/>
    <mergeCell ref="C13:F13"/>
    <mergeCell ref="G13:I13"/>
    <mergeCell ref="J13:L13"/>
    <mergeCell ref="M13:N13"/>
    <mergeCell ref="O13:AS13"/>
    <mergeCell ref="AU13:AZ13"/>
    <mergeCell ref="BA13:BC13"/>
    <mergeCell ref="BD13:BF13"/>
    <mergeCell ref="BI15:BK15"/>
    <mergeCell ref="C16:F16"/>
    <mergeCell ref="G16:I16"/>
    <mergeCell ref="J16:L16"/>
    <mergeCell ref="M16:N16"/>
    <mergeCell ref="O16:AS16"/>
    <mergeCell ref="AU16:AZ16"/>
    <mergeCell ref="BA16:BC16"/>
    <mergeCell ref="BD16:BF16"/>
    <mergeCell ref="BG16:BH16"/>
    <mergeCell ref="BI16:BK16"/>
    <mergeCell ref="C15:F15"/>
    <mergeCell ref="G15:I15"/>
    <mergeCell ref="J15:L15"/>
    <mergeCell ref="M15:N15"/>
    <mergeCell ref="O15:AS15"/>
    <mergeCell ref="AV15:AZ15"/>
    <mergeCell ref="BA15:BC15"/>
    <mergeCell ref="BD15:BF15"/>
    <mergeCell ref="BG15:BH15"/>
    <mergeCell ref="C17:F17"/>
    <mergeCell ref="G17:I17"/>
    <mergeCell ref="J17:L17"/>
    <mergeCell ref="M17:N17"/>
    <mergeCell ref="O17:AS17"/>
    <mergeCell ref="BQ17:BR18"/>
    <mergeCell ref="BS17:BS18"/>
    <mergeCell ref="BU17:BW18"/>
    <mergeCell ref="C18:F18"/>
    <mergeCell ref="G18:I18"/>
    <mergeCell ref="J18:L18"/>
    <mergeCell ref="M18:N18"/>
    <mergeCell ref="O18:AS18"/>
    <mergeCell ref="AU18:AZ18"/>
    <mergeCell ref="BA18:BC18"/>
    <mergeCell ref="AV17:AZ17"/>
    <mergeCell ref="BA17:BC17"/>
    <mergeCell ref="BD17:BF17"/>
    <mergeCell ref="BG17:BH17"/>
    <mergeCell ref="BI17:BK17"/>
    <mergeCell ref="BM17:BP18"/>
    <mergeCell ref="BD18:BF18"/>
    <mergeCell ref="BG18:BH18"/>
    <mergeCell ref="BI18:BK18"/>
    <mergeCell ref="BU19:BW19"/>
    <mergeCell ref="C20:F20"/>
    <mergeCell ref="G20:I20"/>
    <mergeCell ref="J20:L20"/>
    <mergeCell ref="M20:N20"/>
    <mergeCell ref="O20:AS20"/>
    <mergeCell ref="AV20:AZ20"/>
    <mergeCell ref="BA20:BC20"/>
    <mergeCell ref="BD20:BF20"/>
    <mergeCell ref="BG20:BH20"/>
    <mergeCell ref="BA19:BC19"/>
    <mergeCell ref="BD19:BF19"/>
    <mergeCell ref="BG19:BH19"/>
    <mergeCell ref="BI19:BK19"/>
    <mergeCell ref="BM19:BO19"/>
    <mergeCell ref="BQ19:BR19"/>
    <mergeCell ref="C19:F19"/>
    <mergeCell ref="G19:I19"/>
    <mergeCell ref="J19:L19"/>
    <mergeCell ref="M19:N19"/>
    <mergeCell ref="O19:AS19"/>
    <mergeCell ref="AV19:AZ19"/>
    <mergeCell ref="BI20:BK20"/>
    <mergeCell ref="BM20:BO20"/>
    <mergeCell ref="BQ20:BR20"/>
    <mergeCell ref="BU20:BW20"/>
    <mergeCell ref="C21:F21"/>
    <mergeCell ref="G21:I21"/>
    <mergeCell ref="J21:L21"/>
    <mergeCell ref="M21:N21"/>
    <mergeCell ref="O21:AS21"/>
    <mergeCell ref="AW21:AZ21"/>
    <mergeCell ref="BU21:BW21"/>
    <mergeCell ref="BA21:BC21"/>
    <mergeCell ref="BD21:BF21"/>
    <mergeCell ref="BG21:BH21"/>
    <mergeCell ref="BI21:BK21"/>
    <mergeCell ref="BM21:BO21"/>
    <mergeCell ref="BQ21:BR21"/>
    <mergeCell ref="BQ23:BR23"/>
    <mergeCell ref="BU23:BW23"/>
    <mergeCell ref="BI22:BK22"/>
    <mergeCell ref="BM22:BO22"/>
    <mergeCell ref="BQ22:BR22"/>
    <mergeCell ref="BU22:BW22"/>
    <mergeCell ref="A23:F23"/>
    <mergeCell ref="G23:I23"/>
    <mergeCell ref="J23:L23"/>
    <mergeCell ref="M23:N23"/>
    <mergeCell ref="O23:AS23"/>
    <mergeCell ref="AW23:AZ23"/>
    <mergeCell ref="B22:F22"/>
    <mergeCell ref="G22:I22"/>
    <mergeCell ref="J22:L22"/>
    <mergeCell ref="M22:N22"/>
    <mergeCell ref="O22:AS22"/>
    <mergeCell ref="AV22:AZ22"/>
    <mergeCell ref="BA22:BC22"/>
    <mergeCell ref="BD22:BF22"/>
    <mergeCell ref="BG22:BH22"/>
    <mergeCell ref="BI23:BK23"/>
    <mergeCell ref="A24:F24"/>
    <mergeCell ref="G24:I24"/>
    <mergeCell ref="J24:L24"/>
    <mergeCell ref="M24:N24"/>
    <mergeCell ref="O24:AS24"/>
    <mergeCell ref="BM24:BO24"/>
    <mergeCell ref="BA23:BC23"/>
    <mergeCell ref="BD23:BF23"/>
    <mergeCell ref="BG23:BH23"/>
    <mergeCell ref="BM23:BO23"/>
    <mergeCell ref="AE35:AG35"/>
    <mergeCell ref="AE36:AG36"/>
    <mergeCell ref="BQ24:BR24"/>
    <mergeCell ref="BU24:BW24"/>
    <mergeCell ref="BM25:BO25"/>
    <mergeCell ref="BQ25:BR25"/>
    <mergeCell ref="BU25:BW25"/>
    <mergeCell ref="BM26:BO26"/>
    <mergeCell ref="BQ26:BR26"/>
    <mergeCell ref="BU26:BW26"/>
    <mergeCell ref="AE32:AG32"/>
    <mergeCell ref="AE33:AG33"/>
    <mergeCell ref="A31:F33"/>
    <mergeCell ref="G31:O31"/>
    <mergeCell ref="Y31:AG31"/>
    <mergeCell ref="S34:U34"/>
    <mergeCell ref="V34:X34"/>
    <mergeCell ref="Y34:AA34"/>
    <mergeCell ref="AB34:AD34"/>
    <mergeCell ref="AE34:AG34"/>
    <mergeCell ref="G32:I33"/>
    <mergeCell ref="J32:L33"/>
    <mergeCell ref="M32:O32"/>
    <mergeCell ref="P32:R33"/>
    <mergeCell ref="S32:U33"/>
    <mergeCell ref="M33:O33"/>
    <mergeCell ref="G34:I34"/>
    <mergeCell ref="J34:L34"/>
    <mergeCell ref="M34:O34"/>
    <mergeCell ref="P34:R34"/>
    <mergeCell ref="V32:X32"/>
    <mergeCell ref="Y32:AA33"/>
    <mergeCell ref="AB32:AD33"/>
    <mergeCell ref="V33:X33"/>
    <mergeCell ref="C37:E37"/>
    <mergeCell ref="G37:I37"/>
    <mergeCell ref="J37:L37"/>
    <mergeCell ref="M37:O37"/>
    <mergeCell ref="P37:R37"/>
    <mergeCell ref="S37:U37"/>
    <mergeCell ref="V37:X37"/>
    <mergeCell ref="Y37:AA37"/>
    <mergeCell ref="S36:U36"/>
    <mergeCell ref="V36:X36"/>
    <mergeCell ref="Y36:AA36"/>
    <mergeCell ref="M36:O36"/>
    <mergeCell ref="P36:R36"/>
    <mergeCell ref="AB36:AD36"/>
    <mergeCell ref="S35:U35"/>
    <mergeCell ref="V35:X35"/>
    <mergeCell ref="C35:E35"/>
    <mergeCell ref="G35:I35"/>
    <mergeCell ref="J35:L35"/>
    <mergeCell ref="M35:O35"/>
    <mergeCell ref="C36:E36"/>
    <mergeCell ref="G36:I36"/>
    <mergeCell ref="J36:L36"/>
    <mergeCell ref="P35:R35"/>
    <mergeCell ref="AB35:AD35"/>
    <mergeCell ref="C39:E39"/>
    <mergeCell ref="G39:I39"/>
    <mergeCell ref="J39:L39"/>
    <mergeCell ref="M39:O39"/>
    <mergeCell ref="P39:R39"/>
    <mergeCell ref="AB37:AD37"/>
    <mergeCell ref="AE37:AG37"/>
    <mergeCell ref="A38:B40"/>
    <mergeCell ref="C38:E38"/>
    <mergeCell ref="G38:I38"/>
    <mergeCell ref="J38:L38"/>
    <mergeCell ref="M38:O38"/>
    <mergeCell ref="P38:R38"/>
    <mergeCell ref="S38:U38"/>
    <mergeCell ref="S39:U39"/>
    <mergeCell ref="V39:X39"/>
    <mergeCell ref="Y39:AA39"/>
    <mergeCell ref="AB39:AD39"/>
    <mergeCell ref="AE39:AG39"/>
    <mergeCell ref="V38:X38"/>
    <mergeCell ref="Y38:AA38"/>
    <mergeCell ref="AB38:AD38"/>
    <mergeCell ref="A34:B37"/>
    <mergeCell ref="C34:E34"/>
    <mergeCell ref="A41:E41"/>
    <mergeCell ref="G41:I41"/>
    <mergeCell ref="J41:L41"/>
    <mergeCell ref="M41:O41"/>
    <mergeCell ref="P41:R41"/>
    <mergeCell ref="C40:E40"/>
    <mergeCell ref="G40:I40"/>
    <mergeCell ref="J40:L40"/>
    <mergeCell ref="M40:O40"/>
    <mergeCell ref="P40:R40"/>
    <mergeCell ref="AH39:AS39"/>
    <mergeCell ref="AH40:AS40"/>
    <mergeCell ref="AH41:AS41"/>
    <mergeCell ref="AJ1:AS1"/>
    <mergeCell ref="AJ2:AS2"/>
    <mergeCell ref="P31:X31"/>
    <mergeCell ref="AH31:AS33"/>
    <mergeCell ref="AH34:AS34"/>
    <mergeCell ref="AH35:AS35"/>
    <mergeCell ref="AH36:AS36"/>
    <mergeCell ref="AH37:AS37"/>
    <mergeCell ref="AH38:AS38"/>
    <mergeCell ref="AE38:AG38"/>
    <mergeCell ref="S41:U41"/>
    <mergeCell ref="V41:X41"/>
    <mergeCell ref="Y41:AA41"/>
    <mergeCell ref="AB41:AD41"/>
    <mergeCell ref="AE41:AG41"/>
    <mergeCell ref="V40:X40"/>
    <mergeCell ref="Y40:AA40"/>
    <mergeCell ref="AB40:AD40"/>
    <mergeCell ref="AE40:AG40"/>
    <mergeCell ref="S40:U40"/>
    <mergeCell ref="Y35:AA35"/>
  </mergeCells>
  <phoneticPr fontId="1"/>
  <pageMargins left="0.78740157480314965" right="0.43307086614173229" top="0.78740157480314965" bottom="0.39370078740157483" header="0.43307086614173229" footer="0.19685039370078741"/>
  <pageSetup paperSize="9" scale="80" orientation="landscape" r:id="rId1"/>
  <headerFooter alignWithMargins="0"/>
  <colBreaks count="1" manualBreakCount="1">
    <brk id="46" max="4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3C29-CE64-4793-B42C-39535ACC96C0}">
  <dimension ref="A1:Y48"/>
  <sheetViews>
    <sheetView showGridLines="0" view="pageBreakPreview" zoomScaleNormal="100" zoomScaleSheetLayoutView="100" workbookViewId="0">
      <selection activeCell="P2" sqref="P2:R2"/>
    </sheetView>
  </sheetViews>
  <sheetFormatPr defaultColWidth="9" defaultRowHeight="11.25" customHeight="1"/>
  <cols>
    <col min="1" max="3" width="2.6640625" style="2" customWidth="1"/>
    <col min="4" max="4" width="13.6640625" style="2" customWidth="1"/>
    <col min="5" max="5" width="4.6640625" style="20" customWidth="1"/>
    <col min="6" max="6" width="4.77734375" style="20" customWidth="1"/>
    <col min="7" max="12" width="11.6640625" style="2" customWidth="1"/>
    <col min="13" max="15" width="8.44140625" style="2" customWidth="1"/>
    <col min="16" max="18" width="11.109375" style="2" customWidth="1"/>
    <col min="19" max="25" width="5.6640625" style="2" customWidth="1"/>
    <col min="26" max="16384" width="9" style="2"/>
  </cols>
  <sheetData>
    <row r="1" spans="1:25" ht="15" customHeight="1">
      <c r="A1" s="1" t="str">
        <f>No.1!A1&amp;"年産　米生産費統計（組織法人経営体）　個別結果検討表　№３"</f>
        <v>2019年産　米生産費統計（組織法人経営体）　個別結果検討表　№３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97" t="s">
        <v>154</v>
      </c>
      <c r="Q1" s="198"/>
      <c r="R1" s="199"/>
      <c r="X1" s="29"/>
      <c r="Y1" s="29"/>
    </row>
    <row r="2" spans="1:2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73" t="str">
        <f>IF(No.1!O2="","",No.1!O2)</f>
        <v/>
      </c>
      <c r="Q2" s="274"/>
      <c r="R2" s="275"/>
    </row>
    <row r="3" spans="1:2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/>
      <c r="O3" s="9"/>
      <c r="P3" s="3"/>
    </row>
    <row r="4" spans="1:25" ht="15" customHeight="1">
      <c r="A4" s="5" t="s">
        <v>224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25" ht="12.15" customHeight="1">
      <c r="A5" s="464"/>
      <c r="B5" s="465"/>
      <c r="C5" s="465"/>
      <c r="D5" s="465"/>
      <c r="E5" s="465"/>
      <c r="F5" s="465"/>
      <c r="G5" s="332">
        <f>No.1!H5</f>
        <v>19</v>
      </c>
      <c r="H5" s="513"/>
      <c r="I5" s="333"/>
      <c r="J5" s="332">
        <f>G5-1</f>
        <v>18</v>
      </c>
      <c r="K5" s="513"/>
      <c r="L5" s="485"/>
      <c r="M5" s="274" t="s">
        <v>52</v>
      </c>
      <c r="N5" s="274"/>
      <c r="O5" s="275"/>
      <c r="P5" s="409" t="s">
        <v>253</v>
      </c>
      <c r="Q5" s="410"/>
      <c r="R5" s="411"/>
    </row>
    <row r="6" spans="1:25" ht="10.5" customHeight="1">
      <c r="A6" s="478"/>
      <c r="B6" s="479"/>
      <c r="C6" s="479"/>
      <c r="D6" s="479"/>
      <c r="E6" s="479"/>
      <c r="F6" s="479"/>
      <c r="G6" s="70" t="s">
        <v>36</v>
      </c>
      <c r="H6" s="13" t="s">
        <v>13</v>
      </c>
      <c r="I6" s="10" t="s">
        <v>37</v>
      </c>
      <c r="J6" s="70" t="s">
        <v>36</v>
      </c>
      <c r="K6" s="13" t="s">
        <v>13</v>
      </c>
      <c r="L6" s="10" t="s">
        <v>37</v>
      </c>
      <c r="M6" s="14" t="s">
        <v>36</v>
      </c>
      <c r="N6" s="13" t="s">
        <v>13</v>
      </c>
      <c r="O6" s="6" t="s">
        <v>37</v>
      </c>
      <c r="P6" s="488"/>
      <c r="Q6" s="489"/>
      <c r="R6" s="490"/>
    </row>
    <row r="7" spans="1:25" ht="10.5" customHeight="1">
      <c r="A7" s="467"/>
      <c r="B7" s="468"/>
      <c r="C7" s="468"/>
      <c r="D7" s="468"/>
      <c r="E7" s="468"/>
      <c r="F7" s="468"/>
      <c r="G7" s="7" t="s">
        <v>198</v>
      </c>
      <c r="H7" s="15" t="s">
        <v>1</v>
      </c>
      <c r="I7" s="8" t="s">
        <v>1</v>
      </c>
      <c r="J7" s="7" t="s">
        <v>198</v>
      </c>
      <c r="K7" s="15" t="s">
        <v>1</v>
      </c>
      <c r="L7" s="8" t="s">
        <v>1</v>
      </c>
      <c r="M7" s="7" t="s">
        <v>197</v>
      </c>
      <c r="N7" s="15" t="s">
        <v>197</v>
      </c>
      <c r="O7" s="8" t="s">
        <v>197</v>
      </c>
      <c r="P7" s="412"/>
      <c r="Q7" s="413"/>
      <c r="R7" s="414"/>
    </row>
    <row r="8" spans="1:25" ht="12.75" customHeight="1">
      <c r="A8" s="507" t="s">
        <v>123</v>
      </c>
      <c r="B8" s="508" t="s">
        <v>124</v>
      </c>
      <c r="C8" s="510" t="s">
        <v>125</v>
      </c>
      <c r="D8" s="510"/>
      <c r="E8" s="511"/>
      <c r="F8" s="512"/>
      <c r="G8" s="166"/>
      <c r="H8" s="151"/>
      <c r="I8" s="155"/>
      <c r="J8" s="166"/>
      <c r="K8" s="151"/>
      <c r="L8" s="155"/>
      <c r="M8" s="178" t="str">
        <f>IF(G8="-", "-", IF(J8="-", "-", IF(ABS(J8)=0, "-", ROUND(100*(G8-J8)/ABS(J8),1))))</f>
        <v>-</v>
      </c>
      <c r="N8" s="134" t="str">
        <f>IF(H8="-", "-", IF(K8="-", "-", IF(ABS(K8)=0, "-", ROUND(100*(H8-K8)/ABS(K8),1))))</f>
        <v>-</v>
      </c>
      <c r="O8" s="129" t="str">
        <f>IF(I8="-", "-", IF(L8="-", "-", IF(ABS(L8)=0, "-", ROUND(100*(I8-L8)/ABS(L8),1))))</f>
        <v>-</v>
      </c>
      <c r="P8" s="390"/>
      <c r="Q8" s="391"/>
      <c r="R8" s="392"/>
    </row>
    <row r="9" spans="1:25" ht="12.75" customHeight="1">
      <c r="A9" s="500"/>
      <c r="B9" s="509"/>
      <c r="C9" s="495" t="s">
        <v>126</v>
      </c>
      <c r="D9" s="495"/>
      <c r="E9" s="311"/>
      <c r="F9" s="496"/>
      <c r="G9" s="166"/>
      <c r="H9" s="151"/>
      <c r="I9" s="155"/>
      <c r="J9" s="166"/>
      <c r="K9" s="151"/>
      <c r="L9" s="155"/>
      <c r="M9" s="153" t="str">
        <f t="shared" ref="M9:O25" si="0">IF(G9="-", "-", IF(J9="-", "-", IF(ABS(J9)=0, "-", ROUND(100*(G9-J9)/ABS(J9),1))))</f>
        <v>-</v>
      </c>
      <c r="N9" s="132" t="str">
        <f t="shared" si="0"/>
        <v>-</v>
      </c>
      <c r="O9" s="128" t="str">
        <f t="shared" si="0"/>
        <v>-</v>
      </c>
      <c r="P9" s="267"/>
      <c r="Q9" s="268"/>
      <c r="R9" s="269"/>
    </row>
    <row r="10" spans="1:25" ht="12.75" customHeight="1">
      <c r="A10" s="500"/>
      <c r="B10" s="509"/>
      <c r="C10" s="495" t="s">
        <v>127</v>
      </c>
      <c r="D10" s="495"/>
      <c r="E10" s="311"/>
      <c r="F10" s="496"/>
      <c r="G10" s="166"/>
      <c r="H10" s="151"/>
      <c r="I10" s="155"/>
      <c r="J10" s="166"/>
      <c r="K10" s="151"/>
      <c r="L10" s="155"/>
      <c r="M10" s="153" t="str">
        <f t="shared" si="0"/>
        <v>-</v>
      </c>
      <c r="N10" s="132" t="str">
        <f t="shared" si="0"/>
        <v>-</v>
      </c>
      <c r="O10" s="128" t="str">
        <f t="shared" si="0"/>
        <v>-</v>
      </c>
      <c r="P10" s="267"/>
      <c r="Q10" s="268"/>
      <c r="R10" s="269"/>
    </row>
    <row r="11" spans="1:25" ht="12.75" customHeight="1">
      <c r="A11" s="500"/>
      <c r="B11" s="509"/>
      <c r="C11" s="495" t="s">
        <v>128</v>
      </c>
      <c r="D11" s="495"/>
      <c r="E11" s="311"/>
      <c r="F11" s="496"/>
      <c r="G11" s="166"/>
      <c r="H11" s="151"/>
      <c r="I11" s="155"/>
      <c r="J11" s="166"/>
      <c r="K11" s="151"/>
      <c r="L11" s="155"/>
      <c r="M11" s="153" t="str">
        <f t="shared" si="0"/>
        <v>-</v>
      </c>
      <c r="N11" s="132" t="str">
        <f t="shared" si="0"/>
        <v>-</v>
      </c>
      <c r="O11" s="128" t="str">
        <f t="shared" si="0"/>
        <v>-</v>
      </c>
      <c r="P11" s="267"/>
      <c r="Q11" s="268"/>
      <c r="R11" s="269"/>
    </row>
    <row r="12" spans="1:25" ht="12.75" customHeight="1">
      <c r="A12" s="500"/>
      <c r="B12" s="509" t="s">
        <v>215</v>
      </c>
      <c r="C12" s="495" t="s">
        <v>129</v>
      </c>
      <c r="D12" s="495"/>
      <c r="E12" s="311"/>
      <c r="F12" s="496"/>
      <c r="G12" s="166"/>
      <c r="H12" s="151"/>
      <c r="I12" s="155"/>
      <c r="J12" s="166"/>
      <c r="K12" s="151"/>
      <c r="L12" s="155"/>
      <c r="M12" s="153" t="str">
        <f t="shared" si="0"/>
        <v>-</v>
      </c>
      <c r="N12" s="132" t="str">
        <f t="shared" si="0"/>
        <v>-</v>
      </c>
      <c r="O12" s="128" t="str">
        <f t="shared" si="0"/>
        <v>-</v>
      </c>
      <c r="P12" s="267"/>
      <c r="Q12" s="268"/>
      <c r="R12" s="269"/>
    </row>
    <row r="13" spans="1:25" ht="12.75" customHeight="1">
      <c r="A13" s="500"/>
      <c r="B13" s="509"/>
      <c r="C13" s="495" t="s">
        <v>130</v>
      </c>
      <c r="D13" s="495"/>
      <c r="E13" s="311"/>
      <c r="F13" s="496"/>
      <c r="G13" s="166"/>
      <c r="H13" s="151"/>
      <c r="I13" s="155"/>
      <c r="J13" s="166"/>
      <c r="K13" s="151"/>
      <c r="L13" s="155"/>
      <c r="M13" s="153" t="str">
        <f t="shared" si="0"/>
        <v>-</v>
      </c>
      <c r="N13" s="132" t="str">
        <f t="shared" si="0"/>
        <v>-</v>
      </c>
      <c r="O13" s="128" t="str">
        <f t="shared" si="0"/>
        <v>-</v>
      </c>
      <c r="P13" s="267"/>
      <c r="Q13" s="268"/>
      <c r="R13" s="269"/>
    </row>
    <row r="14" spans="1:25" ht="12.75" customHeight="1">
      <c r="A14" s="500"/>
      <c r="B14" s="509"/>
      <c r="C14" s="495" t="s">
        <v>131</v>
      </c>
      <c r="D14" s="495"/>
      <c r="E14" s="311"/>
      <c r="F14" s="496"/>
      <c r="G14" s="166"/>
      <c r="H14" s="151"/>
      <c r="I14" s="155"/>
      <c r="J14" s="166"/>
      <c r="K14" s="151"/>
      <c r="L14" s="155"/>
      <c r="M14" s="153" t="str">
        <f t="shared" si="0"/>
        <v>-</v>
      </c>
      <c r="N14" s="132" t="str">
        <f t="shared" si="0"/>
        <v>-</v>
      </c>
      <c r="O14" s="128" t="str">
        <f t="shared" si="0"/>
        <v>-</v>
      </c>
      <c r="P14" s="267"/>
      <c r="Q14" s="268"/>
      <c r="R14" s="269"/>
    </row>
    <row r="15" spans="1:25" ht="12.75" customHeight="1">
      <c r="A15" s="500"/>
      <c r="B15" s="509"/>
      <c r="C15" s="495" t="s">
        <v>128</v>
      </c>
      <c r="D15" s="495"/>
      <c r="E15" s="311"/>
      <c r="F15" s="496"/>
      <c r="G15" s="166"/>
      <c r="H15" s="151"/>
      <c r="I15" s="155"/>
      <c r="J15" s="166"/>
      <c r="K15" s="151"/>
      <c r="L15" s="155"/>
      <c r="M15" s="153" t="str">
        <f t="shared" si="0"/>
        <v>-</v>
      </c>
      <c r="N15" s="132" t="str">
        <f t="shared" si="0"/>
        <v>-</v>
      </c>
      <c r="O15" s="128" t="str">
        <f t="shared" si="0"/>
        <v>-</v>
      </c>
      <c r="P15" s="267"/>
      <c r="Q15" s="268"/>
      <c r="R15" s="269"/>
    </row>
    <row r="16" spans="1:25" ht="12.75" customHeight="1">
      <c r="A16" s="501"/>
      <c r="B16" s="497" t="s">
        <v>132</v>
      </c>
      <c r="C16" s="497"/>
      <c r="D16" s="497"/>
      <c r="E16" s="375"/>
      <c r="F16" s="498"/>
      <c r="G16" s="167"/>
      <c r="H16" s="156"/>
      <c r="I16" s="168"/>
      <c r="J16" s="167"/>
      <c r="K16" s="156"/>
      <c r="L16" s="168"/>
      <c r="M16" s="179" t="str">
        <f t="shared" si="0"/>
        <v>-</v>
      </c>
      <c r="N16" s="180" t="str">
        <f t="shared" si="0"/>
        <v>-</v>
      </c>
      <c r="O16" s="181" t="str">
        <f t="shared" si="0"/>
        <v>-</v>
      </c>
      <c r="P16" s="270"/>
      <c r="Q16" s="271"/>
      <c r="R16" s="272"/>
    </row>
    <row r="17" spans="1:25" ht="12.75" customHeight="1">
      <c r="A17" s="499" t="s">
        <v>133</v>
      </c>
      <c r="B17" s="502" t="s">
        <v>134</v>
      </c>
      <c r="C17" s="502" t="s">
        <v>240</v>
      </c>
      <c r="D17" s="502"/>
      <c r="E17" s="315"/>
      <c r="F17" s="503"/>
      <c r="G17" s="169"/>
      <c r="H17" s="149"/>
      <c r="I17" s="170"/>
      <c r="J17" s="171"/>
      <c r="K17" s="149"/>
      <c r="L17" s="170"/>
      <c r="M17" s="178" t="str">
        <f t="shared" si="0"/>
        <v>-</v>
      </c>
      <c r="N17" s="134" t="str">
        <f t="shared" si="0"/>
        <v>-</v>
      </c>
      <c r="O17" s="129" t="str">
        <f t="shared" si="0"/>
        <v>-</v>
      </c>
      <c r="P17" s="431"/>
      <c r="Q17" s="432"/>
      <c r="R17" s="433"/>
    </row>
    <row r="18" spans="1:25" ht="12.75" customHeight="1">
      <c r="A18" s="500"/>
      <c r="B18" s="495"/>
      <c r="C18" s="495" t="s">
        <v>131</v>
      </c>
      <c r="D18" s="495"/>
      <c r="E18" s="311"/>
      <c r="F18" s="496"/>
      <c r="G18" s="166"/>
      <c r="H18" s="151"/>
      <c r="I18" s="155"/>
      <c r="J18" s="166"/>
      <c r="K18" s="151"/>
      <c r="L18" s="155"/>
      <c r="M18" s="153" t="str">
        <f t="shared" si="0"/>
        <v>-</v>
      </c>
      <c r="N18" s="132" t="str">
        <f t="shared" si="0"/>
        <v>-</v>
      </c>
      <c r="O18" s="128" t="str">
        <f t="shared" si="0"/>
        <v>-</v>
      </c>
      <c r="P18" s="267"/>
      <c r="Q18" s="268"/>
      <c r="R18" s="269"/>
    </row>
    <row r="19" spans="1:25" ht="12.75" customHeight="1">
      <c r="A19" s="500"/>
      <c r="B19" s="504" t="s">
        <v>215</v>
      </c>
      <c r="C19" s="495" t="s">
        <v>135</v>
      </c>
      <c r="D19" s="495"/>
      <c r="E19" s="311"/>
      <c r="F19" s="496"/>
      <c r="G19" s="166"/>
      <c r="H19" s="172"/>
      <c r="I19" s="160"/>
      <c r="J19" s="166"/>
      <c r="K19" s="172"/>
      <c r="L19" s="160"/>
      <c r="M19" s="153" t="str">
        <f t="shared" si="0"/>
        <v>-</v>
      </c>
      <c r="N19" s="131"/>
      <c r="O19" s="130"/>
      <c r="P19" s="267"/>
      <c r="Q19" s="268"/>
      <c r="R19" s="269"/>
    </row>
    <row r="20" spans="1:25" ht="12.75" customHeight="1">
      <c r="A20" s="500"/>
      <c r="B20" s="505"/>
      <c r="C20" s="495" t="s">
        <v>136</v>
      </c>
      <c r="D20" s="495"/>
      <c r="E20" s="311"/>
      <c r="F20" s="496"/>
      <c r="G20" s="166"/>
      <c r="H20" s="151"/>
      <c r="I20" s="155"/>
      <c r="J20" s="166"/>
      <c r="K20" s="151"/>
      <c r="L20" s="155"/>
      <c r="M20" s="153" t="str">
        <f t="shared" si="0"/>
        <v>-</v>
      </c>
      <c r="N20" s="132" t="str">
        <f t="shared" si="0"/>
        <v>-</v>
      </c>
      <c r="O20" s="128" t="str">
        <f t="shared" si="0"/>
        <v>-</v>
      </c>
      <c r="P20" s="267"/>
      <c r="Q20" s="268"/>
      <c r="R20" s="269"/>
    </row>
    <row r="21" spans="1:25" ht="12.75" customHeight="1">
      <c r="A21" s="500"/>
      <c r="B21" s="506"/>
      <c r="C21" s="311" t="s">
        <v>241</v>
      </c>
      <c r="D21" s="312"/>
      <c r="E21" s="312"/>
      <c r="F21" s="383"/>
      <c r="G21" s="166"/>
      <c r="H21" s="172"/>
      <c r="I21" s="160"/>
      <c r="J21" s="166"/>
      <c r="K21" s="172"/>
      <c r="L21" s="160"/>
      <c r="M21" s="153" t="str">
        <f t="shared" si="0"/>
        <v>-</v>
      </c>
      <c r="N21" s="131"/>
      <c r="O21" s="130"/>
      <c r="P21" s="267"/>
      <c r="Q21" s="268"/>
      <c r="R21" s="269"/>
    </row>
    <row r="22" spans="1:25" ht="12.75" customHeight="1">
      <c r="A22" s="500"/>
      <c r="B22" s="495" t="s">
        <v>137</v>
      </c>
      <c r="C22" s="495"/>
      <c r="D22" s="495"/>
      <c r="E22" s="311"/>
      <c r="F22" s="496"/>
      <c r="G22" s="166"/>
      <c r="H22" s="151"/>
      <c r="I22" s="160"/>
      <c r="J22" s="166"/>
      <c r="K22" s="151"/>
      <c r="L22" s="160"/>
      <c r="M22" s="153" t="str">
        <f t="shared" si="0"/>
        <v>-</v>
      </c>
      <c r="N22" s="132" t="str">
        <f t="shared" si="0"/>
        <v>-</v>
      </c>
      <c r="O22" s="130"/>
      <c r="P22" s="267"/>
      <c r="Q22" s="268"/>
      <c r="R22" s="269"/>
    </row>
    <row r="23" spans="1:25" ht="12.75" customHeight="1">
      <c r="A23" s="500"/>
      <c r="B23" s="493" t="s">
        <v>138</v>
      </c>
      <c r="C23" s="493"/>
      <c r="D23" s="493"/>
      <c r="E23" s="400"/>
      <c r="F23" s="494"/>
      <c r="G23" s="166"/>
      <c r="H23" s="151"/>
      <c r="I23" s="155"/>
      <c r="J23" s="166"/>
      <c r="K23" s="151"/>
      <c r="L23" s="155"/>
      <c r="M23" s="153" t="str">
        <f t="shared" si="0"/>
        <v>-</v>
      </c>
      <c r="N23" s="132" t="str">
        <f t="shared" si="0"/>
        <v>-</v>
      </c>
      <c r="O23" s="128" t="str">
        <f t="shared" si="0"/>
        <v>-</v>
      </c>
      <c r="P23" s="267"/>
      <c r="Q23" s="268"/>
      <c r="R23" s="269"/>
    </row>
    <row r="24" spans="1:25" ht="12.75" customHeight="1">
      <c r="A24" s="500"/>
      <c r="B24" s="495" t="s">
        <v>139</v>
      </c>
      <c r="C24" s="495"/>
      <c r="D24" s="495"/>
      <c r="E24" s="311"/>
      <c r="F24" s="496"/>
      <c r="G24" s="166"/>
      <c r="H24" s="151"/>
      <c r="I24" s="155"/>
      <c r="J24" s="166"/>
      <c r="K24" s="151"/>
      <c r="L24" s="155"/>
      <c r="M24" s="153" t="str">
        <f t="shared" si="0"/>
        <v>-</v>
      </c>
      <c r="N24" s="132" t="str">
        <f t="shared" si="0"/>
        <v>-</v>
      </c>
      <c r="O24" s="128" t="str">
        <f t="shared" si="0"/>
        <v>-</v>
      </c>
      <c r="P24" s="267"/>
      <c r="Q24" s="268"/>
      <c r="R24" s="269"/>
    </row>
    <row r="25" spans="1:25" ht="12.75" customHeight="1">
      <c r="A25" s="501"/>
      <c r="B25" s="497" t="s">
        <v>132</v>
      </c>
      <c r="C25" s="497"/>
      <c r="D25" s="497"/>
      <c r="E25" s="375"/>
      <c r="F25" s="498"/>
      <c r="G25" s="173"/>
      <c r="H25" s="156"/>
      <c r="I25" s="164"/>
      <c r="J25" s="173"/>
      <c r="K25" s="156"/>
      <c r="L25" s="164"/>
      <c r="M25" s="163"/>
      <c r="N25" s="136" t="str">
        <f t="shared" si="0"/>
        <v>-</v>
      </c>
      <c r="O25" s="133"/>
      <c r="P25" s="270"/>
      <c r="Q25" s="271"/>
      <c r="R25" s="272"/>
    </row>
    <row r="26" spans="1:25" ht="12.75" customHeight="1">
      <c r="A26" s="52"/>
      <c r="B26" s="45"/>
      <c r="C26" s="45"/>
      <c r="D26" s="45"/>
      <c r="E26" s="45"/>
      <c r="F26" s="45"/>
      <c r="G26" s="16"/>
      <c r="H26" s="16"/>
      <c r="I26" s="51"/>
      <c r="J26" s="16"/>
      <c r="K26" s="16"/>
      <c r="L26" s="51"/>
      <c r="M26" s="48"/>
      <c r="N26" s="48"/>
      <c r="O26" s="48"/>
    </row>
    <row r="27" spans="1:25" ht="15" customHeight="1">
      <c r="A27" s="5" t="s">
        <v>34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2.15" customHeight="1">
      <c r="A28" s="464"/>
      <c r="B28" s="465"/>
      <c r="C28" s="465"/>
      <c r="D28" s="465"/>
      <c r="E28" s="465"/>
      <c r="F28" s="477"/>
      <c r="G28" s="482">
        <f>G5</f>
        <v>19</v>
      </c>
      <c r="H28" s="483"/>
      <c r="I28" s="484"/>
      <c r="J28" s="332">
        <f>J5</f>
        <v>18</v>
      </c>
      <c r="K28" s="333"/>
      <c r="L28" s="485"/>
      <c r="M28" s="486" t="s">
        <v>35</v>
      </c>
      <c r="N28" s="486"/>
      <c r="O28" s="487"/>
      <c r="P28" s="409" t="s">
        <v>253</v>
      </c>
      <c r="Q28" s="410"/>
      <c r="R28" s="411"/>
      <c r="S28" s="12"/>
      <c r="T28" s="12"/>
      <c r="U28" s="12"/>
      <c r="V28" s="12"/>
      <c r="W28" s="12"/>
      <c r="X28" s="12"/>
      <c r="Y28" s="12"/>
    </row>
    <row r="29" spans="1:25" ht="10.5" customHeight="1">
      <c r="A29" s="478"/>
      <c r="B29" s="479"/>
      <c r="C29" s="479"/>
      <c r="D29" s="479"/>
      <c r="E29" s="479"/>
      <c r="F29" s="480"/>
      <c r="G29" s="491" t="s">
        <v>36</v>
      </c>
      <c r="H29" s="13" t="s">
        <v>13</v>
      </c>
      <c r="I29" s="67" t="s">
        <v>37</v>
      </c>
      <c r="J29" s="491" t="s">
        <v>36</v>
      </c>
      <c r="K29" s="13" t="s">
        <v>13</v>
      </c>
      <c r="L29" s="10" t="s">
        <v>37</v>
      </c>
      <c r="M29" s="70" t="s">
        <v>36</v>
      </c>
      <c r="N29" s="13" t="s">
        <v>13</v>
      </c>
      <c r="O29" s="10" t="s">
        <v>37</v>
      </c>
      <c r="P29" s="488"/>
      <c r="Q29" s="489"/>
      <c r="R29" s="490"/>
      <c r="S29" s="12"/>
      <c r="T29" s="12"/>
      <c r="U29" s="12"/>
      <c r="V29" s="12"/>
      <c r="W29" s="12"/>
      <c r="X29" s="12"/>
      <c r="Y29" s="12"/>
    </row>
    <row r="30" spans="1:25" ht="10.5" customHeight="1">
      <c r="A30" s="467"/>
      <c r="B30" s="468"/>
      <c r="C30" s="468"/>
      <c r="D30" s="468"/>
      <c r="E30" s="468"/>
      <c r="F30" s="481"/>
      <c r="G30" s="492"/>
      <c r="H30" s="15" t="s">
        <v>1</v>
      </c>
      <c r="I30" s="68" t="s">
        <v>1</v>
      </c>
      <c r="J30" s="492"/>
      <c r="K30" s="15" t="s">
        <v>1</v>
      </c>
      <c r="L30" s="8" t="s">
        <v>1</v>
      </c>
      <c r="M30" s="7" t="s">
        <v>197</v>
      </c>
      <c r="N30" s="15" t="s">
        <v>197</v>
      </c>
      <c r="O30" s="8" t="s">
        <v>197</v>
      </c>
      <c r="P30" s="412"/>
      <c r="Q30" s="413"/>
      <c r="R30" s="414"/>
      <c r="S30" s="12"/>
      <c r="T30" s="12"/>
      <c r="U30" s="12"/>
      <c r="V30" s="12"/>
      <c r="W30" s="12"/>
      <c r="X30" s="12"/>
      <c r="Y30" s="12"/>
    </row>
    <row r="31" spans="1:25" ht="12.15" customHeight="1">
      <c r="A31" s="459" t="s">
        <v>2</v>
      </c>
      <c r="B31" s="460"/>
      <c r="C31" s="460"/>
      <c r="D31" s="460"/>
      <c r="E31" s="460"/>
      <c r="F31" s="23"/>
      <c r="G31" s="148"/>
      <c r="H31" s="149"/>
      <c r="I31" s="150"/>
      <c r="J31" s="148"/>
      <c r="K31" s="151"/>
      <c r="L31" s="152"/>
      <c r="M31" s="148"/>
      <c r="N31" s="134" t="str">
        <f t="shared" ref="M31:O48" si="1">IF(H31="-", "-", IF(K31="-", "-", IF(ABS(K31)=0, "-", ROUND(100*(H31-K31)/ABS(K31),1))))</f>
        <v>-</v>
      </c>
      <c r="O31" s="182"/>
      <c r="P31" s="390"/>
      <c r="Q31" s="391"/>
      <c r="R31" s="392"/>
    </row>
    <row r="32" spans="1:25" ht="12.15" customHeight="1">
      <c r="A32" s="44"/>
      <c r="B32" s="473" t="s">
        <v>38</v>
      </c>
      <c r="C32" s="474"/>
      <c r="D32" s="311" t="s">
        <v>39</v>
      </c>
      <c r="E32" s="312"/>
      <c r="F32" s="19" t="s">
        <v>233</v>
      </c>
      <c r="G32" s="153"/>
      <c r="H32" s="151"/>
      <c r="I32" s="154"/>
      <c r="J32" s="153"/>
      <c r="K32" s="151"/>
      <c r="L32" s="155"/>
      <c r="M32" s="153" t="str">
        <f t="shared" si="1"/>
        <v>-</v>
      </c>
      <c r="N32" s="132" t="str">
        <f t="shared" si="1"/>
        <v>-</v>
      </c>
      <c r="O32" s="128" t="str">
        <f t="shared" si="1"/>
        <v>-</v>
      </c>
      <c r="P32" s="267"/>
      <c r="Q32" s="268"/>
      <c r="R32" s="269"/>
    </row>
    <row r="33" spans="1:18" ht="12.15" customHeight="1">
      <c r="A33" s="44"/>
      <c r="B33" s="475"/>
      <c r="C33" s="476"/>
      <c r="D33" s="311" t="s">
        <v>243</v>
      </c>
      <c r="E33" s="312"/>
      <c r="F33" s="19" t="s">
        <v>233</v>
      </c>
      <c r="G33" s="153"/>
      <c r="H33" s="151"/>
      <c r="I33" s="155"/>
      <c r="J33" s="153"/>
      <c r="K33" s="151"/>
      <c r="L33" s="155"/>
      <c r="M33" s="153" t="str">
        <f t="shared" si="1"/>
        <v>-</v>
      </c>
      <c r="N33" s="132" t="str">
        <f t="shared" si="1"/>
        <v>-</v>
      </c>
      <c r="O33" s="128" t="str">
        <f t="shared" si="1"/>
        <v>-</v>
      </c>
      <c r="P33" s="267"/>
      <c r="Q33" s="268"/>
      <c r="R33" s="269"/>
    </row>
    <row r="34" spans="1:18" ht="12.15" customHeight="1">
      <c r="A34" s="44"/>
      <c r="B34" s="375" t="s">
        <v>40</v>
      </c>
      <c r="C34" s="302"/>
      <c r="D34" s="302"/>
      <c r="E34" s="302"/>
      <c r="F34" s="19" t="s">
        <v>199</v>
      </c>
      <c r="G34" s="153"/>
      <c r="H34" s="151"/>
      <c r="I34" s="155"/>
      <c r="J34" s="153"/>
      <c r="K34" s="156"/>
      <c r="L34" s="155"/>
      <c r="M34" s="179" t="str">
        <f t="shared" si="1"/>
        <v>-</v>
      </c>
      <c r="N34" s="180" t="str">
        <f t="shared" si="1"/>
        <v>-</v>
      </c>
      <c r="O34" s="181" t="str">
        <f t="shared" si="1"/>
        <v>-</v>
      </c>
      <c r="P34" s="377"/>
      <c r="Q34" s="378"/>
      <c r="R34" s="379"/>
    </row>
    <row r="35" spans="1:18" ht="12.15" customHeight="1">
      <c r="A35" s="459" t="s">
        <v>3</v>
      </c>
      <c r="B35" s="460"/>
      <c r="C35" s="460"/>
      <c r="D35" s="460"/>
      <c r="E35" s="460"/>
      <c r="F35" s="46"/>
      <c r="G35" s="148"/>
      <c r="H35" s="149"/>
      <c r="I35" s="157"/>
      <c r="J35" s="148"/>
      <c r="K35" s="158"/>
      <c r="L35" s="159"/>
      <c r="M35" s="148"/>
      <c r="N35" s="134" t="str">
        <f t="shared" si="1"/>
        <v>-</v>
      </c>
      <c r="O35" s="182"/>
      <c r="P35" s="282"/>
      <c r="Q35" s="283"/>
      <c r="R35" s="284"/>
    </row>
    <row r="36" spans="1:18" ht="12.15" customHeight="1">
      <c r="A36" s="44"/>
      <c r="B36" s="311" t="s">
        <v>148</v>
      </c>
      <c r="C36" s="312"/>
      <c r="D36" s="312"/>
      <c r="E36" s="312"/>
      <c r="F36" s="19" t="s">
        <v>233</v>
      </c>
      <c r="G36" s="153"/>
      <c r="H36" s="151"/>
      <c r="I36" s="155"/>
      <c r="J36" s="153"/>
      <c r="K36" s="151"/>
      <c r="L36" s="155"/>
      <c r="M36" s="153" t="str">
        <f t="shared" si="1"/>
        <v>-</v>
      </c>
      <c r="N36" s="132" t="str">
        <f t="shared" si="1"/>
        <v>-</v>
      </c>
      <c r="O36" s="128" t="str">
        <f t="shared" si="1"/>
        <v>-</v>
      </c>
      <c r="P36" s="267"/>
      <c r="Q36" s="268"/>
      <c r="R36" s="269"/>
    </row>
    <row r="37" spans="1:18" ht="12.15" customHeight="1">
      <c r="A37" s="44"/>
      <c r="B37" s="311" t="s">
        <v>149</v>
      </c>
      <c r="C37" s="312"/>
      <c r="D37" s="312"/>
      <c r="E37" s="312"/>
      <c r="F37" s="19" t="s">
        <v>233</v>
      </c>
      <c r="G37" s="153"/>
      <c r="H37" s="151"/>
      <c r="I37" s="155"/>
      <c r="J37" s="153"/>
      <c r="K37" s="151"/>
      <c r="L37" s="155"/>
      <c r="M37" s="153" t="str">
        <f t="shared" si="1"/>
        <v>-</v>
      </c>
      <c r="N37" s="132" t="str">
        <f t="shared" si="1"/>
        <v>-</v>
      </c>
      <c r="O37" s="128" t="str">
        <f t="shared" si="1"/>
        <v>-</v>
      </c>
      <c r="P37" s="267"/>
      <c r="Q37" s="268"/>
      <c r="R37" s="269"/>
    </row>
    <row r="38" spans="1:18" ht="12.15" customHeight="1">
      <c r="A38" s="44"/>
      <c r="B38" s="311" t="s">
        <v>151</v>
      </c>
      <c r="C38" s="312"/>
      <c r="D38" s="312"/>
      <c r="E38" s="312"/>
      <c r="F38" s="19" t="s">
        <v>233</v>
      </c>
      <c r="G38" s="153"/>
      <c r="H38" s="151"/>
      <c r="I38" s="155"/>
      <c r="J38" s="153"/>
      <c r="K38" s="151"/>
      <c r="L38" s="155"/>
      <c r="M38" s="153" t="str">
        <f t="shared" si="1"/>
        <v>-</v>
      </c>
      <c r="N38" s="132" t="str">
        <f t="shared" si="1"/>
        <v>-</v>
      </c>
      <c r="O38" s="128" t="str">
        <f t="shared" si="1"/>
        <v>-</v>
      </c>
      <c r="P38" s="267"/>
      <c r="Q38" s="268"/>
      <c r="R38" s="269"/>
    </row>
    <row r="39" spans="1:18" ht="12.15" customHeight="1">
      <c r="A39" s="44"/>
      <c r="B39" s="311" t="s">
        <v>150</v>
      </c>
      <c r="C39" s="312"/>
      <c r="D39" s="312"/>
      <c r="E39" s="312"/>
      <c r="F39" s="19" t="s">
        <v>233</v>
      </c>
      <c r="G39" s="153"/>
      <c r="H39" s="151"/>
      <c r="I39" s="155"/>
      <c r="J39" s="153"/>
      <c r="K39" s="151"/>
      <c r="L39" s="155"/>
      <c r="M39" s="153" t="str">
        <f t="shared" si="1"/>
        <v>-</v>
      </c>
      <c r="N39" s="132" t="str">
        <f t="shared" si="1"/>
        <v>-</v>
      </c>
      <c r="O39" s="128" t="str">
        <f t="shared" si="1"/>
        <v>-</v>
      </c>
      <c r="P39" s="267"/>
      <c r="Q39" s="268"/>
      <c r="R39" s="269"/>
    </row>
    <row r="40" spans="1:18" ht="12.15" customHeight="1">
      <c r="A40" s="44"/>
      <c r="B40" s="311" t="s">
        <v>41</v>
      </c>
      <c r="C40" s="312"/>
      <c r="D40" s="312"/>
      <c r="E40" s="312"/>
      <c r="F40" s="19" t="s">
        <v>233</v>
      </c>
      <c r="G40" s="153"/>
      <c r="H40" s="151"/>
      <c r="I40" s="155"/>
      <c r="J40" s="153"/>
      <c r="K40" s="151"/>
      <c r="L40" s="155"/>
      <c r="M40" s="153" t="str">
        <f t="shared" si="1"/>
        <v>-</v>
      </c>
      <c r="N40" s="132" t="str">
        <f t="shared" si="1"/>
        <v>-</v>
      </c>
      <c r="O40" s="128" t="str">
        <f t="shared" si="1"/>
        <v>-</v>
      </c>
      <c r="P40" s="267"/>
      <c r="Q40" s="268"/>
      <c r="R40" s="269"/>
    </row>
    <row r="41" spans="1:18" ht="12.15" customHeight="1">
      <c r="A41" s="44"/>
      <c r="B41" s="311" t="s">
        <v>152</v>
      </c>
      <c r="C41" s="312"/>
      <c r="D41" s="312"/>
      <c r="E41" s="312"/>
      <c r="F41" s="19" t="s">
        <v>233</v>
      </c>
      <c r="G41" s="153"/>
      <c r="H41" s="151"/>
      <c r="I41" s="155"/>
      <c r="J41" s="153"/>
      <c r="K41" s="151"/>
      <c r="L41" s="155"/>
      <c r="M41" s="153" t="str">
        <f t="shared" si="1"/>
        <v>-</v>
      </c>
      <c r="N41" s="132" t="str">
        <f t="shared" si="1"/>
        <v>-</v>
      </c>
      <c r="O41" s="128" t="str">
        <f t="shared" si="1"/>
        <v>-</v>
      </c>
      <c r="P41" s="267"/>
      <c r="Q41" s="268"/>
      <c r="R41" s="269"/>
    </row>
    <row r="42" spans="1:18" ht="12.15" customHeight="1">
      <c r="A42" s="44"/>
      <c r="B42" s="311" t="s">
        <v>42</v>
      </c>
      <c r="C42" s="312"/>
      <c r="D42" s="312"/>
      <c r="E42" s="312"/>
      <c r="F42" s="65"/>
      <c r="G42" s="138"/>
      <c r="H42" s="151"/>
      <c r="I42" s="160"/>
      <c r="J42" s="138"/>
      <c r="K42" s="151"/>
      <c r="L42" s="160"/>
      <c r="M42" s="138"/>
      <c r="N42" s="132" t="str">
        <f t="shared" si="1"/>
        <v>-</v>
      </c>
      <c r="O42" s="130"/>
      <c r="P42" s="267"/>
      <c r="Q42" s="268"/>
      <c r="R42" s="269"/>
    </row>
    <row r="43" spans="1:18" ht="12.15" customHeight="1">
      <c r="A43" s="44"/>
      <c r="B43" s="311" t="s">
        <v>43</v>
      </c>
      <c r="C43" s="312"/>
      <c r="D43" s="312"/>
      <c r="E43" s="312"/>
      <c r="F43" s="19" t="s">
        <v>233</v>
      </c>
      <c r="G43" s="153"/>
      <c r="H43" s="151"/>
      <c r="I43" s="161"/>
      <c r="J43" s="153"/>
      <c r="K43" s="151"/>
      <c r="L43" s="155"/>
      <c r="M43" s="153" t="str">
        <f t="shared" si="1"/>
        <v>-</v>
      </c>
      <c r="N43" s="132" t="str">
        <f t="shared" si="1"/>
        <v>-</v>
      </c>
      <c r="O43" s="128" t="str">
        <f t="shared" si="1"/>
        <v>-</v>
      </c>
      <c r="P43" s="267"/>
      <c r="Q43" s="268"/>
      <c r="R43" s="269"/>
    </row>
    <row r="44" spans="1:18" ht="12.15" customHeight="1">
      <c r="A44" s="44"/>
      <c r="B44" s="311" t="s">
        <v>44</v>
      </c>
      <c r="C44" s="312"/>
      <c r="D44" s="312"/>
      <c r="E44" s="312"/>
      <c r="F44" s="65"/>
      <c r="G44" s="138"/>
      <c r="H44" s="151"/>
      <c r="I44" s="162"/>
      <c r="J44" s="138"/>
      <c r="K44" s="151"/>
      <c r="L44" s="160"/>
      <c r="M44" s="138"/>
      <c r="N44" s="132" t="str">
        <f t="shared" si="1"/>
        <v>-</v>
      </c>
      <c r="O44" s="130"/>
      <c r="P44" s="267"/>
      <c r="Q44" s="268"/>
      <c r="R44" s="269"/>
    </row>
    <row r="45" spans="1:18" ht="12.15" customHeight="1">
      <c r="A45" s="44"/>
      <c r="B45" s="470" t="s">
        <v>243</v>
      </c>
      <c r="C45" s="311" t="s">
        <v>45</v>
      </c>
      <c r="D45" s="312"/>
      <c r="E45" s="312"/>
      <c r="F45" s="19" t="s">
        <v>233</v>
      </c>
      <c r="G45" s="153"/>
      <c r="H45" s="151"/>
      <c r="I45" s="155"/>
      <c r="J45" s="153"/>
      <c r="K45" s="151"/>
      <c r="L45" s="155"/>
      <c r="M45" s="153" t="str">
        <f t="shared" si="1"/>
        <v>-</v>
      </c>
      <c r="N45" s="132" t="str">
        <f t="shared" si="1"/>
        <v>-</v>
      </c>
      <c r="O45" s="128" t="str">
        <f t="shared" si="1"/>
        <v>-</v>
      </c>
      <c r="P45" s="267"/>
      <c r="Q45" s="268"/>
      <c r="R45" s="269"/>
    </row>
    <row r="46" spans="1:18" ht="12.15" customHeight="1">
      <c r="A46" s="44"/>
      <c r="B46" s="471"/>
      <c r="C46" s="311" t="s">
        <v>46</v>
      </c>
      <c r="D46" s="312"/>
      <c r="E46" s="312"/>
      <c r="F46" s="19" t="s">
        <v>233</v>
      </c>
      <c r="G46" s="153"/>
      <c r="H46" s="151"/>
      <c r="I46" s="155"/>
      <c r="J46" s="153"/>
      <c r="K46" s="151"/>
      <c r="L46" s="155"/>
      <c r="M46" s="153" t="str">
        <f t="shared" si="1"/>
        <v>-</v>
      </c>
      <c r="N46" s="132" t="str">
        <f t="shared" si="1"/>
        <v>-</v>
      </c>
      <c r="O46" s="128" t="str">
        <f t="shared" si="1"/>
        <v>-</v>
      </c>
      <c r="P46" s="267"/>
      <c r="Q46" s="268"/>
      <c r="R46" s="269"/>
    </row>
    <row r="47" spans="1:18" ht="12.15" customHeight="1">
      <c r="A47" s="44"/>
      <c r="B47" s="471"/>
      <c r="C47" s="311" t="s">
        <v>47</v>
      </c>
      <c r="D47" s="312"/>
      <c r="E47" s="312"/>
      <c r="F47" s="19" t="s">
        <v>233</v>
      </c>
      <c r="G47" s="153"/>
      <c r="H47" s="151"/>
      <c r="I47" s="155"/>
      <c r="J47" s="153"/>
      <c r="K47" s="151"/>
      <c r="L47" s="155"/>
      <c r="M47" s="153" t="str">
        <f t="shared" si="1"/>
        <v>-</v>
      </c>
      <c r="N47" s="132" t="str">
        <f t="shared" si="1"/>
        <v>-</v>
      </c>
      <c r="O47" s="128" t="str">
        <f t="shared" si="1"/>
        <v>-</v>
      </c>
      <c r="P47" s="267"/>
      <c r="Q47" s="268"/>
      <c r="R47" s="269"/>
    </row>
    <row r="48" spans="1:18" ht="12.15" customHeight="1">
      <c r="A48" s="11"/>
      <c r="B48" s="472"/>
      <c r="C48" s="375" t="s">
        <v>44</v>
      </c>
      <c r="D48" s="302"/>
      <c r="E48" s="302"/>
      <c r="F48" s="21"/>
      <c r="G48" s="163"/>
      <c r="H48" s="156"/>
      <c r="I48" s="164"/>
      <c r="J48" s="163"/>
      <c r="K48" s="156"/>
      <c r="L48" s="165"/>
      <c r="M48" s="163"/>
      <c r="N48" s="136" t="str">
        <f t="shared" si="1"/>
        <v>-</v>
      </c>
      <c r="O48" s="133"/>
      <c r="P48" s="270"/>
      <c r="Q48" s="271"/>
      <c r="R48" s="272"/>
    </row>
  </sheetData>
  <mergeCells count="94">
    <mergeCell ref="P1:R1"/>
    <mergeCell ref="P2:R2"/>
    <mergeCell ref="A5:F7"/>
    <mergeCell ref="G5:I5"/>
    <mergeCell ref="J5:L5"/>
    <mergeCell ref="M5:O5"/>
    <mergeCell ref="P5:R7"/>
    <mergeCell ref="C9:F9"/>
    <mergeCell ref="P9:R9"/>
    <mergeCell ref="C10:F10"/>
    <mergeCell ref="P10:R10"/>
    <mergeCell ref="C11:F11"/>
    <mergeCell ref="P11:R11"/>
    <mergeCell ref="B12:B15"/>
    <mergeCell ref="C12:F12"/>
    <mergeCell ref="P12:R12"/>
    <mergeCell ref="C13:F13"/>
    <mergeCell ref="P13:R13"/>
    <mergeCell ref="C14:F14"/>
    <mergeCell ref="P14:R14"/>
    <mergeCell ref="C15:F15"/>
    <mergeCell ref="P15:R15"/>
    <mergeCell ref="B22:F22"/>
    <mergeCell ref="P22:R22"/>
    <mergeCell ref="B16:F16"/>
    <mergeCell ref="P16:R16"/>
    <mergeCell ref="A17:A25"/>
    <mergeCell ref="B17:B18"/>
    <mergeCell ref="C17:F17"/>
    <mergeCell ref="P17:R17"/>
    <mergeCell ref="C18:F18"/>
    <mergeCell ref="P18:R18"/>
    <mergeCell ref="B19:B21"/>
    <mergeCell ref="C19:F19"/>
    <mergeCell ref="A8:A16"/>
    <mergeCell ref="B8:B11"/>
    <mergeCell ref="C8:F8"/>
    <mergeCell ref="P8:R8"/>
    <mergeCell ref="P19:R19"/>
    <mergeCell ref="C20:F20"/>
    <mergeCell ref="P20:R20"/>
    <mergeCell ref="C21:F21"/>
    <mergeCell ref="P21:R21"/>
    <mergeCell ref="B23:F23"/>
    <mergeCell ref="P23:R23"/>
    <mergeCell ref="B24:F24"/>
    <mergeCell ref="P24:R24"/>
    <mergeCell ref="B25:F25"/>
    <mergeCell ref="P25:R25"/>
    <mergeCell ref="A28:F30"/>
    <mergeCell ref="G28:I28"/>
    <mergeCell ref="J28:L28"/>
    <mergeCell ref="M28:O28"/>
    <mergeCell ref="P28:R30"/>
    <mergeCell ref="G29:G30"/>
    <mergeCell ref="J29:J30"/>
    <mergeCell ref="A31:E31"/>
    <mergeCell ref="P31:R31"/>
    <mergeCell ref="B32:C33"/>
    <mergeCell ref="D32:E32"/>
    <mergeCell ref="P32:R32"/>
    <mergeCell ref="D33:E33"/>
    <mergeCell ref="P33:R33"/>
    <mergeCell ref="B34:E34"/>
    <mergeCell ref="P34:R34"/>
    <mergeCell ref="A35:E35"/>
    <mergeCell ref="P35:R35"/>
    <mergeCell ref="B36:E36"/>
    <mergeCell ref="P36:R36"/>
    <mergeCell ref="B37:E37"/>
    <mergeCell ref="P37:R37"/>
    <mergeCell ref="B38:E38"/>
    <mergeCell ref="P38:R38"/>
    <mergeCell ref="B39:E39"/>
    <mergeCell ref="P39:R39"/>
    <mergeCell ref="B40:E40"/>
    <mergeCell ref="P40:R40"/>
    <mergeCell ref="B41:E41"/>
    <mergeCell ref="P41:R41"/>
    <mergeCell ref="B42:E42"/>
    <mergeCell ref="P42:R42"/>
    <mergeCell ref="P47:R47"/>
    <mergeCell ref="C48:E48"/>
    <mergeCell ref="P48:R48"/>
    <mergeCell ref="B43:E43"/>
    <mergeCell ref="P43:R43"/>
    <mergeCell ref="B44:E44"/>
    <mergeCell ref="P44:R44"/>
    <mergeCell ref="B45:B48"/>
    <mergeCell ref="C45:E45"/>
    <mergeCell ref="P45:R45"/>
    <mergeCell ref="C46:E46"/>
    <mergeCell ref="P46:R46"/>
    <mergeCell ref="C47:E47"/>
  </mergeCells>
  <phoneticPr fontId="1"/>
  <pageMargins left="0.78740157480314965" right="0.43307086614173229" top="0.78740157480314965" bottom="0.39370078740157483" header="0.43307086614173229" footer="0.19685039370078741"/>
  <pageSetup paperSize="9"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124F-9A07-4FB4-9861-2F11F398A23F}">
  <dimension ref="A1:AB47"/>
  <sheetViews>
    <sheetView showGridLines="0" view="pageBreakPreview" topLeftCell="I1" zoomScaleNormal="100" zoomScaleSheetLayoutView="100" workbookViewId="0">
      <selection activeCell="O44" sqref="O44:Q44"/>
    </sheetView>
  </sheetViews>
  <sheetFormatPr defaultColWidth="9" defaultRowHeight="15" customHeight="1"/>
  <cols>
    <col min="1" max="3" width="2.6640625" style="2" customWidth="1"/>
    <col min="4" max="4" width="17.6640625" style="2" customWidth="1"/>
    <col min="5" max="5" width="4.88671875" style="20" customWidth="1"/>
    <col min="6" max="6" width="11.109375" style="2" customWidth="1"/>
    <col min="7" max="8" width="10.44140625" style="2" customWidth="1"/>
    <col min="9" max="9" width="10.6640625" style="2" customWidth="1"/>
    <col min="10" max="10" width="10.109375" style="2" customWidth="1"/>
    <col min="11" max="11" width="10.44140625" style="2" customWidth="1"/>
    <col min="12" max="14" width="8.44140625" style="2" customWidth="1"/>
    <col min="15" max="17" width="11.109375" style="2" customWidth="1"/>
    <col min="18" max="18" width="2.44140625" style="2" customWidth="1"/>
    <col min="19" max="19" width="3.44140625" style="2" customWidth="1"/>
    <col min="20" max="21" width="8.6640625" style="2" customWidth="1"/>
    <col min="22" max="23" width="6.88671875" style="2" customWidth="1"/>
    <col min="24" max="28" width="5.6640625" style="2" customWidth="1"/>
    <col min="29" max="16384" width="9" style="2"/>
  </cols>
  <sheetData>
    <row r="1" spans="1:28" ht="15" customHeight="1">
      <c r="A1" s="1" t="str">
        <f>No.1!A1&amp;"年産　米生産費統計（組織法人経営体）　個別結果検討表　№４"</f>
        <v>2019年産　米生産費統計（組織法人経営体）　個別結果検討表　№４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97" t="s">
        <v>154</v>
      </c>
      <c r="P1" s="198"/>
      <c r="Q1" s="199"/>
      <c r="AA1" s="29"/>
      <c r="AB1" s="29"/>
    </row>
    <row r="2" spans="1:28" ht="1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273" t="str">
        <f>IF(No.1!O2="","",No.1!O2)</f>
        <v/>
      </c>
      <c r="P2" s="274"/>
      <c r="Q2" s="275"/>
    </row>
    <row r="3" spans="1:28" ht="15" customHeight="1">
      <c r="A3" s="4"/>
      <c r="B3" s="4"/>
      <c r="C3" s="4"/>
      <c r="D3" s="4"/>
      <c r="E3" s="4"/>
      <c r="F3" s="4"/>
      <c r="G3" s="4"/>
      <c r="H3" s="4"/>
      <c r="S3" s="3"/>
      <c r="T3" s="3"/>
      <c r="U3" s="3"/>
    </row>
    <row r="4" spans="1:28" ht="15" customHeight="1">
      <c r="A4" s="5" t="s">
        <v>245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ht="12.15" customHeight="1">
      <c r="A5" s="464"/>
      <c r="B5" s="465"/>
      <c r="C5" s="465"/>
      <c r="D5" s="465"/>
      <c r="E5" s="466"/>
      <c r="F5" s="332">
        <f>No.1!H5</f>
        <v>19</v>
      </c>
      <c r="G5" s="513"/>
      <c r="H5" s="333"/>
      <c r="I5" s="332">
        <f>F5-1</f>
        <v>18</v>
      </c>
      <c r="J5" s="513"/>
      <c r="K5" s="485"/>
      <c r="L5" s="273" t="s">
        <v>52</v>
      </c>
      <c r="M5" s="274"/>
      <c r="N5" s="275"/>
      <c r="O5" s="409" t="s">
        <v>253</v>
      </c>
      <c r="P5" s="410"/>
      <c r="Q5" s="411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10.5" customHeight="1">
      <c r="A6" s="478"/>
      <c r="B6" s="479"/>
      <c r="C6" s="479"/>
      <c r="D6" s="479"/>
      <c r="E6" s="522"/>
      <c r="F6" s="491" t="s">
        <v>36</v>
      </c>
      <c r="G6" s="13" t="s">
        <v>13</v>
      </c>
      <c r="H6" s="10" t="s">
        <v>37</v>
      </c>
      <c r="I6" s="491" t="s">
        <v>36</v>
      </c>
      <c r="J6" s="13" t="s">
        <v>13</v>
      </c>
      <c r="K6" s="10" t="s">
        <v>37</v>
      </c>
      <c r="L6" s="14" t="s">
        <v>36</v>
      </c>
      <c r="M6" s="13" t="s">
        <v>13</v>
      </c>
      <c r="N6" s="6" t="s">
        <v>37</v>
      </c>
      <c r="O6" s="488"/>
      <c r="P6" s="489"/>
      <c r="Q6" s="490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10.5" customHeight="1">
      <c r="A7" s="467"/>
      <c r="B7" s="468"/>
      <c r="C7" s="468"/>
      <c r="D7" s="468"/>
      <c r="E7" s="469"/>
      <c r="F7" s="492"/>
      <c r="G7" s="15" t="s">
        <v>1</v>
      </c>
      <c r="H7" s="8" t="s">
        <v>1</v>
      </c>
      <c r="I7" s="492"/>
      <c r="J7" s="15" t="s">
        <v>1</v>
      </c>
      <c r="K7" s="8" t="s">
        <v>1</v>
      </c>
      <c r="L7" s="7" t="s">
        <v>197</v>
      </c>
      <c r="M7" s="15" t="s">
        <v>197</v>
      </c>
      <c r="N7" s="8" t="s">
        <v>197</v>
      </c>
      <c r="O7" s="412"/>
      <c r="P7" s="413"/>
      <c r="Q7" s="414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12.15" customHeight="1">
      <c r="A8" s="459" t="s">
        <v>4</v>
      </c>
      <c r="B8" s="460"/>
      <c r="C8" s="460"/>
      <c r="D8" s="460"/>
      <c r="E8" s="46"/>
      <c r="F8" s="148"/>
      <c r="G8" s="149"/>
      <c r="H8" s="152"/>
      <c r="I8" s="148"/>
      <c r="J8" s="158"/>
      <c r="K8" s="159"/>
      <c r="L8" s="148"/>
      <c r="M8" s="134" t="str">
        <f t="shared" ref="M8:M46" si="0">IF(G8="-", "-", IF(J8="-", "-", IF(ABS(J8)=0, "-", ROUND(100*(G8-J8)/ABS(J8),1))))</f>
        <v>-</v>
      </c>
      <c r="N8" s="182"/>
      <c r="O8" s="390"/>
      <c r="P8" s="391"/>
      <c r="Q8" s="392"/>
    </row>
    <row r="9" spans="1:28" ht="12.15" customHeight="1">
      <c r="A9" s="44"/>
      <c r="B9" s="311" t="s">
        <v>48</v>
      </c>
      <c r="C9" s="312"/>
      <c r="D9" s="312"/>
      <c r="E9" s="19"/>
      <c r="F9" s="138"/>
      <c r="G9" s="151"/>
      <c r="H9" s="162"/>
      <c r="I9" s="138"/>
      <c r="J9" s="151"/>
      <c r="K9" s="160"/>
      <c r="L9" s="138"/>
      <c r="M9" s="132" t="str">
        <f t="shared" si="0"/>
        <v>-</v>
      </c>
      <c r="N9" s="130"/>
      <c r="O9" s="267"/>
      <c r="P9" s="268"/>
      <c r="Q9" s="269"/>
    </row>
    <row r="10" spans="1:28" ht="12.15" customHeight="1">
      <c r="A10" s="44"/>
      <c r="B10" s="311" t="s">
        <v>49</v>
      </c>
      <c r="C10" s="312"/>
      <c r="D10" s="312"/>
      <c r="E10" s="19"/>
      <c r="F10" s="138"/>
      <c r="G10" s="151"/>
      <c r="H10" s="162"/>
      <c r="I10" s="138"/>
      <c r="J10" s="151"/>
      <c r="K10" s="160"/>
      <c r="L10" s="138"/>
      <c r="M10" s="132" t="str">
        <f t="shared" si="0"/>
        <v>-</v>
      </c>
      <c r="N10" s="130"/>
      <c r="O10" s="267"/>
      <c r="P10" s="268"/>
      <c r="Q10" s="269"/>
    </row>
    <row r="11" spans="1:28" ht="12.15" customHeight="1">
      <c r="A11" s="44"/>
      <c r="B11" s="311" t="s">
        <v>50</v>
      </c>
      <c r="C11" s="312"/>
      <c r="D11" s="312"/>
      <c r="E11" s="19"/>
      <c r="F11" s="138"/>
      <c r="G11" s="151"/>
      <c r="H11" s="162"/>
      <c r="I11" s="138"/>
      <c r="J11" s="151"/>
      <c r="K11" s="160"/>
      <c r="L11" s="138"/>
      <c r="M11" s="132" t="str">
        <f t="shared" si="0"/>
        <v>-</v>
      </c>
      <c r="N11" s="130"/>
      <c r="O11" s="267"/>
      <c r="P11" s="268"/>
      <c r="Q11" s="269"/>
    </row>
    <row r="12" spans="1:28" ht="12.15" customHeight="1">
      <c r="A12" s="44"/>
      <c r="B12" s="311" t="s">
        <v>51</v>
      </c>
      <c r="C12" s="312"/>
      <c r="D12" s="312"/>
      <c r="E12" s="19"/>
      <c r="F12" s="138"/>
      <c r="G12" s="151"/>
      <c r="H12" s="162"/>
      <c r="I12" s="138"/>
      <c r="J12" s="151"/>
      <c r="K12" s="160"/>
      <c r="L12" s="138"/>
      <c r="M12" s="132" t="str">
        <f t="shared" si="0"/>
        <v>-</v>
      </c>
      <c r="N12" s="130"/>
      <c r="O12" s="267"/>
      <c r="P12" s="268"/>
      <c r="Q12" s="269"/>
    </row>
    <row r="13" spans="1:28" ht="12.15" customHeight="1">
      <c r="A13" s="11"/>
      <c r="B13" s="375" t="s">
        <v>44</v>
      </c>
      <c r="C13" s="302"/>
      <c r="D13" s="302"/>
      <c r="E13" s="21"/>
      <c r="F13" s="163"/>
      <c r="G13" s="151"/>
      <c r="H13" s="164"/>
      <c r="I13" s="163"/>
      <c r="J13" s="156"/>
      <c r="K13" s="165"/>
      <c r="L13" s="163"/>
      <c r="M13" s="180" t="str">
        <f t="shared" si="0"/>
        <v>-</v>
      </c>
      <c r="N13" s="133"/>
      <c r="O13" s="270"/>
      <c r="P13" s="271"/>
      <c r="Q13" s="272"/>
    </row>
    <row r="14" spans="1:28" ht="12.15" customHeight="1">
      <c r="A14" s="459" t="s">
        <v>53</v>
      </c>
      <c r="B14" s="460"/>
      <c r="C14" s="460"/>
      <c r="D14" s="460"/>
      <c r="E14" s="46"/>
      <c r="F14" s="148"/>
      <c r="G14" s="174"/>
      <c r="H14" s="152"/>
      <c r="I14" s="148"/>
      <c r="J14" s="174"/>
      <c r="K14" s="152"/>
      <c r="L14" s="183"/>
      <c r="M14" s="134" t="str">
        <f t="shared" si="0"/>
        <v>-</v>
      </c>
      <c r="N14" s="182"/>
      <c r="O14" s="431"/>
      <c r="P14" s="432"/>
      <c r="Q14" s="433"/>
    </row>
    <row r="15" spans="1:28" ht="12.15" customHeight="1">
      <c r="A15" s="44"/>
      <c r="B15" s="519" t="s">
        <v>54</v>
      </c>
      <c r="C15" s="311" t="s">
        <v>55</v>
      </c>
      <c r="D15" s="312"/>
      <c r="E15" s="19" t="s">
        <v>232</v>
      </c>
      <c r="F15" s="153"/>
      <c r="G15" s="151"/>
      <c r="H15" s="155"/>
      <c r="I15" s="153"/>
      <c r="J15" s="151"/>
      <c r="K15" s="155"/>
      <c r="L15" s="153" t="str">
        <f>IF(F15="-", "-", IF(I15="-", "-", IF(ABS(I15)=0, "-", ROUND(100*(F15-I15)/ABS(I15),1))))</f>
        <v>-</v>
      </c>
      <c r="M15" s="132" t="str">
        <f t="shared" si="0"/>
        <v>-</v>
      </c>
      <c r="N15" s="132" t="str">
        <f t="shared" ref="N15:N20" si="1">IF(H15="-", "-", IF(K15="-", "-", IF(ABS(K15)=0, "-", ROUND(100*(H15-K15)/ABS(K15),1))))</f>
        <v>-</v>
      </c>
      <c r="O15" s="267"/>
      <c r="P15" s="268"/>
      <c r="Q15" s="269"/>
    </row>
    <row r="16" spans="1:28" ht="12.15" customHeight="1">
      <c r="A16" s="44"/>
      <c r="B16" s="520"/>
      <c r="C16" s="311" t="s">
        <v>56</v>
      </c>
      <c r="D16" s="312"/>
      <c r="E16" s="19" t="s">
        <v>232</v>
      </c>
      <c r="F16" s="153"/>
      <c r="G16" s="151"/>
      <c r="H16" s="155"/>
      <c r="I16" s="153"/>
      <c r="J16" s="151"/>
      <c r="K16" s="155"/>
      <c r="L16" s="153" t="str">
        <f t="shared" ref="L16:L20" si="2">IF(F16="-", "-", IF(I16="-", "-", IF(ABS(I16)=0, "-", ROUND(100*(F16-I16)/ABS(I16),1))))</f>
        <v>-</v>
      </c>
      <c r="M16" s="132" t="str">
        <f t="shared" si="0"/>
        <v>-</v>
      </c>
      <c r="N16" s="132" t="str">
        <f t="shared" si="1"/>
        <v>-</v>
      </c>
      <c r="O16" s="267"/>
      <c r="P16" s="268"/>
      <c r="Q16" s="269"/>
    </row>
    <row r="17" spans="1:17" ht="12.15" customHeight="1">
      <c r="A17" s="44"/>
      <c r="B17" s="520"/>
      <c r="C17" s="311" t="s">
        <v>57</v>
      </c>
      <c r="D17" s="312"/>
      <c r="E17" s="19" t="s">
        <v>232</v>
      </c>
      <c r="F17" s="153"/>
      <c r="G17" s="151"/>
      <c r="H17" s="155"/>
      <c r="I17" s="153"/>
      <c r="J17" s="151"/>
      <c r="K17" s="155"/>
      <c r="L17" s="153" t="str">
        <f t="shared" si="2"/>
        <v>-</v>
      </c>
      <c r="M17" s="132" t="str">
        <f t="shared" si="0"/>
        <v>-</v>
      </c>
      <c r="N17" s="132" t="str">
        <f t="shared" si="1"/>
        <v>-</v>
      </c>
      <c r="O17" s="267"/>
      <c r="P17" s="268"/>
      <c r="Q17" s="269"/>
    </row>
    <row r="18" spans="1:17" ht="12.15" customHeight="1">
      <c r="A18" s="44"/>
      <c r="B18" s="520"/>
      <c r="C18" s="311" t="s">
        <v>200</v>
      </c>
      <c r="D18" s="312"/>
      <c r="E18" s="19" t="s">
        <v>232</v>
      </c>
      <c r="F18" s="153"/>
      <c r="G18" s="151"/>
      <c r="H18" s="155"/>
      <c r="I18" s="153"/>
      <c r="J18" s="151"/>
      <c r="K18" s="155"/>
      <c r="L18" s="153" t="str">
        <f t="shared" si="2"/>
        <v>-</v>
      </c>
      <c r="M18" s="132" t="str">
        <f t="shared" si="0"/>
        <v>-</v>
      </c>
      <c r="N18" s="132" t="str">
        <f t="shared" si="1"/>
        <v>-</v>
      </c>
      <c r="O18" s="267"/>
      <c r="P18" s="268"/>
      <c r="Q18" s="269"/>
    </row>
    <row r="19" spans="1:17" ht="12.15" customHeight="1">
      <c r="A19" s="44"/>
      <c r="B19" s="520"/>
      <c r="C19" s="311" t="s">
        <v>58</v>
      </c>
      <c r="D19" s="312"/>
      <c r="E19" s="19" t="s">
        <v>232</v>
      </c>
      <c r="F19" s="153"/>
      <c r="G19" s="151"/>
      <c r="H19" s="155"/>
      <c r="I19" s="153"/>
      <c r="J19" s="151"/>
      <c r="K19" s="155"/>
      <c r="L19" s="153" t="str">
        <f t="shared" si="2"/>
        <v>-</v>
      </c>
      <c r="M19" s="132" t="str">
        <f t="shared" si="0"/>
        <v>-</v>
      </c>
      <c r="N19" s="132" t="str">
        <f t="shared" si="1"/>
        <v>-</v>
      </c>
      <c r="O19" s="267"/>
      <c r="P19" s="268"/>
      <c r="Q19" s="269"/>
    </row>
    <row r="20" spans="1:17" ht="12.15" customHeight="1">
      <c r="A20" s="44"/>
      <c r="B20" s="521"/>
      <c r="C20" s="311" t="s">
        <v>59</v>
      </c>
      <c r="D20" s="312"/>
      <c r="E20" s="19" t="s">
        <v>232</v>
      </c>
      <c r="F20" s="153"/>
      <c r="G20" s="151"/>
      <c r="H20" s="155"/>
      <c r="I20" s="153"/>
      <c r="J20" s="151"/>
      <c r="K20" s="155"/>
      <c r="L20" s="153" t="str">
        <f t="shared" si="2"/>
        <v>-</v>
      </c>
      <c r="M20" s="132" t="str">
        <f t="shared" si="0"/>
        <v>-</v>
      </c>
      <c r="N20" s="132" t="str">
        <f t="shared" si="1"/>
        <v>-</v>
      </c>
      <c r="O20" s="267"/>
      <c r="P20" s="268"/>
      <c r="Q20" s="269"/>
    </row>
    <row r="21" spans="1:17" ht="12.15" customHeight="1">
      <c r="A21" s="44"/>
      <c r="B21" s="311" t="s">
        <v>60</v>
      </c>
      <c r="C21" s="312"/>
      <c r="D21" s="312"/>
      <c r="E21" s="19"/>
      <c r="F21" s="138"/>
      <c r="G21" s="151"/>
      <c r="H21" s="162"/>
      <c r="I21" s="138"/>
      <c r="J21" s="151"/>
      <c r="K21" s="162"/>
      <c r="L21" s="138"/>
      <c r="M21" s="132" t="str">
        <f t="shared" si="0"/>
        <v>-</v>
      </c>
      <c r="N21" s="130"/>
      <c r="O21" s="267"/>
      <c r="P21" s="268"/>
      <c r="Q21" s="269"/>
    </row>
    <row r="22" spans="1:17" ht="12.15" customHeight="1">
      <c r="A22" s="44"/>
      <c r="B22" s="311" t="s">
        <v>44</v>
      </c>
      <c r="C22" s="312"/>
      <c r="D22" s="312"/>
      <c r="E22" s="19"/>
      <c r="F22" s="138"/>
      <c r="G22" s="151"/>
      <c r="H22" s="162"/>
      <c r="I22" s="138"/>
      <c r="J22" s="151"/>
      <c r="K22" s="162"/>
      <c r="L22" s="138"/>
      <c r="M22" s="132" t="str">
        <f t="shared" si="0"/>
        <v>-</v>
      </c>
      <c r="N22" s="130"/>
      <c r="O22" s="267"/>
      <c r="P22" s="268"/>
      <c r="Q22" s="269"/>
    </row>
    <row r="23" spans="1:17" ht="12.15" customHeight="1">
      <c r="A23" s="11"/>
      <c r="B23" s="375" t="s">
        <v>243</v>
      </c>
      <c r="C23" s="302"/>
      <c r="D23" s="302"/>
      <c r="E23" s="21"/>
      <c r="F23" s="175"/>
      <c r="G23" s="156"/>
      <c r="H23" s="176"/>
      <c r="I23" s="175"/>
      <c r="J23" s="156"/>
      <c r="K23" s="176"/>
      <c r="L23" s="175"/>
      <c r="M23" s="180" t="str">
        <f t="shared" si="0"/>
        <v>-</v>
      </c>
      <c r="N23" s="184"/>
      <c r="O23" s="377"/>
      <c r="P23" s="378"/>
      <c r="Q23" s="379"/>
    </row>
    <row r="24" spans="1:17" ht="12.15" customHeight="1">
      <c r="A24" s="459" t="s">
        <v>235</v>
      </c>
      <c r="B24" s="460"/>
      <c r="C24" s="460"/>
      <c r="D24" s="460"/>
      <c r="E24" s="46"/>
      <c r="F24" s="148"/>
      <c r="G24" s="158"/>
      <c r="H24" s="152"/>
      <c r="I24" s="148"/>
      <c r="J24" s="158"/>
      <c r="K24" s="152"/>
      <c r="L24" s="148"/>
      <c r="M24" s="134" t="str">
        <f t="shared" si="0"/>
        <v>-</v>
      </c>
      <c r="N24" s="182"/>
      <c r="O24" s="282"/>
      <c r="P24" s="283"/>
      <c r="Q24" s="284"/>
    </row>
    <row r="25" spans="1:17" ht="12.15" customHeight="1">
      <c r="A25" s="44"/>
      <c r="B25" s="517" t="s">
        <v>153</v>
      </c>
      <c r="C25" s="518"/>
      <c r="D25" s="518"/>
      <c r="E25" s="26" t="s">
        <v>233</v>
      </c>
      <c r="F25" s="153"/>
      <c r="G25" s="151"/>
      <c r="H25" s="155"/>
      <c r="I25" s="153"/>
      <c r="J25" s="151"/>
      <c r="K25" s="155"/>
      <c r="L25" s="153" t="str">
        <f>IF(F25="-", "-", IF(I25="-", "-", IF(ABS(I25)=0, "-", ROUND(100*(F25-I25)/ABS(I25),1))))</f>
        <v>-</v>
      </c>
      <c r="M25" s="132" t="str">
        <f t="shared" si="0"/>
        <v>-</v>
      </c>
      <c r="N25" s="132" t="str">
        <f>IF(H25="-", "-", IF(K25="-", "-", IF(ABS(K25)=0, "-", ROUND(100*(H25-K25)/ABS(K25),1))))</f>
        <v>-</v>
      </c>
      <c r="O25" s="267"/>
      <c r="P25" s="268"/>
      <c r="Q25" s="269"/>
    </row>
    <row r="26" spans="1:17" ht="12.15" customHeight="1">
      <c r="A26" s="44"/>
      <c r="B26" s="311" t="s">
        <v>44</v>
      </c>
      <c r="C26" s="312"/>
      <c r="D26" s="312"/>
      <c r="E26" s="19"/>
      <c r="F26" s="138"/>
      <c r="G26" s="151"/>
      <c r="H26" s="162"/>
      <c r="I26" s="138"/>
      <c r="J26" s="151"/>
      <c r="K26" s="162"/>
      <c r="L26" s="138"/>
      <c r="M26" s="132" t="str">
        <f t="shared" si="0"/>
        <v>-</v>
      </c>
      <c r="N26" s="130"/>
      <c r="O26" s="267"/>
      <c r="P26" s="268"/>
      <c r="Q26" s="269"/>
    </row>
    <row r="27" spans="1:17" ht="12.15" customHeight="1">
      <c r="A27" s="11"/>
      <c r="B27" s="375" t="s">
        <v>243</v>
      </c>
      <c r="C27" s="302"/>
      <c r="D27" s="302"/>
      <c r="E27" s="21"/>
      <c r="F27" s="175"/>
      <c r="G27" s="156"/>
      <c r="H27" s="176"/>
      <c r="I27" s="175"/>
      <c r="J27" s="156"/>
      <c r="K27" s="176"/>
      <c r="L27" s="175"/>
      <c r="M27" s="180" t="str">
        <f t="shared" si="0"/>
        <v>-</v>
      </c>
      <c r="N27" s="184"/>
      <c r="O27" s="270"/>
      <c r="P27" s="271"/>
      <c r="Q27" s="272"/>
    </row>
    <row r="28" spans="1:17" ht="12.15" customHeight="1">
      <c r="A28" s="459" t="s">
        <v>5</v>
      </c>
      <c r="B28" s="460"/>
      <c r="C28" s="460"/>
      <c r="D28" s="460"/>
      <c r="E28" s="46"/>
      <c r="F28" s="148"/>
      <c r="G28" s="158"/>
      <c r="H28" s="152"/>
      <c r="I28" s="148"/>
      <c r="J28" s="158"/>
      <c r="K28" s="152"/>
      <c r="L28" s="148"/>
      <c r="M28" s="134" t="str">
        <f t="shared" si="0"/>
        <v>-</v>
      </c>
      <c r="N28" s="182"/>
      <c r="O28" s="431"/>
      <c r="P28" s="432"/>
      <c r="Q28" s="433"/>
    </row>
    <row r="29" spans="1:17" ht="12.15" customHeight="1">
      <c r="A29" s="44"/>
      <c r="B29" s="439" t="s">
        <v>201</v>
      </c>
      <c r="C29" s="514"/>
      <c r="D29" s="43" t="s">
        <v>61</v>
      </c>
      <c r="E29" s="19"/>
      <c r="F29" s="138"/>
      <c r="G29" s="151"/>
      <c r="H29" s="177"/>
      <c r="I29" s="138"/>
      <c r="J29" s="151"/>
      <c r="K29" s="177"/>
      <c r="L29" s="138"/>
      <c r="M29" s="132" t="str">
        <f t="shared" si="0"/>
        <v>-</v>
      </c>
      <c r="N29" s="130"/>
      <c r="O29" s="267"/>
      <c r="P29" s="268"/>
      <c r="Q29" s="269"/>
    </row>
    <row r="30" spans="1:17" ht="12.15" customHeight="1">
      <c r="A30" s="44"/>
      <c r="B30" s="451"/>
      <c r="C30" s="452"/>
      <c r="D30" s="43" t="s">
        <v>62</v>
      </c>
      <c r="E30" s="19"/>
      <c r="F30" s="138"/>
      <c r="G30" s="151"/>
      <c r="H30" s="177"/>
      <c r="I30" s="138"/>
      <c r="J30" s="151"/>
      <c r="K30" s="177"/>
      <c r="L30" s="138"/>
      <c r="M30" s="132" t="str">
        <f t="shared" si="0"/>
        <v>-</v>
      </c>
      <c r="N30" s="130"/>
      <c r="O30" s="267"/>
      <c r="P30" s="268"/>
      <c r="Q30" s="269"/>
    </row>
    <row r="31" spans="1:17" ht="12.15" customHeight="1">
      <c r="A31" s="18"/>
      <c r="B31" s="311" t="s">
        <v>63</v>
      </c>
      <c r="C31" s="312"/>
      <c r="D31" s="312"/>
      <c r="E31" s="19"/>
      <c r="F31" s="138"/>
      <c r="G31" s="151"/>
      <c r="H31" s="162"/>
      <c r="I31" s="138"/>
      <c r="J31" s="151"/>
      <c r="K31" s="162"/>
      <c r="L31" s="138"/>
      <c r="M31" s="132" t="str">
        <f t="shared" si="0"/>
        <v>-</v>
      </c>
      <c r="N31" s="130"/>
      <c r="O31" s="267"/>
      <c r="P31" s="268"/>
      <c r="Q31" s="269"/>
    </row>
    <row r="32" spans="1:17" ht="12.15" customHeight="1">
      <c r="A32" s="18"/>
      <c r="B32" s="311" t="s">
        <v>64</v>
      </c>
      <c r="C32" s="312"/>
      <c r="D32" s="312"/>
      <c r="E32" s="19"/>
      <c r="F32" s="138"/>
      <c r="G32" s="151"/>
      <c r="H32" s="162"/>
      <c r="I32" s="138"/>
      <c r="J32" s="151"/>
      <c r="K32" s="162"/>
      <c r="L32" s="138"/>
      <c r="M32" s="132" t="str">
        <f t="shared" si="0"/>
        <v>-</v>
      </c>
      <c r="N32" s="130"/>
      <c r="O32" s="267"/>
      <c r="P32" s="268"/>
      <c r="Q32" s="269"/>
    </row>
    <row r="33" spans="1:17" ht="12.15" customHeight="1">
      <c r="A33" s="11"/>
      <c r="B33" s="438" t="s">
        <v>44</v>
      </c>
      <c r="C33" s="355"/>
      <c r="D33" s="355"/>
      <c r="E33" s="22"/>
      <c r="F33" s="175"/>
      <c r="G33" s="156"/>
      <c r="H33" s="176"/>
      <c r="I33" s="175"/>
      <c r="J33" s="156"/>
      <c r="K33" s="176"/>
      <c r="L33" s="175"/>
      <c r="M33" s="136" t="str">
        <f t="shared" si="0"/>
        <v>-</v>
      </c>
      <c r="N33" s="184"/>
      <c r="O33" s="377"/>
      <c r="P33" s="378"/>
      <c r="Q33" s="379"/>
    </row>
    <row r="34" spans="1:17" ht="12.75" customHeight="1">
      <c r="A34" s="459" t="s">
        <v>6</v>
      </c>
      <c r="B34" s="460"/>
      <c r="C34" s="460"/>
      <c r="D34" s="460"/>
      <c r="E34" s="46"/>
      <c r="F34" s="148"/>
      <c r="G34" s="158"/>
      <c r="H34" s="152"/>
      <c r="I34" s="148"/>
      <c r="J34" s="149"/>
      <c r="K34" s="152"/>
      <c r="L34" s="148"/>
      <c r="M34" s="137" t="str">
        <f t="shared" si="0"/>
        <v>-</v>
      </c>
      <c r="N34" s="190"/>
      <c r="O34" s="282"/>
      <c r="P34" s="283"/>
      <c r="Q34" s="284"/>
    </row>
    <row r="35" spans="1:17" ht="12.75" customHeight="1">
      <c r="A35" s="44"/>
      <c r="B35" s="439" t="s">
        <v>65</v>
      </c>
      <c r="C35" s="514"/>
      <c r="D35" s="43" t="s">
        <v>66</v>
      </c>
      <c r="E35" s="19"/>
      <c r="F35" s="138"/>
      <c r="G35" s="151"/>
      <c r="H35" s="162"/>
      <c r="I35" s="138"/>
      <c r="J35" s="151"/>
      <c r="K35" s="162"/>
      <c r="L35" s="138"/>
      <c r="M35" s="132" t="str">
        <f t="shared" si="0"/>
        <v>-</v>
      </c>
      <c r="N35" s="193"/>
      <c r="O35" s="267"/>
      <c r="P35" s="268"/>
      <c r="Q35" s="269"/>
    </row>
    <row r="36" spans="1:17" ht="12.75" customHeight="1">
      <c r="A36" s="44"/>
      <c r="B36" s="515"/>
      <c r="C36" s="516"/>
      <c r="D36" s="43" t="s">
        <v>67</v>
      </c>
      <c r="E36" s="19"/>
      <c r="F36" s="138"/>
      <c r="G36" s="151"/>
      <c r="H36" s="162"/>
      <c r="I36" s="138"/>
      <c r="J36" s="151"/>
      <c r="K36" s="162"/>
      <c r="L36" s="138"/>
      <c r="M36" s="132" t="str">
        <f t="shared" si="0"/>
        <v>-</v>
      </c>
      <c r="N36" s="193"/>
      <c r="O36" s="267"/>
      <c r="P36" s="268"/>
      <c r="Q36" s="269"/>
    </row>
    <row r="37" spans="1:17" ht="12.75" customHeight="1">
      <c r="A37" s="44"/>
      <c r="B37" s="451"/>
      <c r="C37" s="452"/>
      <c r="D37" s="43" t="s">
        <v>68</v>
      </c>
      <c r="E37" s="19"/>
      <c r="F37" s="138"/>
      <c r="G37" s="151"/>
      <c r="H37" s="162"/>
      <c r="I37" s="138"/>
      <c r="J37" s="151"/>
      <c r="K37" s="162"/>
      <c r="L37" s="138"/>
      <c r="M37" s="132" t="str">
        <f t="shared" si="0"/>
        <v>-</v>
      </c>
      <c r="N37" s="193"/>
      <c r="O37" s="267"/>
      <c r="P37" s="268"/>
      <c r="Q37" s="269"/>
    </row>
    <row r="38" spans="1:17" ht="12.75" customHeight="1">
      <c r="A38" s="44"/>
      <c r="B38" s="311" t="s">
        <v>69</v>
      </c>
      <c r="C38" s="312"/>
      <c r="D38" s="312"/>
      <c r="E38" s="19"/>
      <c r="F38" s="138"/>
      <c r="G38" s="151"/>
      <c r="H38" s="162"/>
      <c r="I38" s="138"/>
      <c r="J38" s="151"/>
      <c r="K38" s="162"/>
      <c r="L38" s="138"/>
      <c r="M38" s="132" t="str">
        <f t="shared" si="0"/>
        <v>-</v>
      </c>
      <c r="N38" s="193"/>
      <c r="O38" s="267"/>
      <c r="P38" s="268"/>
      <c r="Q38" s="269"/>
    </row>
    <row r="39" spans="1:17" ht="12.75" customHeight="1">
      <c r="A39" s="44"/>
      <c r="B39" s="311" t="s">
        <v>70</v>
      </c>
      <c r="C39" s="312"/>
      <c r="D39" s="312"/>
      <c r="E39" s="19" t="s">
        <v>199</v>
      </c>
      <c r="F39" s="153"/>
      <c r="G39" s="151"/>
      <c r="H39" s="155"/>
      <c r="I39" s="153"/>
      <c r="J39" s="151"/>
      <c r="K39" s="155"/>
      <c r="L39" s="153" t="str">
        <f t="shared" ref="L39:L45" si="3">IF(F39="-", "-", IF(I39="-", "-", IF(ABS(I39)=0, "-", ROUND(100*(F39-I39)/ABS(I39),1))))</f>
        <v>-</v>
      </c>
      <c r="M39" s="132" t="str">
        <f t="shared" si="0"/>
        <v>-</v>
      </c>
      <c r="N39" s="189" t="str">
        <f t="shared" ref="N39:N45" si="4">IF(H39="-", "-", IF(K39="-", "-", IF(ABS(K39)=0, "-", ROUND(100*(H39-K39)/ABS(K39),1))))</f>
        <v>-</v>
      </c>
      <c r="O39" s="267"/>
      <c r="P39" s="268"/>
      <c r="Q39" s="269"/>
    </row>
    <row r="40" spans="1:17" ht="12.75" customHeight="1">
      <c r="A40" s="44"/>
      <c r="B40" s="311" t="s">
        <v>71</v>
      </c>
      <c r="C40" s="312"/>
      <c r="D40" s="312"/>
      <c r="E40" s="19" t="s">
        <v>199</v>
      </c>
      <c r="F40" s="153"/>
      <c r="G40" s="151"/>
      <c r="H40" s="155"/>
      <c r="I40" s="153"/>
      <c r="J40" s="151"/>
      <c r="K40" s="155"/>
      <c r="L40" s="153" t="str">
        <f t="shared" si="3"/>
        <v>-</v>
      </c>
      <c r="M40" s="132" t="str">
        <f t="shared" si="0"/>
        <v>-</v>
      </c>
      <c r="N40" s="189" t="str">
        <f t="shared" si="4"/>
        <v>-</v>
      </c>
      <c r="O40" s="267"/>
      <c r="P40" s="268"/>
      <c r="Q40" s="269"/>
    </row>
    <row r="41" spans="1:17" ht="12.75" customHeight="1">
      <c r="A41" s="44"/>
      <c r="B41" s="311" t="s">
        <v>72</v>
      </c>
      <c r="C41" s="312"/>
      <c r="D41" s="312"/>
      <c r="E41" s="19" t="s">
        <v>199</v>
      </c>
      <c r="F41" s="153"/>
      <c r="G41" s="151"/>
      <c r="H41" s="155"/>
      <c r="I41" s="153"/>
      <c r="J41" s="151"/>
      <c r="K41" s="155"/>
      <c r="L41" s="153" t="str">
        <f t="shared" si="3"/>
        <v>-</v>
      </c>
      <c r="M41" s="132" t="str">
        <f t="shared" si="0"/>
        <v>-</v>
      </c>
      <c r="N41" s="189" t="str">
        <f t="shared" si="4"/>
        <v>-</v>
      </c>
      <c r="O41" s="267"/>
      <c r="P41" s="268"/>
      <c r="Q41" s="269"/>
    </row>
    <row r="42" spans="1:17" ht="12.75" customHeight="1">
      <c r="A42" s="44"/>
      <c r="B42" s="311" t="s">
        <v>73</v>
      </c>
      <c r="C42" s="312"/>
      <c r="D42" s="312"/>
      <c r="E42" s="19" t="s">
        <v>199</v>
      </c>
      <c r="F42" s="153"/>
      <c r="G42" s="151"/>
      <c r="H42" s="155"/>
      <c r="I42" s="153"/>
      <c r="J42" s="151"/>
      <c r="K42" s="155"/>
      <c r="L42" s="153" t="str">
        <f t="shared" si="3"/>
        <v>-</v>
      </c>
      <c r="M42" s="132" t="str">
        <f t="shared" si="0"/>
        <v>-</v>
      </c>
      <c r="N42" s="189" t="str">
        <f t="shared" si="4"/>
        <v>-</v>
      </c>
      <c r="O42" s="267"/>
      <c r="P42" s="268"/>
      <c r="Q42" s="269"/>
    </row>
    <row r="43" spans="1:17" ht="12.75" customHeight="1">
      <c r="A43" s="44"/>
      <c r="B43" s="311" t="s">
        <v>74</v>
      </c>
      <c r="C43" s="312"/>
      <c r="D43" s="312"/>
      <c r="E43" s="26" t="s">
        <v>233</v>
      </c>
      <c r="F43" s="153"/>
      <c r="G43" s="151"/>
      <c r="H43" s="155"/>
      <c r="I43" s="153"/>
      <c r="J43" s="151"/>
      <c r="K43" s="155"/>
      <c r="L43" s="153" t="str">
        <f t="shared" si="3"/>
        <v>-</v>
      </c>
      <c r="M43" s="132" t="str">
        <f t="shared" si="0"/>
        <v>-</v>
      </c>
      <c r="N43" s="189" t="str">
        <f t="shared" si="4"/>
        <v>-</v>
      </c>
      <c r="O43" s="267"/>
      <c r="P43" s="268"/>
      <c r="Q43" s="269"/>
    </row>
    <row r="44" spans="1:17" ht="12.75" customHeight="1">
      <c r="A44" s="44"/>
      <c r="B44" s="311" t="s">
        <v>75</v>
      </c>
      <c r="C44" s="312"/>
      <c r="D44" s="312"/>
      <c r="E44" s="26" t="s">
        <v>233</v>
      </c>
      <c r="F44" s="153"/>
      <c r="G44" s="151"/>
      <c r="H44" s="155"/>
      <c r="I44" s="153"/>
      <c r="J44" s="151"/>
      <c r="K44" s="155"/>
      <c r="L44" s="153" t="str">
        <f t="shared" si="3"/>
        <v>-</v>
      </c>
      <c r="M44" s="132" t="str">
        <f t="shared" si="0"/>
        <v>-</v>
      </c>
      <c r="N44" s="189" t="str">
        <f t="shared" si="4"/>
        <v>-</v>
      </c>
      <c r="O44" s="267"/>
      <c r="P44" s="268"/>
      <c r="Q44" s="269"/>
    </row>
    <row r="45" spans="1:17" ht="12.75" customHeight="1">
      <c r="A45" s="44"/>
      <c r="B45" s="311" t="s">
        <v>271</v>
      </c>
      <c r="C45" s="312"/>
      <c r="D45" s="312"/>
      <c r="E45" s="26" t="s">
        <v>233</v>
      </c>
      <c r="F45" s="153"/>
      <c r="G45" s="151"/>
      <c r="H45" s="155"/>
      <c r="I45" s="153"/>
      <c r="J45" s="151"/>
      <c r="K45" s="155"/>
      <c r="L45" s="153" t="str">
        <f t="shared" si="3"/>
        <v>-</v>
      </c>
      <c r="M45" s="132" t="str">
        <f t="shared" si="0"/>
        <v>-</v>
      </c>
      <c r="N45" s="189" t="str">
        <f t="shared" si="4"/>
        <v>-</v>
      </c>
      <c r="O45" s="267"/>
      <c r="P45" s="268"/>
      <c r="Q45" s="269"/>
    </row>
    <row r="46" spans="1:17" ht="12.75" customHeight="1">
      <c r="A46" s="11"/>
      <c r="B46" s="375" t="s">
        <v>44</v>
      </c>
      <c r="C46" s="302"/>
      <c r="D46" s="302"/>
      <c r="E46" s="21"/>
      <c r="F46" s="163"/>
      <c r="G46" s="156"/>
      <c r="H46" s="164"/>
      <c r="I46" s="163"/>
      <c r="J46" s="156"/>
      <c r="K46" s="164"/>
      <c r="L46" s="163"/>
      <c r="M46" s="136" t="str">
        <f t="shared" si="0"/>
        <v>-</v>
      </c>
      <c r="N46" s="194"/>
      <c r="O46" s="270"/>
      <c r="P46" s="271"/>
      <c r="Q46" s="272"/>
    </row>
    <row r="47" spans="1:17" ht="12.75" customHeight="1">
      <c r="A47" s="45"/>
      <c r="B47" s="45"/>
      <c r="C47" s="45"/>
      <c r="D47" s="45"/>
      <c r="F47" s="195"/>
      <c r="G47" s="195"/>
      <c r="H47" s="195"/>
      <c r="I47" s="195"/>
      <c r="J47" s="195"/>
      <c r="K47" s="195"/>
      <c r="L47" s="195"/>
      <c r="M47" s="195"/>
      <c r="N47" s="195"/>
    </row>
  </sheetData>
  <mergeCells count="85">
    <mergeCell ref="O1:Q1"/>
    <mergeCell ref="O2:Q2"/>
    <mergeCell ref="A5:E7"/>
    <mergeCell ref="F5:H5"/>
    <mergeCell ref="I5:K5"/>
    <mergeCell ref="L5:N5"/>
    <mergeCell ref="O5:Q7"/>
    <mergeCell ref="F6:F7"/>
    <mergeCell ref="I6:I7"/>
    <mergeCell ref="A8:D8"/>
    <mergeCell ref="O8:Q8"/>
    <mergeCell ref="B9:D9"/>
    <mergeCell ref="O9:Q9"/>
    <mergeCell ref="B10:D10"/>
    <mergeCell ref="O10:Q10"/>
    <mergeCell ref="B11:D11"/>
    <mergeCell ref="O11:Q11"/>
    <mergeCell ref="B12:D12"/>
    <mergeCell ref="O12:Q12"/>
    <mergeCell ref="B13:D13"/>
    <mergeCell ref="O13:Q13"/>
    <mergeCell ref="A14:D14"/>
    <mergeCell ref="O14:Q14"/>
    <mergeCell ref="B15:B20"/>
    <mergeCell ref="C15:D15"/>
    <mergeCell ref="O15:Q15"/>
    <mergeCell ref="C16:D16"/>
    <mergeCell ref="O16:Q16"/>
    <mergeCell ref="C17:D17"/>
    <mergeCell ref="O17:Q17"/>
    <mergeCell ref="C18:D18"/>
    <mergeCell ref="O18:Q18"/>
    <mergeCell ref="C19:D19"/>
    <mergeCell ref="O19:Q19"/>
    <mergeCell ref="C20:D20"/>
    <mergeCell ref="O20:Q20"/>
    <mergeCell ref="B22:D22"/>
    <mergeCell ref="O22:Q22"/>
    <mergeCell ref="B23:D23"/>
    <mergeCell ref="O23:Q23"/>
    <mergeCell ref="B21:D21"/>
    <mergeCell ref="O21:Q21"/>
    <mergeCell ref="A24:D24"/>
    <mergeCell ref="O24:Q24"/>
    <mergeCell ref="B31:D31"/>
    <mergeCell ref="O31:Q31"/>
    <mergeCell ref="B25:D25"/>
    <mergeCell ref="O25:Q25"/>
    <mergeCell ref="B26:D26"/>
    <mergeCell ref="O26:Q26"/>
    <mergeCell ref="B27:D27"/>
    <mergeCell ref="O27:Q27"/>
    <mergeCell ref="A28:D28"/>
    <mergeCell ref="O28:Q28"/>
    <mergeCell ref="B29:C30"/>
    <mergeCell ref="O29:Q29"/>
    <mergeCell ref="O30:Q30"/>
    <mergeCell ref="B32:D32"/>
    <mergeCell ref="O32:Q32"/>
    <mergeCell ref="B33:D33"/>
    <mergeCell ref="O33:Q33"/>
    <mergeCell ref="A34:D34"/>
    <mergeCell ref="O34:Q34"/>
    <mergeCell ref="B35:C37"/>
    <mergeCell ref="O35:Q35"/>
    <mergeCell ref="O36:Q36"/>
    <mergeCell ref="O37:Q37"/>
    <mergeCell ref="B38:D38"/>
    <mergeCell ref="O38:Q38"/>
    <mergeCell ref="B39:D39"/>
    <mergeCell ref="O39:Q39"/>
    <mergeCell ref="B40:D40"/>
    <mergeCell ref="O40:Q40"/>
    <mergeCell ref="B41:D41"/>
    <mergeCell ref="O41:Q41"/>
    <mergeCell ref="B46:D46"/>
    <mergeCell ref="O46:Q46"/>
    <mergeCell ref="B45:D45"/>
    <mergeCell ref="B42:D42"/>
    <mergeCell ref="O42:Q42"/>
    <mergeCell ref="B43:D43"/>
    <mergeCell ref="O43:Q43"/>
    <mergeCell ref="B44:D44"/>
    <mergeCell ref="O44:Q44"/>
    <mergeCell ref="O45:Q45"/>
  </mergeCells>
  <phoneticPr fontId="1"/>
  <pageMargins left="0.78740157480314965" right="0.43307086614173229" top="0.78740157480314965" bottom="0.39370078740157483" header="0.43307086614173229" footer="0.19685039370078741"/>
  <pageSetup paperSize="9" scale="8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ED4A-8ACD-4070-B85B-0A603D626065}">
  <dimension ref="A1:AT60"/>
  <sheetViews>
    <sheetView showGridLines="0" tabSelected="1" view="pageBreakPreview" topLeftCell="C1" zoomScaleNormal="100" zoomScaleSheetLayoutView="100" workbookViewId="0">
      <selection activeCell="P7" sqref="P7"/>
    </sheetView>
  </sheetViews>
  <sheetFormatPr defaultColWidth="9" defaultRowHeight="15" customHeight="1"/>
  <cols>
    <col min="1" max="15" width="3.6640625" style="2" customWidth="1"/>
    <col min="16" max="16" width="30" style="2" customWidth="1"/>
    <col min="17" max="21" width="3.6640625" style="2" customWidth="1"/>
    <col min="22" max="23" width="4" style="2" customWidth="1"/>
    <col min="24" max="24" width="4.109375" style="2" customWidth="1"/>
    <col min="25" max="41" width="3.6640625" style="2" customWidth="1"/>
    <col min="42" max="42" width="5.6640625" style="2" customWidth="1"/>
    <col min="43" max="45" width="10" style="2" customWidth="1"/>
    <col min="46" max="16384" width="9" style="2"/>
  </cols>
  <sheetData>
    <row r="1" spans="1:46" ht="15" customHeight="1">
      <c r="A1" s="1" t="str">
        <f>No.1!A1&amp;"年産　米生産費統計（組織法人経営体）　個別結果検討表　№５"</f>
        <v>2019年産　米生産費統計（組織法人経営体）　個別結果検討表　№５</v>
      </c>
      <c r="B1" s="1"/>
      <c r="C1" s="1"/>
      <c r="D1" s="1"/>
      <c r="E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AJ1" s="45"/>
      <c r="AL1" s="197" t="s">
        <v>154</v>
      </c>
      <c r="AM1" s="198"/>
      <c r="AN1" s="198"/>
      <c r="AO1" s="198"/>
      <c r="AP1" s="198"/>
      <c r="AQ1" s="198"/>
      <c r="AR1" s="198"/>
      <c r="AS1" s="199"/>
    </row>
    <row r="2" spans="1:4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27"/>
      <c r="AL2" s="273" t="str">
        <f>IF(No.1!O2="","",No.1!O2)</f>
        <v/>
      </c>
      <c r="AM2" s="274"/>
      <c r="AN2" s="274"/>
      <c r="AO2" s="274"/>
      <c r="AP2" s="274"/>
      <c r="AQ2" s="274"/>
      <c r="AR2" s="274"/>
      <c r="AS2" s="275"/>
      <c r="AT2" s="66"/>
    </row>
    <row r="3" spans="1:46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46" ht="15" customHeight="1">
      <c r="A4" s="5" t="s">
        <v>245</v>
      </c>
      <c r="R4" s="5"/>
      <c r="AK4" s="12"/>
      <c r="AL4" s="12"/>
      <c r="AM4" s="12"/>
      <c r="AN4" s="12"/>
      <c r="AP4" s="12"/>
      <c r="AQ4" s="12"/>
      <c r="AR4" s="12"/>
      <c r="AS4" s="12"/>
      <c r="AT4" s="12"/>
    </row>
    <row r="5" spans="1:46" ht="15" customHeight="1">
      <c r="A5" s="464"/>
      <c r="B5" s="465"/>
      <c r="C5" s="465"/>
      <c r="D5" s="465"/>
      <c r="E5" s="465"/>
      <c r="F5" s="466"/>
      <c r="G5" s="332">
        <f>No.1!H5</f>
        <v>19</v>
      </c>
      <c r="H5" s="333"/>
      <c r="I5" s="333"/>
      <c r="J5" s="338">
        <f>G5-1</f>
        <v>18</v>
      </c>
      <c r="K5" s="333"/>
      <c r="L5" s="334"/>
      <c r="M5" s="340" t="s">
        <v>0</v>
      </c>
      <c r="N5" s="340"/>
      <c r="O5" s="341"/>
      <c r="P5" s="526" t="s">
        <v>270</v>
      </c>
      <c r="Q5" s="6"/>
      <c r="R5" s="464"/>
      <c r="S5" s="465"/>
      <c r="T5" s="465"/>
      <c r="U5" s="465"/>
      <c r="V5" s="465"/>
      <c r="W5" s="465"/>
      <c r="X5" s="465"/>
      <c r="Y5" s="273" t="s">
        <v>273</v>
      </c>
      <c r="Z5" s="274"/>
      <c r="AA5" s="274"/>
      <c r="AB5" s="274"/>
      <c r="AC5" s="274"/>
      <c r="AD5" s="274"/>
      <c r="AE5" s="274"/>
      <c r="AF5" s="274"/>
      <c r="AG5" s="275"/>
      <c r="AH5" s="587" t="s">
        <v>76</v>
      </c>
      <c r="AI5" s="588"/>
      <c r="AJ5" s="588"/>
      <c r="AK5" s="588"/>
      <c r="AL5" s="588"/>
      <c r="AM5" s="588"/>
      <c r="AN5" s="588"/>
      <c r="AO5" s="588"/>
      <c r="AP5" s="589"/>
      <c r="AQ5" s="409" t="s">
        <v>253</v>
      </c>
      <c r="AR5" s="410"/>
      <c r="AS5" s="411"/>
      <c r="AT5" s="12"/>
    </row>
    <row r="6" spans="1:46" ht="15" customHeight="1">
      <c r="A6" s="467"/>
      <c r="B6" s="468"/>
      <c r="C6" s="468"/>
      <c r="D6" s="468"/>
      <c r="E6" s="468"/>
      <c r="F6" s="469"/>
      <c r="G6" s="585" t="s">
        <v>1</v>
      </c>
      <c r="H6" s="342"/>
      <c r="I6" s="342"/>
      <c r="J6" s="458" t="s">
        <v>234</v>
      </c>
      <c r="K6" s="342"/>
      <c r="L6" s="586"/>
      <c r="M6" s="342" t="s">
        <v>197</v>
      </c>
      <c r="N6" s="342"/>
      <c r="O6" s="343"/>
      <c r="P6" s="527"/>
      <c r="Q6" s="126"/>
      <c r="R6" s="478"/>
      <c r="S6" s="479"/>
      <c r="T6" s="479"/>
      <c r="U6" s="479"/>
      <c r="V6" s="479"/>
      <c r="W6" s="479"/>
      <c r="X6" s="479"/>
      <c r="Y6" s="332">
        <f>$G$5</f>
        <v>19</v>
      </c>
      <c r="Z6" s="333"/>
      <c r="AA6" s="333"/>
      <c r="AB6" s="338">
        <f>$J$5</f>
        <v>18</v>
      </c>
      <c r="AC6" s="333"/>
      <c r="AD6" s="334"/>
      <c r="AE6" s="340" t="s">
        <v>0</v>
      </c>
      <c r="AF6" s="340"/>
      <c r="AG6" s="341"/>
      <c r="AH6" s="332">
        <f>$G$5</f>
        <v>19</v>
      </c>
      <c r="AI6" s="333"/>
      <c r="AJ6" s="333"/>
      <c r="AK6" s="338">
        <f>$J$5</f>
        <v>18</v>
      </c>
      <c r="AL6" s="333"/>
      <c r="AM6" s="334"/>
      <c r="AN6" s="340" t="s">
        <v>0</v>
      </c>
      <c r="AO6" s="340"/>
      <c r="AP6" s="341"/>
      <c r="AQ6" s="488"/>
      <c r="AR6" s="489"/>
      <c r="AS6" s="490"/>
      <c r="AT6" s="12"/>
    </row>
    <row r="7" spans="1:46" ht="12.75" customHeight="1">
      <c r="A7" s="459" t="s">
        <v>102</v>
      </c>
      <c r="B7" s="460"/>
      <c r="C7" s="460"/>
      <c r="D7" s="460"/>
      <c r="E7" s="460"/>
      <c r="F7" s="460"/>
      <c r="G7" s="575"/>
      <c r="H7" s="576"/>
      <c r="I7" s="576"/>
      <c r="J7" s="577"/>
      <c r="K7" s="576"/>
      <c r="L7" s="578"/>
      <c r="M7" s="327" t="str">
        <f>IF(G7="-", "-", IF(J7="-", "-", IF(ABS(J7)=0, "-", ROUND(100*(G7-J7)/ABS(J7),1))))</f>
        <v>-</v>
      </c>
      <c r="N7" s="328"/>
      <c r="O7" s="330"/>
      <c r="P7" s="608"/>
      <c r="Q7" s="17"/>
      <c r="R7" s="467"/>
      <c r="S7" s="468"/>
      <c r="T7" s="468"/>
      <c r="U7" s="468"/>
      <c r="V7" s="468"/>
      <c r="W7" s="468"/>
      <c r="X7" s="468"/>
      <c r="Y7" s="585" t="s">
        <v>77</v>
      </c>
      <c r="Z7" s="342"/>
      <c r="AA7" s="342"/>
      <c r="AB7" s="458" t="s">
        <v>77</v>
      </c>
      <c r="AC7" s="342"/>
      <c r="AD7" s="586"/>
      <c r="AE7" s="342" t="s">
        <v>197</v>
      </c>
      <c r="AF7" s="342"/>
      <c r="AG7" s="343"/>
      <c r="AH7" s="585" t="s">
        <v>1</v>
      </c>
      <c r="AI7" s="342"/>
      <c r="AJ7" s="342"/>
      <c r="AK7" s="458" t="s">
        <v>234</v>
      </c>
      <c r="AL7" s="342"/>
      <c r="AM7" s="586"/>
      <c r="AN7" s="342" t="s">
        <v>197</v>
      </c>
      <c r="AO7" s="342"/>
      <c r="AP7" s="343"/>
      <c r="AQ7" s="412"/>
      <c r="AR7" s="413"/>
      <c r="AS7" s="414"/>
      <c r="AT7" s="12"/>
    </row>
    <row r="8" spans="1:46" ht="12.75" customHeight="1">
      <c r="A8" s="44"/>
      <c r="B8" s="380" t="s">
        <v>103</v>
      </c>
      <c r="C8" s="381"/>
      <c r="D8" s="381"/>
      <c r="E8" s="381"/>
      <c r="F8" s="382"/>
      <c r="G8" s="544"/>
      <c r="H8" s="545"/>
      <c r="I8" s="545"/>
      <c r="J8" s="547"/>
      <c r="K8" s="545"/>
      <c r="L8" s="546"/>
      <c r="M8" s="285" t="str">
        <f>IF(G8="-", "-", IF(J8="-", "-", IF(ABS(J8)=0, "-", ROUND(100*(G8-J8)/ABS(J8),1))))</f>
        <v>-</v>
      </c>
      <c r="N8" s="286"/>
      <c r="O8" s="287"/>
      <c r="P8" s="609"/>
      <c r="Q8" s="17"/>
      <c r="R8" s="573" t="s">
        <v>78</v>
      </c>
      <c r="S8" s="574"/>
      <c r="T8" s="574"/>
      <c r="U8" s="574"/>
      <c r="V8" s="574"/>
      <c r="W8" s="574"/>
      <c r="X8" s="574"/>
      <c r="Y8" s="579"/>
      <c r="Z8" s="580"/>
      <c r="AA8" s="580"/>
      <c r="AB8" s="581"/>
      <c r="AC8" s="580"/>
      <c r="AD8" s="582"/>
      <c r="AE8" s="583"/>
      <c r="AF8" s="583"/>
      <c r="AG8" s="584"/>
      <c r="AH8" s="575"/>
      <c r="AI8" s="576"/>
      <c r="AJ8" s="578"/>
      <c r="AK8" s="577"/>
      <c r="AL8" s="576"/>
      <c r="AM8" s="578"/>
      <c r="AN8" s="327" t="str">
        <f>IF(AH8="-", "-", IF(AK8="-", "-", IF(ABS(AK8)=0, "-", ROUND(100*(AH8-AK8)/ABS(AK8),1))))</f>
        <v>-</v>
      </c>
      <c r="AO8" s="328"/>
      <c r="AP8" s="330"/>
      <c r="AQ8" s="390"/>
      <c r="AR8" s="391"/>
      <c r="AS8" s="392"/>
    </row>
    <row r="9" spans="1:46" ht="12.75" customHeight="1">
      <c r="A9" s="44"/>
      <c r="B9" s="63"/>
      <c r="C9" s="311" t="s">
        <v>104</v>
      </c>
      <c r="D9" s="312"/>
      <c r="E9" s="312"/>
      <c r="F9" s="383"/>
      <c r="G9" s="544"/>
      <c r="H9" s="545"/>
      <c r="I9" s="545"/>
      <c r="J9" s="547"/>
      <c r="K9" s="545"/>
      <c r="L9" s="546"/>
      <c r="M9" s="285" t="str">
        <f t="shared" ref="M9:M13" si="0">IF(G9="-", "-", IF(J9="-", "-", IF(ABS(J9)=0, "-", ROUND(100*(G9-J9)/ABS(J9),1))))</f>
        <v>-</v>
      </c>
      <c r="N9" s="286"/>
      <c r="O9" s="287"/>
      <c r="P9" s="609"/>
      <c r="Q9" s="17"/>
      <c r="R9" s="44"/>
      <c r="S9" s="380" t="s">
        <v>79</v>
      </c>
      <c r="T9" s="381"/>
      <c r="U9" s="381"/>
      <c r="V9" s="381"/>
      <c r="W9" s="381"/>
      <c r="X9" s="381"/>
      <c r="Y9" s="538"/>
      <c r="Z9" s="539"/>
      <c r="AA9" s="539"/>
      <c r="AB9" s="540"/>
      <c r="AC9" s="539"/>
      <c r="AD9" s="541"/>
      <c r="AE9" s="542"/>
      <c r="AF9" s="542"/>
      <c r="AG9" s="543"/>
      <c r="AH9" s="544"/>
      <c r="AI9" s="545"/>
      <c r="AJ9" s="546"/>
      <c r="AK9" s="547"/>
      <c r="AL9" s="545"/>
      <c r="AM9" s="546"/>
      <c r="AN9" s="285" t="str">
        <f t="shared" ref="AN9:AN60" si="1">IF(AH9="-", "-", IF(AK9="-", "-", IF(ABS(AK9)=0, "-", ROUND(100*(AH9-AK9)/ABS(AK9),1))))</f>
        <v>-</v>
      </c>
      <c r="AO9" s="286"/>
      <c r="AP9" s="287"/>
      <c r="AQ9" s="267"/>
      <c r="AR9" s="268"/>
      <c r="AS9" s="269"/>
    </row>
    <row r="10" spans="1:46" ht="12.75" customHeight="1">
      <c r="A10" s="18"/>
      <c r="B10" s="63"/>
      <c r="C10" s="311" t="s">
        <v>85</v>
      </c>
      <c r="D10" s="312"/>
      <c r="E10" s="312"/>
      <c r="F10" s="383"/>
      <c r="G10" s="544"/>
      <c r="H10" s="545"/>
      <c r="I10" s="545"/>
      <c r="J10" s="547"/>
      <c r="K10" s="545"/>
      <c r="L10" s="546"/>
      <c r="M10" s="285" t="str">
        <f t="shared" si="0"/>
        <v>-</v>
      </c>
      <c r="N10" s="286"/>
      <c r="O10" s="287"/>
      <c r="P10" s="609"/>
      <c r="Q10" s="17"/>
      <c r="R10" s="44"/>
      <c r="S10" s="63"/>
      <c r="T10" s="127"/>
      <c r="U10" s="311" t="s">
        <v>122</v>
      </c>
      <c r="V10" s="312"/>
      <c r="W10" s="312"/>
      <c r="X10" s="383"/>
      <c r="Y10" s="538"/>
      <c r="Z10" s="539"/>
      <c r="AA10" s="539"/>
      <c r="AB10" s="540"/>
      <c r="AC10" s="539"/>
      <c r="AD10" s="541"/>
      <c r="AE10" s="542"/>
      <c r="AF10" s="542"/>
      <c r="AG10" s="543"/>
      <c r="AH10" s="544"/>
      <c r="AI10" s="545"/>
      <c r="AJ10" s="546"/>
      <c r="AK10" s="547"/>
      <c r="AL10" s="545"/>
      <c r="AM10" s="546"/>
      <c r="AN10" s="285" t="str">
        <f t="shared" si="1"/>
        <v>-</v>
      </c>
      <c r="AO10" s="286"/>
      <c r="AP10" s="287"/>
      <c r="AQ10" s="267"/>
      <c r="AR10" s="268"/>
      <c r="AS10" s="269"/>
    </row>
    <row r="11" spans="1:46" ht="12.75" customHeight="1">
      <c r="A11" s="44"/>
      <c r="B11" s="380" t="s">
        <v>105</v>
      </c>
      <c r="C11" s="381"/>
      <c r="D11" s="381"/>
      <c r="E11" s="381"/>
      <c r="F11" s="381"/>
      <c r="G11" s="544"/>
      <c r="H11" s="545"/>
      <c r="I11" s="545"/>
      <c r="J11" s="547"/>
      <c r="K11" s="545"/>
      <c r="L11" s="546"/>
      <c r="M11" s="285" t="str">
        <f t="shared" si="0"/>
        <v>-</v>
      </c>
      <c r="N11" s="286"/>
      <c r="O11" s="287"/>
      <c r="P11" s="609"/>
      <c r="Q11" s="17"/>
      <c r="R11" s="44"/>
      <c r="S11" s="63"/>
      <c r="T11" s="311" t="s">
        <v>244</v>
      </c>
      <c r="U11" s="312"/>
      <c r="V11" s="312"/>
      <c r="W11" s="312"/>
      <c r="X11" s="312"/>
      <c r="Y11" s="538"/>
      <c r="Z11" s="539"/>
      <c r="AA11" s="539"/>
      <c r="AB11" s="540"/>
      <c r="AC11" s="539"/>
      <c r="AD11" s="541"/>
      <c r="AE11" s="542"/>
      <c r="AF11" s="542"/>
      <c r="AG11" s="543"/>
      <c r="AH11" s="544"/>
      <c r="AI11" s="545"/>
      <c r="AJ11" s="546"/>
      <c r="AK11" s="547"/>
      <c r="AL11" s="545"/>
      <c r="AM11" s="546"/>
      <c r="AN11" s="285" t="str">
        <f t="shared" si="1"/>
        <v>-</v>
      </c>
      <c r="AO11" s="286"/>
      <c r="AP11" s="287"/>
      <c r="AQ11" s="267"/>
      <c r="AR11" s="268"/>
      <c r="AS11" s="269"/>
    </row>
    <row r="12" spans="1:46" ht="12.75" customHeight="1">
      <c r="A12" s="44"/>
      <c r="B12" s="380" t="s">
        <v>106</v>
      </c>
      <c r="C12" s="381"/>
      <c r="D12" s="381"/>
      <c r="E12" s="381"/>
      <c r="F12" s="381"/>
      <c r="G12" s="544"/>
      <c r="H12" s="545"/>
      <c r="I12" s="545"/>
      <c r="J12" s="547"/>
      <c r="K12" s="545"/>
      <c r="L12" s="546"/>
      <c r="M12" s="285" t="str">
        <f t="shared" si="0"/>
        <v>-</v>
      </c>
      <c r="N12" s="286"/>
      <c r="O12" s="287"/>
      <c r="P12" s="609"/>
      <c r="Q12" s="17"/>
      <c r="R12" s="44"/>
      <c r="S12" s="63"/>
      <c r="T12" s="311" t="s">
        <v>254</v>
      </c>
      <c r="U12" s="312"/>
      <c r="V12" s="312"/>
      <c r="W12" s="312"/>
      <c r="X12" s="383"/>
      <c r="Y12" s="538"/>
      <c r="Z12" s="539"/>
      <c r="AA12" s="539"/>
      <c r="AB12" s="540"/>
      <c r="AC12" s="539"/>
      <c r="AD12" s="541"/>
      <c r="AE12" s="542"/>
      <c r="AF12" s="542"/>
      <c r="AG12" s="543"/>
      <c r="AH12" s="544"/>
      <c r="AI12" s="545"/>
      <c r="AJ12" s="546"/>
      <c r="AK12" s="547"/>
      <c r="AL12" s="545"/>
      <c r="AM12" s="546"/>
      <c r="AN12" s="285" t="str">
        <f t="shared" si="1"/>
        <v>-</v>
      </c>
      <c r="AO12" s="286"/>
      <c r="AP12" s="287"/>
      <c r="AQ12" s="267"/>
      <c r="AR12" s="268"/>
      <c r="AS12" s="269"/>
    </row>
    <row r="13" spans="1:46" ht="12.75" customHeight="1">
      <c r="A13" s="44"/>
      <c r="B13" s="380" t="s">
        <v>107</v>
      </c>
      <c r="C13" s="381"/>
      <c r="D13" s="381"/>
      <c r="E13" s="381"/>
      <c r="F13" s="381"/>
      <c r="G13" s="544"/>
      <c r="H13" s="545"/>
      <c r="I13" s="545"/>
      <c r="J13" s="547"/>
      <c r="K13" s="545"/>
      <c r="L13" s="546"/>
      <c r="M13" s="285" t="str">
        <f t="shared" si="0"/>
        <v>-</v>
      </c>
      <c r="N13" s="286"/>
      <c r="O13" s="287"/>
      <c r="P13" s="609"/>
      <c r="Q13" s="17"/>
      <c r="R13" s="44"/>
      <c r="S13" s="63"/>
      <c r="T13" s="311" t="s">
        <v>80</v>
      </c>
      <c r="U13" s="312"/>
      <c r="V13" s="312"/>
      <c r="W13" s="312"/>
      <c r="X13" s="312"/>
      <c r="Y13" s="538"/>
      <c r="Z13" s="539"/>
      <c r="AA13" s="539"/>
      <c r="AB13" s="540"/>
      <c r="AC13" s="539"/>
      <c r="AD13" s="541"/>
      <c r="AE13" s="542"/>
      <c r="AF13" s="542"/>
      <c r="AG13" s="543"/>
      <c r="AH13" s="544"/>
      <c r="AI13" s="545"/>
      <c r="AJ13" s="546"/>
      <c r="AK13" s="547"/>
      <c r="AL13" s="545"/>
      <c r="AM13" s="546"/>
      <c r="AN13" s="285" t="str">
        <f t="shared" si="1"/>
        <v>-</v>
      </c>
      <c r="AO13" s="286"/>
      <c r="AP13" s="287"/>
      <c r="AQ13" s="267"/>
      <c r="AR13" s="268"/>
      <c r="AS13" s="269"/>
    </row>
    <row r="14" spans="1:46" ht="12.75" customHeight="1">
      <c r="A14" s="44"/>
      <c r="B14" s="380" t="s">
        <v>202</v>
      </c>
      <c r="C14" s="381"/>
      <c r="D14" s="381"/>
      <c r="E14" s="381"/>
      <c r="F14" s="381"/>
      <c r="G14" s="544"/>
      <c r="H14" s="545"/>
      <c r="I14" s="545"/>
      <c r="J14" s="547"/>
      <c r="K14" s="545"/>
      <c r="L14" s="546"/>
      <c r="M14" s="285" t="str">
        <f t="shared" ref="M14:M27" si="2">IF(G14="-", "-", IF(J14="-", "-", IF(ABS(J14)=0, "-", ROUND(100*(G14-J14)/ABS(J14),1))))</f>
        <v>-</v>
      </c>
      <c r="N14" s="286"/>
      <c r="O14" s="287"/>
      <c r="P14" s="609"/>
      <c r="Q14" s="17"/>
      <c r="R14" s="44"/>
      <c r="S14" s="63"/>
      <c r="T14" s="311" t="s">
        <v>255</v>
      </c>
      <c r="U14" s="312"/>
      <c r="V14" s="312"/>
      <c r="W14" s="312"/>
      <c r="X14" s="383"/>
      <c r="Y14" s="538"/>
      <c r="Z14" s="539"/>
      <c r="AA14" s="539"/>
      <c r="AB14" s="540"/>
      <c r="AC14" s="539"/>
      <c r="AD14" s="541"/>
      <c r="AE14" s="542"/>
      <c r="AF14" s="542"/>
      <c r="AG14" s="543"/>
      <c r="AH14" s="544"/>
      <c r="AI14" s="545"/>
      <c r="AJ14" s="546"/>
      <c r="AK14" s="547"/>
      <c r="AL14" s="545"/>
      <c r="AM14" s="546"/>
      <c r="AN14" s="285" t="str">
        <f t="shared" si="1"/>
        <v>-</v>
      </c>
      <c r="AO14" s="286"/>
      <c r="AP14" s="287"/>
      <c r="AQ14" s="267"/>
      <c r="AR14" s="268"/>
      <c r="AS14" s="269"/>
    </row>
    <row r="15" spans="1:46" ht="12.75" customHeight="1">
      <c r="A15" s="44"/>
      <c r="B15" s="380" t="s">
        <v>108</v>
      </c>
      <c r="C15" s="381"/>
      <c r="D15" s="381"/>
      <c r="E15" s="381"/>
      <c r="F15" s="381"/>
      <c r="G15" s="544"/>
      <c r="H15" s="545"/>
      <c r="I15" s="545"/>
      <c r="J15" s="547"/>
      <c r="K15" s="545"/>
      <c r="L15" s="546"/>
      <c r="M15" s="285" t="str">
        <f t="shared" si="2"/>
        <v>-</v>
      </c>
      <c r="N15" s="286"/>
      <c r="O15" s="287"/>
      <c r="P15" s="609"/>
      <c r="Q15" s="17"/>
      <c r="R15" s="44"/>
      <c r="S15" s="63"/>
      <c r="T15" s="311" t="s">
        <v>256</v>
      </c>
      <c r="U15" s="312"/>
      <c r="V15" s="312"/>
      <c r="W15" s="312"/>
      <c r="X15" s="383"/>
      <c r="Y15" s="538"/>
      <c r="Z15" s="539"/>
      <c r="AA15" s="539"/>
      <c r="AB15" s="540"/>
      <c r="AC15" s="539"/>
      <c r="AD15" s="541"/>
      <c r="AE15" s="542"/>
      <c r="AF15" s="542"/>
      <c r="AG15" s="543"/>
      <c r="AH15" s="544"/>
      <c r="AI15" s="545"/>
      <c r="AJ15" s="546"/>
      <c r="AK15" s="547"/>
      <c r="AL15" s="545"/>
      <c r="AM15" s="546"/>
      <c r="AN15" s="285" t="str">
        <f t="shared" si="1"/>
        <v>-</v>
      </c>
      <c r="AO15" s="286"/>
      <c r="AP15" s="287"/>
      <c r="AQ15" s="267"/>
      <c r="AR15" s="268"/>
      <c r="AS15" s="269"/>
    </row>
    <row r="16" spans="1:46" ht="12.75" customHeight="1">
      <c r="A16" s="44"/>
      <c r="B16" s="380" t="s">
        <v>109</v>
      </c>
      <c r="C16" s="381"/>
      <c r="D16" s="381"/>
      <c r="E16" s="381"/>
      <c r="F16" s="381"/>
      <c r="G16" s="544"/>
      <c r="H16" s="545"/>
      <c r="I16" s="545"/>
      <c r="J16" s="547"/>
      <c r="K16" s="545"/>
      <c r="L16" s="546"/>
      <c r="M16" s="285" t="str">
        <f t="shared" si="2"/>
        <v>-</v>
      </c>
      <c r="N16" s="286"/>
      <c r="O16" s="287"/>
      <c r="P16" s="609"/>
      <c r="Q16" s="17"/>
      <c r="R16" s="44"/>
      <c r="S16" s="63"/>
      <c r="T16" s="311" t="s">
        <v>257</v>
      </c>
      <c r="U16" s="312"/>
      <c r="V16" s="312"/>
      <c r="W16" s="312"/>
      <c r="X16" s="383"/>
      <c r="Y16" s="538"/>
      <c r="Z16" s="539"/>
      <c r="AA16" s="539"/>
      <c r="AB16" s="540"/>
      <c r="AC16" s="539"/>
      <c r="AD16" s="541"/>
      <c r="AE16" s="542"/>
      <c r="AF16" s="542"/>
      <c r="AG16" s="543"/>
      <c r="AH16" s="544"/>
      <c r="AI16" s="545"/>
      <c r="AJ16" s="546"/>
      <c r="AK16" s="547"/>
      <c r="AL16" s="545"/>
      <c r="AM16" s="546"/>
      <c r="AN16" s="285" t="str">
        <f t="shared" si="1"/>
        <v>-</v>
      </c>
      <c r="AO16" s="286"/>
      <c r="AP16" s="287"/>
      <c r="AQ16" s="267"/>
      <c r="AR16" s="268"/>
      <c r="AS16" s="269"/>
    </row>
    <row r="17" spans="1:45" ht="12.75" customHeight="1">
      <c r="A17" s="11"/>
      <c r="B17" s="375" t="s">
        <v>110</v>
      </c>
      <c r="C17" s="302"/>
      <c r="D17" s="302"/>
      <c r="E17" s="302"/>
      <c r="F17" s="302"/>
      <c r="G17" s="544"/>
      <c r="H17" s="545"/>
      <c r="I17" s="545"/>
      <c r="J17" s="537"/>
      <c r="K17" s="535"/>
      <c r="L17" s="536"/>
      <c r="M17" s="291" t="str">
        <f t="shared" si="2"/>
        <v>-</v>
      </c>
      <c r="N17" s="292"/>
      <c r="O17" s="293"/>
      <c r="P17" s="610"/>
      <c r="Q17" s="17"/>
      <c r="R17" s="44"/>
      <c r="S17" s="63"/>
      <c r="T17" s="311" t="s">
        <v>258</v>
      </c>
      <c r="U17" s="312"/>
      <c r="V17" s="312"/>
      <c r="W17" s="312"/>
      <c r="X17" s="383"/>
      <c r="Y17" s="538"/>
      <c r="Z17" s="539"/>
      <c r="AA17" s="539"/>
      <c r="AB17" s="540"/>
      <c r="AC17" s="539"/>
      <c r="AD17" s="541"/>
      <c r="AE17" s="542"/>
      <c r="AF17" s="542"/>
      <c r="AG17" s="543"/>
      <c r="AH17" s="544"/>
      <c r="AI17" s="545"/>
      <c r="AJ17" s="546"/>
      <c r="AK17" s="547"/>
      <c r="AL17" s="545"/>
      <c r="AM17" s="546"/>
      <c r="AN17" s="285" t="str">
        <f t="shared" si="1"/>
        <v>-</v>
      </c>
      <c r="AO17" s="286"/>
      <c r="AP17" s="287"/>
      <c r="AQ17" s="267"/>
      <c r="AR17" s="268"/>
      <c r="AS17" s="269"/>
    </row>
    <row r="18" spans="1:45" ht="12.75" customHeight="1">
      <c r="A18" s="573" t="s">
        <v>111</v>
      </c>
      <c r="B18" s="574"/>
      <c r="C18" s="574"/>
      <c r="D18" s="574"/>
      <c r="E18" s="574"/>
      <c r="F18" s="574"/>
      <c r="G18" s="575"/>
      <c r="H18" s="576"/>
      <c r="I18" s="576"/>
      <c r="J18" s="577"/>
      <c r="K18" s="576"/>
      <c r="L18" s="578"/>
      <c r="M18" s="327" t="str">
        <f t="shared" si="2"/>
        <v>-</v>
      </c>
      <c r="N18" s="328"/>
      <c r="O18" s="330"/>
      <c r="P18" s="608"/>
      <c r="Q18" s="17"/>
      <c r="R18" s="44"/>
      <c r="S18" s="63"/>
      <c r="T18" s="311" t="s">
        <v>259</v>
      </c>
      <c r="U18" s="312"/>
      <c r="V18" s="312"/>
      <c r="W18" s="312"/>
      <c r="X18" s="383"/>
      <c r="Y18" s="538"/>
      <c r="Z18" s="539"/>
      <c r="AA18" s="539"/>
      <c r="AB18" s="540"/>
      <c r="AC18" s="539"/>
      <c r="AD18" s="541"/>
      <c r="AE18" s="542"/>
      <c r="AF18" s="542"/>
      <c r="AG18" s="543"/>
      <c r="AH18" s="544"/>
      <c r="AI18" s="545"/>
      <c r="AJ18" s="546"/>
      <c r="AK18" s="547"/>
      <c r="AL18" s="545"/>
      <c r="AM18" s="546"/>
      <c r="AN18" s="285" t="str">
        <f t="shared" si="1"/>
        <v>-</v>
      </c>
      <c r="AO18" s="286"/>
      <c r="AP18" s="287"/>
      <c r="AQ18" s="267"/>
      <c r="AR18" s="268"/>
      <c r="AS18" s="269"/>
    </row>
    <row r="19" spans="1:45" ht="12.75" customHeight="1">
      <c r="A19" s="44"/>
      <c r="B19" s="311" t="s">
        <v>112</v>
      </c>
      <c r="C19" s="312"/>
      <c r="D19" s="312"/>
      <c r="E19" s="312"/>
      <c r="F19" s="312"/>
      <c r="G19" s="544"/>
      <c r="H19" s="545"/>
      <c r="I19" s="545"/>
      <c r="J19" s="547"/>
      <c r="K19" s="545"/>
      <c r="L19" s="546"/>
      <c r="M19" s="285" t="str">
        <f t="shared" si="2"/>
        <v>-</v>
      </c>
      <c r="N19" s="286"/>
      <c r="O19" s="287"/>
      <c r="P19" s="609"/>
      <c r="Q19" s="17"/>
      <c r="R19" s="44"/>
      <c r="S19" s="63"/>
      <c r="T19" s="400" t="s">
        <v>82</v>
      </c>
      <c r="U19" s="401"/>
      <c r="V19" s="401"/>
      <c r="W19" s="401"/>
      <c r="X19" s="402"/>
      <c r="Y19" s="538"/>
      <c r="Z19" s="539"/>
      <c r="AA19" s="539"/>
      <c r="AB19" s="540"/>
      <c r="AC19" s="539"/>
      <c r="AD19" s="541"/>
      <c r="AE19" s="542"/>
      <c r="AF19" s="542"/>
      <c r="AG19" s="543"/>
      <c r="AH19" s="544"/>
      <c r="AI19" s="545"/>
      <c r="AJ19" s="546"/>
      <c r="AK19" s="547"/>
      <c r="AL19" s="545"/>
      <c r="AM19" s="546"/>
      <c r="AN19" s="285" t="str">
        <f t="shared" si="1"/>
        <v>-</v>
      </c>
      <c r="AO19" s="286"/>
      <c r="AP19" s="287"/>
      <c r="AQ19" s="267"/>
      <c r="AR19" s="268"/>
      <c r="AS19" s="269"/>
    </row>
    <row r="20" spans="1:45" ht="12.75" customHeight="1">
      <c r="A20" s="44"/>
      <c r="B20" s="311" t="s">
        <v>113</v>
      </c>
      <c r="C20" s="312"/>
      <c r="D20" s="312"/>
      <c r="E20" s="312"/>
      <c r="F20" s="312"/>
      <c r="G20" s="544"/>
      <c r="H20" s="545"/>
      <c r="I20" s="545"/>
      <c r="J20" s="547"/>
      <c r="K20" s="545"/>
      <c r="L20" s="546"/>
      <c r="M20" s="285" t="str">
        <f t="shared" si="2"/>
        <v>-</v>
      </c>
      <c r="N20" s="286"/>
      <c r="O20" s="287"/>
      <c r="P20" s="609"/>
      <c r="Q20" s="17"/>
      <c r="R20" s="44"/>
      <c r="S20" s="63"/>
      <c r="T20" s="311" t="s">
        <v>81</v>
      </c>
      <c r="U20" s="312"/>
      <c r="V20" s="312"/>
      <c r="W20" s="312"/>
      <c r="X20" s="312"/>
      <c r="Y20" s="538"/>
      <c r="Z20" s="539"/>
      <c r="AA20" s="539"/>
      <c r="AB20" s="540"/>
      <c r="AC20" s="539"/>
      <c r="AD20" s="541"/>
      <c r="AE20" s="542"/>
      <c r="AF20" s="542"/>
      <c r="AG20" s="543"/>
      <c r="AH20" s="544"/>
      <c r="AI20" s="545"/>
      <c r="AJ20" s="546"/>
      <c r="AK20" s="547"/>
      <c r="AL20" s="545"/>
      <c r="AM20" s="546"/>
      <c r="AN20" s="285" t="str">
        <f t="shared" si="1"/>
        <v>-</v>
      </c>
      <c r="AO20" s="286"/>
      <c r="AP20" s="287"/>
      <c r="AQ20" s="267"/>
      <c r="AR20" s="268"/>
      <c r="AS20" s="269"/>
    </row>
    <row r="21" spans="1:45" ht="12.75" customHeight="1">
      <c r="A21" s="44"/>
      <c r="B21" s="311" t="s">
        <v>114</v>
      </c>
      <c r="C21" s="312"/>
      <c r="D21" s="312"/>
      <c r="E21" s="312"/>
      <c r="F21" s="312"/>
      <c r="G21" s="544"/>
      <c r="H21" s="545"/>
      <c r="I21" s="545"/>
      <c r="J21" s="547"/>
      <c r="K21" s="545"/>
      <c r="L21" s="546"/>
      <c r="M21" s="285" t="str">
        <f t="shared" si="2"/>
        <v>-</v>
      </c>
      <c r="N21" s="286"/>
      <c r="O21" s="287"/>
      <c r="P21" s="609"/>
      <c r="Q21" s="17"/>
      <c r="R21" s="18"/>
      <c r="S21" s="63"/>
      <c r="T21" s="311" t="s">
        <v>83</v>
      </c>
      <c r="U21" s="312"/>
      <c r="V21" s="312"/>
      <c r="W21" s="312"/>
      <c r="X21" s="312"/>
      <c r="Y21" s="538"/>
      <c r="Z21" s="539"/>
      <c r="AA21" s="539"/>
      <c r="AB21" s="540"/>
      <c r="AC21" s="539"/>
      <c r="AD21" s="541"/>
      <c r="AE21" s="542"/>
      <c r="AF21" s="542"/>
      <c r="AG21" s="543"/>
      <c r="AH21" s="544"/>
      <c r="AI21" s="545"/>
      <c r="AJ21" s="546"/>
      <c r="AK21" s="547"/>
      <c r="AL21" s="545"/>
      <c r="AM21" s="546"/>
      <c r="AN21" s="285" t="str">
        <f t="shared" si="1"/>
        <v>-</v>
      </c>
      <c r="AO21" s="286"/>
      <c r="AP21" s="287"/>
      <c r="AQ21" s="267"/>
      <c r="AR21" s="268"/>
      <c r="AS21" s="269"/>
    </row>
    <row r="22" spans="1:45" ht="12.75" customHeight="1">
      <c r="A22" s="44"/>
      <c r="B22" s="311" t="s">
        <v>203</v>
      </c>
      <c r="C22" s="312"/>
      <c r="D22" s="312"/>
      <c r="E22" s="312"/>
      <c r="F22" s="312"/>
      <c r="G22" s="544"/>
      <c r="H22" s="545"/>
      <c r="I22" s="545"/>
      <c r="J22" s="547"/>
      <c r="K22" s="545"/>
      <c r="L22" s="546"/>
      <c r="M22" s="285" t="str">
        <f t="shared" si="2"/>
        <v>-</v>
      </c>
      <c r="N22" s="286"/>
      <c r="O22" s="287"/>
      <c r="P22" s="609"/>
      <c r="Q22" s="17"/>
      <c r="R22" s="18"/>
      <c r="S22" s="63"/>
      <c r="T22" s="311" t="s">
        <v>260</v>
      </c>
      <c r="U22" s="312"/>
      <c r="V22" s="312"/>
      <c r="W22" s="312"/>
      <c r="X22" s="383"/>
      <c r="Y22" s="538"/>
      <c r="Z22" s="539"/>
      <c r="AA22" s="539"/>
      <c r="AB22" s="540"/>
      <c r="AC22" s="539"/>
      <c r="AD22" s="541"/>
      <c r="AE22" s="542"/>
      <c r="AF22" s="542"/>
      <c r="AG22" s="543"/>
      <c r="AH22" s="544"/>
      <c r="AI22" s="545"/>
      <c r="AJ22" s="546"/>
      <c r="AK22" s="547"/>
      <c r="AL22" s="545"/>
      <c r="AM22" s="546"/>
      <c r="AN22" s="285" t="str">
        <f t="shared" si="1"/>
        <v>-</v>
      </c>
      <c r="AO22" s="286"/>
      <c r="AP22" s="287"/>
      <c r="AQ22" s="267"/>
      <c r="AR22" s="268"/>
      <c r="AS22" s="269"/>
    </row>
    <row r="23" spans="1:45" ht="12.75" customHeight="1">
      <c r="A23" s="11"/>
      <c r="B23" s="438" t="s">
        <v>115</v>
      </c>
      <c r="C23" s="355"/>
      <c r="D23" s="355"/>
      <c r="E23" s="355"/>
      <c r="F23" s="355"/>
      <c r="G23" s="534"/>
      <c r="H23" s="535"/>
      <c r="I23" s="536"/>
      <c r="J23" s="537"/>
      <c r="K23" s="535"/>
      <c r="L23" s="536"/>
      <c r="M23" s="291" t="str">
        <f t="shared" si="2"/>
        <v>-</v>
      </c>
      <c r="N23" s="292"/>
      <c r="O23" s="293"/>
      <c r="P23" s="610"/>
      <c r="Q23" s="17"/>
      <c r="R23" s="18"/>
      <c r="S23" s="63"/>
      <c r="T23" s="311" t="s">
        <v>272</v>
      </c>
      <c r="U23" s="312"/>
      <c r="V23" s="312"/>
      <c r="W23" s="312"/>
      <c r="X23" s="312"/>
      <c r="Y23" s="538"/>
      <c r="Z23" s="539"/>
      <c r="AA23" s="539"/>
      <c r="AB23" s="540"/>
      <c r="AC23" s="539"/>
      <c r="AD23" s="541"/>
      <c r="AE23" s="542"/>
      <c r="AF23" s="542"/>
      <c r="AG23" s="543"/>
      <c r="AH23" s="544"/>
      <c r="AI23" s="545"/>
      <c r="AJ23" s="546"/>
      <c r="AK23" s="547"/>
      <c r="AL23" s="545"/>
      <c r="AM23" s="546"/>
      <c r="AN23" s="285" t="str">
        <f t="shared" si="1"/>
        <v>-</v>
      </c>
      <c r="AO23" s="286"/>
      <c r="AP23" s="287"/>
      <c r="AQ23" s="267"/>
      <c r="AR23" s="268"/>
      <c r="AS23" s="269"/>
    </row>
    <row r="24" spans="1:45" ht="12.75" customHeight="1">
      <c r="A24" s="565" t="s">
        <v>116</v>
      </c>
      <c r="B24" s="566"/>
      <c r="C24" s="566"/>
      <c r="D24" s="566"/>
      <c r="E24" s="566"/>
      <c r="F24" s="566"/>
      <c r="G24" s="567"/>
      <c r="H24" s="568"/>
      <c r="I24" s="568"/>
      <c r="J24" s="569"/>
      <c r="K24" s="568"/>
      <c r="L24" s="570"/>
      <c r="M24" s="327" t="str">
        <f t="shared" si="2"/>
        <v>-</v>
      </c>
      <c r="N24" s="328"/>
      <c r="O24" s="330"/>
      <c r="P24" s="608"/>
      <c r="Q24" s="17"/>
      <c r="R24" s="44"/>
      <c r="S24" s="63"/>
      <c r="T24" s="311" t="s">
        <v>121</v>
      </c>
      <c r="U24" s="312"/>
      <c r="V24" s="312"/>
      <c r="W24" s="312"/>
      <c r="X24" s="312"/>
      <c r="Y24" s="538"/>
      <c r="Z24" s="539"/>
      <c r="AA24" s="539"/>
      <c r="AB24" s="540"/>
      <c r="AC24" s="539"/>
      <c r="AD24" s="541"/>
      <c r="AE24" s="542"/>
      <c r="AF24" s="542"/>
      <c r="AG24" s="543"/>
      <c r="AH24" s="544"/>
      <c r="AI24" s="545"/>
      <c r="AJ24" s="546"/>
      <c r="AK24" s="547"/>
      <c r="AL24" s="545"/>
      <c r="AM24" s="546"/>
      <c r="AN24" s="285" t="str">
        <f t="shared" si="1"/>
        <v>-</v>
      </c>
      <c r="AO24" s="286"/>
      <c r="AP24" s="287"/>
      <c r="AQ24" s="267"/>
      <c r="AR24" s="268"/>
      <c r="AS24" s="269"/>
    </row>
    <row r="25" spans="1:45" ht="12.75" customHeight="1">
      <c r="A25" s="430" t="s">
        <v>117</v>
      </c>
      <c r="B25" s="571"/>
      <c r="C25" s="311" t="s">
        <v>204</v>
      </c>
      <c r="D25" s="312"/>
      <c r="E25" s="312"/>
      <c r="F25" s="383"/>
      <c r="G25" s="544"/>
      <c r="H25" s="545"/>
      <c r="I25" s="545"/>
      <c r="J25" s="547"/>
      <c r="K25" s="545"/>
      <c r="L25" s="546"/>
      <c r="M25" s="285" t="str">
        <f t="shared" si="2"/>
        <v>-</v>
      </c>
      <c r="N25" s="286"/>
      <c r="O25" s="287"/>
      <c r="P25" s="609"/>
      <c r="Q25" s="17"/>
      <c r="R25" s="44"/>
      <c r="S25" s="63"/>
      <c r="T25" s="311" t="s">
        <v>44</v>
      </c>
      <c r="U25" s="312"/>
      <c r="V25" s="312"/>
      <c r="W25" s="312"/>
      <c r="X25" s="312"/>
      <c r="Y25" s="538"/>
      <c r="Z25" s="539"/>
      <c r="AA25" s="539"/>
      <c r="AB25" s="540"/>
      <c r="AC25" s="539"/>
      <c r="AD25" s="541"/>
      <c r="AE25" s="542"/>
      <c r="AF25" s="542"/>
      <c r="AG25" s="543"/>
      <c r="AH25" s="544"/>
      <c r="AI25" s="545"/>
      <c r="AJ25" s="546"/>
      <c r="AK25" s="547"/>
      <c r="AL25" s="545"/>
      <c r="AM25" s="546"/>
      <c r="AN25" s="285" t="str">
        <f t="shared" si="1"/>
        <v>-</v>
      </c>
      <c r="AO25" s="286"/>
      <c r="AP25" s="287"/>
      <c r="AQ25" s="267"/>
      <c r="AR25" s="268"/>
      <c r="AS25" s="269"/>
    </row>
    <row r="26" spans="1:45" ht="12.75" customHeight="1">
      <c r="A26" s="434"/>
      <c r="B26" s="572"/>
      <c r="C26" s="311" t="s">
        <v>205</v>
      </c>
      <c r="D26" s="312"/>
      <c r="E26" s="312"/>
      <c r="F26" s="383"/>
      <c r="G26" s="544"/>
      <c r="H26" s="545"/>
      <c r="I26" s="545"/>
      <c r="J26" s="547"/>
      <c r="K26" s="545"/>
      <c r="L26" s="546"/>
      <c r="M26" s="285" t="str">
        <f t="shared" si="2"/>
        <v>-</v>
      </c>
      <c r="N26" s="286"/>
      <c r="O26" s="287"/>
      <c r="P26" s="609"/>
      <c r="Q26" s="17"/>
      <c r="R26" s="18"/>
      <c r="S26" s="380" t="s">
        <v>84</v>
      </c>
      <c r="T26" s="381"/>
      <c r="U26" s="381"/>
      <c r="V26" s="381"/>
      <c r="W26" s="381"/>
      <c r="X26" s="382"/>
      <c r="Y26" s="538"/>
      <c r="Z26" s="539"/>
      <c r="AA26" s="539"/>
      <c r="AB26" s="540"/>
      <c r="AC26" s="539"/>
      <c r="AD26" s="541"/>
      <c r="AE26" s="542"/>
      <c r="AF26" s="542"/>
      <c r="AG26" s="543"/>
      <c r="AH26" s="544"/>
      <c r="AI26" s="545"/>
      <c r="AJ26" s="546"/>
      <c r="AK26" s="547"/>
      <c r="AL26" s="545"/>
      <c r="AM26" s="546"/>
      <c r="AN26" s="285" t="str">
        <f t="shared" si="1"/>
        <v>-</v>
      </c>
      <c r="AO26" s="286"/>
      <c r="AP26" s="287"/>
      <c r="AQ26" s="267"/>
      <c r="AR26" s="268"/>
      <c r="AS26" s="269"/>
    </row>
    <row r="27" spans="1:45" ht="12.75" customHeight="1">
      <c r="A27" s="301" t="s">
        <v>118</v>
      </c>
      <c r="B27" s="302"/>
      <c r="C27" s="302"/>
      <c r="D27" s="302"/>
      <c r="E27" s="302"/>
      <c r="F27" s="302"/>
      <c r="G27" s="534"/>
      <c r="H27" s="535"/>
      <c r="I27" s="536"/>
      <c r="J27" s="537"/>
      <c r="K27" s="535"/>
      <c r="L27" s="536"/>
      <c r="M27" s="291" t="str">
        <f t="shared" si="2"/>
        <v>-</v>
      </c>
      <c r="N27" s="292"/>
      <c r="O27" s="293"/>
      <c r="P27" s="610"/>
      <c r="Q27" s="17"/>
      <c r="R27" s="44"/>
      <c r="S27" s="63"/>
      <c r="T27" s="127"/>
      <c r="U27" s="311" t="s">
        <v>122</v>
      </c>
      <c r="V27" s="312"/>
      <c r="W27" s="312"/>
      <c r="X27" s="383"/>
      <c r="Y27" s="538"/>
      <c r="Z27" s="539"/>
      <c r="AA27" s="539"/>
      <c r="AB27" s="540"/>
      <c r="AC27" s="539"/>
      <c r="AD27" s="541"/>
      <c r="AE27" s="542"/>
      <c r="AF27" s="542"/>
      <c r="AG27" s="543"/>
      <c r="AH27" s="544"/>
      <c r="AI27" s="545"/>
      <c r="AJ27" s="546"/>
      <c r="AK27" s="547"/>
      <c r="AL27" s="545"/>
      <c r="AM27" s="546"/>
      <c r="AN27" s="285" t="str">
        <f t="shared" si="1"/>
        <v>-</v>
      </c>
      <c r="AO27" s="286"/>
      <c r="AP27" s="287"/>
      <c r="AQ27" s="267"/>
      <c r="AR27" s="268"/>
      <c r="AS27" s="269"/>
    </row>
    <row r="28" spans="1:45" ht="12.75" customHeight="1">
      <c r="Q28" s="17"/>
      <c r="R28" s="18"/>
      <c r="S28" s="63"/>
      <c r="T28" s="311" t="s">
        <v>206</v>
      </c>
      <c r="U28" s="312"/>
      <c r="V28" s="312"/>
      <c r="W28" s="312"/>
      <c r="X28" s="312"/>
      <c r="Y28" s="548"/>
      <c r="Z28" s="524"/>
      <c r="AA28" s="524"/>
      <c r="AB28" s="523"/>
      <c r="AC28" s="524"/>
      <c r="AD28" s="525"/>
      <c r="AE28" s="285" t="str">
        <f>IF(Y28="-", "-", IF(AB28="-", "-", IF(ABS(AB28)=0, "-", ROUND(100*(Y28-AB28)/ABS(AB28),1))))</f>
        <v>-</v>
      </c>
      <c r="AF28" s="286"/>
      <c r="AG28" s="287"/>
      <c r="AH28" s="544"/>
      <c r="AI28" s="545"/>
      <c r="AJ28" s="546"/>
      <c r="AK28" s="547"/>
      <c r="AL28" s="545"/>
      <c r="AM28" s="546"/>
      <c r="AN28" s="285" t="str">
        <f t="shared" si="1"/>
        <v>-</v>
      </c>
      <c r="AO28" s="286"/>
      <c r="AP28" s="287"/>
      <c r="AQ28" s="267"/>
      <c r="AR28" s="268"/>
      <c r="AS28" s="269"/>
    </row>
    <row r="29" spans="1:45" ht="12.75" customHeight="1">
      <c r="R29" s="18"/>
      <c r="S29" s="63"/>
      <c r="T29" s="311" t="s">
        <v>44</v>
      </c>
      <c r="U29" s="312"/>
      <c r="V29" s="312"/>
      <c r="W29" s="312"/>
      <c r="X29" s="312"/>
      <c r="Y29" s="538"/>
      <c r="Z29" s="539"/>
      <c r="AA29" s="539"/>
      <c r="AB29" s="540"/>
      <c r="AC29" s="539"/>
      <c r="AD29" s="541"/>
      <c r="AE29" s="542"/>
      <c r="AF29" s="542"/>
      <c r="AG29" s="543"/>
      <c r="AH29" s="544"/>
      <c r="AI29" s="545"/>
      <c r="AJ29" s="546"/>
      <c r="AK29" s="547"/>
      <c r="AL29" s="545"/>
      <c r="AM29" s="546"/>
      <c r="AN29" s="285" t="str">
        <f t="shared" si="1"/>
        <v>-</v>
      </c>
      <c r="AO29" s="286"/>
      <c r="AP29" s="287"/>
      <c r="AQ29" s="267"/>
      <c r="AR29" s="268"/>
      <c r="AS29" s="269"/>
    </row>
    <row r="30" spans="1:45" ht="12.75" customHeight="1">
      <c r="R30" s="18"/>
      <c r="S30" s="380" t="s">
        <v>85</v>
      </c>
      <c r="T30" s="381"/>
      <c r="U30" s="381"/>
      <c r="V30" s="381"/>
      <c r="W30" s="381"/>
      <c r="X30" s="382"/>
      <c r="Y30" s="538"/>
      <c r="Z30" s="539"/>
      <c r="AA30" s="539"/>
      <c r="AB30" s="540"/>
      <c r="AC30" s="539"/>
      <c r="AD30" s="541"/>
      <c r="AE30" s="542"/>
      <c r="AF30" s="542"/>
      <c r="AG30" s="543"/>
      <c r="AH30" s="544"/>
      <c r="AI30" s="545"/>
      <c r="AJ30" s="546"/>
      <c r="AK30" s="547"/>
      <c r="AL30" s="545"/>
      <c r="AM30" s="546"/>
      <c r="AN30" s="285" t="str">
        <f t="shared" si="1"/>
        <v>-</v>
      </c>
      <c r="AO30" s="286"/>
      <c r="AP30" s="287"/>
      <c r="AQ30" s="267"/>
      <c r="AR30" s="268"/>
      <c r="AS30" s="269"/>
    </row>
    <row r="31" spans="1:45" ht="12.75" customHeight="1">
      <c r="R31" s="44"/>
      <c r="S31" s="63"/>
      <c r="T31" s="127"/>
      <c r="U31" s="311" t="s">
        <v>122</v>
      </c>
      <c r="V31" s="312"/>
      <c r="W31" s="312"/>
      <c r="X31" s="383"/>
      <c r="Y31" s="538"/>
      <c r="Z31" s="539"/>
      <c r="AA31" s="539"/>
      <c r="AB31" s="540"/>
      <c r="AC31" s="539"/>
      <c r="AD31" s="541"/>
      <c r="AE31" s="542"/>
      <c r="AF31" s="542"/>
      <c r="AG31" s="543"/>
      <c r="AH31" s="544"/>
      <c r="AI31" s="545"/>
      <c r="AJ31" s="546"/>
      <c r="AK31" s="547"/>
      <c r="AL31" s="545"/>
      <c r="AM31" s="546"/>
      <c r="AN31" s="285" t="str">
        <f t="shared" si="1"/>
        <v>-</v>
      </c>
      <c r="AO31" s="286"/>
      <c r="AP31" s="287"/>
      <c r="AQ31" s="267"/>
      <c r="AR31" s="268"/>
      <c r="AS31" s="269"/>
    </row>
    <row r="32" spans="1:45" ht="12.75" customHeight="1">
      <c r="R32" s="18"/>
      <c r="S32" s="185"/>
      <c r="T32" s="311" t="s">
        <v>86</v>
      </c>
      <c r="U32" s="312"/>
      <c r="V32" s="312"/>
      <c r="W32" s="312"/>
      <c r="X32" s="312"/>
      <c r="Y32" s="548"/>
      <c r="Z32" s="524"/>
      <c r="AA32" s="524"/>
      <c r="AB32" s="523"/>
      <c r="AC32" s="524"/>
      <c r="AD32" s="525"/>
      <c r="AE32" s="285" t="str">
        <f t="shared" ref="AE32:AE57" si="3">IF(Y32="-", "-", IF(AB32="-", "-", IF(ABS(AB32)=0, "-", ROUND(100*(Y32-AB32)/ABS(AB32),1))))</f>
        <v>-</v>
      </c>
      <c r="AF32" s="286"/>
      <c r="AG32" s="287"/>
      <c r="AH32" s="544"/>
      <c r="AI32" s="545"/>
      <c r="AJ32" s="546"/>
      <c r="AK32" s="547"/>
      <c r="AL32" s="545"/>
      <c r="AM32" s="546"/>
      <c r="AN32" s="285" t="str">
        <f t="shared" si="1"/>
        <v>-</v>
      </c>
      <c r="AO32" s="286"/>
      <c r="AP32" s="287"/>
      <c r="AQ32" s="267"/>
      <c r="AR32" s="268"/>
      <c r="AS32" s="269"/>
    </row>
    <row r="33" spans="18:45" ht="12.75" customHeight="1">
      <c r="R33" s="18"/>
      <c r="S33" s="185"/>
      <c r="T33" s="311" t="s">
        <v>87</v>
      </c>
      <c r="U33" s="312"/>
      <c r="V33" s="312"/>
      <c r="W33" s="312"/>
      <c r="X33" s="312"/>
      <c r="Y33" s="548"/>
      <c r="Z33" s="524"/>
      <c r="AA33" s="524"/>
      <c r="AB33" s="523"/>
      <c r="AC33" s="524"/>
      <c r="AD33" s="525"/>
      <c r="AE33" s="285" t="str">
        <f t="shared" si="3"/>
        <v>-</v>
      </c>
      <c r="AF33" s="286"/>
      <c r="AG33" s="287"/>
      <c r="AH33" s="544"/>
      <c r="AI33" s="545"/>
      <c r="AJ33" s="546"/>
      <c r="AK33" s="547"/>
      <c r="AL33" s="545"/>
      <c r="AM33" s="546"/>
      <c r="AN33" s="285" t="str">
        <f t="shared" si="1"/>
        <v>-</v>
      </c>
      <c r="AO33" s="286"/>
      <c r="AP33" s="287"/>
      <c r="AQ33" s="267"/>
      <c r="AR33" s="268"/>
      <c r="AS33" s="269"/>
    </row>
    <row r="34" spans="18:45" ht="12.75" customHeight="1">
      <c r="R34" s="18"/>
      <c r="S34" s="185"/>
      <c r="T34" s="311" t="s">
        <v>88</v>
      </c>
      <c r="U34" s="312"/>
      <c r="V34" s="312"/>
      <c r="W34" s="312"/>
      <c r="X34" s="312"/>
      <c r="Y34" s="548"/>
      <c r="Z34" s="524"/>
      <c r="AA34" s="524"/>
      <c r="AB34" s="523"/>
      <c r="AC34" s="524"/>
      <c r="AD34" s="525"/>
      <c r="AE34" s="285" t="str">
        <f t="shared" si="3"/>
        <v>-</v>
      </c>
      <c r="AF34" s="286"/>
      <c r="AG34" s="287"/>
      <c r="AH34" s="544"/>
      <c r="AI34" s="545"/>
      <c r="AJ34" s="546"/>
      <c r="AK34" s="547"/>
      <c r="AL34" s="545"/>
      <c r="AM34" s="546"/>
      <c r="AN34" s="285" t="str">
        <f t="shared" si="1"/>
        <v>-</v>
      </c>
      <c r="AO34" s="286"/>
      <c r="AP34" s="287"/>
      <c r="AQ34" s="267"/>
      <c r="AR34" s="268"/>
      <c r="AS34" s="269"/>
    </row>
    <row r="35" spans="18:45" ht="12.75" customHeight="1">
      <c r="R35" s="44"/>
      <c r="S35" s="186"/>
      <c r="T35" s="559" t="s">
        <v>207</v>
      </c>
      <c r="U35" s="560"/>
      <c r="V35" s="311" t="s">
        <v>89</v>
      </c>
      <c r="W35" s="312"/>
      <c r="X35" s="383"/>
      <c r="Y35" s="548"/>
      <c r="Z35" s="524"/>
      <c r="AA35" s="524"/>
      <c r="AB35" s="523"/>
      <c r="AC35" s="524"/>
      <c r="AD35" s="525"/>
      <c r="AE35" s="285" t="str">
        <f t="shared" si="3"/>
        <v>-</v>
      </c>
      <c r="AF35" s="286"/>
      <c r="AG35" s="287"/>
      <c r="AH35" s="544"/>
      <c r="AI35" s="545"/>
      <c r="AJ35" s="546"/>
      <c r="AK35" s="547"/>
      <c r="AL35" s="545"/>
      <c r="AM35" s="546"/>
      <c r="AN35" s="285" t="str">
        <f t="shared" si="1"/>
        <v>-</v>
      </c>
      <c r="AO35" s="286"/>
      <c r="AP35" s="287"/>
      <c r="AQ35" s="267"/>
      <c r="AR35" s="268"/>
      <c r="AS35" s="269"/>
    </row>
    <row r="36" spans="18:45" ht="12.75" customHeight="1">
      <c r="R36" s="44"/>
      <c r="S36" s="186"/>
      <c r="T36" s="561"/>
      <c r="U36" s="562"/>
      <c r="V36" s="400" t="s">
        <v>90</v>
      </c>
      <c r="W36" s="401"/>
      <c r="X36" s="402"/>
      <c r="Y36" s="548"/>
      <c r="Z36" s="524"/>
      <c r="AA36" s="524"/>
      <c r="AB36" s="523"/>
      <c r="AC36" s="524"/>
      <c r="AD36" s="525"/>
      <c r="AE36" s="285" t="str">
        <f t="shared" si="3"/>
        <v>-</v>
      </c>
      <c r="AF36" s="286"/>
      <c r="AG36" s="287"/>
      <c r="AH36" s="544"/>
      <c r="AI36" s="545"/>
      <c r="AJ36" s="546"/>
      <c r="AK36" s="547"/>
      <c r="AL36" s="545"/>
      <c r="AM36" s="546"/>
      <c r="AN36" s="285" t="str">
        <f t="shared" si="1"/>
        <v>-</v>
      </c>
      <c r="AO36" s="286"/>
      <c r="AP36" s="287"/>
      <c r="AQ36" s="267"/>
      <c r="AR36" s="268"/>
      <c r="AS36" s="269"/>
    </row>
    <row r="37" spans="18:45" ht="12.75" customHeight="1">
      <c r="R37" s="44"/>
      <c r="S37" s="63"/>
      <c r="T37" s="561"/>
      <c r="U37" s="562"/>
      <c r="V37" s="400" t="s">
        <v>261</v>
      </c>
      <c r="W37" s="401"/>
      <c r="X37" s="402"/>
      <c r="Y37" s="548"/>
      <c r="Z37" s="524"/>
      <c r="AA37" s="524"/>
      <c r="AB37" s="523"/>
      <c r="AC37" s="524"/>
      <c r="AD37" s="525"/>
      <c r="AE37" s="285" t="str">
        <f t="shared" si="3"/>
        <v>-</v>
      </c>
      <c r="AF37" s="286"/>
      <c r="AG37" s="287"/>
      <c r="AH37" s="544"/>
      <c r="AI37" s="545"/>
      <c r="AJ37" s="546"/>
      <c r="AK37" s="547"/>
      <c r="AL37" s="545"/>
      <c r="AM37" s="546"/>
      <c r="AN37" s="285" t="str">
        <f t="shared" si="1"/>
        <v>-</v>
      </c>
      <c r="AO37" s="286"/>
      <c r="AP37" s="287"/>
      <c r="AQ37" s="267"/>
      <c r="AR37" s="268"/>
      <c r="AS37" s="269"/>
    </row>
    <row r="38" spans="18:45" ht="12.75" customHeight="1">
      <c r="R38" s="18"/>
      <c r="S38" s="185"/>
      <c r="T38" s="561"/>
      <c r="U38" s="562"/>
      <c r="V38" s="400" t="s">
        <v>262</v>
      </c>
      <c r="W38" s="401"/>
      <c r="X38" s="402"/>
      <c r="Y38" s="548"/>
      <c r="Z38" s="524"/>
      <c r="AA38" s="524"/>
      <c r="AB38" s="523"/>
      <c r="AC38" s="524"/>
      <c r="AD38" s="525"/>
      <c r="AE38" s="285" t="str">
        <f t="shared" si="3"/>
        <v>-</v>
      </c>
      <c r="AF38" s="286"/>
      <c r="AG38" s="287"/>
      <c r="AH38" s="544"/>
      <c r="AI38" s="545"/>
      <c r="AJ38" s="546"/>
      <c r="AK38" s="547"/>
      <c r="AL38" s="545"/>
      <c r="AM38" s="546"/>
      <c r="AN38" s="285" t="str">
        <f t="shared" si="1"/>
        <v>-</v>
      </c>
      <c r="AO38" s="286"/>
      <c r="AP38" s="287"/>
      <c r="AQ38" s="267"/>
      <c r="AR38" s="268"/>
      <c r="AS38" s="269"/>
    </row>
    <row r="39" spans="18:45" ht="12.75" customHeight="1">
      <c r="R39" s="18"/>
      <c r="S39" s="185"/>
      <c r="T39" s="563"/>
      <c r="U39" s="564"/>
      <c r="V39" s="400" t="s">
        <v>263</v>
      </c>
      <c r="W39" s="401"/>
      <c r="X39" s="402"/>
      <c r="Y39" s="548"/>
      <c r="Z39" s="524"/>
      <c r="AA39" s="524"/>
      <c r="AB39" s="523"/>
      <c r="AC39" s="524"/>
      <c r="AD39" s="525"/>
      <c r="AE39" s="285" t="str">
        <f t="shared" si="3"/>
        <v>-</v>
      </c>
      <c r="AF39" s="286"/>
      <c r="AG39" s="287"/>
      <c r="AH39" s="544"/>
      <c r="AI39" s="545"/>
      <c r="AJ39" s="546"/>
      <c r="AK39" s="547"/>
      <c r="AL39" s="545"/>
      <c r="AM39" s="546"/>
      <c r="AN39" s="285" t="str">
        <f t="shared" si="1"/>
        <v>-</v>
      </c>
      <c r="AO39" s="286"/>
      <c r="AP39" s="287"/>
      <c r="AQ39" s="267"/>
      <c r="AR39" s="268"/>
      <c r="AS39" s="269"/>
    </row>
    <row r="40" spans="18:45" ht="12.75" customHeight="1">
      <c r="R40" s="44"/>
      <c r="S40" s="186"/>
      <c r="T40" s="311" t="s">
        <v>210</v>
      </c>
      <c r="U40" s="312"/>
      <c r="V40" s="312"/>
      <c r="W40" s="312"/>
      <c r="X40" s="383"/>
      <c r="Y40" s="548"/>
      <c r="Z40" s="524"/>
      <c r="AA40" s="524"/>
      <c r="AB40" s="523"/>
      <c r="AC40" s="524"/>
      <c r="AD40" s="525"/>
      <c r="AE40" s="285" t="str">
        <f t="shared" si="3"/>
        <v>-</v>
      </c>
      <c r="AF40" s="286"/>
      <c r="AG40" s="287"/>
      <c r="AH40" s="544"/>
      <c r="AI40" s="545"/>
      <c r="AJ40" s="546"/>
      <c r="AK40" s="547"/>
      <c r="AL40" s="545"/>
      <c r="AM40" s="546"/>
      <c r="AN40" s="285" t="str">
        <f t="shared" si="1"/>
        <v>-</v>
      </c>
      <c r="AO40" s="286"/>
      <c r="AP40" s="287"/>
      <c r="AQ40" s="267"/>
      <c r="AR40" s="268"/>
      <c r="AS40" s="269"/>
    </row>
    <row r="41" spans="18:45" ht="12.75" customHeight="1">
      <c r="R41" s="44"/>
      <c r="S41" s="186"/>
      <c r="T41" s="311" t="s">
        <v>91</v>
      </c>
      <c r="U41" s="312"/>
      <c r="V41" s="312"/>
      <c r="W41" s="312"/>
      <c r="X41" s="383"/>
      <c r="Y41" s="548"/>
      <c r="Z41" s="524"/>
      <c r="AA41" s="524"/>
      <c r="AB41" s="523"/>
      <c r="AC41" s="524"/>
      <c r="AD41" s="525"/>
      <c r="AE41" s="285" t="str">
        <f t="shared" si="3"/>
        <v>-</v>
      </c>
      <c r="AF41" s="286"/>
      <c r="AG41" s="287"/>
      <c r="AH41" s="544"/>
      <c r="AI41" s="545"/>
      <c r="AJ41" s="546"/>
      <c r="AK41" s="547"/>
      <c r="AL41" s="545"/>
      <c r="AM41" s="546"/>
      <c r="AN41" s="285" t="str">
        <f t="shared" si="1"/>
        <v>-</v>
      </c>
      <c r="AO41" s="286"/>
      <c r="AP41" s="287"/>
      <c r="AQ41" s="267"/>
      <c r="AR41" s="268"/>
      <c r="AS41" s="269"/>
    </row>
    <row r="42" spans="18:45" ht="12.75" customHeight="1">
      <c r="R42" s="44"/>
      <c r="S42" s="63"/>
      <c r="T42" s="549" t="s">
        <v>92</v>
      </c>
      <c r="U42" s="557"/>
      <c r="V42" s="381" t="s">
        <v>93</v>
      </c>
      <c r="W42" s="381"/>
      <c r="X42" s="382"/>
      <c r="Y42" s="548"/>
      <c r="Z42" s="524"/>
      <c r="AA42" s="524"/>
      <c r="AB42" s="523"/>
      <c r="AC42" s="524"/>
      <c r="AD42" s="525"/>
      <c r="AE42" s="285" t="str">
        <f t="shared" si="3"/>
        <v>-</v>
      </c>
      <c r="AF42" s="286"/>
      <c r="AG42" s="287"/>
      <c r="AH42" s="544"/>
      <c r="AI42" s="545"/>
      <c r="AJ42" s="546"/>
      <c r="AK42" s="547"/>
      <c r="AL42" s="545"/>
      <c r="AM42" s="546"/>
      <c r="AN42" s="285" t="str">
        <f t="shared" si="1"/>
        <v>-</v>
      </c>
      <c r="AO42" s="286"/>
      <c r="AP42" s="287"/>
      <c r="AQ42" s="267"/>
      <c r="AR42" s="268"/>
      <c r="AS42" s="269"/>
    </row>
    <row r="43" spans="18:45" ht="12.75" customHeight="1">
      <c r="R43" s="18"/>
      <c r="S43" s="185"/>
      <c r="T43" s="551"/>
      <c r="U43" s="558"/>
      <c r="V43" s="400" t="s">
        <v>252</v>
      </c>
      <c r="W43" s="401"/>
      <c r="X43" s="402"/>
      <c r="Y43" s="548"/>
      <c r="Z43" s="524"/>
      <c r="AA43" s="524"/>
      <c r="AB43" s="523"/>
      <c r="AC43" s="524"/>
      <c r="AD43" s="525"/>
      <c r="AE43" s="285" t="str">
        <f t="shared" si="3"/>
        <v>-</v>
      </c>
      <c r="AF43" s="286"/>
      <c r="AG43" s="287"/>
      <c r="AH43" s="544"/>
      <c r="AI43" s="545"/>
      <c r="AJ43" s="546"/>
      <c r="AK43" s="547"/>
      <c r="AL43" s="545"/>
      <c r="AM43" s="546"/>
      <c r="AN43" s="285" t="str">
        <f t="shared" si="1"/>
        <v>-</v>
      </c>
      <c r="AO43" s="286"/>
      <c r="AP43" s="287"/>
      <c r="AQ43" s="267"/>
      <c r="AR43" s="268"/>
      <c r="AS43" s="269"/>
    </row>
    <row r="44" spans="18:45" ht="12.75" customHeight="1">
      <c r="R44" s="18"/>
      <c r="S44" s="185"/>
      <c r="T44" s="551"/>
      <c r="U44" s="558"/>
      <c r="V44" s="400" t="s">
        <v>264</v>
      </c>
      <c r="W44" s="401"/>
      <c r="X44" s="402"/>
      <c r="Y44" s="548"/>
      <c r="Z44" s="524"/>
      <c r="AA44" s="524"/>
      <c r="AB44" s="523"/>
      <c r="AC44" s="524"/>
      <c r="AD44" s="525"/>
      <c r="AE44" s="285" t="str">
        <f t="shared" si="3"/>
        <v>-</v>
      </c>
      <c r="AF44" s="286"/>
      <c r="AG44" s="287"/>
      <c r="AH44" s="544"/>
      <c r="AI44" s="545"/>
      <c r="AJ44" s="546"/>
      <c r="AK44" s="547"/>
      <c r="AL44" s="545"/>
      <c r="AM44" s="546"/>
      <c r="AN44" s="285" t="str">
        <f t="shared" si="1"/>
        <v>-</v>
      </c>
      <c r="AO44" s="286"/>
      <c r="AP44" s="287"/>
      <c r="AQ44" s="267"/>
      <c r="AR44" s="268"/>
      <c r="AS44" s="269"/>
    </row>
    <row r="45" spans="18:45" ht="12.75" customHeight="1">
      <c r="R45" s="18"/>
      <c r="S45" s="185"/>
      <c r="T45" s="551"/>
      <c r="U45" s="558"/>
      <c r="V45" s="400" t="s">
        <v>265</v>
      </c>
      <c r="W45" s="401"/>
      <c r="X45" s="402"/>
      <c r="Y45" s="548"/>
      <c r="Z45" s="524"/>
      <c r="AA45" s="524"/>
      <c r="AB45" s="523"/>
      <c r="AC45" s="524"/>
      <c r="AD45" s="525"/>
      <c r="AE45" s="285" t="str">
        <f t="shared" si="3"/>
        <v>-</v>
      </c>
      <c r="AF45" s="286"/>
      <c r="AG45" s="287"/>
      <c r="AH45" s="544"/>
      <c r="AI45" s="545"/>
      <c r="AJ45" s="546"/>
      <c r="AK45" s="547"/>
      <c r="AL45" s="545"/>
      <c r="AM45" s="546"/>
      <c r="AN45" s="285" t="str">
        <f t="shared" si="1"/>
        <v>-</v>
      </c>
      <c r="AO45" s="286"/>
      <c r="AP45" s="287"/>
      <c r="AQ45" s="267"/>
      <c r="AR45" s="268"/>
      <c r="AS45" s="269"/>
    </row>
    <row r="46" spans="18:45" ht="12.75" customHeight="1">
      <c r="R46" s="18"/>
      <c r="S46" s="185"/>
      <c r="T46" s="311" t="s">
        <v>242</v>
      </c>
      <c r="U46" s="312"/>
      <c r="V46" s="312"/>
      <c r="W46" s="312"/>
      <c r="X46" s="383"/>
      <c r="Y46" s="548"/>
      <c r="Z46" s="524"/>
      <c r="AA46" s="524"/>
      <c r="AB46" s="523"/>
      <c r="AC46" s="524"/>
      <c r="AD46" s="525"/>
      <c r="AE46" s="285" t="str">
        <f t="shared" si="3"/>
        <v>-</v>
      </c>
      <c r="AF46" s="286"/>
      <c r="AG46" s="287"/>
      <c r="AH46" s="544"/>
      <c r="AI46" s="545"/>
      <c r="AJ46" s="546"/>
      <c r="AK46" s="547"/>
      <c r="AL46" s="545"/>
      <c r="AM46" s="546"/>
      <c r="AN46" s="285" t="str">
        <f t="shared" si="1"/>
        <v>-</v>
      </c>
      <c r="AO46" s="286"/>
      <c r="AP46" s="287"/>
      <c r="AQ46" s="267"/>
      <c r="AR46" s="268"/>
      <c r="AS46" s="269"/>
    </row>
    <row r="47" spans="18:45" ht="15" customHeight="1">
      <c r="R47" s="18"/>
      <c r="S47" s="185"/>
      <c r="T47" s="311" t="s">
        <v>94</v>
      </c>
      <c r="U47" s="312"/>
      <c r="V47" s="312"/>
      <c r="W47" s="312"/>
      <c r="X47" s="383"/>
      <c r="Y47" s="548"/>
      <c r="Z47" s="524"/>
      <c r="AA47" s="524"/>
      <c r="AB47" s="523"/>
      <c r="AC47" s="524"/>
      <c r="AD47" s="525"/>
      <c r="AE47" s="285" t="str">
        <f t="shared" si="3"/>
        <v>-</v>
      </c>
      <c r="AF47" s="286"/>
      <c r="AG47" s="287"/>
      <c r="AH47" s="544"/>
      <c r="AI47" s="545"/>
      <c r="AJ47" s="546"/>
      <c r="AK47" s="547"/>
      <c r="AL47" s="545"/>
      <c r="AM47" s="546"/>
      <c r="AN47" s="285" t="str">
        <f t="shared" si="1"/>
        <v>-</v>
      </c>
      <c r="AO47" s="286"/>
      <c r="AP47" s="287"/>
      <c r="AQ47" s="267"/>
      <c r="AR47" s="268"/>
      <c r="AS47" s="269"/>
    </row>
    <row r="48" spans="18:45" ht="15" customHeight="1">
      <c r="R48" s="18"/>
      <c r="S48" s="185"/>
      <c r="T48" s="311" t="s">
        <v>208</v>
      </c>
      <c r="U48" s="312"/>
      <c r="V48" s="312"/>
      <c r="W48" s="312"/>
      <c r="X48" s="383"/>
      <c r="Y48" s="548"/>
      <c r="Z48" s="524"/>
      <c r="AA48" s="524"/>
      <c r="AB48" s="523"/>
      <c r="AC48" s="524"/>
      <c r="AD48" s="525"/>
      <c r="AE48" s="285" t="str">
        <f t="shared" si="3"/>
        <v>-</v>
      </c>
      <c r="AF48" s="286"/>
      <c r="AG48" s="287"/>
      <c r="AH48" s="544"/>
      <c r="AI48" s="545"/>
      <c r="AJ48" s="546"/>
      <c r="AK48" s="547"/>
      <c r="AL48" s="545"/>
      <c r="AM48" s="546"/>
      <c r="AN48" s="285" t="str">
        <f t="shared" si="1"/>
        <v>-</v>
      </c>
      <c r="AO48" s="286"/>
      <c r="AP48" s="287"/>
      <c r="AQ48" s="267"/>
      <c r="AR48" s="268"/>
      <c r="AS48" s="269"/>
    </row>
    <row r="49" spans="18:45" ht="15" customHeight="1">
      <c r="R49" s="18"/>
      <c r="S49" s="185"/>
      <c r="T49" s="553" t="s">
        <v>209</v>
      </c>
      <c r="U49" s="554"/>
      <c r="V49" s="311" t="s">
        <v>95</v>
      </c>
      <c r="W49" s="312"/>
      <c r="X49" s="383"/>
      <c r="Y49" s="548"/>
      <c r="Z49" s="524"/>
      <c r="AA49" s="524"/>
      <c r="AB49" s="523"/>
      <c r="AC49" s="524"/>
      <c r="AD49" s="525"/>
      <c r="AE49" s="285" t="str">
        <f t="shared" si="3"/>
        <v>-</v>
      </c>
      <c r="AF49" s="286"/>
      <c r="AG49" s="287"/>
      <c r="AH49" s="544"/>
      <c r="AI49" s="545"/>
      <c r="AJ49" s="546"/>
      <c r="AK49" s="547"/>
      <c r="AL49" s="545"/>
      <c r="AM49" s="546"/>
      <c r="AN49" s="285" t="str">
        <f t="shared" si="1"/>
        <v>-</v>
      </c>
      <c r="AO49" s="286"/>
      <c r="AP49" s="287"/>
      <c r="AQ49" s="267"/>
      <c r="AR49" s="268"/>
      <c r="AS49" s="269"/>
    </row>
    <row r="50" spans="18:45" ht="15" customHeight="1">
      <c r="R50" s="18"/>
      <c r="S50" s="185"/>
      <c r="T50" s="555"/>
      <c r="U50" s="556"/>
      <c r="V50" s="311" t="s">
        <v>266</v>
      </c>
      <c r="W50" s="312"/>
      <c r="X50" s="383"/>
      <c r="Y50" s="548"/>
      <c r="Z50" s="524"/>
      <c r="AA50" s="524"/>
      <c r="AB50" s="523"/>
      <c r="AC50" s="524"/>
      <c r="AD50" s="525"/>
      <c r="AE50" s="285" t="str">
        <f t="shared" si="3"/>
        <v>-</v>
      </c>
      <c r="AF50" s="286"/>
      <c r="AG50" s="287"/>
      <c r="AH50" s="544"/>
      <c r="AI50" s="545"/>
      <c r="AJ50" s="546"/>
      <c r="AK50" s="547"/>
      <c r="AL50" s="545"/>
      <c r="AM50" s="546"/>
      <c r="AN50" s="285" t="str">
        <f t="shared" si="1"/>
        <v>-</v>
      </c>
      <c r="AO50" s="286"/>
      <c r="AP50" s="287"/>
      <c r="AQ50" s="267"/>
      <c r="AR50" s="268"/>
      <c r="AS50" s="269"/>
    </row>
    <row r="51" spans="18:45" ht="15" customHeight="1">
      <c r="R51" s="44"/>
      <c r="S51" s="185"/>
      <c r="T51" s="555"/>
      <c r="U51" s="556"/>
      <c r="V51" s="311" t="s">
        <v>267</v>
      </c>
      <c r="W51" s="312"/>
      <c r="X51" s="383"/>
      <c r="Y51" s="548"/>
      <c r="Z51" s="524"/>
      <c r="AA51" s="524"/>
      <c r="AB51" s="523"/>
      <c r="AC51" s="524"/>
      <c r="AD51" s="525"/>
      <c r="AE51" s="285" t="str">
        <f t="shared" si="3"/>
        <v>-</v>
      </c>
      <c r="AF51" s="286"/>
      <c r="AG51" s="287"/>
      <c r="AH51" s="544"/>
      <c r="AI51" s="545"/>
      <c r="AJ51" s="546"/>
      <c r="AK51" s="547"/>
      <c r="AL51" s="545"/>
      <c r="AM51" s="546"/>
      <c r="AN51" s="285" t="str">
        <f t="shared" si="1"/>
        <v>-</v>
      </c>
      <c r="AO51" s="286"/>
      <c r="AP51" s="287"/>
      <c r="AQ51" s="267"/>
      <c r="AR51" s="268"/>
      <c r="AS51" s="269"/>
    </row>
    <row r="52" spans="18:45" ht="15" customHeight="1">
      <c r="R52" s="44"/>
      <c r="S52" s="187"/>
      <c r="T52" s="311" t="s">
        <v>96</v>
      </c>
      <c r="U52" s="312"/>
      <c r="V52" s="312"/>
      <c r="W52" s="312"/>
      <c r="X52" s="383"/>
      <c r="Y52" s="548"/>
      <c r="Z52" s="524"/>
      <c r="AA52" s="524"/>
      <c r="AB52" s="523"/>
      <c r="AC52" s="524"/>
      <c r="AD52" s="525"/>
      <c r="AE52" s="285" t="str">
        <f t="shared" si="3"/>
        <v>-</v>
      </c>
      <c r="AF52" s="286"/>
      <c r="AG52" s="287"/>
      <c r="AH52" s="544"/>
      <c r="AI52" s="545"/>
      <c r="AJ52" s="546"/>
      <c r="AK52" s="547"/>
      <c r="AL52" s="545"/>
      <c r="AM52" s="546"/>
      <c r="AN52" s="285" t="str">
        <f t="shared" si="1"/>
        <v>-</v>
      </c>
      <c r="AO52" s="286"/>
      <c r="AP52" s="287"/>
      <c r="AQ52" s="267"/>
      <c r="AR52" s="268"/>
      <c r="AS52" s="269"/>
    </row>
    <row r="53" spans="18:45" ht="15" customHeight="1">
      <c r="R53" s="44"/>
      <c r="S53" s="188"/>
      <c r="T53" s="311" t="s">
        <v>97</v>
      </c>
      <c r="U53" s="312"/>
      <c r="V53" s="312"/>
      <c r="W53" s="312"/>
      <c r="X53" s="383"/>
      <c r="Y53" s="548"/>
      <c r="Z53" s="524"/>
      <c r="AA53" s="524"/>
      <c r="AB53" s="523"/>
      <c r="AC53" s="524"/>
      <c r="AD53" s="525"/>
      <c r="AE53" s="285" t="str">
        <f t="shared" si="3"/>
        <v>-</v>
      </c>
      <c r="AF53" s="286"/>
      <c r="AG53" s="287"/>
      <c r="AH53" s="544"/>
      <c r="AI53" s="545"/>
      <c r="AJ53" s="546"/>
      <c r="AK53" s="547"/>
      <c r="AL53" s="545"/>
      <c r="AM53" s="546"/>
      <c r="AN53" s="285" t="str">
        <f t="shared" si="1"/>
        <v>-</v>
      </c>
      <c r="AO53" s="286"/>
      <c r="AP53" s="287"/>
      <c r="AQ53" s="267"/>
      <c r="AR53" s="268"/>
      <c r="AS53" s="269"/>
    </row>
    <row r="54" spans="18:45" ht="15" customHeight="1">
      <c r="R54" s="18"/>
      <c r="S54" s="185"/>
      <c r="T54" s="311" t="s">
        <v>268</v>
      </c>
      <c r="U54" s="312"/>
      <c r="V54" s="312"/>
      <c r="W54" s="312"/>
      <c r="X54" s="383"/>
      <c r="Y54" s="548"/>
      <c r="Z54" s="524"/>
      <c r="AA54" s="524"/>
      <c r="AB54" s="523"/>
      <c r="AC54" s="524"/>
      <c r="AD54" s="525"/>
      <c r="AE54" s="285" t="str">
        <f t="shared" si="3"/>
        <v>-</v>
      </c>
      <c r="AF54" s="286"/>
      <c r="AG54" s="287"/>
      <c r="AH54" s="544"/>
      <c r="AI54" s="545"/>
      <c r="AJ54" s="546"/>
      <c r="AK54" s="547"/>
      <c r="AL54" s="545"/>
      <c r="AM54" s="546"/>
      <c r="AN54" s="285" t="str">
        <f t="shared" si="1"/>
        <v>-</v>
      </c>
      <c r="AO54" s="286"/>
      <c r="AP54" s="287"/>
      <c r="AQ54" s="267"/>
      <c r="AR54" s="268"/>
      <c r="AS54" s="269"/>
    </row>
    <row r="55" spans="18:45" ht="15" customHeight="1">
      <c r="R55" s="18"/>
      <c r="S55" s="185"/>
      <c r="T55" s="549" t="s">
        <v>98</v>
      </c>
      <c r="U55" s="550"/>
      <c r="V55" s="311" t="s">
        <v>99</v>
      </c>
      <c r="W55" s="312"/>
      <c r="X55" s="383"/>
      <c r="Y55" s="548"/>
      <c r="Z55" s="524"/>
      <c r="AA55" s="524"/>
      <c r="AB55" s="523"/>
      <c r="AC55" s="524"/>
      <c r="AD55" s="525"/>
      <c r="AE55" s="285" t="str">
        <f t="shared" si="3"/>
        <v>-</v>
      </c>
      <c r="AF55" s="286"/>
      <c r="AG55" s="287"/>
      <c r="AH55" s="544"/>
      <c r="AI55" s="545"/>
      <c r="AJ55" s="546"/>
      <c r="AK55" s="547"/>
      <c r="AL55" s="545"/>
      <c r="AM55" s="546"/>
      <c r="AN55" s="285" t="str">
        <f t="shared" si="1"/>
        <v>-</v>
      </c>
      <c r="AO55" s="286"/>
      <c r="AP55" s="287"/>
      <c r="AQ55" s="267"/>
      <c r="AR55" s="268"/>
      <c r="AS55" s="269"/>
    </row>
    <row r="56" spans="18:45" ht="15" customHeight="1">
      <c r="R56" s="18"/>
      <c r="S56" s="185"/>
      <c r="T56" s="551"/>
      <c r="U56" s="552"/>
      <c r="V56" s="311" t="s">
        <v>100</v>
      </c>
      <c r="W56" s="312"/>
      <c r="X56" s="383"/>
      <c r="Y56" s="548"/>
      <c r="Z56" s="524"/>
      <c r="AA56" s="524"/>
      <c r="AB56" s="523"/>
      <c r="AC56" s="524"/>
      <c r="AD56" s="525"/>
      <c r="AE56" s="285" t="str">
        <f t="shared" si="3"/>
        <v>-</v>
      </c>
      <c r="AF56" s="286"/>
      <c r="AG56" s="287"/>
      <c r="AH56" s="544"/>
      <c r="AI56" s="545"/>
      <c r="AJ56" s="546"/>
      <c r="AK56" s="547"/>
      <c r="AL56" s="545"/>
      <c r="AM56" s="546"/>
      <c r="AN56" s="285" t="str">
        <f t="shared" si="1"/>
        <v>-</v>
      </c>
      <c r="AO56" s="286"/>
      <c r="AP56" s="287"/>
      <c r="AQ56" s="267"/>
      <c r="AR56" s="268"/>
      <c r="AS56" s="269"/>
    </row>
    <row r="57" spans="18:45" ht="15" customHeight="1">
      <c r="R57" s="18"/>
      <c r="S57" s="185"/>
      <c r="T57" s="400" t="s">
        <v>269</v>
      </c>
      <c r="U57" s="401"/>
      <c r="V57" s="401"/>
      <c r="W57" s="401"/>
      <c r="X57" s="402"/>
      <c r="Y57" s="548"/>
      <c r="Z57" s="524"/>
      <c r="AA57" s="524"/>
      <c r="AB57" s="523"/>
      <c r="AC57" s="524"/>
      <c r="AD57" s="525"/>
      <c r="AE57" s="285" t="str">
        <f t="shared" si="3"/>
        <v>-</v>
      </c>
      <c r="AF57" s="286"/>
      <c r="AG57" s="287"/>
      <c r="AH57" s="544"/>
      <c r="AI57" s="545"/>
      <c r="AJ57" s="546"/>
      <c r="AK57" s="547"/>
      <c r="AL57" s="545"/>
      <c r="AM57" s="546"/>
      <c r="AN57" s="285" t="str">
        <f t="shared" si="1"/>
        <v>-</v>
      </c>
      <c r="AO57" s="286"/>
      <c r="AP57" s="287"/>
      <c r="AQ57" s="267"/>
      <c r="AR57" s="268"/>
      <c r="AS57" s="269"/>
    </row>
    <row r="58" spans="18:45" ht="15" customHeight="1">
      <c r="R58" s="18"/>
      <c r="S58" s="185"/>
      <c r="T58" s="311" t="s">
        <v>44</v>
      </c>
      <c r="U58" s="312"/>
      <c r="V58" s="312"/>
      <c r="W58" s="312"/>
      <c r="X58" s="383"/>
      <c r="Y58" s="538"/>
      <c r="Z58" s="539"/>
      <c r="AA58" s="539"/>
      <c r="AB58" s="540"/>
      <c r="AC58" s="539"/>
      <c r="AD58" s="541"/>
      <c r="AE58" s="542"/>
      <c r="AF58" s="542"/>
      <c r="AG58" s="543"/>
      <c r="AH58" s="544"/>
      <c r="AI58" s="545"/>
      <c r="AJ58" s="546"/>
      <c r="AK58" s="547"/>
      <c r="AL58" s="545"/>
      <c r="AM58" s="546"/>
      <c r="AN58" s="285" t="str">
        <f t="shared" si="1"/>
        <v>-</v>
      </c>
      <c r="AO58" s="286"/>
      <c r="AP58" s="287"/>
      <c r="AQ58" s="267"/>
      <c r="AR58" s="268"/>
      <c r="AS58" s="269"/>
    </row>
    <row r="59" spans="18:45" ht="15" customHeight="1">
      <c r="R59" s="18"/>
      <c r="S59" s="380" t="s">
        <v>101</v>
      </c>
      <c r="T59" s="381"/>
      <c r="U59" s="381"/>
      <c r="V59" s="381"/>
      <c r="W59" s="381"/>
      <c r="X59" s="382"/>
      <c r="Y59" s="538"/>
      <c r="Z59" s="539"/>
      <c r="AA59" s="539"/>
      <c r="AB59" s="540"/>
      <c r="AC59" s="539"/>
      <c r="AD59" s="541"/>
      <c r="AE59" s="542"/>
      <c r="AF59" s="542"/>
      <c r="AG59" s="543"/>
      <c r="AH59" s="544"/>
      <c r="AI59" s="545"/>
      <c r="AJ59" s="546"/>
      <c r="AK59" s="547"/>
      <c r="AL59" s="545"/>
      <c r="AM59" s="546"/>
      <c r="AN59" s="285" t="str">
        <f t="shared" si="1"/>
        <v>-</v>
      </c>
      <c r="AO59" s="286"/>
      <c r="AP59" s="287"/>
      <c r="AQ59" s="267"/>
      <c r="AR59" s="268"/>
      <c r="AS59" s="269"/>
    </row>
    <row r="60" spans="18:45" ht="15" customHeight="1">
      <c r="R60" s="42"/>
      <c r="S60" s="69"/>
      <c r="T60" s="375" t="s">
        <v>122</v>
      </c>
      <c r="U60" s="302"/>
      <c r="V60" s="302"/>
      <c r="W60" s="302"/>
      <c r="X60" s="376"/>
      <c r="Y60" s="528"/>
      <c r="Z60" s="529"/>
      <c r="AA60" s="529"/>
      <c r="AB60" s="530"/>
      <c r="AC60" s="529"/>
      <c r="AD60" s="531"/>
      <c r="AE60" s="532"/>
      <c r="AF60" s="532"/>
      <c r="AG60" s="533"/>
      <c r="AH60" s="534"/>
      <c r="AI60" s="535"/>
      <c r="AJ60" s="536"/>
      <c r="AK60" s="537"/>
      <c r="AL60" s="535"/>
      <c r="AM60" s="536"/>
      <c r="AN60" s="291" t="str">
        <f t="shared" si="1"/>
        <v>-</v>
      </c>
      <c r="AO60" s="292"/>
      <c r="AP60" s="293"/>
      <c r="AQ60" s="270"/>
      <c r="AR60" s="271"/>
      <c r="AS60" s="272"/>
    </row>
  </sheetData>
  <mergeCells count="539">
    <mergeCell ref="S59:X59"/>
    <mergeCell ref="AN44:AP44"/>
    <mergeCell ref="AN45:AP45"/>
    <mergeCell ref="AN50:AP50"/>
    <mergeCell ref="AN51:AP51"/>
    <mergeCell ref="AN57:AP57"/>
    <mergeCell ref="AN12:AP12"/>
    <mergeCell ref="AQ59:AS59"/>
    <mergeCell ref="AQ60:AS60"/>
    <mergeCell ref="AQ47:AS47"/>
    <mergeCell ref="AQ48:AS48"/>
    <mergeCell ref="AQ49:AS49"/>
    <mergeCell ref="AQ50:AS50"/>
    <mergeCell ref="AQ51:AS51"/>
    <mergeCell ref="AQ52:AS52"/>
    <mergeCell ref="AQ53:AS53"/>
    <mergeCell ref="AQ54:AS54"/>
    <mergeCell ref="AQ55:AS55"/>
    <mergeCell ref="AQ56:AS56"/>
    <mergeCell ref="AQ57:AS57"/>
    <mergeCell ref="AQ58:AS58"/>
    <mergeCell ref="AQ19:AS19"/>
    <mergeCell ref="AQ21:AS21"/>
    <mergeCell ref="AN32:AP32"/>
    <mergeCell ref="AL1:AS1"/>
    <mergeCell ref="AL2:AS2"/>
    <mergeCell ref="A5:F6"/>
    <mergeCell ref="G5:I5"/>
    <mergeCell ref="J5:L5"/>
    <mergeCell ref="M5:O5"/>
    <mergeCell ref="R5:X7"/>
    <mergeCell ref="Y5:AG5"/>
    <mergeCell ref="AH5:AP5"/>
    <mergeCell ref="AQ5:AS7"/>
    <mergeCell ref="AK6:AM6"/>
    <mergeCell ref="AN6:AP6"/>
    <mergeCell ref="G6:I6"/>
    <mergeCell ref="J6:L6"/>
    <mergeCell ref="M6:O6"/>
    <mergeCell ref="Y6:AA6"/>
    <mergeCell ref="AB6:AD6"/>
    <mergeCell ref="AE6:AG6"/>
    <mergeCell ref="AH6:AJ6"/>
    <mergeCell ref="AK7:AM7"/>
    <mergeCell ref="AN7:AP7"/>
    <mergeCell ref="A7:F7"/>
    <mergeCell ref="G7:I7"/>
    <mergeCell ref="J7:L7"/>
    <mergeCell ref="M7:O7"/>
    <mergeCell ref="Y7:AA7"/>
    <mergeCell ref="AB7:AD7"/>
    <mergeCell ref="AE7:AG7"/>
    <mergeCell ref="AH7:AJ7"/>
    <mergeCell ref="AH8:AJ8"/>
    <mergeCell ref="AK8:AM8"/>
    <mergeCell ref="AN8:AP8"/>
    <mergeCell ref="AQ8:AS8"/>
    <mergeCell ref="B8:F8"/>
    <mergeCell ref="G8:I8"/>
    <mergeCell ref="J8:L8"/>
    <mergeCell ref="M8:O8"/>
    <mergeCell ref="R8:X8"/>
    <mergeCell ref="Y8:AA8"/>
    <mergeCell ref="AB8:AD8"/>
    <mergeCell ref="AE8:AG8"/>
    <mergeCell ref="AQ9:AS9"/>
    <mergeCell ref="Y9:AA9"/>
    <mergeCell ref="AB9:AD9"/>
    <mergeCell ref="AE9:AG9"/>
    <mergeCell ref="AH9:AJ9"/>
    <mergeCell ref="AK9:AM9"/>
    <mergeCell ref="AN9:AP9"/>
    <mergeCell ref="C9:F9"/>
    <mergeCell ref="G9:I9"/>
    <mergeCell ref="J9:L9"/>
    <mergeCell ref="M9:O9"/>
    <mergeCell ref="S9:X9"/>
    <mergeCell ref="AH10:AJ10"/>
    <mergeCell ref="AK10:AM10"/>
    <mergeCell ref="AN10:AP10"/>
    <mergeCell ref="AQ10:AS10"/>
    <mergeCell ref="C10:F10"/>
    <mergeCell ref="G10:I10"/>
    <mergeCell ref="J10:L10"/>
    <mergeCell ref="M10:O10"/>
    <mergeCell ref="U10:X10"/>
    <mergeCell ref="Y10:AA10"/>
    <mergeCell ref="AB10:AD10"/>
    <mergeCell ref="AE10:AG10"/>
    <mergeCell ref="AQ11:AS11"/>
    <mergeCell ref="Y11:AA11"/>
    <mergeCell ref="AB11:AD11"/>
    <mergeCell ref="AE11:AG11"/>
    <mergeCell ref="AH11:AJ11"/>
    <mergeCell ref="AK11:AM11"/>
    <mergeCell ref="AN11:AP11"/>
    <mergeCell ref="B11:F11"/>
    <mergeCell ref="G11:I11"/>
    <mergeCell ref="J11:L11"/>
    <mergeCell ref="M11:O11"/>
    <mergeCell ref="T11:X11"/>
    <mergeCell ref="AH12:AJ12"/>
    <mergeCell ref="AK12:AM12"/>
    <mergeCell ref="AQ12:AS12"/>
    <mergeCell ref="B12:F12"/>
    <mergeCell ref="G12:I12"/>
    <mergeCell ref="J12:L12"/>
    <mergeCell ref="M12:O12"/>
    <mergeCell ref="T12:X12"/>
    <mergeCell ref="Y12:AA12"/>
    <mergeCell ref="AB12:AD12"/>
    <mergeCell ref="AE12:AG12"/>
    <mergeCell ref="AB13:AD13"/>
    <mergeCell ref="AE13:AG13"/>
    <mergeCell ref="AH13:AJ13"/>
    <mergeCell ref="AK13:AM13"/>
    <mergeCell ref="AN13:AP13"/>
    <mergeCell ref="AQ13:AS13"/>
    <mergeCell ref="B13:F13"/>
    <mergeCell ref="G13:I13"/>
    <mergeCell ref="J13:L13"/>
    <mergeCell ref="M13:O13"/>
    <mergeCell ref="T13:X13"/>
    <mergeCell ref="Y13:AA13"/>
    <mergeCell ref="AQ14:AS14"/>
    <mergeCell ref="T14:X14"/>
    <mergeCell ref="Y14:AA14"/>
    <mergeCell ref="AB14:AD14"/>
    <mergeCell ref="AE14:AG14"/>
    <mergeCell ref="AH14:AJ14"/>
    <mergeCell ref="AN14:AP14"/>
    <mergeCell ref="AE15:AG15"/>
    <mergeCell ref="AH15:AJ15"/>
    <mergeCell ref="AK15:AM15"/>
    <mergeCell ref="AQ15:AS15"/>
    <mergeCell ref="B14:F14"/>
    <mergeCell ref="G14:I14"/>
    <mergeCell ref="J14:L14"/>
    <mergeCell ref="M14:O14"/>
    <mergeCell ref="T15:X15"/>
    <mergeCell ref="Y15:AA15"/>
    <mergeCell ref="AB15:AD15"/>
    <mergeCell ref="AN15:AP15"/>
    <mergeCell ref="Y16:AA16"/>
    <mergeCell ref="AB16:AD16"/>
    <mergeCell ref="AE16:AG16"/>
    <mergeCell ref="AH16:AJ16"/>
    <mergeCell ref="AK16:AM16"/>
    <mergeCell ref="AK14:AM14"/>
    <mergeCell ref="AQ16:AS16"/>
    <mergeCell ref="B15:F15"/>
    <mergeCell ref="G15:I15"/>
    <mergeCell ref="J15:L15"/>
    <mergeCell ref="M15:O15"/>
    <mergeCell ref="T16:X16"/>
    <mergeCell ref="AN16:AP16"/>
    <mergeCell ref="AK17:AM17"/>
    <mergeCell ref="AQ17:AS17"/>
    <mergeCell ref="B16:F16"/>
    <mergeCell ref="G16:I16"/>
    <mergeCell ref="J16:L16"/>
    <mergeCell ref="M16:O16"/>
    <mergeCell ref="T17:X17"/>
    <mergeCell ref="Y17:AA17"/>
    <mergeCell ref="AB17:AD17"/>
    <mergeCell ref="AE17:AG17"/>
    <mergeCell ref="AH17:AJ17"/>
    <mergeCell ref="AN17:AP17"/>
    <mergeCell ref="AQ18:AS18"/>
    <mergeCell ref="B17:F17"/>
    <mergeCell ref="G17:I17"/>
    <mergeCell ref="J17:L17"/>
    <mergeCell ref="M17:O17"/>
    <mergeCell ref="T18:X18"/>
    <mergeCell ref="Y18:AA18"/>
    <mergeCell ref="AB18:AD18"/>
    <mergeCell ref="AN18:AP18"/>
    <mergeCell ref="A18:F18"/>
    <mergeCell ref="G18:I18"/>
    <mergeCell ref="J18:L18"/>
    <mergeCell ref="M18:O18"/>
    <mergeCell ref="AE18:AG18"/>
    <mergeCell ref="AH18:AJ18"/>
    <mergeCell ref="AK18:AM18"/>
    <mergeCell ref="B19:F19"/>
    <mergeCell ref="G19:I19"/>
    <mergeCell ref="J19:L19"/>
    <mergeCell ref="M19:O19"/>
    <mergeCell ref="Y19:AA19"/>
    <mergeCell ref="AB19:AD19"/>
    <mergeCell ref="AE19:AG19"/>
    <mergeCell ref="AH19:AJ19"/>
    <mergeCell ref="AK19:AM19"/>
    <mergeCell ref="AQ20:AS20"/>
    <mergeCell ref="B21:F21"/>
    <mergeCell ref="G21:I21"/>
    <mergeCell ref="J21:L21"/>
    <mergeCell ref="M21:O21"/>
    <mergeCell ref="T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N21:AP21"/>
    <mergeCell ref="T21:X21"/>
    <mergeCell ref="AH20:AJ20"/>
    <mergeCell ref="AK20:AM20"/>
    <mergeCell ref="AN19:AP19"/>
    <mergeCell ref="AN20:AP20"/>
    <mergeCell ref="B20:F20"/>
    <mergeCell ref="T19:X19"/>
    <mergeCell ref="AN23:AP23"/>
    <mergeCell ref="AQ23:AS23"/>
    <mergeCell ref="B22:F22"/>
    <mergeCell ref="G22:I22"/>
    <mergeCell ref="J22:L22"/>
    <mergeCell ref="M22:O22"/>
    <mergeCell ref="T23:X23"/>
    <mergeCell ref="Y23:AA23"/>
    <mergeCell ref="AH22:AJ22"/>
    <mergeCell ref="AK22:AM22"/>
    <mergeCell ref="AQ22:AS22"/>
    <mergeCell ref="B23:F23"/>
    <mergeCell ref="G23:I23"/>
    <mergeCell ref="J23:L23"/>
    <mergeCell ref="M23:O23"/>
    <mergeCell ref="T22:X22"/>
    <mergeCell ref="Y22:AA22"/>
    <mergeCell ref="AB22:AD22"/>
    <mergeCell ref="AE22:AG22"/>
    <mergeCell ref="AN22:AP22"/>
    <mergeCell ref="AK23:AM23"/>
    <mergeCell ref="G20:I20"/>
    <mergeCell ref="J20:L20"/>
    <mergeCell ref="AB24:AD24"/>
    <mergeCell ref="AE24:AG24"/>
    <mergeCell ref="AH24:AJ24"/>
    <mergeCell ref="AB23:AD23"/>
    <mergeCell ref="AE23:AG23"/>
    <mergeCell ref="AH23:AJ23"/>
    <mergeCell ref="AH25:AJ25"/>
    <mergeCell ref="Y24:AA24"/>
    <mergeCell ref="M20:O20"/>
    <mergeCell ref="AK25:AM25"/>
    <mergeCell ref="AN25:AP25"/>
    <mergeCell ref="AQ25:AS25"/>
    <mergeCell ref="A24:F24"/>
    <mergeCell ref="G24:I24"/>
    <mergeCell ref="J24:L24"/>
    <mergeCell ref="M24:O24"/>
    <mergeCell ref="T25:X25"/>
    <mergeCell ref="Y25:AA25"/>
    <mergeCell ref="AK24:AM24"/>
    <mergeCell ref="AN24:AP24"/>
    <mergeCell ref="AQ24:AS24"/>
    <mergeCell ref="A25:B26"/>
    <mergeCell ref="C25:F25"/>
    <mergeCell ref="G25:I25"/>
    <mergeCell ref="J25:L25"/>
    <mergeCell ref="M25:O25"/>
    <mergeCell ref="S26:X26"/>
    <mergeCell ref="Y26:AA26"/>
    <mergeCell ref="AB26:AD26"/>
    <mergeCell ref="AE26:AG26"/>
    <mergeCell ref="AB25:AD25"/>
    <mergeCell ref="AE25:AG25"/>
    <mergeCell ref="T24:X24"/>
    <mergeCell ref="AQ27:AS27"/>
    <mergeCell ref="Y27:AA27"/>
    <mergeCell ref="AB27:AD27"/>
    <mergeCell ref="AE27:AG27"/>
    <mergeCell ref="AH27:AJ27"/>
    <mergeCell ref="AK27:AM27"/>
    <mergeCell ref="AN27:AP27"/>
    <mergeCell ref="C26:F26"/>
    <mergeCell ref="G26:I26"/>
    <mergeCell ref="J26:L26"/>
    <mergeCell ref="M26:O26"/>
    <mergeCell ref="U27:X27"/>
    <mergeCell ref="AH26:AJ26"/>
    <mergeCell ref="AK26:AM26"/>
    <mergeCell ref="AN26:AP26"/>
    <mergeCell ref="AQ26:AS26"/>
    <mergeCell ref="AH28:AJ28"/>
    <mergeCell ref="AK28:AM28"/>
    <mergeCell ref="AN28:AP28"/>
    <mergeCell ref="AQ28:AS28"/>
    <mergeCell ref="AN29:AP29"/>
    <mergeCell ref="AQ29:AS29"/>
    <mergeCell ref="AN30:AP30"/>
    <mergeCell ref="A27:F27"/>
    <mergeCell ref="G27:I27"/>
    <mergeCell ref="J27:L27"/>
    <mergeCell ref="M27:O27"/>
    <mergeCell ref="T28:X28"/>
    <mergeCell ref="Y28:AA28"/>
    <mergeCell ref="AB28:AD28"/>
    <mergeCell ref="AE28:AG28"/>
    <mergeCell ref="AQ30:AS30"/>
    <mergeCell ref="S30:X30"/>
    <mergeCell ref="Y30:AA30"/>
    <mergeCell ref="AB30:AD30"/>
    <mergeCell ref="AE30:AG30"/>
    <mergeCell ref="AH30:AJ30"/>
    <mergeCell ref="AK30:AM30"/>
    <mergeCell ref="T29:X29"/>
    <mergeCell ref="Y29:AA29"/>
    <mergeCell ref="AB29:AD29"/>
    <mergeCell ref="AE29:AG29"/>
    <mergeCell ref="AH29:AJ29"/>
    <mergeCell ref="AK29:AM29"/>
    <mergeCell ref="T32:X32"/>
    <mergeCell ref="Y32:AA32"/>
    <mergeCell ref="AB32:AD32"/>
    <mergeCell ref="AE32:AG32"/>
    <mergeCell ref="AH32:AJ32"/>
    <mergeCell ref="AK32:AM32"/>
    <mergeCell ref="AQ32:AS32"/>
    <mergeCell ref="U31:X31"/>
    <mergeCell ref="Y31:AA31"/>
    <mergeCell ref="AB31:AD31"/>
    <mergeCell ref="AE31:AG31"/>
    <mergeCell ref="AH31:AJ31"/>
    <mergeCell ref="AK31:AM31"/>
    <mergeCell ref="AN31:AP31"/>
    <mergeCell ref="AQ31:AS31"/>
    <mergeCell ref="AH34:AJ34"/>
    <mergeCell ref="AK34:AM34"/>
    <mergeCell ref="AN33:AP33"/>
    <mergeCell ref="AQ33:AS33"/>
    <mergeCell ref="AN34:AP34"/>
    <mergeCell ref="AQ34:AS34"/>
    <mergeCell ref="T33:X33"/>
    <mergeCell ref="Y33:AA33"/>
    <mergeCell ref="AB33:AD33"/>
    <mergeCell ref="AE33:AG33"/>
    <mergeCell ref="AH33:AJ33"/>
    <mergeCell ref="AK33:AM33"/>
    <mergeCell ref="T35:U39"/>
    <mergeCell ref="V35:X35"/>
    <mergeCell ref="Y35:AA35"/>
    <mergeCell ref="AB35:AD35"/>
    <mergeCell ref="AE35:AG35"/>
    <mergeCell ref="T34:X34"/>
    <mergeCell ref="Y34:AA34"/>
    <mergeCell ref="AB34:AD34"/>
    <mergeCell ref="AE34:AG34"/>
    <mergeCell ref="V38:X38"/>
    <mergeCell ref="Y38:AA38"/>
    <mergeCell ref="AB38:AD38"/>
    <mergeCell ref="AE38:AG38"/>
    <mergeCell ref="AK36:AM36"/>
    <mergeCell ref="AN36:AP36"/>
    <mergeCell ref="AQ36:AS36"/>
    <mergeCell ref="V36:X36"/>
    <mergeCell ref="Y36:AA36"/>
    <mergeCell ref="AB36:AD36"/>
    <mergeCell ref="AE36:AG36"/>
    <mergeCell ref="AH36:AJ36"/>
    <mergeCell ref="AH35:AJ35"/>
    <mergeCell ref="AK35:AM35"/>
    <mergeCell ref="AN35:AP35"/>
    <mergeCell ref="AQ35:AS35"/>
    <mergeCell ref="AQ37:AS37"/>
    <mergeCell ref="V37:X37"/>
    <mergeCell ref="Y37:AA37"/>
    <mergeCell ref="AB37:AD37"/>
    <mergeCell ref="AE37:AG37"/>
    <mergeCell ref="AH37:AJ37"/>
    <mergeCell ref="AK37:AM37"/>
    <mergeCell ref="AN37:AP37"/>
    <mergeCell ref="AN38:AP38"/>
    <mergeCell ref="AQ39:AS39"/>
    <mergeCell ref="V39:X39"/>
    <mergeCell ref="Y39:AA39"/>
    <mergeCell ref="AB39:AD39"/>
    <mergeCell ref="AE39:AG39"/>
    <mergeCell ref="AH39:AJ39"/>
    <mergeCell ref="AK39:AM39"/>
    <mergeCell ref="AN39:AP39"/>
    <mergeCell ref="AH38:AJ38"/>
    <mergeCell ref="AK38:AM38"/>
    <mergeCell ref="AQ38:AS38"/>
    <mergeCell ref="AQ41:AS41"/>
    <mergeCell ref="T41:X41"/>
    <mergeCell ref="Y41:AA41"/>
    <mergeCell ref="AB41:AD41"/>
    <mergeCell ref="AE41:AG41"/>
    <mergeCell ref="AH41:AJ41"/>
    <mergeCell ref="AK41:AM41"/>
    <mergeCell ref="AN41:AP41"/>
    <mergeCell ref="AN40:AP40"/>
    <mergeCell ref="AQ40:AS40"/>
    <mergeCell ref="T40:X40"/>
    <mergeCell ref="Y40:AA40"/>
    <mergeCell ref="AB40:AD40"/>
    <mergeCell ref="AH40:AJ40"/>
    <mergeCell ref="AK40:AM40"/>
    <mergeCell ref="AE40:AG40"/>
    <mergeCell ref="AQ42:AS42"/>
    <mergeCell ref="T42:U45"/>
    <mergeCell ref="V42:X42"/>
    <mergeCell ref="Y42:AA42"/>
    <mergeCell ref="AB42:AD42"/>
    <mergeCell ref="AE42:AG42"/>
    <mergeCell ref="AH42:AJ42"/>
    <mergeCell ref="AK42:AM42"/>
    <mergeCell ref="AN42:AP42"/>
    <mergeCell ref="V44:X44"/>
    <mergeCell ref="Y44:AA44"/>
    <mergeCell ref="AB44:AD44"/>
    <mergeCell ref="AE44:AG44"/>
    <mergeCell ref="AH44:AJ44"/>
    <mergeCell ref="AK44:AM44"/>
    <mergeCell ref="AQ44:AS44"/>
    <mergeCell ref="V43:X43"/>
    <mergeCell ref="Y43:AA43"/>
    <mergeCell ref="AB43:AD43"/>
    <mergeCell ref="AE43:AG43"/>
    <mergeCell ref="AH43:AJ43"/>
    <mergeCell ref="AK43:AM43"/>
    <mergeCell ref="AN43:AP43"/>
    <mergeCell ref="AQ43:AS43"/>
    <mergeCell ref="AQ46:AS46"/>
    <mergeCell ref="V45:X45"/>
    <mergeCell ref="Y45:AA45"/>
    <mergeCell ref="AB45:AD45"/>
    <mergeCell ref="AE45:AG45"/>
    <mergeCell ref="AH45:AJ45"/>
    <mergeCell ref="AK45:AM45"/>
    <mergeCell ref="AQ45:AS45"/>
    <mergeCell ref="AE46:AG46"/>
    <mergeCell ref="T47:X47"/>
    <mergeCell ref="Y47:AA47"/>
    <mergeCell ref="AH47:AJ47"/>
    <mergeCell ref="AK47:AM47"/>
    <mergeCell ref="AN47:AP47"/>
    <mergeCell ref="T46:X46"/>
    <mergeCell ref="Y46:AA46"/>
    <mergeCell ref="AH46:AJ46"/>
    <mergeCell ref="AK46:AM46"/>
    <mergeCell ref="AN46:AP46"/>
    <mergeCell ref="AE47:AG47"/>
    <mergeCell ref="AB46:AD46"/>
    <mergeCell ref="AB47:AD47"/>
    <mergeCell ref="T48:X48"/>
    <mergeCell ref="Y48:AA48"/>
    <mergeCell ref="AH48:AJ48"/>
    <mergeCell ref="AK48:AM48"/>
    <mergeCell ref="AN48:AP48"/>
    <mergeCell ref="T49:U51"/>
    <mergeCell ref="V49:X49"/>
    <mergeCell ref="Y49:AA49"/>
    <mergeCell ref="AH49:AJ49"/>
    <mergeCell ref="AK49:AM49"/>
    <mergeCell ref="AN49:AP49"/>
    <mergeCell ref="V50:X50"/>
    <mergeCell ref="Y50:AA50"/>
    <mergeCell ref="AH50:AJ50"/>
    <mergeCell ref="AK50:AM50"/>
    <mergeCell ref="V51:X51"/>
    <mergeCell ref="Y51:AA51"/>
    <mergeCell ref="AH51:AJ51"/>
    <mergeCell ref="AK51:AM51"/>
    <mergeCell ref="AE48:AG48"/>
    <mergeCell ref="AE49:AG49"/>
    <mergeCell ref="AE50:AG50"/>
    <mergeCell ref="AE51:AG51"/>
    <mergeCell ref="AB48:AD48"/>
    <mergeCell ref="T52:X52"/>
    <mergeCell ref="Y52:AA52"/>
    <mergeCell ref="AB52:AD52"/>
    <mergeCell ref="AE52:AG52"/>
    <mergeCell ref="AH52:AJ52"/>
    <mergeCell ref="AK52:AM52"/>
    <mergeCell ref="AN52:AP52"/>
    <mergeCell ref="T53:X53"/>
    <mergeCell ref="Y53:AA53"/>
    <mergeCell ref="AB53:AD53"/>
    <mergeCell ref="AE53:AG53"/>
    <mergeCell ref="AH53:AJ53"/>
    <mergeCell ref="AK53:AM53"/>
    <mergeCell ref="AN53:AP53"/>
    <mergeCell ref="AN56:AP56"/>
    <mergeCell ref="AN54:AP54"/>
    <mergeCell ref="T55:U56"/>
    <mergeCell ref="V55:X55"/>
    <mergeCell ref="Y55:AA55"/>
    <mergeCell ref="AB55:AD55"/>
    <mergeCell ref="AE55:AG55"/>
    <mergeCell ref="AH55:AJ55"/>
    <mergeCell ref="AK55:AM55"/>
    <mergeCell ref="AN55:AP55"/>
    <mergeCell ref="V56:X56"/>
    <mergeCell ref="T54:X54"/>
    <mergeCell ref="Y54:AA54"/>
    <mergeCell ref="AB54:AD54"/>
    <mergeCell ref="AE54:AG54"/>
    <mergeCell ref="AH54:AJ54"/>
    <mergeCell ref="AK54:AM54"/>
    <mergeCell ref="Y58:AA58"/>
    <mergeCell ref="AB58:AD58"/>
    <mergeCell ref="AE58:AG58"/>
    <mergeCell ref="AH58:AJ58"/>
    <mergeCell ref="AK58:AM58"/>
    <mergeCell ref="Y56:AA56"/>
    <mergeCell ref="AB56:AD56"/>
    <mergeCell ref="AE56:AG56"/>
    <mergeCell ref="AH56:AJ56"/>
    <mergeCell ref="AK56:AM56"/>
    <mergeCell ref="AE57:AG57"/>
    <mergeCell ref="AB49:AD49"/>
    <mergeCell ref="AB50:AD50"/>
    <mergeCell ref="AB51:AD51"/>
    <mergeCell ref="AB57:AD57"/>
    <mergeCell ref="P5:P6"/>
    <mergeCell ref="AN60:AP60"/>
    <mergeCell ref="T60:X60"/>
    <mergeCell ref="Y60:AA60"/>
    <mergeCell ref="AB60:AD60"/>
    <mergeCell ref="AE60:AG60"/>
    <mergeCell ref="AH60:AJ60"/>
    <mergeCell ref="AK60:AM60"/>
    <mergeCell ref="AN58:AP58"/>
    <mergeCell ref="Y59:AA59"/>
    <mergeCell ref="AB59:AD59"/>
    <mergeCell ref="AE59:AG59"/>
    <mergeCell ref="AH59:AJ59"/>
    <mergeCell ref="AK59:AM59"/>
    <mergeCell ref="AN59:AP59"/>
    <mergeCell ref="T57:X57"/>
    <mergeCell ref="Y57:AA57"/>
    <mergeCell ref="AH57:AJ57"/>
    <mergeCell ref="AK57:AM57"/>
    <mergeCell ref="T58:X58"/>
  </mergeCells>
  <phoneticPr fontId="1"/>
  <pageMargins left="0.78740157480314965" right="0.43307086614173229" top="0.78740157480314965" bottom="0.39370078740157483" header="0.43307086614173229" footer="0.19685039370078741"/>
  <pageSetup paperSize="9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No.1</vt:lpstr>
      <vt:lpstr>No.2</vt:lpstr>
      <vt:lpstr>No.3</vt:lpstr>
      <vt:lpstr>No.4</vt:lpstr>
      <vt:lpstr>No.5</vt:lpstr>
      <vt:lpstr>No.1!Print_Area</vt:lpstr>
      <vt:lpstr>No.2!Print_Area</vt:lpstr>
      <vt:lpstr>No.3!Print_Area</vt:lpstr>
      <vt:lpstr>No.4!Print_Area</vt:lpstr>
      <vt:lpstr>No.5!Print_Area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daiko_lee</cp:lastModifiedBy>
  <cp:lastPrinted>2022-09-23T09:16:11Z</cp:lastPrinted>
  <dcterms:created xsi:type="dcterms:W3CDTF">2011-03-14T15:00:00Z</dcterms:created>
  <dcterms:modified xsi:type="dcterms:W3CDTF">2022-12-14T01:22:50Z</dcterms:modified>
</cp:coreProperties>
</file>