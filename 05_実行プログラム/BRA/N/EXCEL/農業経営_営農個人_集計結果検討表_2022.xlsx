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7301-060\Desktop\新EXCEL\"/>
    </mc:Choice>
  </mc:AlternateContent>
  <xr:revisionPtr revIDLastSave="0" documentId="13_ncr:1_{8FAB0BBD-DAFF-4210-A095-330B21568F46}" xr6:coauthVersionLast="47" xr6:coauthVersionMax="47" xr10:uidLastSave="{00000000-0000-0000-0000-000000000000}"/>
  <bookViews>
    <workbookView xWindow="28680" yWindow="-120" windowWidth="29040" windowHeight="15840" xr2:uid="{C7C0BF39-940A-4C7C-9935-EEE909D2DCF4}"/>
  </bookViews>
  <sheets>
    <sheet name="営農個人" sheetId="2" r:id="rId1"/>
  </sheets>
  <definedNames>
    <definedName name="_xlnm._FilterDatabase" localSheetId="0" hidden="1">営農個人!$B$8:$AH$413</definedName>
    <definedName name="_xlnm.Print_Area" localSheetId="0">営農個人!$A$1:$R$413</definedName>
    <definedName name="_xlnm.Print_Titles" localSheetId="0">営農個人!$1:$8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K192" i="2" l="1"/>
  <c r="K191" i="2"/>
  <c r="K190" i="2"/>
  <c r="K189" i="2"/>
  <c r="L213" i="2"/>
  <c r="K213" i="2"/>
  <c r="L212" i="2"/>
  <c r="K212" i="2"/>
  <c r="L211" i="2"/>
  <c r="K211" i="2"/>
  <c r="M113" i="2"/>
  <c r="M112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M82" i="2"/>
  <c r="K82" i="2"/>
  <c r="M81" i="2"/>
  <c r="K81" i="2"/>
  <c r="M80" i="2"/>
  <c r="K80" i="2"/>
  <c r="M79" i="2"/>
  <c r="K79" i="2"/>
  <c r="J8" i="2" l="1"/>
  <c r="C1" i="2"/>
  <c r="K413" i="2" l="1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2" i="2"/>
  <c r="K231" i="2"/>
  <c r="K230" i="2"/>
  <c r="K229" i="2"/>
  <c r="K228" i="2"/>
  <c r="K227" i="2"/>
  <c r="K226" i="2"/>
  <c r="K225" i="2"/>
  <c r="K224" i="2"/>
  <c r="K222" i="2"/>
  <c r="K220" i="2"/>
  <c r="K219" i="2"/>
  <c r="K217" i="2"/>
  <c r="K216" i="2"/>
  <c r="K215" i="2"/>
  <c r="K214" i="2"/>
  <c r="K209" i="2"/>
  <c r="K208" i="2"/>
  <c r="K206" i="2"/>
  <c r="K204" i="2"/>
  <c r="K203" i="2"/>
  <c r="K201" i="2"/>
  <c r="K198" i="2"/>
  <c r="K197" i="2"/>
  <c r="K194" i="2"/>
  <c r="K193" i="2"/>
  <c r="K188" i="2"/>
  <c r="K187" i="2"/>
  <c r="K186" i="2"/>
  <c r="K185" i="2"/>
  <c r="K184" i="2"/>
  <c r="K183" i="2"/>
  <c r="K182" i="2"/>
  <c r="K181" i="2"/>
  <c r="K180" i="2"/>
  <c r="K179" i="2"/>
  <c r="K176" i="2"/>
  <c r="K173" i="2"/>
  <c r="K170" i="2"/>
  <c r="K167" i="2"/>
  <c r="K164" i="2"/>
  <c r="K161" i="2"/>
  <c r="K158" i="2"/>
  <c r="K157" i="2"/>
  <c r="K148" i="2"/>
  <c r="K147" i="2"/>
  <c r="K146" i="2"/>
  <c r="K145" i="2"/>
  <c r="K144" i="2"/>
  <c r="K140" i="2"/>
  <c r="K138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M114" i="2"/>
  <c r="K114" i="2"/>
  <c r="K113" i="2"/>
  <c r="K112" i="2"/>
  <c r="M111" i="2"/>
  <c r="K111" i="2"/>
  <c r="M110" i="2"/>
  <c r="K110" i="2"/>
  <c r="M109" i="2"/>
  <c r="K109" i="2"/>
  <c r="M108" i="2"/>
  <c r="K108" i="2"/>
  <c r="M107" i="2"/>
  <c r="K107" i="2"/>
  <c r="M106" i="2"/>
  <c r="K106" i="2"/>
  <c r="M105" i="2"/>
  <c r="K105" i="2"/>
  <c r="M104" i="2"/>
  <c r="K104" i="2"/>
  <c r="M103" i="2"/>
  <c r="K103" i="2"/>
  <c r="M102" i="2"/>
  <c r="K102" i="2"/>
  <c r="M101" i="2"/>
  <c r="K101" i="2"/>
  <c r="M100" i="2"/>
  <c r="K100" i="2"/>
  <c r="M99" i="2"/>
  <c r="K99" i="2"/>
  <c r="M98" i="2"/>
  <c r="K98" i="2"/>
  <c r="M97" i="2"/>
  <c r="K97" i="2"/>
  <c r="M96" i="2"/>
  <c r="K96" i="2"/>
  <c r="M95" i="2"/>
  <c r="K95" i="2"/>
  <c r="M94" i="2"/>
  <c r="K94" i="2"/>
  <c r="M93" i="2"/>
  <c r="K93" i="2"/>
  <c r="M92" i="2"/>
  <c r="K92" i="2"/>
  <c r="M91" i="2"/>
  <c r="K91" i="2"/>
  <c r="M90" i="2"/>
  <c r="K90" i="2"/>
  <c r="M89" i="2"/>
  <c r="K89" i="2"/>
  <c r="M88" i="2"/>
  <c r="K88" i="2"/>
  <c r="M87" i="2"/>
  <c r="K87" i="2"/>
  <c r="M86" i="2"/>
  <c r="K86" i="2"/>
  <c r="M85" i="2"/>
  <c r="K85" i="2"/>
  <c r="M84" i="2"/>
  <c r="K84" i="2"/>
  <c r="M83" i="2"/>
  <c r="K83" i="2"/>
  <c r="M78" i="2"/>
  <c r="K78" i="2"/>
  <c r="M77" i="2"/>
  <c r="K77" i="2"/>
  <c r="M76" i="2"/>
  <c r="K76" i="2"/>
  <c r="M75" i="2"/>
  <c r="K75" i="2"/>
  <c r="M74" i="2"/>
  <c r="K74" i="2"/>
  <c r="M73" i="2"/>
  <c r="K73" i="2"/>
  <c r="M72" i="2"/>
  <c r="K72" i="2"/>
  <c r="M71" i="2"/>
  <c r="K71" i="2"/>
  <c r="M70" i="2"/>
  <c r="K70" i="2"/>
  <c r="M69" i="2"/>
  <c r="K69" i="2"/>
  <c r="M68" i="2"/>
  <c r="K68" i="2"/>
  <c r="M67" i="2"/>
  <c r="K67" i="2"/>
  <c r="M66" i="2"/>
  <c r="K66" i="2"/>
  <c r="M65" i="2"/>
  <c r="K65" i="2"/>
  <c r="M64" i="2"/>
  <c r="K64" i="2"/>
  <c r="M63" i="2"/>
  <c r="K63" i="2"/>
  <c r="M62" i="2"/>
  <c r="K62" i="2"/>
  <c r="M61" i="2"/>
  <c r="K61" i="2"/>
  <c r="M60" i="2"/>
  <c r="K60" i="2"/>
  <c r="M59" i="2"/>
  <c r="K59" i="2"/>
  <c r="M58" i="2"/>
  <c r="K58" i="2"/>
  <c r="M57" i="2"/>
  <c r="K57" i="2"/>
  <c r="M56" i="2"/>
  <c r="K56" i="2"/>
  <c r="M55" i="2"/>
  <c r="K55" i="2"/>
  <c r="M54" i="2"/>
  <c r="K54" i="2"/>
  <c r="M53" i="2"/>
  <c r="K53" i="2"/>
  <c r="M52" i="2"/>
  <c r="K52" i="2"/>
  <c r="M51" i="2"/>
  <c r="K51" i="2"/>
  <c r="M50" i="2"/>
  <c r="K50" i="2"/>
  <c r="M49" i="2"/>
  <c r="K49" i="2"/>
  <c r="M48" i="2"/>
  <c r="K48" i="2"/>
  <c r="M47" i="2"/>
  <c r="K47" i="2"/>
  <c r="M46" i="2"/>
  <c r="K46" i="2"/>
  <c r="M45" i="2"/>
  <c r="K45" i="2"/>
  <c r="M44" i="2"/>
  <c r="K44" i="2"/>
  <c r="M43" i="2"/>
  <c r="K43" i="2"/>
  <c r="M41" i="2"/>
  <c r="K41" i="2"/>
  <c r="M40" i="2"/>
  <c r="K40" i="2"/>
  <c r="M39" i="2"/>
  <c r="K39" i="2"/>
  <c r="M38" i="2"/>
  <c r="K38" i="2"/>
  <c r="M37" i="2"/>
  <c r="K37" i="2"/>
  <c r="M36" i="2"/>
  <c r="K36" i="2"/>
  <c r="M35" i="2"/>
  <c r="K35" i="2"/>
  <c r="M34" i="2"/>
  <c r="K34" i="2"/>
  <c r="M33" i="2"/>
  <c r="K33" i="2"/>
  <c r="M32" i="2"/>
  <c r="K32" i="2"/>
  <c r="M31" i="2"/>
  <c r="K31" i="2"/>
  <c r="M30" i="2"/>
  <c r="K30" i="2"/>
  <c r="M29" i="2"/>
  <c r="K29" i="2"/>
  <c r="M28" i="2"/>
  <c r="K28" i="2"/>
  <c r="M27" i="2"/>
  <c r="K27" i="2"/>
  <c r="M26" i="2"/>
  <c r="K26" i="2"/>
  <c r="M25" i="2"/>
  <c r="K25" i="2"/>
  <c r="M24" i="2"/>
  <c r="K24" i="2"/>
  <c r="M23" i="2"/>
  <c r="K23" i="2"/>
  <c r="M22" i="2"/>
  <c r="K22" i="2"/>
  <c r="M21" i="2"/>
  <c r="K21" i="2"/>
  <c r="M20" i="2"/>
  <c r="K20" i="2"/>
  <c r="M19" i="2"/>
  <c r="K19" i="2"/>
  <c r="M18" i="2"/>
  <c r="K18" i="2"/>
  <c r="M17" i="2"/>
  <c r="K17" i="2"/>
  <c r="M16" i="2"/>
  <c r="K16" i="2"/>
  <c r="M15" i="2"/>
  <c r="K15" i="2"/>
  <c r="M14" i="2"/>
  <c r="K14" i="2"/>
  <c r="M13" i="2"/>
  <c r="K13" i="2"/>
  <c r="M12" i="2"/>
  <c r="K12" i="2"/>
  <c r="M11" i="2"/>
  <c r="K11" i="2"/>
  <c r="M10" i="2"/>
  <c r="K10" i="2"/>
  <c r="L9" i="2"/>
  <c r="K142" i="2" l="1"/>
  <c r="K303" i="2"/>
  <c r="M42" i="2"/>
  <c r="K162" i="2"/>
  <c r="K163" i="2"/>
  <c r="K168" i="2"/>
  <c r="K169" i="2"/>
  <c r="K174" i="2"/>
  <c r="K175" i="2"/>
  <c r="K202" i="2"/>
  <c r="K205" i="2"/>
  <c r="K223" i="2"/>
  <c r="K137" i="2"/>
  <c r="K143" i="2"/>
  <c r="K233" i="2"/>
  <c r="K42" i="2"/>
  <c r="K150" i="2"/>
  <c r="K151" i="2"/>
  <c r="K152" i="2"/>
  <c r="K153" i="2"/>
  <c r="K154" i="2"/>
  <c r="K155" i="2"/>
  <c r="K156" i="2"/>
  <c r="K159" i="2"/>
  <c r="K160" i="2"/>
  <c r="K165" i="2"/>
  <c r="K166" i="2"/>
  <c r="K171" i="2"/>
  <c r="K172" i="2"/>
  <c r="K177" i="2"/>
  <c r="K178" i="2"/>
  <c r="K195" i="2"/>
  <c r="K196" i="2"/>
  <c r="K199" i="2"/>
  <c r="K200" i="2"/>
  <c r="K207" i="2"/>
  <c r="K210" i="2"/>
  <c r="K218" i="2"/>
  <c r="K221" i="2"/>
  <c r="K141" i="2"/>
  <c r="K149" i="2" l="1"/>
  <c r="K139" i="2"/>
</calcChain>
</file>

<file path=xl/sharedStrings.xml><?xml version="1.0" encoding="utf-8"?>
<sst xmlns="http://schemas.openxmlformats.org/spreadsheetml/2006/main" count="611" uniqueCount="295">
  <si>
    <t>集計番号</t>
    <rPh sb="0" eb="2">
      <t>シュウケイ</t>
    </rPh>
    <rPh sb="2" eb="4">
      <t>バンゴウ</t>
    </rPh>
    <phoneticPr fontId="5"/>
  </si>
  <si>
    <t>集計名称</t>
    <rPh sb="0" eb="2">
      <t>シュウケイ</t>
    </rPh>
    <rPh sb="2" eb="4">
      <t>メイショウ</t>
    </rPh>
    <phoneticPr fontId="5"/>
  </si>
  <si>
    <t>集計経営体数</t>
    <phoneticPr fontId="5"/>
  </si>
  <si>
    <t>集計倍率</t>
    <phoneticPr fontId="5"/>
  </si>
  <si>
    <t>調査年</t>
    <rPh sb="0" eb="2">
      <t>チョウサ</t>
    </rPh>
    <rPh sb="2" eb="3">
      <t>ネン</t>
    </rPh>
    <phoneticPr fontId="5"/>
  </si>
  <si>
    <t>地域</t>
    <rPh sb="0" eb="2">
      <t>チイキ</t>
    </rPh>
    <phoneticPr fontId="5"/>
  </si>
  <si>
    <t>規模区分</t>
    <rPh sb="0" eb="2">
      <t>キボ</t>
    </rPh>
    <rPh sb="2" eb="4">
      <t>クブン</t>
    </rPh>
    <phoneticPr fontId="5"/>
  </si>
  <si>
    <t>本年</t>
    <rPh sb="0" eb="2">
      <t>ホンネン</t>
    </rPh>
    <phoneticPr fontId="5"/>
  </si>
  <si>
    <t>前年</t>
    <rPh sb="0" eb="2">
      <t>ゼンネン</t>
    </rPh>
    <phoneticPr fontId="5"/>
  </si>
  <si>
    <t>平均種類</t>
    <rPh sb="0" eb="2">
      <t>ヘイキン</t>
    </rPh>
    <rPh sb="2" eb="4">
      <t>シュルイ</t>
    </rPh>
    <phoneticPr fontId="5"/>
  </si>
  <si>
    <t>基本・詳細</t>
    <rPh sb="0" eb="2">
      <t>キホン</t>
    </rPh>
    <rPh sb="3" eb="5">
      <t>ショウサイ</t>
    </rPh>
    <phoneticPr fontId="5"/>
  </si>
  <si>
    <t>営農類型別表示行</t>
    <rPh sb="0" eb="2">
      <t>エイノウ</t>
    </rPh>
    <rPh sb="2" eb="4">
      <t>ルイケイ</t>
    </rPh>
    <rPh sb="4" eb="5">
      <t>ベツ</t>
    </rPh>
    <rPh sb="5" eb="7">
      <t>ヒョウジ</t>
    </rPh>
    <rPh sb="7" eb="8">
      <t>ギョウ</t>
    </rPh>
    <phoneticPr fontId="5"/>
  </si>
  <si>
    <t>区　　分</t>
    <phoneticPr fontId="3"/>
  </si>
  <si>
    <t>単位</t>
    <rPh sb="0" eb="2">
      <t>タンイ</t>
    </rPh>
    <phoneticPr fontId="3"/>
  </si>
  <si>
    <t>対前年
増減率(%)</t>
    <rPh sb="0" eb="1">
      <t>タイ</t>
    </rPh>
    <rPh sb="1" eb="3">
      <t>ゼンネン</t>
    </rPh>
    <phoneticPr fontId="3"/>
  </si>
  <si>
    <t>寄与率</t>
    <rPh sb="0" eb="3">
      <t>キヨリツ</t>
    </rPh>
    <phoneticPr fontId="3"/>
  </si>
  <si>
    <t>主な増減要因</t>
    <rPh sb="0" eb="1">
      <t>オモ</t>
    </rPh>
    <rPh sb="2" eb="4">
      <t>ゾウゲン</t>
    </rPh>
    <rPh sb="4" eb="6">
      <t>ヨウイン</t>
    </rPh>
    <phoneticPr fontId="3"/>
  </si>
  <si>
    <t>集計経営体数</t>
    <rPh sb="0" eb="2">
      <t>シュウケイ</t>
    </rPh>
    <rPh sb="2" eb="4">
      <t>ケイエイ</t>
    </rPh>
    <rPh sb="4" eb="6">
      <t>タイスウ</t>
    </rPh>
    <phoneticPr fontId="3"/>
  </si>
  <si>
    <t>経営体</t>
    <rPh sb="0" eb="3">
      <t>ケイエイタイ</t>
    </rPh>
    <phoneticPr fontId="3"/>
  </si>
  <si>
    <t>農業粗収益①</t>
    <rPh sb="0" eb="2">
      <t>ノウギョウ</t>
    </rPh>
    <rPh sb="2" eb="5">
      <t>ソシュウエキ</t>
    </rPh>
    <phoneticPr fontId="3"/>
  </si>
  <si>
    <t>千円</t>
    <rPh sb="0" eb="2">
      <t>センエン</t>
    </rPh>
    <phoneticPr fontId="3"/>
  </si>
  <si>
    <t>作物収入</t>
    <rPh sb="0" eb="2">
      <t>サクモツ</t>
    </rPh>
    <rPh sb="2" eb="4">
      <t>シュウニュウ</t>
    </rPh>
    <phoneticPr fontId="3"/>
  </si>
  <si>
    <t>稲作収入</t>
    <rPh sb="0" eb="2">
      <t>イナサク</t>
    </rPh>
    <rPh sb="2" eb="4">
      <t>シュウニュウ</t>
    </rPh>
    <phoneticPr fontId="3"/>
  </si>
  <si>
    <t>麦類収入</t>
    <rPh sb="0" eb="2">
      <t>ムギルイ</t>
    </rPh>
    <rPh sb="2" eb="4">
      <t>シュウニュウ</t>
    </rPh>
    <phoneticPr fontId="3"/>
  </si>
  <si>
    <t>豆類収入</t>
    <rPh sb="0" eb="2">
      <t>マメルイ</t>
    </rPh>
    <rPh sb="2" eb="4">
      <t>シュウニュウ</t>
    </rPh>
    <phoneticPr fontId="3"/>
  </si>
  <si>
    <t>かんしょ収入</t>
    <rPh sb="4" eb="6">
      <t>シュウニュウ</t>
    </rPh>
    <phoneticPr fontId="3"/>
  </si>
  <si>
    <t>ばれいしょ収入</t>
    <rPh sb="5" eb="7">
      <t>シュウニュウ</t>
    </rPh>
    <phoneticPr fontId="3"/>
  </si>
  <si>
    <t>工芸農作物収入</t>
    <rPh sb="0" eb="2">
      <t>コウゲイ</t>
    </rPh>
    <rPh sb="2" eb="5">
      <t>ノウサクモツ</t>
    </rPh>
    <rPh sb="5" eb="7">
      <t>シュウニュウ</t>
    </rPh>
    <phoneticPr fontId="3"/>
  </si>
  <si>
    <t>てんさい</t>
    <phoneticPr fontId="3"/>
  </si>
  <si>
    <t>さとうきび</t>
    <phoneticPr fontId="3"/>
  </si>
  <si>
    <t>茶</t>
    <rPh sb="0" eb="1">
      <t>チャ</t>
    </rPh>
    <phoneticPr fontId="3"/>
  </si>
  <si>
    <t>野菜収入</t>
    <rPh sb="0" eb="2">
      <t>ヤサイ</t>
    </rPh>
    <rPh sb="2" eb="4">
      <t>シュウニュウ</t>
    </rPh>
    <phoneticPr fontId="3"/>
  </si>
  <si>
    <t>露地野菜</t>
    <rPh sb="0" eb="2">
      <t>ロジ</t>
    </rPh>
    <rPh sb="2" eb="4">
      <t>ヤサイ</t>
    </rPh>
    <phoneticPr fontId="3"/>
  </si>
  <si>
    <t>施設野菜</t>
    <rPh sb="0" eb="2">
      <t>シセツ</t>
    </rPh>
    <rPh sb="2" eb="4">
      <t>ヤサイ</t>
    </rPh>
    <phoneticPr fontId="3"/>
  </si>
  <si>
    <t>果樹収入</t>
    <rPh sb="0" eb="2">
      <t>カジュ</t>
    </rPh>
    <rPh sb="2" eb="4">
      <t>シュウニュウ</t>
    </rPh>
    <phoneticPr fontId="3"/>
  </si>
  <si>
    <t>花き収入</t>
    <rPh sb="0" eb="1">
      <t>カ</t>
    </rPh>
    <rPh sb="2" eb="4">
      <t>シュウニュウ</t>
    </rPh>
    <phoneticPr fontId="3"/>
  </si>
  <si>
    <t>露地花き収入</t>
    <rPh sb="4" eb="6">
      <t>シュウニュウ</t>
    </rPh>
    <phoneticPr fontId="3"/>
  </si>
  <si>
    <t>露地切り花</t>
    <rPh sb="0" eb="2">
      <t>ロジ</t>
    </rPh>
    <rPh sb="2" eb="3">
      <t>キ</t>
    </rPh>
    <rPh sb="4" eb="5">
      <t>バナ</t>
    </rPh>
    <phoneticPr fontId="3"/>
  </si>
  <si>
    <t>施設花き収入</t>
    <rPh sb="0" eb="2">
      <t>シセツ</t>
    </rPh>
    <rPh sb="4" eb="6">
      <t>シュウニュウ</t>
    </rPh>
    <phoneticPr fontId="3"/>
  </si>
  <si>
    <t>施設切り花</t>
    <rPh sb="0" eb="2">
      <t>シセツ</t>
    </rPh>
    <rPh sb="2" eb="3">
      <t>キ</t>
    </rPh>
    <rPh sb="4" eb="5">
      <t>バナ</t>
    </rPh>
    <phoneticPr fontId="3"/>
  </si>
  <si>
    <t>施設鉢物</t>
    <rPh sb="0" eb="2">
      <t>シセツ</t>
    </rPh>
    <rPh sb="2" eb="4">
      <t>ハチモノ</t>
    </rPh>
    <phoneticPr fontId="3"/>
  </si>
  <si>
    <t>畜産収入</t>
    <rPh sb="0" eb="2">
      <t>チクサン</t>
    </rPh>
    <rPh sb="2" eb="4">
      <t>シュウニュウ</t>
    </rPh>
    <phoneticPr fontId="3"/>
  </si>
  <si>
    <t>酪農収入</t>
    <rPh sb="0" eb="2">
      <t>ラクノウ</t>
    </rPh>
    <rPh sb="2" eb="4">
      <t>シュウニュウ</t>
    </rPh>
    <phoneticPr fontId="3"/>
  </si>
  <si>
    <t>生乳</t>
    <rPh sb="0" eb="2">
      <t>セイニュウ</t>
    </rPh>
    <phoneticPr fontId="3"/>
  </si>
  <si>
    <t>繁殖牛収入</t>
    <rPh sb="0" eb="2">
      <t>ハンショク</t>
    </rPh>
    <rPh sb="2" eb="3">
      <t>ギュウ</t>
    </rPh>
    <rPh sb="3" eb="5">
      <t>シュウニュウ</t>
    </rPh>
    <phoneticPr fontId="3"/>
  </si>
  <si>
    <t>肥育牛収入</t>
    <rPh sb="0" eb="3">
      <t>ヒイクギュウ</t>
    </rPh>
    <rPh sb="3" eb="5">
      <t>シュウニュウ</t>
    </rPh>
    <phoneticPr fontId="3"/>
  </si>
  <si>
    <t>肉専用種</t>
    <rPh sb="0" eb="1">
      <t>ニク</t>
    </rPh>
    <rPh sb="1" eb="4">
      <t>センヨウシュ</t>
    </rPh>
    <phoneticPr fontId="3"/>
  </si>
  <si>
    <t>乳用種＋交雑種</t>
    <rPh sb="0" eb="3">
      <t>ニュウヨウシュ</t>
    </rPh>
    <rPh sb="4" eb="7">
      <t>コウザツシュ</t>
    </rPh>
    <phoneticPr fontId="3"/>
  </si>
  <si>
    <t>乳用種</t>
    <rPh sb="0" eb="2">
      <t>ニュウヨウ</t>
    </rPh>
    <rPh sb="2" eb="3">
      <t>シュ</t>
    </rPh>
    <phoneticPr fontId="3"/>
  </si>
  <si>
    <t>交雑種</t>
    <rPh sb="0" eb="3">
      <t>コウザツシュ</t>
    </rPh>
    <phoneticPr fontId="3"/>
  </si>
  <si>
    <t>養豚収入</t>
    <rPh sb="0" eb="2">
      <t>ヨウトン</t>
    </rPh>
    <rPh sb="2" eb="4">
      <t>シュウニュウ</t>
    </rPh>
    <phoneticPr fontId="3"/>
  </si>
  <si>
    <t>肉豚</t>
    <rPh sb="0" eb="1">
      <t>ニク</t>
    </rPh>
    <rPh sb="1" eb="2">
      <t>ブタ</t>
    </rPh>
    <phoneticPr fontId="3"/>
  </si>
  <si>
    <t>子豚</t>
    <rPh sb="0" eb="2">
      <t>コブタ</t>
    </rPh>
    <phoneticPr fontId="3"/>
  </si>
  <si>
    <t>採卵養鶏収入</t>
    <rPh sb="0" eb="2">
      <t>サイラン</t>
    </rPh>
    <rPh sb="2" eb="4">
      <t>ヨウケイ</t>
    </rPh>
    <rPh sb="4" eb="6">
      <t>シュウニュウ</t>
    </rPh>
    <phoneticPr fontId="3"/>
  </si>
  <si>
    <t>ブロイラー養鶏収入</t>
    <rPh sb="5" eb="7">
      <t>ヨウケイ</t>
    </rPh>
    <rPh sb="7" eb="9">
      <t>シュウニュウ</t>
    </rPh>
    <phoneticPr fontId="3"/>
  </si>
  <si>
    <t>受託収入</t>
    <rPh sb="0" eb="2">
      <t>ジュタク</t>
    </rPh>
    <rPh sb="2" eb="4">
      <t>シュウニュウ</t>
    </rPh>
    <phoneticPr fontId="3"/>
  </si>
  <si>
    <t>共済・補助金等受取金</t>
    <rPh sb="0" eb="2">
      <t>キョウサイ</t>
    </rPh>
    <rPh sb="3" eb="6">
      <t>ホジョキン</t>
    </rPh>
    <rPh sb="6" eb="7">
      <t>トウ</t>
    </rPh>
    <rPh sb="7" eb="9">
      <t>ウケトリ</t>
    </rPh>
    <rPh sb="9" eb="10">
      <t>キン</t>
    </rPh>
    <phoneticPr fontId="3"/>
  </si>
  <si>
    <t>雇人費</t>
    <rPh sb="0" eb="1">
      <t>ヤト</t>
    </rPh>
    <rPh sb="1" eb="2">
      <t>ニン</t>
    </rPh>
    <rPh sb="2" eb="3">
      <t>ヒ</t>
    </rPh>
    <phoneticPr fontId="3"/>
  </si>
  <si>
    <t>種苗費</t>
    <rPh sb="0" eb="2">
      <t>シュビョウ</t>
    </rPh>
    <rPh sb="2" eb="3">
      <t>ヒ</t>
    </rPh>
    <phoneticPr fontId="3"/>
  </si>
  <si>
    <t>素畜費</t>
    <rPh sb="0" eb="1">
      <t>モト</t>
    </rPh>
    <rPh sb="1" eb="3">
      <t>チクヒ</t>
    </rPh>
    <phoneticPr fontId="3"/>
  </si>
  <si>
    <t>肥料費</t>
    <rPh sb="0" eb="3">
      <t>ヒリョウヒ</t>
    </rPh>
    <phoneticPr fontId="3"/>
  </si>
  <si>
    <t>飼料費</t>
    <rPh sb="0" eb="3">
      <t>シリョウヒ</t>
    </rPh>
    <phoneticPr fontId="3"/>
  </si>
  <si>
    <t>農薬衛生費</t>
    <rPh sb="0" eb="2">
      <t>ノウヤク</t>
    </rPh>
    <rPh sb="2" eb="5">
      <t>エイセイヒ</t>
    </rPh>
    <phoneticPr fontId="3"/>
  </si>
  <si>
    <t>諸材料費</t>
    <rPh sb="0" eb="1">
      <t>ショ</t>
    </rPh>
    <rPh sb="1" eb="4">
      <t>ザイリョウヒ</t>
    </rPh>
    <phoneticPr fontId="3"/>
  </si>
  <si>
    <t>動力光熱費</t>
    <rPh sb="0" eb="2">
      <t>ドウリョク</t>
    </rPh>
    <rPh sb="2" eb="5">
      <t>コウネツヒ</t>
    </rPh>
    <phoneticPr fontId="3"/>
  </si>
  <si>
    <t>修繕費</t>
    <phoneticPr fontId="3"/>
  </si>
  <si>
    <t>農具費</t>
    <phoneticPr fontId="3"/>
  </si>
  <si>
    <t>地代・賃借料</t>
    <rPh sb="0" eb="2">
      <t>チダイ</t>
    </rPh>
    <rPh sb="3" eb="6">
      <t>チンシャクリョウ</t>
    </rPh>
    <phoneticPr fontId="3"/>
  </si>
  <si>
    <t>荷造運賃手数料</t>
    <rPh sb="0" eb="2">
      <t>ニヅク</t>
    </rPh>
    <rPh sb="2" eb="4">
      <t>ウンチン</t>
    </rPh>
    <rPh sb="4" eb="7">
      <t>テスウリョウ</t>
    </rPh>
    <phoneticPr fontId="3"/>
  </si>
  <si>
    <t>減価償却費</t>
    <rPh sb="0" eb="2">
      <t>ゲンカ</t>
    </rPh>
    <rPh sb="2" eb="5">
      <t>ショウキャクヒ</t>
    </rPh>
    <phoneticPr fontId="3"/>
  </si>
  <si>
    <t>事業収入⑤</t>
    <rPh sb="0" eb="2">
      <t>ジギョウ</t>
    </rPh>
    <rPh sb="2" eb="4">
      <t>シュウニュウ</t>
    </rPh>
    <phoneticPr fontId="3"/>
  </si>
  <si>
    <t>事業支出⑥</t>
    <rPh sb="0" eb="2">
      <t>ジギョウ</t>
    </rPh>
    <rPh sb="2" eb="4">
      <t>シシュツ</t>
    </rPh>
    <phoneticPr fontId="3"/>
  </si>
  <si>
    <t>経営概況</t>
    <rPh sb="0" eb="2">
      <t>ケイエイ</t>
    </rPh>
    <rPh sb="2" eb="4">
      <t>ガイキョウ</t>
    </rPh>
    <phoneticPr fontId="3"/>
  </si>
  <si>
    <t>農業従事者</t>
    <rPh sb="0" eb="2">
      <t>ノウギョウ</t>
    </rPh>
    <rPh sb="2" eb="5">
      <t>ジュウジシャ</t>
    </rPh>
    <phoneticPr fontId="3"/>
  </si>
  <si>
    <t>人</t>
    <rPh sb="0" eb="1">
      <t>ニン</t>
    </rPh>
    <phoneticPr fontId="3"/>
  </si>
  <si>
    <t>経営耕地面積</t>
    <rPh sb="0" eb="2">
      <t>ケイエイ</t>
    </rPh>
    <rPh sb="2" eb="4">
      <t>コウチ</t>
    </rPh>
    <rPh sb="4" eb="6">
      <t>メンセキ</t>
    </rPh>
    <phoneticPr fontId="3"/>
  </si>
  <si>
    <t>ａ</t>
    <phoneticPr fontId="3"/>
  </si>
  <si>
    <t>水田作作付延べ面積</t>
    <rPh sb="0" eb="2">
      <t>スイデン</t>
    </rPh>
    <rPh sb="2" eb="3">
      <t>サク</t>
    </rPh>
    <rPh sb="3" eb="5">
      <t>サクツケ</t>
    </rPh>
    <rPh sb="5" eb="6">
      <t>ノ</t>
    </rPh>
    <rPh sb="7" eb="9">
      <t>メンセキ</t>
    </rPh>
    <phoneticPr fontId="3"/>
  </si>
  <si>
    <t>作付面積</t>
    <rPh sb="0" eb="2">
      <t>サクツケ</t>
    </rPh>
    <rPh sb="2" eb="4">
      <t>メンセキ</t>
    </rPh>
    <phoneticPr fontId="3"/>
  </si>
  <si>
    <t>ａ</t>
  </si>
  <si>
    <t>10a当たり収量</t>
    <rPh sb="3" eb="4">
      <t>ア</t>
    </rPh>
    <rPh sb="6" eb="8">
      <t>シュウリョウ</t>
    </rPh>
    <phoneticPr fontId="3"/>
  </si>
  <si>
    <t>㎏</t>
    <phoneticPr fontId="3"/>
  </si>
  <si>
    <t>円</t>
    <rPh sb="0" eb="1">
      <t>エン</t>
    </rPh>
    <phoneticPr fontId="3"/>
  </si>
  <si>
    <t>畑作作付延べ面積</t>
    <rPh sb="0" eb="2">
      <t>ハタサク</t>
    </rPh>
    <rPh sb="2" eb="4">
      <t>サクツケ</t>
    </rPh>
    <rPh sb="4" eb="5">
      <t>ノ</t>
    </rPh>
    <rPh sb="6" eb="8">
      <t>メンセキ</t>
    </rPh>
    <phoneticPr fontId="3"/>
  </si>
  <si>
    <t>露地野菜
作付延べ面積</t>
    <rPh sb="0" eb="2">
      <t>ロジ</t>
    </rPh>
    <rPh sb="2" eb="4">
      <t>ヤサイ</t>
    </rPh>
    <rPh sb="5" eb="7">
      <t>サクツケ</t>
    </rPh>
    <rPh sb="7" eb="8">
      <t>ノ</t>
    </rPh>
    <rPh sb="9" eb="11">
      <t>メンセキ</t>
    </rPh>
    <phoneticPr fontId="3"/>
  </si>
  <si>
    <t>施設野菜
作付延べ面積</t>
    <rPh sb="0" eb="2">
      <t>シセツ</t>
    </rPh>
    <rPh sb="2" eb="4">
      <t>ヤサイ</t>
    </rPh>
    <rPh sb="5" eb="7">
      <t>サクツケ</t>
    </rPh>
    <rPh sb="7" eb="8">
      <t>ノ</t>
    </rPh>
    <rPh sb="9" eb="11">
      <t>メンセキ</t>
    </rPh>
    <phoneticPr fontId="3"/>
  </si>
  <si>
    <t>㎡</t>
    <phoneticPr fontId="3"/>
  </si>
  <si>
    <t>果樹植栽面積</t>
    <rPh sb="0" eb="2">
      <t>カジュ</t>
    </rPh>
    <rPh sb="2" eb="4">
      <t>ショクサイ</t>
    </rPh>
    <rPh sb="4" eb="6">
      <t>メンセキ</t>
    </rPh>
    <phoneticPr fontId="3"/>
  </si>
  <si>
    <t>露地花き
作付延べ面積</t>
    <rPh sb="0" eb="2">
      <t>ロジ</t>
    </rPh>
    <rPh sb="2" eb="3">
      <t>カ</t>
    </rPh>
    <rPh sb="5" eb="7">
      <t>サクツケ</t>
    </rPh>
    <rPh sb="7" eb="8">
      <t>ノ</t>
    </rPh>
    <rPh sb="9" eb="11">
      <t>メンセキ</t>
    </rPh>
    <phoneticPr fontId="3"/>
  </si>
  <si>
    <t>施設花き
作付延べ面積</t>
    <rPh sb="0" eb="2">
      <t>シセツ</t>
    </rPh>
    <rPh sb="2" eb="3">
      <t>カ</t>
    </rPh>
    <rPh sb="5" eb="7">
      <t>サクツケ</t>
    </rPh>
    <rPh sb="7" eb="8">
      <t>ノ</t>
    </rPh>
    <rPh sb="9" eb="11">
      <t>メンセキ</t>
    </rPh>
    <phoneticPr fontId="3"/>
  </si>
  <si>
    <t>月平均
搾乳牛飼養頭数</t>
    <rPh sb="0" eb="3">
      <t>ツキヘイキン</t>
    </rPh>
    <rPh sb="4" eb="6">
      <t>サクニュウ</t>
    </rPh>
    <rPh sb="6" eb="7">
      <t>ギュウ</t>
    </rPh>
    <rPh sb="7" eb="9">
      <t>シヨウ</t>
    </rPh>
    <rPh sb="9" eb="11">
      <t>トウスウ</t>
    </rPh>
    <phoneticPr fontId="3"/>
  </si>
  <si>
    <t>頭</t>
    <rPh sb="0" eb="1">
      <t>トウ</t>
    </rPh>
    <phoneticPr fontId="3"/>
  </si>
  <si>
    <t>酪農</t>
    <rPh sb="0" eb="2">
      <t>ラクノウ</t>
    </rPh>
    <phoneticPr fontId="3"/>
  </si>
  <si>
    <t>生乳生産量</t>
    <rPh sb="0" eb="2">
      <t>セイニュウ</t>
    </rPh>
    <rPh sb="2" eb="5">
      <t>セイサンリョウ</t>
    </rPh>
    <phoneticPr fontId="3"/>
  </si>
  <si>
    <t>㎏</t>
  </si>
  <si>
    <t>搾乳牛１頭
当たり乳量</t>
    <rPh sb="0" eb="2">
      <t>サクニュウ</t>
    </rPh>
    <rPh sb="2" eb="3">
      <t>ギュウ</t>
    </rPh>
    <rPh sb="4" eb="5">
      <t>トウ</t>
    </rPh>
    <rPh sb="6" eb="7">
      <t>ア</t>
    </rPh>
    <rPh sb="9" eb="11">
      <t>ニュウリョウ</t>
    </rPh>
    <phoneticPr fontId="3"/>
  </si>
  <si>
    <t>１kg当たり
生乳単価</t>
    <rPh sb="7" eb="9">
      <t>セイニュウ</t>
    </rPh>
    <rPh sb="9" eb="11">
      <t>タンカ</t>
    </rPh>
    <phoneticPr fontId="3"/>
  </si>
  <si>
    <t>自家生産和牛
販売頭数</t>
    <rPh sb="0" eb="2">
      <t>ジカ</t>
    </rPh>
    <rPh sb="2" eb="4">
      <t>セイサン</t>
    </rPh>
    <rPh sb="4" eb="6">
      <t>ワギュウ</t>
    </rPh>
    <rPh sb="7" eb="9">
      <t>ハンバイ</t>
    </rPh>
    <rPh sb="9" eb="11">
      <t>トウスウ</t>
    </rPh>
    <phoneticPr fontId="3"/>
  </si>
  <si>
    <t>自家生産和牛単価</t>
    <rPh sb="0" eb="2">
      <t>ジカ</t>
    </rPh>
    <rPh sb="2" eb="4">
      <t>セイサン</t>
    </rPh>
    <rPh sb="4" eb="6">
      <t>ワギュウ</t>
    </rPh>
    <rPh sb="6" eb="8">
      <t>タンカ</t>
    </rPh>
    <phoneticPr fontId="3"/>
  </si>
  <si>
    <t>月平均
肥育牛飼養頭数</t>
    <rPh sb="0" eb="3">
      <t>ツキヘイキン</t>
    </rPh>
    <rPh sb="4" eb="7">
      <t>ヒイクギュウ</t>
    </rPh>
    <rPh sb="7" eb="9">
      <t>シヨウ</t>
    </rPh>
    <rPh sb="9" eb="11">
      <t>トウスウ</t>
    </rPh>
    <phoneticPr fontId="3"/>
  </si>
  <si>
    <t>乳用種＋交雑種</t>
    <phoneticPr fontId="3"/>
  </si>
  <si>
    <t>乳用種</t>
    <phoneticPr fontId="3"/>
  </si>
  <si>
    <t>交雑種</t>
    <phoneticPr fontId="3"/>
  </si>
  <si>
    <t>肥育牛販売頭数</t>
    <rPh sb="0" eb="3">
      <t>ヒイクギュウ</t>
    </rPh>
    <rPh sb="3" eb="5">
      <t>ハンバイ</t>
    </rPh>
    <rPh sb="5" eb="7">
      <t>トウスウ</t>
    </rPh>
    <phoneticPr fontId="3"/>
  </si>
  <si>
    <t>乳用種＋交雑種</t>
  </si>
  <si>
    <t>乳用種</t>
  </si>
  <si>
    <t>交雑種</t>
  </si>
  <si>
    <t>肥育牛単価</t>
    <rPh sb="0" eb="3">
      <t>ヒイクギュウ</t>
    </rPh>
    <rPh sb="3" eb="5">
      <t>タンカ</t>
    </rPh>
    <phoneticPr fontId="3"/>
  </si>
  <si>
    <t>月平均
肥育豚飼養頭数</t>
    <rPh sb="0" eb="3">
      <t>ツキヘイキン</t>
    </rPh>
    <rPh sb="4" eb="6">
      <t>ヒイク</t>
    </rPh>
    <rPh sb="6" eb="7">
      <t>トン</t>
    </rPh>
    <rPh sb="7" eb="9">
      <t>シヨウ</t>
    </rPh>
    <rPh sb="9" eb="11">
      <t>トウスウ</t>
    </rPh>
    <phoneticPr fontId="3"/>
  </si>
  <si>
    <t>肉豚販売頭数</t>
    <rPh sb="0" eb="1">
      <t>ニク</t>
    </rPh>
    <rPh sb="1" eb="2">
      <t>ブタ</t>
    </rPh>
    <rPh sb="2" eb="4">
      <t>ハンバイ</t>
    </rPh>
    <rPh sb="4" eb="6">
      <t>トウスウ</t>
    </rPh>
    <phoneticPr fontId="3"/>
  </si>
  <si>
    <t>子豚販売頭数</t>
    <rPh sb="0" eb="2">
      <t>コブタ</t>
    </rPh>
    <rPh sb="2" eb="4">
      <t>ハンバイ</t>
    </rPh>
    <rPh sb="4" eb="6">
      <t>トウスウ</t>
    </rPh>
    <phoneticPr fontId="3"/>
  </si>
  <si>
    <t>肉豚単価</t>
    <rPh sb="0" eb="1">
      <t>ニク</t>
    </rPh>
    <rPh sb="1" eb="2">
      <t>ブタ</t>
    </rPh>
    <rPh sb="2" eb="4">
      <t>タンカ</t>
    </rPh>
    <phoneticPr fontId="3"/>
  </si>
  <si>
    <t>採卵養鶏</t>
    <rPh sb="0" eb="2">
      <t>サイラン</t>
    </rPh>
    <rPh sb="2" eb="4">
      <t>ヨウケイ</t>
    </rPh>
    <phoneticPr fontId="3"/>
  </si>
  <si>
    <t>月平均
採卵鶏飼養羽数</t>
    <rPh sb="0" eb="3">
      <t>ツキヘイキン</t>
    </rPh>
    <rPh sb="4" eb="7">
      <t>サイランケイ</t>
    </rPh>
    <rPh sb="7" eb="9">
      <t>シヨウ</t>
    </rPh>
    <rPh sb="9" eb="10">
      <t>ハネ</t>
    </rPh>
    <rPh sb="10" eb="11">
      <t>スウ</t>
    </rPh>
    <phoneticPr fontId="3"/>
  </si>
  <si>
    <t>羽</t>
    <rPh sb="0" eb="1">
      <t>ハ</t>
    </rPh>
    <phoneticPr fontId="3"/>
  </si>
  <si>
    <t>鶏卵生産量</t>
    <rPh sb="0" eb="2">
      <t>ケイラン</t>
    </rPh>
    <rPh sb="2" eb="5">
      <t>セイサンリョウ</t>
    </rPh>
    <phoneticPr fontId="3"/>
  </si>
  <si>
    <t>１㎏当たり
鶏卵単価</t>
    <rPh sb="2" eb="3">
      <t>ア</t>
    </rPh>
    <rPh sb="6" eb="8">
      <t>ケイラン</t>
    </rPh>
    <rPh sb="8" eb="10">
      <t>タンカ</t>
    </rPh>
    <phoneticPr fontId="3"/>
  </si>
  <si>
    <t>ブロイラー
養鶏</t>
    <rPh sb="6" eb="8">
      <t>ヨウケイ</t>
    </rPh>
    <phoneticPr fontId="3"/>
  </si>
  <si>
    <t>ブロイラー販売羽数</t>
    <rPh sb="5" eb="7">
      <t>ハンバイ</t>
    </rPh>
    <rPh sb="7" eb="8">
      <t>ハネ</t>
    </rPh>
    <rPh sb="8" eb="9">
      <t>スウ</t>
    </rPh>
    <phoneticPr fontId="3"/>
  </si>
  <si>
    <t>１羽当たり
ブロイラー単価</t>
    <rPh sb="1" eb="2">
      <t>ハ</t>
    </rPh>
    <rPh sb="2" eb="3">
      <t>ア</t>
    </rPh>
    <rPh sb="11" eb="13">
      <t>タンカ</t>
    </rPh>
    <phoneticPr fontId="3"/>
  </si>
  <si>
    <t>農業労働時間</t>
    <rPh sb="0" eb="2">
      <t>ノウギョウ</t>
    </rPh>
    <rPh sb="2" eb="4">
      <t>ロウドウ</t>
    </rPh>
    <rPh sb="4" eb="6">
      <t>ジカン</t>
    </rPh>
    <phoneticPr fontId="3"/>
  </si>
  <si>
    <t>時間</t>
    <rPh sb="0" eb="2">
      <t>ジカン</t>
    </rPh>
    <phoneticPr fontId="3"/>
  </si>
  <si>
    <t>有給役員・家族</t>
    <rPh sb="0" eb="2">
      <t>ユウキュウ</t>
    </rPh>
    <rPh sb="2" eb="4">
      <t>ヤクイン</t>
    </rPh>
    <rPh sb="5" eb="7">
      <t>カゾク</t>
    </rPh>
    <phoneticPr fontId="3"/>
  </si>
  <si>
    <t>雇用者</t>
    <rPh sb="0" eb="2">
      <t>コヨウ</t>
    </rPh>
    <rPh sb="2" eb="3">
      <t>シャ</t>
    </rPh>
    <phoneticPr fontId="3"/>
  </si>
  <si>
    <t>農業労働１時間当たり
農業付加価値額</t>
    <rPh sb="0" eb="2">
      <t>ノウギョウ</t>
    </rPh>
    <rPh sb="2" eb="4">
      <t>ロウドウ</t>
    </rPh>
    <rPh sb="5" eb="7">
      <t>ジカン</t>
    </rPh>
    <rPh sb="7" eb="8">
      <t>ア</t>
    </rPh>
    <rPh sb="11" eb="13">
      <t>ノウギョウ</t>
    </rPh>
    <rPh sb="13" eb="15">
      <t>フカ</t>
    </rPh>
    <rPh sb="15" eb="18">
      <t>カチガク</t>
    </rPh>
    <phoneticPr fontId="3"/>
  </si>
  <si>
    <t>(個別）計算用</t>
    <rPh sb="1" eb="3">
      <t>コベツ</t>
    </rPh>
    <rPh sb="4" eb="6">
      <t>ケイサン</t>
    </rPh>
    <rPh sb="6" eb="7">
      <t>ヨウ</t>
    </rPh>
    <phoneticPr fontId="3"/>
  </si>
  <si>
    <t>水稲作付面積</t>
    <rPh sb="0" eb="2">
      <t>スイトウ</t>
    </rPh>
    <rPh sb="2" eb="4">
      <t>サクツケ</t>
    </rPh>
    <rPh sb="4" eb="6">
      <t>メンセキ</t>
    </rPh>
    <phoneticPr fontId="3"/>
  </si>
  <si>
    <t>主食用米</t>
    <rPh sb="0" eb="3">
      <t>シュショクヨウ</t>
    </rPh>
    <rPh sb="3" eb="4">
      <t>マイ</t>
    </rPh>
    <phoneticPr fontId="3"/>
  </si>
  <si>
    <t>主食用米（田）</t>
    <rPh sb="0" eb="3">
      <t>シュショクヨウ</t>
    </rPh>
    <rPh sb="3" eb="4">
      <t>マイ</t>
    </rPh>
    <rPh sb="5" eb="6">
      <t>デン</t>
    </rPh>
    <phoneticPr fontId="3"/>
  </si>
  <si>
    <t>加工用米</t>
    <rPh sb="0" eb="3">
      <t>カコウヨウ</t>
    </rPh>
    <rPh sb="3" eb="4">
      <t>マイ</t>
    </rPh>
    <phoneticPr fontId="3"/>
  </si>
  <si>
    <t>加工用米（田）</t>
    <rPh sb="0" eb="3">
      <t>カコウヨウ</t>
    </rPh>
    <rPh sb="3" eb="4">
      <t>マイ</t>
    </rPh>
    <rPh sb="5" eb="6">
      <t>タ</t>
    </rPh>
    <phoneticPr fontId="3"/>
  </si>
  <si>
    <t>麦類作付面積</t>
    <rPh sb="0" eb="1">
      <t>ムギ</t>
    </rPh>
    <rPh sb="1" eb="2">
      <t>ルイ</t>
    </rPh>
    <rPh sb="2" eb="4">
      <t>サクツケ</t>
    </rPh>
    <rPh sb="4" eb="6">
      <t>メンセキ</t>
    </rPh>
    <phoneticPr fontId="3"/>
  </si>
  <si>
    <t>豆類作付面積</t>
    <rPh sb="0" eb="2">
      <t>マメルイ</t>
    </rPh>
    <rPh sb="2" eb="4">
      <t>サクツケ</t>
    </rPh>
    <rPh sb="4" eb="6">
      <t>メンセキ</t>
    </rPh>
    <phoneticPr fontId="3"/>
  </si>
  <si>
    <t>雑穀作付面積</t>
    <rPh sb="0" eb="2">
      <t>ザッコク</t>
    </rPh>
    <rPh sb="2" eb="4">
      <t>サクツケ</t>
    </rPh>
    <rPh sb="4" eb="6">
      <t>メンセキ</t>
    </rPh>
    <phoneticPr fontId="3"/>
  </si>
  <si>
    <t>いも類作付面積</t>
    <rPh sb="2" eb="3">
      <t>ルイ</t>
    </rPh>
    <rPh sb="3" eb="5">
      <t>サクツケ</t>
    </rPh>
    <rPh sb="5" eb="7">
      <t>メンセキ</t>
    </rPh>
    <phoneticPr fontId="3"/>
  </si>
  <si>
    <t>工芸農作物作付面積</t>
    <rPh sb="0" eb="2">
      <t>コウゲイ</t>
    </rPh>
    <rPh sb="2" eb="5">
      <t>ノウサクモツ</t>
    </rPh>
    <rPh sb="5" eb="7">
      <t>サクツケ</t>
    </rPh>
    <rPh sb="7" eb="9">
      <t>メンセキ</t>
    </rPh>
    <phoneticPr fontId="3"/>
  </si>
  <si>
    <t>麦類作付面積（田）</t>
    <rPh sb="0" eb="1">
      <t>ムギ</t>
    </rPh>
    <rPh sb="1" eb="2">
      <t>ルイ</t>
    </rPh>
    <rPh sb="2" eb="4">
      <t>サクツケ</t>
    </rPh>
    <rPh sb="4" eb="6">
      <t>メンセキ</t>
    </rPh>
    <rPh sb="7" eb="8">
      <t>デン</t>
    </rPh>
    <phoneticPr fontId="3"/>
  </si>
  <si>
    <t>いも類作付面積（田）</t>
    <rPh sb="2" eb="3">
      <t>ルイ</t>
    </rPh>
    <rPh sb="3" eb="5">
      <t>サクツケ</t>
    </rPh>
    <rPh sb="5" eb="7">
      <t>メンセキ</t>
    </rPh>
    <rPh sb="8" eb="9">
      <t>デン</t>
    </rPh>
    <phoneticPr fontId="3"/>
  </si>
  <si>
    <t>工芸農作物作付面積（田）</t>
    <rPh sb="0" eb="2">
      <t>コウゲイ</t>
    </rPh>
    <rPh sb="2" eb="5">
      <t>ノウサクモツ</t>
    </rPh>
    <rPh sb="5" eb="7">
      <t>サクツケ</t>
    </rPh>
    <rPh sb="7" eb="9">
      <t>メンセキ</t>
    </rPh>
    <rPh sb="10" eb="11">
      <t>デン</t>
    </rPh>
    <phoneticPr fontId="3"/>
  </si>
  <si>
    <t>生産量
（稲作（水稲））</t>
    <rPh sb="0" eb="3">
      <t>セイサンリョウ</t>
    </rPh>
    <phoneticPr fontId="3"/>
  </si>
  <si>
    <t>生産量
（主食用米）</t>
    <rPh sb="0" eb="3">
      <t>セイサンリョウ</t>
    </rPh>
    <rPh sb="5" eb="8">
      <t>シュショクヨウ</t>
    </rPh>
    <rPh sb="8" eb="9">
      <t>マイ</t>
    </rPh>
    <phoneticPr fontId="3"/>
  </si>
  <si>
    <t>生産量
（加工用米）</t>
    <rPh sb="0" eb="3">
      <t>セイサンリョウ</t>
    </rPh>
    <rPh sb="5" eb="8">
      <t>カコウヨウ</t>
    </rPh>
    <rPh sb="8" eb="9">
      <t>マイ</t>
    </rPh>
    <phoneticPr fontId="3"/>
  </si>
  <si>
    <t>販売数量
（食用米（主食用米））</t>
    <rPh sb="0" eb="2">
      <t>ハンバイ</t>
    </rPh>
    <rPh sb="2" eb="4">
      <t>スウリョウ</t>
    </rPh>
    <phoneticPr fontId="3"/>
  </si>
  <si>
    <t>収入金額
（食用米（主食用米））</t>
    <rPh sb="0" eb="2">
      <t>シュウニュウ</t>
    </rPh>
    <rPh sb="2" eb="4">
      <t>キンガク</t>
    </rPh>
    <rPh sb="6" eb="9">
      <t>ショクヨウマイ</t>
    </rPh>
    <rPh sb="10" eb="13">
      <t>シュショクヨウ</t>
    </rPh>
    <rPh sb="13" eb="14">
      <t>マイ</t>
    </rPh>
    <phoneticPr fontId="3"/>
  </si>
  <si>
    <t>農業付加価値額</t>
    <rPh sb="0" eb="2">
      <t>ノウギョウ</t>
    </rPh>
    <rPh sb="2" eb="4">
      <t>フカ</t>
    </rPh>
    <rPh sb="4" eb="7">
      <t>カチガク</t>
    </rPh>
    <phoneticPr fontId="3"/>
  </si>
  <si>
    <t>農業従事者１人当たり
農業付加価値額</t>
    <rPh sb="0" eb="2">
      <t>ノウギョウ</t>
    </rPh>
    <rPh sb="2" eb="5">
      <t>ジュウジシャ</t>
    </rPh>
    <rPh sb="6" eb="7">
      <t>ニン</t>
    </rPh>
    <rPh sb="7" eb="8">
      <t>ア</t>
    </rPh>
    <rPh sb="11" eb="13">
      <t>ノウギョウ</t>
    </rPh>
    <rPh sb="13" eb="15">
      <t>フカ</t>
    </rPh>
    <rPh sb="15" eb="18">
      <t>カチガク</t>
    </rPh>
    <phoneticPr fontId="3"/>
  </si>
  <si>
    <t>対前年
増減差</t>
    <rPh sb="0" eb="1">
      <t>タイ</t>
    </rPh>
    <rPh sb="1" eb="3">
      <t>ゼンネン</t>
    </rPh>
    <rPh sb="6" eb="7">
      <t>サ</t>
    </rPh>
    <phoneticPr fontId="3"/>
  </si>
  <si>
    <t>部門</t>
    <rPh sb="0" eb="2">
      <t>ブモン</t>
    </rPh>
    <phoneticPr fontId="3"/>
  </si>
  <si>
    <t>雑穀収入</t>
    <rPh sb="0" eb="2">
      <t>ザッコク</t>
    </rPh>
    <rPh sb="2" eb="4">
      <t>シュウニュウ</t>
    </rPh>
    <phoneticPr fontId="3"/>
  </si>
  <si>
    <t>露地鉢物</t>
    <rPh sb="0" eb="2">
      <t>ロジ</t>
    </rPh>
    <rPh sb="2" eb="4">
      <t>ハチモノ</t>
    </rPh>
    <phoneticPr fontId="3"/>
  </si>
  <si>
    <t>飼料作物収入</t>
    <rPh sb="0" eb="2">
      <t>シリョウ</t>
    </rPh>
    <rPh sb="2" eb="4">
      <t>サクモツ</t>
    </rPh>
    <rPh sb="4" eb="6">
      <t>シュウニュウ</t>
    </rPh>
    <phoneticPr fontId="3"/>
  </si>
  <si>
    <t>その他の作物収入</t>
    <rPh sb="2" eb="3">
      <t>タ</t>
    </rPh>
    <rPh sb="4" eb="6">
      <t>サクモツ</t>
    </rPh>
    <rPh sb="6" eb="8">
      <t>シュウニュウ</t>
    </rPh>
    <phoneticPr fontId="3"/>
  </si>
  <si>
    <t>その他畜産物収入</t>
    <rPh sb="2" eb="3">
      <t>タ</t>
    </rPh>
    <rPh sb="3" eb="6">
      <t>チクサンブツ</t>
    </rPh>
    <rPh sb="6" eb="8">
      <t>シュウニュウ</t>
    </rPh>
    <phoneticPr fontId="3"/>
  </si>
  <si>
    <t>家計・事業消費</t>
    <rPh sb="0" eb="2">
      <t>カケイ</t>
    </rPh>
    <rPh sb="3" eb="5">
      <t>ジギョウ</t>
    </rPh>
    <rPh sb="5" eb="7">
      <t>ショウヒ</t>
    </rPh>
    <phoneticPr fontId="3"/>
  </si>
  <si>
    <t>農産物棚卸高
（期末－期首）</t>
    <rPh sb="0" eb="3">
      <t>ノウサンブツ</t>
    </rPh>
    <rPh sb="3" eb="6">
      <t>タナオロシダカ</t>
    </rPh>
    <rPh sb="8" eb="10">
      <t>キマツ</t>
    </rPh>
    <rPh sb="11" eb="13">
      <t>キシュ</t>
    </rPh>
    <phoneticPr fontId="3"/>
  </si>
  <si>
    <t>農業経営費②</t>
    <rPh sb="0" eb="2">
      <t>ノウギョウ</t>
    </rPh>
    <rPh sb="2" eb="5">
      <t>ケイエイヒ</t>
    </rPh>
    <phoneticPr fontId="3"/>
  </si>
  <si>
    <t>作業用衣料費</t>
    <rPh sb="0" eb="3">
      <t>サギョウヨウ</t>
    </rPh>
    <rPh sb="3" eb="6">
      <t>イリョウヒ</t>
    </rPh>
    <phoneticPr fontId="3"/>
  </si>
  <si>
    <t>土地改良費</t>
    <rPh sb="0" eb="5">
      <t>トチカイリョウヒ</t>
    </rPh>
    <phoneticPr fontId="5"/>
  </si>
  <si>
    <t>租税公課</t>
    <rPh sb="0" eb="4">
      <t>ソゼイコウカ</t>
    </rPh>
    <phoneticPr fontId="5"/>
  </si>
  <si>
    <t>利子割引料</t>
    <rPh sb="0" eb="5">
      <t>リシワリビキリョウ</t>
    </rPh>
    <phoneticPr fontId="5"/>
  </si>
  <si>
    <t>農業雑支出</t>
    <rPh sb="0" eb="5">
      <t>ノウギョウザツシシュツ</t>
    </rPh>
    <phoneticPr fontId="5"/>
  </si>
  <si>
    <t>雑費</t>
    <rPh sb="0" eb="2">
      <t>ザッピ</t>
    </rPh>
    <phoneticPr fontId="5"/>
  </si>
  <si>
    <t>農業共済掛金</t>
    <rPh sb="0" eb="6">
      <t>ノウギョウキョウサイカケキン</t>
    </rPh>
    <phoneticPr fontId="5"/>
  </si>
  <si>
    <t>棚卸高（農産物以外）増減</t>
    <rPh sb="0" eb="2">
      <t>タナオロシ</t>
    </rPh>
    <rPh sb="2" eb="3">
      <t>ダカ</t>
    </rPh>
    <rPh sb="4" eb="7">
      <t>ノウサンブツ</t>
    </rPh>
    <rPh sb="7" eb="9">
      <t>イガイ</t>
    </rPh>
    <rPh sb="10" eb="12">
      <t>ゾウゲン</t>
    </rPh>
    <phoneticPr fontId="5"/>
  </si>
  <si>
    <t>期首</t>
    <rPh sb="0" eb="2">
      <t>キシュ</t>
    </rPh>
    <phoneticPr fontId="5"/>
  </si>
  <si>
    <t>期末</t>
    <rPh sb="0" eb="2">
      <t>キマツ</t>
    </rPh>
    <phoneticPr fontId="5"/>
  </si>
  <si>
    <t>牛馬等育成費用</t>
    <rPh sb="0" eb="2">
      <t>ギュウバ</t>
    </rPh>
    <rPh sb="2" eb="3">
      <t>トウ</t>
    </rPh>
    <rPh sb="3" eb="5">
      <t>イクセイ</t>
    </rPh>
    <rPh sb="5" eb="7">
      <t>ヒヨウ</t>
    </rPh>
    <phoneticPr fontId="5"/>
  </si>
  <si>
    <t>農業所得　③＝①－②</t>
    <rPh sb="0" eb="2">
      <t>ノウギョウ</t>
    </rPh>
    <rPh sb="2" eb="4">
      <t>ショトク</t>
    </rPh>
    <phoneticPr fontId="3"/>
  </si>
  <si>
    <t>農業収入</t>
    <rPh sb="0" eb="4">
      <t>ノウギョウシュウニュウ</t>
    </rPh>
    <phoneticPr fontId="3"/>
  </si>
  <si>
    <t>農業生産関連事業収入</t>
    <rPh sb="0" eb="10">
      <t>ノウギョウセイサンカンレンジギョウシュウニュウ</t>
    </rPh>
    <phoneticPr fontId="3"/>
  </si>
  <si>
    <t>農外事業収入</t>
    <rPh sb="0" eb="4">
      <t>ノウガイジギョウ</t>
    </rPh>
    <rPh sb="4" eb="6">
      <t>シュウニュウ</t>
    </rPh>
    <phoneticPr fontId="3"/>
  </si>
  <si>
    <t>農業支出</t>
    <phoneticPr fontId="3"/>
  </si>
  <si>
    <t>農業生産関連事業支出</t>
    <phoneticPr fontId="3"/>
  </si>
  <si>
    <t>農外事業支出</t>
    <rPh sb="0" eb="4">
      <t>ノウガイジギョウ</t>
    </rPh>
    <phoneticPr fontId="3"/>
  </si>
  <si>
    <t>営業利益　④＝⑤－⑥</t>
    <phoneticPr fontId="5"/>
  </si>
  <si>
    <t>農業</t>
    <phoneticPr fontId="3"/>
  </si>
  <si>
    <t>農業生産関連事業</t>
    <phoneticPr fontId="3"/>
  </si>
  <si>
    <t>農外事業</t>
    <rPh sb="0" eb="4">
      <t>ノウガイジギョウ</t>
    </rPh>
    <phoneticPr fontId="3"/>
  </si>
  <si>
    <t>営業外収益⑦</t>
    <rPh sb="0" eb="3">
      <t>エイギョウガイ</t>
    </rPh>
    <rPh sb="3" eb="5">
      <t>シュウエキ</t>
    </rPh>
    <phoneticPr fontId="5"/>
  </si>
  <si>
    <t>営業外費用⑧</t>
    <rPh sb="0" eb="5">
      <t>エイギョウガイヒヨウ</t>
    </rPh>
    <phoneticPr fontId="5"/>
  </si>
  <si>
    <t>経常利益⑨＝④＋⑦－⑧</t>
    <rPh sb="0" eb="4">
      <t>ケイジョウリエキ</t>
    </rPh>
    <phoneticPr fontId="5"/>
  </si>
  <si>
    <t>有給役員・家族</t>
    <phoneticPr fontId="3"/>
  </si>
  <si>
    <t>雇用労賃単価</t>
    <rPh sb="0" eb="2">
      <t>コヨウ</t>
    </rPh>
    <rPh sb="2" eb="4">
      <t>ロウチン</t>
    </rPh>
    <rPh sb="4" eb="6">
      <t>タンカ</t>
    </rPh>
    <phoneticPr fontId="3"/>
  </si>
  <si>
    <t>円／時</t>
    <rPh sb="0" eb="1">
      <t>エン</t>
    </rPh>
    <rPh sb="2" eb="3">
      <t>トキ</t>
    </rPh>
    <phoneticPr fontId="3"/>
  </si>
  <si>
    <t>稲作(水稲)</t>
    <rPh sb="0" eb="2">
      <t>イナサク</t>
    </rPh>
    <rPh sb="3" eb="5">
      <t>スイトウ</t>
    </rPh>
    <phoneticPr fontId="3"/>
  </si>
  <si>
    <t>60kg当たり価格
（主食用米）</t>
  </si>
  <si>
    <t>陸稲作付面積（主食用米（畑））</t>
  </si>
  <si>
    <t>加工用米（畑）</t>
    <rPh sb="0" eb="2">
      <t>カコウ</t>
    </rPh>
    <phoneticPr fontId="3"/>
  </si>
  <si>
    <t>麦類作付面積（畑）</t>
  </si>
  <si>
    <t>いも類作付面積（畑）</t>
  </si>
  <si>
    <t>工芸農作物作付面積（畑）</t>
  </si>
  <si>
    <t>茶植栽面積</t>
  </si>
  <si>
    <t>小麦</t>
    <rPh sb="0" eb="2">
      <t>コムギ</t>
    </rPh>
    <phoneticPr fontId="3"/>
  </si>
  <si>
    <t>60kg当たり価格</t>
  </si>
  <si>
    <t>大豆</t>
    <rPh sb="0" eb="2">
      <t>ダイズ</t>
    </rPh>
    <phoneticPr fontId="3"/>
  </si>
  <si>
    <t>かんしょ</t>
    <phoneticPr fontId="3"/>
  </si>
  <si>
    <t>100kg当たり価格</t>
    <phoneticPr fontId="3"/>
  </si>
  <si>
    <t>ばれいしょ</t>
    <phoneticPr fontId="3"/>
  </si>
  <si>
    <t>1t当たり価格</t>
    <phoneticPr fontId="3"/>
  </si>
  <si>
    <t>植栽面積</t>
    <rPh sb="0" eb="2">
      <t>ショクサイ</t>
    </rPh>
    <rPh sb="2" eb="4">
      <t>メンセキ</t>
    </rPh>
    <phoneticPr fontId="3"/>
  </si>
  <si>
    <t>露地切り花</t>
    <rPh sb="2" eb="3">
      <t>キ</t>
    </rPh>
    <rPh sb="4" eb="5">
      <t>バナ</t>
    </rPh>
    <phoneticPr fontId="3"/>
  </si>
  <si>
    <t>露地鉢物</t>
    <rPh sb="2" eb="4">
      <t>ハチモノ</t>
    </rPh>
    <phoneticPr fontId="3"/>
  </si>
  <si>
    <t>施設切り花</t>
    <rPh sb="2" eb="3">
      <t>キ</t>
    </rPh>
    <rPh sb="4" eb="5">
      <t>バナ</t>
    </rPh>
    <phoneticPr fontId="3"/>
  </si>
  <si>
    <t>施設鉢物</t>
    <rPh sb="2" eb="4">
      <t>ハチモノ</t>
    </rPh>
    <phoneticPr fontId="3"/>
  </si>
  <si>
    <t>飼料作物
作付延べ面積</t>
    <rPh sb="0" eb="4">
      <t>シリョウサクモツ</t>
    </rPh>
    <rPh sb="5" eb="7">
      <t>サクツケ</t>
    </rPh>
    <rPh sb="7" eb="8">
      <t>ノ</t>
    </rPh>
    <rPh sb="9" eb="11">
      <t>メンセキ</t>
    </rPh>
    <phoneticPr fontId="3"/>
  </si>
  <si>
    <t>飼料用米</t>
    <rPh sb="0" eb="4">
      <t>シリョウヨウマイ</t>
    </rPh>
    <phoneticPr fontId="3"/>
  </si>
  <si>
    <t>飼料用米生産量</t>
    <rPh sb="0" eb="4">
      <t>シリョウヨウマイ</t>
    </rPh>
    <rPh sb="4" eb="7">
      <t>セイサンリョウ</t>
    </rPh>
    <phoneticPr fontId="3"/>
  </si>
  <si>
    <t>kg</t>
    <phoneticPr fontId="3"/>
  </si>
  <si>
    <t>その他</t>
    <rPh sb="2" eb="3">
      <t>タ</t>
    </rPh>
    <phoneticPr fontId="3"/>
  </si>
  <si>
    <t>貸借対照表</t>
    <rPh sb="0" eb="5">
      <t>タイシャクタイショウヒョウ</t>
    </rPh>
    <phoneticPr fontId="5"/>
  </si>
  <si>
    <t>資産</t>
    <rPh sb="0" eb="2">
      <t>シサン</t>
    </rPh>
    <phoneticPr fontId="5"/>
  </si>
  <si>
    <t>流動資産</t>
    <rPh sb="0" eb="4">
      <t>リュウドウシサン</t>
    </rPh>
    <phoneticPr fontId="3"/>
  </si>
  <si>
    <t>固定資産</t>
    <rPh sb="0" eb="4">
      <t>コテイシサン</t>
    </rPh>
    <phoneticPr fontId="3"/>
  </si>
  <si>
    <t>負債</t>
    <rPh sb="0" eb="2">
      <t>フサイ</t>
    </rPh>
    <phoneticPr fontId="3"/>
  </si>
  <si>
    <t>流動負債</t>
    <rPh sb="0" eb="2">
      <t>リュウドウ</t>
    </rPh>
    <rPh sb="2" eb="4">
      <t>フサイ</t>
    </rPh>
    <phoneticPr fontId="3"/>
  </si>
  <si>
    <t>固定負債</t>
    <rPh sb="0" eb="2">
      <t>コテイ</t>
    </rPh>
    <rPh sb="2" eb="4">
      <t>フサイ</t>
    </rPh>
    <phoneticPr fontId="3"/>
  </si>
  <si>
    <t>純資産</t>
    <rPh sb="0" eb="3">
      <t>ジュンシサン</t>
    </rPh>
    <phoneticPr fontId="5"/>
  </si>
  <si>
    <t>農業固定資産額</t>
    <rPh sb="0" eb="6">
      <t>ノウギョウコテイシサン</t>
    </rPh>
    <rPh sb="6" eb="7">
      <t>ガク</t>
    </rPh>
    <phoneticPr fontId="5"/>
  </si>
  <si>
    <t>分析指標</t>
    <phoneticPr fontId="3"/>
  </si>
  <si>
    <t>新規需要米（田）</t>
    <rPh sb="0" eb="4">
      <t>シンキジュヨウ</t>
    </rPh>
    <rPh sb="4" eb="5">
      <t>マイ</t>
    </rPh>
    <rPh sb="6" eb="7">
      <t>タ</t>
    </rPh>
    <phoneticPr fontId="3"/>
  </si>
  <si>
    <t>小麦生産量</t>
    <rPh sb="0" eb="2">
      <t>コムギ</t>
    </rPh>
    <rPh sb="2" eb="5">
      <t>セイサンリョウ</t>
    </rPh>
    <phoneticPr fontId="3"/>
  </si>
  <si>
    <t>小麦販売数量</t>
    <rPh sb="0" eb="2">
      <t>コムギ</t>
    </rPh>
    <rPh sb="2" eb="6">
      <t>ハンバイスウリョウ</t>
    </rPh>
    <phoneticPr fontId="3"/>
  </si>
  <si>
    <t>小麦販売金額</t>
    <rPh sb="0" eb="2">
      <t>コムギ</t>
    </rPh>
    <rPh sb="2" eb="6">
      <t>ハンバイキンガク</t>
    </rPh>
    <phoneticPr fontId="3"/>
  </si>
  <si>
    <t>大豆生産量</t>
    <rPh sb="2" eb="5">
      <t>セイサンリョウ</t>
    </rPh>
    <phoneticPr fontId="3"/>
  </si>
  <si>
    <t>大豆販売数量</t>
    <rPh sb="2" eb="6">
      <t>ハンバイスウリョウ</t>
    </rPh>
    <phoneticPr fontId="3"/>
  </si>
  <si>
    <t>大豆販売金額</t>
    <rPh sb="2" eb="6">
      <t>ハンバイキンガク</t>
    </rPh>
    <phoneticPr fontId="3"/>
  </si>
  <si>
    <t>かんしょ生産量</t>
    <rPh sb="4" eb="7">
      <t>セイサンリョウ</t>
    </rPh>
    <phoneticPr fontId="3"/>
  </si>
  <si>
    <t>かんしょ販売数量</t>
    <rPh sb="4" eb="8">
      <t>ハンバイスウリョウ</t>
    </rPh>
    <phoneticPr fontId="3"/>
  </si>
  <si>
    <t>かんしょ販売金額</t>
    <rPh sb="4" eb="8">
      <t>ハンバイキンガク</t>
    </rPh>
    <phoneticPr fontId="3"/>
  </si>
  <si>
    <t>ばれいしょ生産量</t>
    <rPh sb="5" eb="8">
      <t>セイサンリョウ</t>
    </rPh>
    <phoneticPr fontId="3"/>
  </si>
  <si>
    <t>ばれいしょ販売数量</t>
    <rPh sb="5" eb="9">
      <t>ハンバイスウリョウ</t>
    </rPh>
    <phoneticPr fontId="3"/>
  </si>
  <si>
    <t>ばれいしょ販売金額</t>
    <rPh sb="5" eb="9">
      <t>ハンバイキンガク</t>
    </rPh>
    <phoneticPr fontId="3"/>
  </si>
  <si>
    <t>てんさい生産量</t>
    <rPh sb="4" eb="7">
      <t>セイサンリョウ</t>
    </rPh>
    <phoneticPr fontId="3"/>
  </si>
  <si>
    <t>てんさい販売数量</t>
    <rPh sb="4" eb="8">
      <t>ハンバイスウリョウ</t>
    </rPh>
    <phoneticPr fontId="3"/>
  </si>
  <si>
    <t>てんさい販売金額</t>
    <rPh sb="4" eb="8">
      <t>ハンバイキンガク</t>
    </rPh>
    <phoneticPr fontId="3"/>
  </si>
  <si>
    <t>さとうきび生産量</t>
    <rPh sb="5" eb="8">
      <t>セイサンリョウ</t>
    </rPh>
    <phoneticPr fontId="3"/>
  </si>
  <si>
    <t>さとうきび販売数量</t>
    <rPh sb="5" eb="9">
      <t>ハンバイスウリョウ</t>
    </rPh>
    <phoneticPr fontId="3"/>
  </si>
  <si>
    <t>さとうきび販売金額</t>
    <rPh sb="5" eb="9">
      <t>ハンバイキンガク</t>
    </rPh>
    <phoneticPr fontId="3"/>
  </si>
  <si>
    <t>荒茶生産量</t>
    <rPh sb="0" eb="2">
      <t>アラチャ</t>
    </rPh>
    <rPh sb="2" eb="5">
      <t>セイサンリョウ</t>
    </rPh>
    <phoneticPr fontId="3"/>
  </si>
  <si>
    <t>茶販売数量</t>
    <rPh sb="1" eb="5">
      <t>ハンバイスウリョウ</t>
    </rPh>
    <phoneticPr fontId="3"/>
  </si>
  <si>
    <t>茶販売金額</t>
    <rPh sb="1" eb="5">
      <t>ハンバイキンガク</t>
    </rPh>
    <phoneticPr fontId="3"/>
  </si>
  <si>
    <t>指定部門（１経営体当たり）</t>
    <rPh sb="0" eb="4">
      <t>シテイブモン</t>
    </rPh>
    <rPh sb="6" eb="9">
      <t>ケイエイタイ</t>
    </rPh>
    <rPh sb="9" eb="10">
      <t>ア</t>
    </rPh>
    <phoneticPr fontId="3"/>
  </si>
  <si>
    <t>部門作付面積</t>
    <rPh sb="0" eb="2">
      <t>ブモン</t>
    </rPh>
    <rPh sb="2" eb="6">
      <t>サクツケメンセキ</t>
    </rPh>
    <phoneticPr fontId="3"/>
  </si>
  <si>
    <t>部門生産量</t>
    <rPh sb="0" eb="2">
      <t>ブモン</t>
    </rPh>
    <rPh sb="2" eb="5">
      <t>セイサンリョウ</t>
    </rPh>
    <phoneticPr fontId="3"/>
  </si>
  <si>
    <t>㎏・本</t>
    <rPh sb="2" eb="3">
      <t>ホン</t>
    </rPh>
    <phoneticPr fontId="3"/>
  </si>
  <si>
    <t>部門販売数量</t>
    <rPh sb="0" eb="2">
      <t>ブモン</t>
    </rPh>
    <rPh sb="2" eb="6">
      <t>ハンバイスウリョウ</t>
    </rPh>
    <phoneticPr fontId="3"/>
  </si>
  <si>
    <t>部門販売金額</t>
    <rPh sb="0" eb="2">
      <t>ブモン</t>
    </rPh>
    <rPh sb="2" eb="6">
      <t>ハンバイキンガク</t>
    </rPh>
    <phoneticPr fontId="3"/>
  </si>
  <si>
    <t>付加価値額</t>
    <rPh sb="0" eb="5">
      <t>フカカチガク</t>
    </rPh>
    <phoneticPr fontId="3"/>
  </si>
  <si>
    <t>部門粗収益</t>
    <rPh sb="0" eb="2">
      <t>ブモン</t>
    </rPh>
    <rPh sb="2" eb="5">
      <t>ソシュウエキ</t>
    </rPh>
    <phoneticPr fontId="3"/>
  </si>
  <si>
    <t>当該品目収入</t>
    <rPh sb="0" eb="6">
      <t>トウガイヒンモクシュウニュウ</t>
    </rPh>
    <phoneticPr fontId="3"/>
  </si>
  <si>
    <t>棚卸高（期首）</t>
    <rPh sb="0" eb="3">
      <t>タナオロシダカ</t>
    </rPh>
    <rPh sb="4" eb="6">
      <t>キシュ</t>
    </rPh>
    <phoneticPr fontId="3"/>
  </si>
  <si>
    <t>棚卸高（期末）</t>
    <rPh sb="0" eb="3">
      <t>タナオロシダカ</t>
    </rPh>
    <rPh sb="4" eb="6">
      <t>キマツ</t>
    </rPh>
    <phoneticPr fontId="3"/>
  </si>
  <si>
    <t>農業雑収入</t>
    <rPh sb="0" eb="5">
      <t>ノウギョウザツシュウニュウ</t>
    </rPh>
    <phoneticPr fontId="3"/>
  </si>
  <si>
    <t>共済・補助金等</t>
    <rPh sb="0" eb="2">
      <t>キョウサイ</t>
    </rPh>
    <rPh sb="3" eb="6">
      <t>ホジョキン</t>
    </rPh>
    <rPh sb="6" eb="7">
      <t>トウ</t>
    </rPh>
    <phoneticPr fontId="3"/>
  </si>
  <si>
    <t>部門経営費</t>
    <rPh sb="0" eb="2">
      <t>ブモン</t>
    </rPh>
    <rPh sb="2" eb="5">
      <t>ケイエイヒ</t>
    </rPh>
    <phoneticPr fontId="3"/>
  </si>
  <si>
    <t>雇人費</t>
    <rPh sb="0" eb="2">
      <t>ヤトイニン</t>
    </rPh>
    <rPh sb="2" eb="3">
      <t>ヒ</t>
    </rPh>
    <phoneticPr fontId="3"/>
  </si>
  <si>
    <t>農薬衛生費</t>
    <rPh sb="0" eb="5">
      <t>ノウヤクエイセイヒ</t>
    </rPh>
    <phoneticPr fontId="3"/>
  </si>
  <si>
    <t>諸材料費</t>
    <rPh sb="0" eb="4">
      <t>ショザイリョウヒ</t>
    </rPh>
    <phoneticPr fontId="3"/>
  </si>
  <si>
    <t>動力光熱費</t>
    <rPh sb="0" eb="5">
      <t>ドウリョクコウネツヒ</t>
    </rPh>
    <phoneticPr fontId="3"/>
  </si>
  <si>
    <t>農具費等</t>
    <rPh sb="0" eb="3">
      <t>ノウグヒ</t>
    </rPh>
    <rPh sb="3" eb="4">
      <t>トウ</t>
    </rPh>
    <phoneticPr fontId="3"/>
  </si>
  <si>
    <t>荷造運賃手数料</t>
    <rPh sb="0" eb="7">
      <t>ニヅクリウンチンテスウリョウ</t>
    </rPh>
    <phoneticPr fontId="3"/>
  </si>
  <si>
    <t>減価償却費</t>
    <rPh sb="0" eb="5">
      <t>ゲンカショウキャクヒ</t>
    </rPh>
    <phoneticPr fontId="3"/>
  </si>
  <si>
    <t>共済等掛金</t>
    <rPh sb="0" eb="2">
      <t>キョウサイ</t>
    </rPh>
    <rPh sb="2" eb="3">
      <t>トウ</t>
    </rPh>
    <rPh sb="3" eb="4">
      <t>カ</t>
    </rPh>
    <rPh sb="4" eb="5">
      <t>キン</t>
    </rPh>
    <phoneticPr fontId="3"/>
  </si>
  <si>
    <t>修繕費</t>
    <rPh sb="0" eb="3">
      <t>シュウゼンヒ</t>
    </rPh>
    <phoneticPr fontId="3"/>
  </si>
  <si>
    <t>作業用衣料費</t>
    <rPh sb="0" eb="6">
      <t>サギョウヨウイリョウヒ</t>
    </rPh>
    <phoneticPr fontId="3"/>
  </si>
  <si>
    <t>利子割引料</t>
    <rPh sb="0" eb="5">
      <t>リシワリビキリョウ</t>
    </rPh>
    <phoneticPr fontId="3"/>
  </si>
  <si>
    <t>土地改良費</t>
    <rPh sb="0" eb="5">
      <t>トチカイリョウヒ</t>
    </rPh>
    <phoneticPr fontId="3"/>
  </si>
  <si>
    <t>部門所得</t>
    <rPh sb="0" eb="2">
      <t>ブモン</t>
    </rPh>
    <rPh sb="2" eb="4">
      <t>ショトク</t>
    </rPh>
    <phoneticPr fontId="3"/>
  </si>
  <si>
    <t>部門労働時間</t>
    <rPh sb="0" eb="2">
      <t>ブモン</t>
    </rPh>
    <rPh sb="2" eb="6">
      <t>ロウドウジカン</t>
    </rPh>
    <phoneticPr fontId="3"/>
  </si>
  <si>
    <t>家族</t>
    <rPh sb="0" eb="2">
      <t>カゾク</t>
    </rPh>
    <phoneticPr fontId="3"/>
  </si>
  <si>
    <t>雇用者</t>
    <rPh sb="0" eb="3">
      <t>コヨウシャ</t>
    </rPh>
    <phoneticPr fontId="3"/>
  </si>
  <si>
    <t>部門労働時間</t>
    <rPh sb="0" eb="6">
      <t>ブモンロウドウジカン</t>
    </rPh>
    <phoneticPr fontId="3"/>
  </si>
  <si>
    <t>種子予措・育苗</t>
    <rPh sb="0" eb="4">
      <t>シュシヨソ</t>
    </rPh>
    <rPh sb="5" eb="7">
      <t>イクビョウ</t>
    </rPh>
    <phoneticPr fontId="3"/>
  </si>
  <si>
    <t>耕うん・施肥</t>
    <rPh sb="0" eb="1">
      <t>コウ</t>
    </rPh>
    <rPh sb="4" eb="6">
      <t>セヒ</t>
    </rPh>
    <phoneticPr fontId="3"/>
  </si>
  <si>
    <t>播種・定植・整枝・せん定</t>
    <rPh sb="0" eb="2">
      <t>ハシュ</t>
    </rPh>
    <rPh sb="3" eb="5">
      <t>テイショク</t>
    </rPh>
    <rPh sb="6" eb="8">
      <t>セイシ</t>
    </rPh>
    <rPh sb="11" eb="12">
      <t>テイ</t>
    </rPh>
    <phoneticPr fontId="3"/>
  </si>
  <si>
    <t>除草・防除</t>
    <rPh sb="0" eb="2">
      <t>ジョソウ</t>
    </rPh>
    <rPh sb="3" eb="5">
      <t>ボウジョ</t>
    </rPh>
    <phoneticPr fontId="3"/>
  </si>
  <si>
    <t>受粉・摘果</t>
    <rPh sb="0" eb="2">
      <t>ジュフン</t>
    </rPh>
    <rPh sb="3" eb="5">
      <t>テキカ</t>
    </rPh>
    <phoneticPr fontId="3"/>
  </si>
  <si>
    <t>生育管理</t>
    <rPh sb="0" eb="4">
      <t>セイイクカンリ</t>
    </rPh>
    <phoneticPr fontId="3"/>
  </si>
  <si>
    <t>収穫・調製</t>
    <rPh sb="0" eb="2">
      <t>シュウカク</t>
    </rPh>
    <rPh sb="3" eb="5">
      <t>チョウセイ</t>
    </rPh>
    <phoneticPr fontId="3"/>
  </si>
  <si>
    <t>包装・荷造り</t>
    <rPh sb="0" eb="2">
      <t>ホウソウ</t>
    </rPh>
    <rPh sb="3" eb="5">
      <t>ニヅク</t>
    </rPh>
    <phoneticPr fontId="3"/>
  </si>
  <si>
    <t>搬出・出荷・販売</t>
    <rPh sb="0" eb="2">
      <t>ハンシュツ</t>
    </rPh>
    <rPh sb="3" eb="5">
      <t>シュッカ</t>
    </rPh>
    <rPh sb="6" eb="8">
      <t>ハンバイ</t>
    </rPh>
    <phoneticPr fontId="3"/>
  </si>
  <si>
    <t>経営管理・間接労働</t>
    <rPh sb="0" eb="4">
      <t>ケイエイカンリ</t>
    </rPh>
    <rPh sb="5" eb="9">
      <t>カンセツロウドウ</t>
    </rPh>
    <phoneticPr fontId="3"/>
  </si>
  <si>
    <t>交雑種</t>
    <rPh sb="0" eb="3">
      <t>コウザツシュ</t>
    </rPh>
    <phoneticPr fontId="2"/>
  </si>
  <si>
    <t>ａ・㎡</t>
    <phoneticPr fontId="3"/>
  </si>
  <si>
    <t>自家生産乳牛等</t>
    <rPh sb="0" eb="2">
      <t>ジカ</t>
    </rPh>
    <rPh sb="2" eb="4">
      <t>セイサン</t>
    </rPh>
    <rPh sb="4" eb="6">
      <t>ニュウギュウ</t>
    </rPh>
    <rPh sb="6" eb="7">
      <t>ナド</t>
    </rPh>
    <phoneticPr fontId="3"/>
  </si>
  <si>
    <t>雑穀作付面積（田）</t>
    <rPh sb="2" eb="4">
      <t>サクツケ</t>
    </rPh>
    <rPh sb="4" eb="6">
      <t>メンセキ</t>
    </rPh>
    <rPh sb="7" eb="8">
      <t>デン</t>
    </rPh>
    <phoneticPr fontId="3"/>
  </si>
  <si>
    <t>豆類作付面積（田）</t>
    <rPh sb="0" eb="2">
      <t>マメルイ</t>
    </rPh>
    <rPh sb="2" eb="4">
      <t>サクツケ</t>
    </rPh>
    <rPh sb="4" eb="6">
      <t>メンセキ</t>
    </rPh>
    <rPh sb="7" eb="8">
      <t>デン</t>
    </rPh>
    <phoneticPr fontId="3"/>
  </si>
  <si>
    <t>雑穀作付面積（畑）</t>
    <rPh sb="0" eb="2">
      <t>ザッコク</t>
    </rPh>
    <phoneticPr fontId="2"/>
  </si>
  <si>
    <t>豆類作付面積（畑）</t>
    <rPh sb="0" eb="2">
      <t>マメルイ</t>
    </rPh>
    <phoneticPr fontId="2"/>
  </si>
  <si>
    <t>10kg当たり価格</t>
    <phoneticPr fontId="3"/>
  </si>
  <si>
    <t>月平均
繁殖雌牛飼養頭数</t>
    <rPh sb="0" eb="3">
      <t>ツキヘイキン</t>
    </rPh>
    <rPh sb="4" eb="6">
      <t>ハンショク</t>
    </rPh>
    <rPh sb="6" eb="7">
      <t>メス</t>
    </rPh>
    <rPh sb="7" eb="8">
      <t>ギュウ</t>
    </rPh>
    <rPh sb="8" eb="10">
      <t>シヨウ</t>
    </rPh>
    <rPh sb="10" eb="12">
      <t>トウスウ</t>
    </rPh>
    <phoneticPr fontId="3"/>
  </si>
  <si>
    <t>月平均
繁殖雌豚飼養頭数</t>
    <rPh sb="0" eb="3">
      <t>ツキヘイキン</t>
    </rPh>
    <rPh sb="4" eb="6">
      <t>ハンショク</t>
    </rPh>
    <rPh sb="6" eb="7">
      <t>メス</t>
    </rPh>
    <rPh sb="7" eb="8">
      <t>ブタ</t>
    </rPh>
    <rPh sb="8" eb="10">
      <t>シヨウ</t>
    </rPh>
    <rPh sb="10" eb="12">
      <t>トウスウ</t>
    </rPh>
    <phoneticPr fontId="3"/>
  </si>
  <si>
    <t>千円</t>
    <rPh sb="0" eb="1">
      <t>セン</t>
    </rPh>
    <rPh sb="1" eb="2">
      <t>エン</t>
    </rPh>
    <phoneticPr fontId="3"/>
  </si>
  <si>
    <t>ＷＣＳ用稲
作付延べ面積</t>
    <rPh sb="3" eb="4">
      <t>ヨウ</t>
    </rPh>
    <rPh sb="4" eb="5">
      <t>イネ</t>
    </rPh>
    <rPh sb="6" eb="9">
      <t>サクツケノ</t>
    </rPh>
    <rPh sb="10" eb="12">
      <t>メンセキ</t>
    </rPh>
    <phoneticPr fontId="3"/>
  </si>
  <si>
    <t>その他飼料作物
作付延べ面積</t>
    <rPh sb="2" eb="3">
      <t>タ</t>
    </rPh>
    <rPh sb="3" eb="5">
      <t>シリョウ</t>
    </rPh>
    <rPh sb="5" eb="7">
      <t>サクモツ</t>
    </rPh>
    <rPh sb="8" eb="11">
      <t>サクツケノ</t>
    </rPh>
    <rPh sb="12" eb="14">
      <t>メンセキ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</si>
</sst>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;&quot;▲ &quot;\ 0.0"/>
    <numFmt numFmtId="177" formatCode="#,##0;&quot;▲ &quot;#,##0"/>
    <numFmt numFmtId="178" formatCode="0;&quot;▲ &quot;0"/>
    <numFmt numFmtId="179" formatCode="0.0;&quot;▲&quot;?0.0"/>
    <numFmt numFmtId="180" formatCode="#,##0.00;&quot;▲ &quot;#,##0.00"/>
    <numFmt numFmtId="181" formatCode="#,##0.0;&quot;▲ &quot;#,##0.0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3"/>
      <charset val="128"/>
      <scheme val="minor"/>
    </font>
    <font>
      <sz val="8"/>
      <name val="ＭＳ 明朝"/>
      <family val="1"/>
      <charset val="128"/>
    </font>
    <font>
      <sz val="11"/>
      <name val="ＭＳ 明朝"/>
      <family val="1"/>
      <charset val="128"/>
    </font>
    <font>
      <b/>
      <sz val="16"/>
      <name val="ＭＳ 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2"/>
      <name val="ＭＳ Ｐゴシック"/>
      <family val="3"/>
      <charset val="128"/>
    </font>
    <font>
      <sz val="14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8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游ゴシック"/>
      <family val="2"/>
      <charset val="128"/>
      <scheme val="minor"/>
    </font>
    <font>
      <strike/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auto="1"/>
      </patternFill>
    </fill>
  </fills>
  <borders count="12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auto="1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00">
    <xf numFmtId="0" fontId="0" fillId="0" borderId="0" xfId="0">
      <alignment vertical="center"/>
    </xf>
    <xf numFmtId="0" fontId="4" fillId="0" borderId="0" xfId="1" applyFont="1" applyAlignment="1">
      <alignment horizontal="distributed" vertical="center"/>
    </xf>
    <xf numFmtId="177" fontId="7" fillId="0" borderId="24" xfId="1" applyNumberFormat="1" applyFont="1" applyBorder="1" applyAlignment="1">
      <alignment horizontal="right" vertical="center"/>
    </xf>
    <xf numFmtId="177" fontId="7" fillId="0" borderId="20" xfId="1" applyNumberFormat="1" applyFont="1" applyBorder="1" applyAlignment="1">
      <alignment horizontal="right" vertical="center"/>
    </xf>
    <xf numFmtId="177" fontId="7" fillId="2" borderId="30" xfId="1" applyNumberFormat="1" applyFont="1" applyFill="1" applyBorder="1" applyAlignment="1">
      <alignment horizontal="right" vertical="center"/>
    </xf>
    <xf numFmtId="177" fontId="7" fillId="2" borderId="0" xfId="1" applyNumberFormat="1" applyFont="1" applyFill="1" applyAlignment="1">
      <alignment horizontal="right" vertical="center"/>
    </xf>
    <xf numFmtId="179" fontId="7" fillId="2" borderId="31" xfId="1" applyNumberFormat="1" applyFont="1" applyFill="1" applyBorder="1" applyAlignment="1">
      <alignment horizontal="right" vertical="center" shrinkToFit="1"/>
    </xf>
    <xf numFmtId="0" fontId="6" fillId="0" borderId="0" xfId="1" applyFont="1" applyAlignment="1">
      <alignment vertical="center"/>
    </xf>
    <xf numFmtId="177" fontId="7" fillId="0" borderId="37" xfId="1" applyNumberFormat="1" applyFont="1" applyBorder="1" applyAlignment="1">
      <alignment horizontal="right" vertical="center"/>
    </xf>
    <xf numFmtId="177" fontId="7" fillId="0" borderId="34" xfId="1" applyNumberFormat="1" applyFont="1" applyBorder="1" applyAlignment="1">
      <alignment horizontal="right" vertical="center"/>
    </xf>
    <xf numFmtId="179" fontId="7" fillId="0" borderId="38" xfId="1" applyNumberFormat="1" applyFont="1" applyBorder="1" applyAlignment="1">
      <alignment horizontal="right" vertical="center" shrinkToFit="1"/>
    </xf>
    <xf numFmtId="177" fontId="7" fillId="0" borderId="0" xfId="1" applyNumberFormat="1" applyFont="1" applyAlignment="1">
      <alignment horizontal="right" vertical="center"/>
    </xf>
    <xf numFmtId="179" fontId="7" fillId="0" borderId="31" xfId="1" applyNumberFormat="1" applyFont="1" applyBorder="1" applyAlignment="1">
      <alignment horizontal="right" vertical="center" shrinkToFit="1"/>
    </xf>
    <xf numFmtId="177" fontId="7" fillId="0" borderId="30" xfId="1" applyNumberFormat="1" applyFont="1" applyBorder="1" applyAlignment="1">
      <alignment horizontal="right" vertical="center"/>
    </xf>
    <xf numFmtId="177" fontId="7" fillId="0" borderId="54" xfId="1" applyNumberFormat="1" applyFont="1" applyBorder="1" applyAlignment="1">
      <alignment horizontal="right" vertical="center"/>
    </xf>
    <xf numFmtId="177" fontId="7" fillId="0" borderId="55" xfId="1" applyNumberFormat="1" applyFont="1" applyBorder="1" applyAlignment="1">
      <alignment horizontal="right" vertical="center"/>
    </xf>
    <xf numFmtId="179" fontId="7" fillId="0" borderId="58" xfId="1" applyNumberFormat="1" applyFont="1" applyBorder="1" applyAlignment="1">
      <alignment horizontal="right" vertical="center" shrinkToFit="1"/>
    </xf>
    <xf numFmtId="177" fontId="7" fillId="2" borderId="66" xfId="1" applyNumberFormat="1" applyFont="1" applyFill="1" applyBorder="1" applyAlignment="1">
      <alignment horizontal="right" vertical="center"/>
    </xf>
    <xf numFmtId="177" fontId="7" fillId="2" borderId="63" xfId="1" applyNumberFormat="1" applyFont="1" applyFill="1" applyBorder="1" applyAlignment="1">
      <alignment horizontal="right" vertical="center"/>
    </xf>
    <xf numFmtId="179" fontId="7" fillId="2" borderId="67" xfId="1" applyNumberFormat="1" applyFont="1" applyFill="1" applyBorder="1" applyAlignment="1">
      <alignment horizontal="right" vertical="center" shrinkToFit="1"/>
    </xf>
    <xf numFmtId="177" fontId="7" fillId="3" borderId="11" xfId="1" applyNumberFormat="1" applyFont="1" applyFill="1" applyBorder="1" applyAlignment="1">
      <alignment horizontal="right" vertical="center"/>
    </xf>
    <xf numFmtId="177" fontId="7" fillId="3" borderId="73" xfId="1" applyNumberFormat="1" applyFont="1" applyFill="1" applyBorder="1" applyAlignment="1">
      <alignment horizontal="right" vertical="center"/>
    </xf>
    <xf numFmtId="179" fontId="7" fillId="3" borderId="74" xfId="1" applyNumberFormat="1" applyFont="1" applyFill="1" applyBorder="1" applyAlignment="1">
      <alignment horizontal="right" vertical="center" shrinkToFit="1"/>
    </xf>
    <xf numFmtId="0" fontId="8" fillId="0" borderId="0" xfId="1" applyFont="1" applyAlignment="1">
      <alignment horizontal="left" vertical="center"/>
    </xf>
    <xf numFmtId="0" fontId="11" fillId="0" borderId="0" xfId="1" applyFont="1" applyAlignment="1">
      <alignment vertical="center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11" fillId="0" borderId="1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wrapText="1"/>
    </xf>
    <xf numFmtId="0" fontId="11" fillId="0" borderId="17" xfId="1" applyFont="1" applyBorder="1" applyAlignment="1">
      <alignment horizontal="center" vertical="center"/>
    </xf>
    <xf numFmtId="0" fontId="12" fillId="0" borderId="0" xfId="1" applyFont="1" applyAlignment="1">
      <alignment vertical="center"/>
    </xf>
    <xf numFmtId="0" fontId="11" fillId="0" borderId="12" xfId="1" applyFont="1" applyBorder="1" applyAlignment="1">
      <alignment vertical="center" shrinkToFit="1"/>
    </xf>
    <xf numFmtId="0" fontId="13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5" fillId="0" borderId="18" xfId="1" applyFont="1" applyBorder="1" applyAlignment="1">
      <alignment vertical="center"/>
    </xf>
    <xf numFmtId="0" fontId="11" fillId="0" borderId="18" xfId="1" applyFont="1" applyBorder="1" applyAlignment="1">
      <alignment horizontal="center" vertical="center"/>
    </xf>
    <xf numFmtId="0" fontId="15" fillId="0" borderId="23" xfId="1" applyFont="1" applyBorder="1" applyAlignment="1">
      <alignment horizontal="center" vertical="center" shrinkToFit="1"/>
    </xf>
    <xf numFmtId="0" fontId="11" fillId="0" borderId="18" xfId="1" applyFont="1" applyBorder="1" applyAlignment="1">
      <alignment vertical="center"/>
    </xf>
    <xf numFmtId="0" fontId="15" fillId="2" borderId="29" xfId="1" applyFont="1" applyFill="1" applyBorder="1" applyAlignment="1">
      <alignment horizontal="center" vertical="center" shrinkToFit="1"/>
    </xf>
    <xf numFmtId="0" fontId="11" fillId="0" borderId="32" xfId="1" applyFont="1" applyBorder="1" applyAlignment="1">
      <alignment horizontal="distributed" vertical="center"/>
    </xf>
    <xf numFmtId="0" fontId="11" fillId="0" borderId="35" xfId="1" applyFont="1" applyBorder="1" applyAlignment="1">
      <alignment horizontal="distributed" vertical="center"/>
    </xf>
    <xf numFmtId="0" fontId="15" fillId="0" borderId="36" xfId="1" applyFont="1" applyBorder="1" applyAlignment="1">
      <alignment horizontal="center" vertical="center" shrinkToFit="1"/>
    </xf>
    <xf numFmtId="0" fontId="11" fillId="0" borderId="41" xfId="1" applyFont="1" applyBorder="1" applyAlignment="1">
      <alignment horizontal="distributed" vertical="center"/>
    </xf>
    <xf numFmtId="0" fontId="11" fillId="0" borderId="43" xfId="1" applyFont="1" applyBorder="1" applyAlignment="1">
      <alignment horizontal="distributed" vertical="center"/>
    </xf>
    <xf numFmtId="0" fontId="11" fillId="0" borderId="41" xfId="1" applyFont="1" applyBorder="1" applyAlignment="1">
      <alignment vertical="center"/>
    </xf>
    <xf numFmtId="0" fontId="11" fillId="0" borderId="48" xfId="1" applyFont="1" applyBorder="1" applyAlignment="1">
      <alignment vertical="center"/>
    </xf>
    <xf numFmtId="0" fontId="11" fillId="0" borderId="41" xfId="1" applyFont="1" applyBorder="1" applyAlignment="1">
      <alignment horizontal="distributed" vertical="center" wrapText="1"/>
    </xf>
    <xf numFmtId="0" fontId="11" fillId="0" borderId="41" xfId="1" applyFont="1" applyBorder="1" applyAlignment="1">
      <alignment vertical="center" wrapText="1"/>
    </xf>
    <xf numFmtId="0" fontId="11" fillId="0" borderId="52" xfId="1" applyFont="1" applyBorder="1" applyAlignment="1">
      <alignment horizontal="distributed" vertical="center" wrapText="1"/>
    </xf>
    <xf numFmtId="0" fontId="11" fillId="0" borderId="48" xfId="1" applyFont="1" applyBorder="1" applyAlignment="1">
      <alignment horizontal="distributed" vertical="center" wrapText="1"/>
    </xf>
    <xf numFmtId="0" fontId="11" fillId="0" borderId="48" xfId="1" applyFont="1" applyBorder="1" applyAlignment="1">
      <alignment vertical="center" wrapText="1"/>
    </xf>
    <xf numFmtId="0" fontId="11" fillId="0" borderId="53" xfId="1" applyFont="1" applyBorder="1" applyAlignment="1">
      <alignment horizontal="distributed" vertical="center" wrapText="1"/>
    </xf>
    <xf numFmtId="0" fontId="15" fillId="0" borderId="29" xfId="1" applyFont="1" applyBorder="1" applyAlignment="1">
      <alignment horizontal="center" vertical="center" shrinkToFit="1"/>
    </xf>
    <xf numFmtId="0" fontId="11" fillId="0" borderId="41" xfId="1" applyFont="1" applyBorder="1" applyAlignment="1">
      <alignment horizontal="center" vertical="center" shrinkToFit="1"/>
    </xf>
    <xf numFmtId="0" fontId="11" fillId="0" borderId="56" xfId="1" applyFont="1" applyBorder="1" applyAlignment="1">
      <alignment horizontal="distributed" vertical="center"/>
    </xf>
    <xf numFmtId="0" fontId="11" fillId="0" borderId="44" xfId="1" applyFont="1" applyBorder="1" applyAlignment="1">
      <alignment horizontal="center" vertical="center" shrinkToFit="1"/>
    </xf>
    <xf numFmtId="0" fontId="15" fillId="0" borderId="57" xfId="1" applyFont="1" applyBorder="1" applyAlignment="1">
      <alignment horizontal="center" vertical="center" shrinkToFit="1"/>
    </xf>
    <xf numFmtId="0" fontId="11" fillId="0" borderId="48" xfId="1" applyFont="1" applyBorder="1" applyAlignment="1">
      <alignment horizontal="center" vertical="center" shrinkToFit="1"/>
    </xf>
    <xf numFmtId="0" fontId="11" fillId="0" borderId="59" xfId="1" applyFont="1" applyBorder="1" applyAlignment="1">
      <alignment horizontal="distributed" vertical="center"/>
    </xf>
    <xf numFmtId="0" fontId="15" fillId="2" borderId="65" xfId="1" applyFont="1" applyFill="1" applyBorder="1" applyAlignment="1">
      <alignment horizontal="center" vertical="center" shrinkToFit="1"/>
    </xf>
    <xf numFmtId="0" fontId="11" fillId="0" borderId="32" xfId="1" applyFont="1" applyBorder="1" applyAlignment="1">
      <alignment vertical="center"/>
    </xf>
    <xf numFmtId="0" fontId="15" fillId="3" borderId="12" xfId="1" applyFont="1" applyFill="1" applyBorder="1" applyAlignment="1">
      <alignment horizontal="center" vertical="center" shrinkToFit="1"/>
    </xf>
    <xf numFmtId="0" fontId="11" fillId="0" borderId="50" xfId="1" applyFont="1" applyBorder="1" applyAlignment="1">
      <alignment horizontal="distributed" vertical="center"/>
    </xf>
    <xf numFmtId="181" fontId="7" fillId="0" borderId="58" xfId="1" applyNumberFormat="1" applyFont="1" applyBorder="1" applyAlignment="1">
      <alignment horizontal="right" vertical="center" shrinkToFit="1"/>
    </xf>
    <xf numFmtId="181" fontId="7" fillId="0" borderId="38" xfId="1" applyNumberFormat="1" applyFont="1" applyBorder="1" applyAlignment="1">
      <alignment horizontal="right" vertical="center" shrinkToFit="1"/>
    </xf>
    <xf numFmtId="181" fontId="7" fillId="0" borderId="31" xfId="1" applyNumberFormat="1" applyFont="1" applyBorder="1" applyAlignment="1">
      <alignment horizontal="right" vertical="center" shrinkToFit="1"/>
    </xf>
    <xf numFmtId="0" fontId="11" fillId="0" borderId="7" xfId="1" applyFont="1" applyBorder="1" applyAlignment="1">
      <alignment horizontal="left" vertical="center" shrinkToFit="1"/>
    </xf>
    <xf numFmtId="0" fontId="11" fillId="0" borderId="11" xfId="1" applyFont="1" applyBorder="1" applyAlignment="1">
      <alignment horizontal="left" vertical="center" shrinkToFit="1"/>
    </xf>
    <xf numFmtId="0" fontId="11" fillId="0" borderId="10" xfId="1" applyFont="1" applyBorder="1" applyAlignment="1">
      <alignment horizontal="right" vertical="center" shrinkToFit="1"/>
    </xf>
    <xf numFmtId="0" fontId="11" fillId="0" borderId="10" xfId="1" applyFont="1" applyBorder="1" applyAlignment="1">
      <alignment horizontal="left" vertical="center" shrinkToFit="1"/>
    </xf>
    <xf numFmtId="0" fontId="11" fillId="0" borderId="5" xfId="1" applyFont="1" applyBorder="1" applyAlignment="1">
      <alignment horizontal="center" vertical="center"/>
    </xf>
    <xf numFmtId="0" fontId="18" fillId="0" borderId="15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0" fontId="11" fillId="0" borderId="12" xfId="1" applyFont="1" applyBorder="1" applyAlignment="1">
      <alignment horizontal="right" vertical="center" shrinkToFit="1"/>
    </xf>
    <xf numFmtId="0" fontId="18" fillId="0" borderId="11" xfId="1" applyFont="1" applyBorder="1" applyAlignment="1">
      <alignment horizontal="left" vertical="center" shrinkToFit="1"/>
    </xf>
    <xf numFmtId="0" fontId="11" fillId="0" borderId="43" xfId="1" applyFont="1" applyBorder="1" applyAlignment="1">
      <alignment horizontal="center" vertical="center"/>
    </xf>
    <xf numFmtId="0" fontId="11" fillId="0" borderId="43" xfId="1" applyFont="1" applyBorder="1" applyAlignment="1">
      <alignment vertical="center"/>
    </xf>
    <xf numFmtId="0" fontId="11" fillId="0" borderId="41" xfId="1" applyFont="1" applyBorder="1" applyAlignment="1">
      <alignment horizontal="center" vertical="center"/>
    </xf>
    <xf numFmtId="0" fontId="11" fillId="0" borderId="48" xfId="1" applyFont="1" applyBorder="1" applyAlignment="1">
      <alignment horizontal="center" vertical="center"/>
    </xf>
    <xf numFmtId="0" fontId="11" fillId="0" borderId="51" xfId="1" applyFont="1" applyBorder="1" applyAlignment="1">
      <alignment horizontal="distributed" vertical="center"/>
    </xf>
    <xf numFmtId="177" fontId="7" fillId="0" borderId="40" xfId="1" applyNumberFormat="1" applyFont="1" applyBorder="1" applyAlignment="1">
      <alignment horizontal="right" vertical="center"/>
    </xf>
    <xf numFmtId="0" fontId="15" fillId="0" borderId="70" xfId="1" applyFont="1" applyBorder="1" applyAlignment="1">
      <alignment horizontal="center" vertical="center" shrinkToFit="1"/>
    </xf>
    <xf numFmtId="177" fontId="7" fillId="0" borderId="42" xfId="1" applyNumberFormat="1" applyFont="1" applyBorder="1" applyAlignment="1">
      <alignment horizontal="right" vertical="center"/>
    </xf>
    <xf numFmtId="179" fontId="7" fillId="0" borderId="71" xfId="1" applyNumberFormat="1" applyFont="1" applyBorder="1" applyAlignment="1">
      <alignment horizontal="right" vertical="center" shrinkToFit="1"/>
    </xf>
    <xf numFmtId="0" fontId="15" fillId="0" borderId="17" xfId="1" applyFont="1" applyBorder="1" applyAlignment="1">
      <alignment horizontal="center" vertical="center" shrinkToFit="1"/>
    </xf>
    <xf numFmtId="177" fontId="7" fillId="0" borderId="16" xfId="1" applyNumberFormat="1" applyFont="1" applyBorder="1" applyAlignment="1">
      <alignment horizontal="right" vertical="center"/>
    </xf>
    <xf numFmtId="177" fontId="7" fillId="0" borderId="60" xfId="1" applyNumberFormat="1" applyFont="1" applyBorder="1" applyAlignment="1">
      <alignment horizontal="right" vertical="center"/>
    </xf>
    <xf numFmtId="179" fontId="7" fillId="0" borderId="96" xfId="1" applyNumberFormat="1" applyFont="1" applyBorder="1" applyAlignment="1">
      <alignment horizontal="right" vertical="center" shrinkToFit="1"/>
    </xf>
    <xf numFmtId="0" fontId="11" fillId="0" borderId="56" xfId="1" applyFont="1" applyBorder="1" applyAlignment="1">
      <alignment vertical="center"/>
    </xf>
    <xf numFmtId="0" fontId="15" fillId="0" borderId="78" xfId="1" applyFont="1" applyBorder="1" applyAlignment="1">
      <alignment horizontal="center" vertical="center" shrinkToFit="1"/>
    </xf>
    <xf numFmtId="177" fontId="7" fillId="0" borderId="79" xfId="1" applyNumberFormat="1" applyFont="1" applyBorder="1" applyAlignment="1">
      <alignment horizontal="right" vertical="center"/>
    </xf>
    <xf numFmtId="177" fontId="7" fillId="0" borderId="76" xfId="1" applyNumberFormat="1" applyFont="1" applyBorder="1" applyAlignment="1">
      <alignment horizontal="right" vertical="center"/>
    </xf>
    <xf numFmtId="179" fontId="7" fillId="0" borderId="80" xfId="1" applyNumberFormat="1" applyFont="1" applyBorder="1" applyAlignment="1">
      <alignment horizontal="right" vertical="center" shrinkToFit="1"/>
    </xf>
    <xf numFmtId="0" fontId="15" fillId="0" borderId="100" xfId="1" applyFont="1" applyBorder="1" applyAlignment="1">
      <alignment horizontal="center" vertical="center" shrinkToFit="1"/>
    </xf>
    <xf numFmtId="180" fontId="7" fillId="0" borderId="101" xfId="1" applyNumberFormat="1" applyFont="1" applyBorder="1" applyAlignment="1">
      <alignment horizontal="right" vertical="center"/>
    </xf>
    <xf numFmtId="180" fontId="7" fillId="0" borderId="95" xfId="1" applyNumberFormat="1" applyFont="1" applyBorder="1" applyAlignment="1">
      <alignment horizontal="right" vertical="center"/>
    </xf>
    <xf numFmtId="179" fontId="7" fillId="0" borderId="90" xfId="1" applyNumberFormat="1" applyFont="1" applyBorder="1" applyAlignment="1">
      <alignment horizontal="right" vertical="center" shrinkToFit="1"/>
    </xf>
    <xf numFmtId="181" fontId="7" fillId="0" borderId="90" xfId="1" applyNumberFormat="1" applyFont="1" applyBorder="1" applyAlignment="1">
      <alignment horizontal="right" vertical="center" shrinkToFit="1"/>
    </xf>
    <xf numFmtId="0" fontId="15" fillId="0" borderId="84" xfId="1" applyFont="1" applyBorder="1" applyAlignment="1">
      <alignment vertical="center" wrapText="1" shrinkToFit="1"/>
    </xf>
    <xf numFmtId="180" fontId="7" fillId="0" borderId="37" xfId="1" applyNumberFormat="1" applyFont="1" applyBorder="1" applyAlignment="1">
      <alignment horizontal="right" vertical="center"/>
    </xf>
    <xf numFmtId="180" fontId="7" fillId="0" borderId="34" xfId="1" applyNumberFormat="1" applyFont="1" applyBorder="1" applyAlignment="1">
      <alignment horizontal="right" vertical="center"/>
    </xf>
    <xf numFmtId="178" fontId="7" fillId="0" borderId="37" xfId="1" applyNumberFormat="1" applyFont="1" applyBorder="1" applyAlignment="1">
      <alignment horizontal="right" vertical="center"/>
    </xf>
    <xf numFmtId="178" fontId="7" fillId="0" borderId="34" xfId="1" applyNumberFormat="1" applyFont="1" applyBorder="1" applyAlignment="1">
      <alignment horizontal="right" vertical="center"/>
    </xf>
    <xf numFmtId="0" fontId="11" fillId="0" borderId="84" xfId="1" applyFont="1" applyBorder="1" applyAlignment="1">
      <alignment horizontal="distributed" vertical="center"/>
    </xf>
    <xf numFmtId="0" fontId="11" fillId="0" borderId="85" xfId="1" applyFont="1" applyBorder="1" applyAlignment="1">
      <alignment horizontal="distributed" vertical="center"/>
    </xf>
    <xf numFmtId="181" fontId="7" fillId="0" borderId="54" xfId="1" applyNumberFormat="1" applyFont="1" applyBorder="1" applyAlignment="1">
      <alignment horizontal="right" vertical="center"/>
    </xf>
    <xf numFmtId="181" fontId="7" fillId="0" borderId="55" xfId="1" applyNumberFormat="1" applyFont="1" applyBorder="1" applyAlignment="1">
      <alignment horizontal="right" vertical="center"/>
    </xf>
    <xf numFmtId="181" fontId="7" fillId="0" borderId="37" xfId="1" applyNumberFormat="1" applyFont="1" applyBorder="1" applyAlignment="1">
      <alignment horizontal="right" vertical="center"/>
    </xf>
    <xf numFmtId="181" fontId="7" fillId="0" borderId="34" xfId="1" applyNumberFormat="1" applyFont="1" applyBorder="1" applyAlignment="1">
      <alignment horizontal="right" vertical="center"/>
    </xf>
    <xf numFmtId="0" fontId="15" fillId="0" borderId="85" xfId="1" applyFont="1" applyBorder="1" applyAlignment="1">
      <alignment vertical="center" wrapText="1" shrinkToFit="1"/>
    </xf>
    <xf numFmtId="0" fontId="15" fillId="0" borderId="84" xfId="1" applyFont="1" applyBorder="1" applyAlignment="1">
      <alignment horizontal="distributed" vertical="center"/>
    </xf>
    <xf numFmtId="0" fontId="15" fillId="0" borderId="85" xfId="1" applyFont="1" applyBorder="1" applyAlignment="1">
      <alignment horizontal="distributed" vertical="center"/>
    </xf>
    <xf numFmtId="181" fontId="7" fillId="0" borderId="30" xfId="1" applyNumberFormat="1" applyFont="1" applyBorder="1" applyAlignment="1">
      <alignment horizontal="right" vertical="center"/>
    </xf>
    <xf numFmtId="181" fontId="7" fillId="0" borderId="0" xfId="1" applyNumberFormat="1" applyFont="1" applyAlignment="1">
      <alignment horizontal="right" vertical="center"/>
    </xf>
    <xf numFmtId="177" fontId="7" fillId="0" borderId="101" xfId="1" applyNumberFormat="1" applyFont="1" applyBorder="1" applyAlignment="1">
      <alignment horizontal="right" vertical="center"/>
    </xf>
    <xf numFmtId="177" fontId="7" fillId="0" borderId="95" xfId="1" applyNumberFormat="1" applyFont="1" applyBorder="1" applyAlignment="1">
      <alignment horizontal="right" vertical="center"/>
    </xf>
    <xf numFmtId="181" fontId="7" fillId="0" borderId="101" xfId="1" applyNumberFormat="1" applyFont="1" applyBorder="1" applyAlignment="1">
      <alignment horizontal="right" vertical="center"/>
    </xf>
    <xf numFmtId="181" fontId="7" fillId="0" borderId="95" xfId="1" applyNumberFormat="1" applyFont="1" applyBorder="1" applyAlignment="1">
      <alignment horizontal="right" vertical="center"/>
    </xf>
    <xf numFmtId="178" fontId="7" fillId="0" borderId="79" xfId="1" applyNumberFormat="1" applyFont="1" applyBorder="1" applyAlignment="1">
      <alignment horizontal="right" vertical="center"/>
    </xf>
    <xf numFmtId="178" fontId="7" fillId="0" borderId="76" xfId="1" applyNumberFormat="1" applyFont="1" applyBorder="1" applyAlignment="1">
      <alignment horizontal="right"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right" vertical="center"/>
    </xf>
    <xf numFmtId="0" fontId="11" fillId="0" borderId="18" xfId="1" applyFont="1" applyBorder="1" applyAlignment="1">
      <alignment vertical="center" textRotation="255"/>
    </xf>
    <xf numFmtId="0" fontId="17" fillId="0" borderId="18" xfId="1" applyFont="1" applyBorder="1" applyAlignment="1">
      <alignment vertical="center" textRotation="255"/>
    </xf>
    <xf numFmtId="0" fontId="9" fillId="0" borderId="18" xfId="1" applyFont="1" applyBorder="1" applyAlignment="1">
      <alignment vertical="center"/>
    </xf>
    <xf numFmtId="179" fontId="4" fillId="0" borderId="25" xfId="1" applyNumberFormat="1" applyFont="1" applyBorder="1" applyAlignment="1">
      <alignment horizontal="right" vertical="center" shrinkToFit="1"/>
    </xf>
    <xf numFmtId="179" fontId="4" fillId="2" borderId="31" xfId="1" applyNumberFormat="1" applyFont="1" applyFill="1" applyBorder="1" applyAlignment="1">
      <alignment horizontal="right" vertical="center" shrinkToFit="1"/>
    </xf>
    <xf numFmtId="179" fontId="4" fillId="0" borderId="38" xfId="1" applyNumberFormat="1" applyFont="1" applyBorder="1" applyAlignment="1">
      <alignment horizontal="right" vertical="center" shrinkToFit="1"/>
    </xf>
    <xf numFmtId="179" fontId="4" fillId="0" borderId="31" xfId="1" applyNumberFormat="1" applyFont="1" applyBorder="1" applyAlignment="1">
      <alignment horizontal="right" vertical="center" shrinkToFit="1"/>
    </xf>
    <xf numFmtId="179" fontId="4" fillId="0" borderId="58" xfId="1" applyNumberFormat="1" applyFont="1" applyBorder="1" applyAlignment="1">
      <alignment horizontal="right" vertical="center" shrinkToFit="1"/>
    </xf>
    <xf numFmtId="179" fontId="4" fillId="0" borderId="96" xfId="1" applyNumberFormat="1" applyFont="1" applyBorder="1" applyAlignment="1">
      <alignment horizontal="right" vertical="center" shrinkToFit="1"/>
    </xf>
    <xf numFmtId="179" fontId="4" fillId="2" borderId="67" xfId="1" applyNumberFormat="1" applyFont="1" applyFill="1" applyBorder="1" applyAlignment="1">
      <alignment horizontal="right" vertical="center" shrinkToFit="1"/>
    </xf>
    <xf numFmtId="179" fontId="4" fillId="0" borderId="71" xfId="1" applyNumberFormat="1" applyFont="1" applyBorder="1" applyAlignment="1">
      <alignment horizontal="right" vertical="center" shrinkToFit="1"/>
    </xf>
    <xf numFmtId="179" fontId="4" fillId="3" borderId="74" xfId="1" applyNumberFormat="1" applyFont="1" applyFill="1" applyBorder="1" applyAlignment="1">
      <alignment horizontal="right" vertical="center" shrinkToFit="1"/>
    </xf>
    <xf numFmtId="179" fontId="4" fillId="0" borderId="80" xfId="1" applyNumberFormat="1" applyFont="1" applyBorder="1" applyAlignment="1">
      <alignment horizontal="right" vertical="center" shrinkToFit="1"/>
    </xf>
    <xf numFmtId="179" fontId="4" fillId="0" borderId="90" xfId="1" applyNumberFormat="1" applyFont="1" applyBorder="1" applyAlignment="1">
      <alignment horizontal="right" vertical="center" shrinkToFit="1"/>
    </xf>
    <xf numFmtId="179" fontId="7" fillId="0" borderId="25" xfId="1" applyNumberFormat="1" applyFont="1" applyBorder="1" applyAlignment="1">
      <alignment horizontal="right" vertical="center" shrinkToFit="1"/>
    </xf>
    <xf numFmtId="177" fontId="7" fillId="0" borderId="25" xfId="1" applyNumberFormat="1" applyFont="1" applyBorder="1" applyAlignment="1">
      <alignment horizontal="right" vertical="center" shrinkToFit="1"/>
    </xf>
    <xf numFmtId="177" fontId="7" fillId="2" borderId="31" xfId="1" applyNumberFormat="1" applyFont="1" applyFill="1" applyBorder="1" applyAlignment="1">
      <alignment horizontal="right" vertical="center" shrinkToFit="1"/>
    </xf>
    <xf numFmtId="177" fontId="7" fillId="0" borderId="38" xfId="1" applyNumberFormat="1" applyFont="1" applyBorder="1" applyAlignment="1">
      <alignment horizontal="right" vertical="center" shrinkToFit="1"/>
    </xf>
    <xf numFmtId="177" fontId="7" fillId="0" borderId="31" xfId="1" applyNumberFormat="1" applyFont="1" applyBorder="1" applyAlignment="1">
      <alignment horizontal="right" vertical="center" shrinkToFit="1"/>
    </xf>
    <xf numFmtId="177" fontId="7" fillId="0" borderId="58" xfId="1" applyNumberFormat="1" applyFont="1" applyBorder="1" applyAlignment="1">
      <alignment horizontal="right" vertical="center" shrinkToFit="1"/>
    </xf>
    <xf numFmtId="177" fontId="7" fillId="0" borderId="96" xfId="1" applyNumberFormat="1" applyFont="1" applyBorder="1" applyAlignment="1">
      <alignment horizontal="right" vertical="center" shrinkToFit="1"/>
    </xf>
    <xf numFmtId="177" fontId="7" fillId="2" borderId="67" xfId="1" applyNumberFormat="1" applyFont="1" applyFill="1" applyBorder="1" applyAlignment="1">
      <alignment horizontal="right" vertical="center" shrinkToFit="1"/>
    </xf>
    <xf numFmtId="177" fontId="7" fillId="0" borderId="71" xfId="1" applyNumberFormat="1" applyFont="1" applyBorder="1" applyAlignment="1">
      <alignment horizontal="right" vertical="center" shrinkToFit="1"/>
    </xf>
    <xf numFmtId="177" fontId="7" fillId="3" borderId="74" xfId="1" applyNumberFormat="1" applyFont="1" applyFill="1" applyBorder="1" applyAlignment="1">
      <alignment horizontal="right" vertical="center" shrinkToFit="1"/>
    </xf>
    <xf numFmtId="177" fontId="7" fillId="0" borderId="80" xfId="1" applyNumberFormat="1" applyFont="1" applyBorder="1" applyAlignment="1">
      <alignment horizontal="right" vertical="center" shrinkToFit="1"/>
    </xf>
    <xf numFmtId="177" fontId="7" fillId="0" borderId="90" xfId="1" applyNumberFormat="1" applyFont="1" applyBorder="1" applyAlignment="1">
      <alignment horizontal="right" vertical="center" shrinkToFit="1"/>
    </xf>
    <xf numFmtId="180" fontId="7" fillId="0" borderId="90" xfId="1" applyNumberFormat="1" applyFont="1" applyBorder="1" applyAlignment="1">
      <alignment horizontal="right" vertical="center" shrinkToFit="1"/>
    </xf>
    <xf numFmtId="180" fontId="7" fillId="0" borderId="38" xfId="1" applyNumberFormat="1" applyFont="1" applyBorder="1" applyAlignment="1">
      <alignment horizontal="right" vertical="center" shrinkToFit="1"/>
    </xf>
    <xf numFmtId="178" fontId="7" fillId="0" borderId="38" xfId="1" applyNumberFormat="1" applyFont="1" applyBorder="1" applyAlignment="1">
      <alignment horizontal="right" vertical="center" shrinkToFit="1"/>
    </xf>
    <xf numFmtId="178" fontId="7" fillId="0" borderId="80" xfId="1" applyNumberFormat="1" applyFont="1" applyBorder="1" applyAlignment="1">
      <alignment horizontal="right" vertical="center" shrinkToFit="1"/>
    </xf>
    <xf numFmtId="0" fontId="7" fillId="0" borderId="101" xfId="1" applyFont="1" applyBorder="1" applyAlignment="1">
      <alignment horizontal="right" vertical="center"/>
    </xf>
    <xf numFmtId="0" fontId="7" fillId="0" borderId="95" xfId="1" applyFont="1" applyBorder="1" applyAlignment="1">
      <alignment horizontal="right" vertical="center"/>
    </xf>
    <xf numFmtId="0" fontId="7" fillId="0" borderId="37" xfId="1" applyFont="1" applyBorder="1" applyAlignment="1">
      <alignment horizontal="right" vertical="center"/>
    </xf>
    <xf numFmtId="0" fontId="7" fillId="0" borderId="34" xfId="1" applyFont="1" applyBorder="1" applyAlignment="1">
      <alignment horizontal="right" vertical="center"/>
    </xf>
    <xf numFmtId="0" fontId="7" fillId="0" borderId="79" xfId="1" applyFont="1" applyBorder="1" applyAlignment="1">
      <alignment horizontal="right" vertical="center"/>
    </xf>
    <xf numFmtId="0" fontId="7" fillId="0" borderId="76" xfId="1" applyFont="1" applyBorder="1" applyAlignment="1">
      <alignment horizontal="right" vertical="center"/>
    </xf>
    <xf numFmtId="0" fontId="7" fillId="0" borderId="90" xfId="1" applyFont="1" applyBorder="1" applyAlignment="1">
      <alignment horizontal="right" vertical="center" shrinkToFit="1"/>
    </xf>
    <xf numFmtId="0" fontId="7" fillId="0" borderId="38" xfId="1" applyFont="1" applyBorder="1" applyAlignment="1">
      <alignment horizontal="right" vertical="center" shrinkToFit="1"/>
    </xf>
    <xf numFmtId="0" fontId="7" fillId="0" borderId="80" xfId="1" applyFont="1" applyBorder="1" applyAlignment="1">
      <alignment horizontal="right" vertical="center" shrinkToFit="1"/>
    </xf>
    <xf numFmtId="0" fontId="15" fillId="0" borderId="41" xfId="1" applyFont="1" applyBorder="1" applyAlignment="1">
      <alignment vertical="center" wrapText="1" shrinkToFit="1"/>
    </xf>
    <xf numFmtId="0" fontId="15" fillId="0" borderId="48" xfId="1" applyFont="1" applyBorder="1" applyAlignment="1">
      <alignment vertical="center" wrapText="1" shrinkToFit="1"/>
    </xf>
    <xf numFmtId="0" fontId="15" fillId="0" borderId="120" xfId="1" applyFont="1" applyBorder="1" applyAlignment="1">
      <alignment horizontal="center" vertical="center" shrinkToFit="1"/>
    </xf>
    <xf numFmtId="176" fontId="15" fillId="0" borderId="25" xfId="1" applyNumberFormat="1" applyFont="1" applyBorder="1" applyAlignment="1">
      <alignment horizontal="center" vertical="center" wrapText="1"/>
    </xf>
    <xf numFmtId="176" fontId="15" fillId="0" borderId="25" xfId="1" applyNumberFormat="1" applyFont="1" applyBorder="1" applyAlignment="1">
      <alignment horizontal="center" vertical="center"/>
    </xf>
    <xf numFmtId="0" fontId="11" fillId="0" borderId="84" xfId="1" applyFont="1" applyBorder="1" applyAlignment="1">
      <alignment vertical="center"/>
    </xf>
    <xf numFmtId="0" fontId="11" fillId="0" borderId="85" xfId="1" applyFont="1" applyBorder="1" applyAlignment="1">
      <alignment vertical="center"/>
    </xf>
    <xf numFmtId="0" fontId="1" fillId="0" borderId="43" xfId="1" applyBorder="1" applyAlignment="1">
      <alignment vertical="center"/>
    </xf>
    <xf numFmtId="0" fontId="1" fillId="0" borderId="48" xfId="1" applyBorder="1" applyAlignment="1">
      <alignment vertical="center"/>
    </xf>
    <xf numFmtId="0" fontId="1" fillId="0" borderId="41" xfId="1" applyBorder="1" applyAlignment="1">
      <alignment vertical="center"/>
    </xf>
    <xf numFmtId="2" fontId="11" fillId="0" borderId="8" xfId="1" applyNumberFormat="1" applyFont="1" applyBorder="1" applyAlignment="1">
      <alignment horizontal="right" vertical="center" shrinkToFit="1"/>
    </xf>
    <xf numFmtId="2" fontId="11" fillId="0" borderId="13" xfId="1" applyNumberFormat="1" applyFont="1" applyBorder="1" applyAlignment="1">
      <alignment horizontal="right" vertical="center" shrinkToFit="1"/>
    </xf>
    <xf numFmtId="0" fontId="10" fillId="0" borderId="0" xfId="1" applyFont="1"/>
    <xf numFmtId="0" fontId="9" fillId="0" borderId="0" xfId="1" applyFont="1"/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top"/>
    </xf>
    <xf numFmtId="0" fontId="10" fillId="0" borderId="0" xfId="1" applyFont="1" applyAlignment="1">
      <alignment horizontal="center" vertical="top" textRotation="255"/>
    </xf>
    <xf numFmtId="0" fontId="10" fillId="0" borderId="0" xfId="0" applyFont="1" applyAlignment="1"/>
    <xf numFmtId="0" fontId="20" fillId="0" borderId="0" xfId="0" applyFont="1" applyAlignment="1"/>
    <xf numFmtId="0" fontId="4" fillId="0" borderId="39" xfId="1" applyFont="1" applyBorder="1" applyAlignment="1">
      <alignment horizontal="left" vertical="center" wrapText="1" shrinkToFit="1"/>
    </xf>
    <xf numFmtId="0" fontId="4" fillId="0" borderId="34" xfId="1" applyFont="1" applyBorder="1" applyAlignment="1">
      <alignment horizontal="left" vertical="center" wrapText="1" shrinkToFit="1"/>
    </xf>
    <xf numFmtId="0" fontId="4" fillId="0" borderId="40" xfId="1" applyFont="1" applyBorder="1" applyAlignment="1">
      <alignment horizontal="left" vertical="center" wrapText="1" shrinkToFit="1"/>
    </xf>
    <xf numFmtId="0" fontId="19" fillId="0" borderId="34" xfId="0" applyFont="1" applyBorder="1" applyAlignment="1">
      <alignment horizontal="left" vertical="center" wrapText="1" shrinkToFit="1"/>
    </xf>
    <xf numFmtId="0" fontId="19" fillId="0" borderId="40" xfId="0" applyFont="1" applyBorder="1" applyAlignment="1">
      <alignment horizontal="left" vertical="center" wrapText="1" shrinkToFit="1"/>
    </xf>
    <xf numFmtId="0" fontId="15" fillId="0" borderId="49" xfId="1" applyFont="1" applyBorder="1" applyAlignment="1">
      <alignment horizontal="distributed" vertical="center" wrapText="1" shrinkToFit="1"/>
    </xf>
    <xf numFmtId="0" fontId="15" fillId="0" borderId="34" xfId="1" applyFont="1" applyBorder="1" applyAlignment="1">
      <alignment horizontal="distributed" vertical="center" wrapText="1" shrinkToFit="1"/>
    </xf>
    <xf numFmtId="0" fontId="15" fillId="0" borderId="35" xfId="1" applyFont="1" applyBorder="1" applyAlignment="1">
      <alignment horizontal="distributed" vertical="center" wrapText="1" shrinkToFit="1"/>
    </xf>
    <xf numFmtId="0" fontId="4" fillId="0" borderId="110" xfId="1" applyFont="1" applyBorder="1" applyAlignment="1">
      <alignment horizontal="left" vertical="center" wrapText="1" shrinkToFit="1"/>
    </xf>
    <xf numFmtId="0" fontId="4" fillId="0" borderId="37" xfId="1" applyFont="1" applyBorder="1" applyAlignment="1">
      <alignment horizontal="left" vertical="center" wrapText="1" shrinkToFit="1"/>
    </xf>
    <xf numFmtId="0" fontId="4" fillId="0" borderId="36" xfId="1" applyFont="1" applyBorder="1" applyAlignment="1">
      <alignment horizontal="left" vertical="center" wrapText="1" shrinkToFit="1"/>
    </xf>
    <xf numFmtId="0" fontId="15" fillId="0" borderId="83" xfId="1" applyFont="1" applyBorder="1" applyAlignment="1">
      <alignment horizontal="distributed" vertical="center" wrapText="1" shrinkToFit="1"/>
    </xf>
    <xf numFmtId="0" fontId="15" fillId="0" borderId="86" xfId="1" applyFont="1" applyBorder="1" applyAlignment="1">
      <alignment horizontal="distributed" vertical="center" wrapText="1" shrinkToFit="1"/>
    </xf>
    <xf numFmtId="0" fontId="15" fillId="0" borderId="33" xfId="1" applyFont="1" applyBorder="1" applyAlignment="1">
      <alignment horizontal="distributed" vertical="center" wrapText="1" shrinkToFit="1"/>
    </xf>
    <xf numFmtId="0" fontId="15" fillId="0" borderId="39" xfId="1" applyFont="1" applyBorder="1" applyAlignment="1">
      <alignment horizontal="distributed" vertical="center" wrapText="1" shrinkToFit="1"/>
    </xf>
    <xf numFmtId="0" fontId="15" fillId="0" borderId="75" xfId="1" applyFont="1" applyBorder="1" applyAlignment="1">
      <alignment horizontal="distributed" vertical="center" wrapText="1" shrinkToFit="1"/>
    </xf>
    <xf numFmtId="0" fontId="15" fillId="0" borderId="76" xfId="1" applyFont="1" applyBorder="1" applyAlignment="1">
      <alignment horizontal="distributed" vertical="center" wrapText="1" shrinkToFit="1"/>
    </xf>
    <xf numFmtId="0" fontId="15" fillId="0" borderId="77" xfId="1" applyFont="1" applyBorder="1" applyAlignment="1">
      <alignment horizontal="distributed" vertical="center" wrapText="1" shrinkToFit="1"/>
    </xf>
    <xf numFmtId="0" fontId="4" fillId="0" borderId="114" xfId="1" applyFont="1" applyBorder="1" applyAlignment="1">
      <alignment horizontal="left" vertical="center" wrapText="1" shrinkToFit="1"/>
    </xf>
    <xf numFmtId="0" fontId="4" fillId="0" borderId="79" xfId="1" applyFont="1" applyBorder="1" applyAlignment="1">
      <alignment horizontal="left" vertical="center" wrapText="1" shrinkToFit="1"/>
    </xf>
    <xf numFmtId="0" fontId="4" fillId="0" borderId="78" xfId="1" applyFont="1" applyBorder="1" applyAlignment="1">
      <alignment horizontal="left" vertical="center" wrapText="1" shrinkToFit="1"/>
    </xf>
    <xf numFmtId="0" fontId="15" fillId="0" borderId="106" xfId="1" applyFont="1" applyBorder="1" applyAlignment="1">
      <alignment horizontal="distributed" vertical="center" wrapText="1" shrinkToFit="1"/>
    </xf>
    <xf numFmtId="0" fontId="15" fillId="0" borderId="118" xfId="1" applyFont="1" applyBorder="1" applyAlignment="1">
      <alignment horizontal="distributed" vertical="center" wrapText="1" shrinkToFit="1"/>
    </xf>
    <xf numFmtId="0" fontId="15" fillId="0" borderId="55" xfId="1" applyFont="1" applyBorder="1" applyAlignment="1">
      <alignment horizontal="distributed" vertical="center" wrapText="1" shrinkToFit="1"/>
    </xf>
    <xf numFmtId="0" fontId="15" fillId="0" borderId="50" xfId="1" applyFont="1" applyBorder="1" applyAlignment="1">
      <alignment horizontal="distributed" vertical="center" wrapText="1" shrinkToFit="1"/>
    </xf>
    <xf numFmtId="0" fontId="4" fillId="0" borderId="109" xfId="1" applyFont="1" applyBorder="1" applyAlignment="1">
      <alignment horizontal="left" vertical="center" wrapText="1" shrinkToFit="1"/>
    </xf>
    <xf numFmtId="0" fontId="4" fillId="0" borderId="101" xfId="1" applyFont="1" applyBorder="1" applyAlignment="1">
      <alignment horizontal="left" vertical="center" wrapText="1" shrinkToFit="1"/>
    </xf>
    <xf numFmtId="0" fontId="4" fillId="0" borderId="100" xfId="1" applyFont="1" applyBorder="1" applyAlignment="1">
      <alignment horizontal="left" vertical="center" wrapText="1" shrinkToFit="1"/>
    </xf>
    <xf numFmtId="0" fontId="15" fillId="0" borderId="88" xfId="1" applyFont="1" applyBorder="1" applyAlignment="1">
      <alignment horizontal="center" vertical="center" textRotation="255" wrapText="1" shrinkToFit="1"/>
    </xf>
    <xf numFmtId="0" fontId="15" fillId="0" borderId="84" xfId="1" applyFont="1" applyBorder="1" applyAlignment="1">
      <alignment horizontal="center" vertical="center" textRotation="255" wrapText="1" shrinkToFit="1"/>
    </xf>
    <xf numFmtId="0" fontId="15" fillId="0" borderId="119" xfId="1" applyFont="1" applyBorder="1" applyAlignment="1">
      <alignment horizontal="center" vertical="center" textRotation="255" wrapText="1" shrinkToFit="1"/>
    </xf>
    <xf numFmtId="0" fontId="17" fillId="0" borderId="89" xfId="1" applyFont="1" applyBorder="1" applyAlignment="1">
      <alignment horizontal="center" vertical="center" textRotation="255"/>
    </xf>
    <xf numFmtId="0" fontId="17" fillId="0" borderId="81" xfId="1" applyFont="1" applyBorder="1" applyAlignment="1">
      <alignment horizontal="center" vertical="center" textRotation="255"/>
    </xf>
    <xf numFmtId="0" fontId="17" fillId="0" borderId="91" xfId="1" applyFont="1" applyBorder="1" applyAlignment="1">
      <alignment horizontal="center" vertical="center" textRotation="255"/>
    </xf>
    <xf numFmtId="0" fontId="15" fillId="0" borderId="107" xfId="1" applyFont="1" applyBorder="1" applyAlignment="1">
      <alignment horizontal="distributed" vertical="center" wrapText="1" shrinkToFit="1"/>
    </xf>
    <xf numFmtId="0" fontId="15" fillId="0" borderId="95" xfId="1" applyFont="1" applyBorder="1" applyAlignment="1">
      <alignment horizontal="distributed" vertical="center" wrapText="1" shrinkToFit="1"/>
    </xf>
    <xf numFmtId="0" fontId="15" fillId="0" borderId="108" xfId="1" applyFont="1" applyBorder="1" applyAlignment="1">
      <alignment horizontal="distributed" vertical="center" wrapText="1" shrinkToFit="1"/>
    </xf>
    <xf numFmtId="0" fontId="17" fillId="0" borderId="116" xfId="1" applyFont="1" applyBorder="1" applyAlignment="1">
      <alignment horizontal="distributed" vertical="center" wrapText="1" shrinkToFit="1"/>
    </xf>
    <xf numFmtId="0" fontId="17" fillId="0" borderId="76" xfId="1" applyFont="1" applyBorder="1" applyAlignment="1">
      <alignment horizontal="distributed" vertical="center" shrinkToFit="1"/>
    </xf>
    <xf numFmtId="0" fontId="17" fillId="0" borderId="77" xfId="1" applyFont="1" applyBorder="1" applyAlignment="1">
      <alignment horizontal="distributed" vertical="center" shrinkToFit="1"/>
    </xf>
    <xf numFmtId="0" fontId="17" fillId="0" borderId="83" xfId="1" applyFont="1" applyBorder="1" applyAlignment="1">
      <alignment horizontal="distributed" vertical="center" wrapText="1" shrinkToFit="1"/>
    </xf>
    <xf numFmtId="0" fontId="17" fillId="0" borderId="34" xfId="1" applyFont="1" applyBorder="1" applyAlignment="1">
      <alignment horizontal="distributed" vertical="center" shrinkToFit="1"/>
    </xf>
    <xf numFmtId="0" fontId="17" fillId="0" borderId="35" xfId="1" applyFont="1" applyBorder="1" applyAlignment="1">
      <alignment horizontal="distributed" vertical="center" shrinkToFit="1"/>
    </xf>
    <xf numFmtId="0" fontId="17" fillId="0" borderId="34" xfId="1" applyFont="1" applyBorder="1" applyAlignment="1">
      <alignment horizontal="distributed" vertical="center" wrapText="1" shrinkToFit="1"/>
    </xf>
    <xf numFmtId="0" fontId="17" fillId="0" borderId="35" xfId="1" applyFont="1" applyBorder="1" applyAlignment="1">
      <alignment horizontal="distributed" vertical="center" wrapText="1" shrinkToFit="1"/>
    </xf>
    <xf numFmtId="0" fontId="15" fillId="0" borderId="116" xfId="1" applyFont="1" applyBorder="1" applyAlignment="1">
      <alignment horizontal="distributed" vertical="center" wrapText="1" shrinkToFit="1"/>
    </xf>
    <xf numFmtId="0" fontId="15" fillId="0" borderId="76" xfId="1" applyFont="1" applyBorder="1" applyAlignment="1">
      <alignment horizontal="distributed" vertical="center" shrinkToFit="1"/>
    </xf>
    <xf numFmtId="0" fontId="15" fillId="0" borderId="77" xfId="1" applyFont="1" applyBorder="1" applyAlignment="1">
      <alignment horizontal="distributed" vertical="center" shrinkToFit="1"/>
    </xf>
    <xf numFmtId="0" fontId="4" fillId="0" borderId="75" xfId="1" applyFont="1" applyBorder="1" applyAlignment="1">
      <alignment horizontal="left" vertical="center" wrapText="1" shrinkToFit="1"/>
    </xf>
    <xf numFmtId="0" fontId="4" fillId="0" borderId="76" xfId="1" applyFont="1" applyBorder="1" applyAlignment="1">
      <alignment horizontal="left" vertical="center" wrapText="1" shrinkToFit="1"/>
    </xf>
    <xf numFmtId="0" fontId="4" fillId="0" borderId="117" xfId="1" applyFont="1" applyBorder="1" applyAlignment="1">
      <alignment horizontal="left" vertical="center" wrapText="1" shrinkToFit="1"/>
    </xf>
    <xf numFmtId="0" fontId="11" fillId="0" borderId="49" xfId="1" applyFont="1" applyBorder="1" applyAlignment="1">
      <alignment horizontal="distributed" vertical="center" shrinkToFit="1"/>
    </xf>
    <xf numFmtId="0" fontId="11" fillId="0" borderId="34" xfId="1" applyFont="1" applyBorder="1" applyAlignment="1">
      <alignment horizontal="distributed" vertical="center" shrinkToFit="1"/>
    </xf>
    <xf numFmtId="0" fontId="11" fillId="0" borderId="35" xfId="1" applyFont="1" applyBorder="1" applyAlignment="1">
      <alignment horizontal="distributed" vertical="center" shrinkToFit="1"/>
    </xf>
    <xf numFmtId="0" fontId="11" fillId="0" borderId="83" xfId="1" applyFont="1" applyBorder="1" applyAlignment="1">
      <alignment horizontal="distributed" vertical="center"/>
    </xf>
    <xf numFmtId="0" fontId="11" fillId="0" borderId="34" xfId="1" applyFont="1" applyBorder="1" applyAlignment="1">
      <alignment horizontal="distributed" vertical="center"/>
    </xf>
    <xf numFmtId="0" fontId="11" fillId="0" borderId="35" xfId="1" applyFont="1" applyBorder="1" applyAlignment="1">
      <alignment horizontal="distributed" vertical="center"/>
    </xf>
    <xf numFmtId="0" fontId="11" fillId="0" borderId="76" xfId="1" applyFont="1" applyBorder="1" applyAlignment="1">
      <alignment horizontal="distributed" vertical="center"/>
    </xf>
    <xf numFmtId="0" fontId="11" fillId="0" borderId="77" xfId="1" applyFont="1" applyBorder="1" applyAlignment="1">
      <alignment horizontal="distributed" vertical="center"/>
    </xf>
    <xf numFmtId="0" fontId="17" fillId="0" borderId="107" xfId="1" applyFont="1" applyBorder="1" applyAlignment="1">
      <alignment horizontal="distributed" vertical="center" wrapText="1" shrinkToFit="1"/>
    </xf>
    <xf numFmtId="0" fontId="17" fillId="0" borderId="95" xfId="1" applyFont="1" applyBorder="1" applyAlignment="1">
      <alignment horizontal="distributed" vertical="center" shrinkToFit="1"/>
    </xf>
    <xf numFmtId="0" fontId="17" fillId="0" borderId="108" xfId="1" applyFont="1" applyBorder="1" applyAlignment="1">
      <alignment horizontal="distributed" vertical="center" shrinkToFit="1"/>
    </xf>
    <xf numFmtId="0" fontId="15" fillId="0" borderId="34" xfId="1" applyFont="1" applyBorder="1" applyAlignment="1">
      <alignment horizontal="distributed" vertical="center" shrinkToFit="1"/>
    </xf>
    <xf numFmtId="0" fontId="15" fillId="0" borderId="35" xfId="1" applyFont="1" applyBorder="1" applyAlignment="1">
      <alignment horizontal="distributed" vertical="center" shrinkToFit="1"/>
    </xf>
    <xf numFmtId="0" fontId="11" fillId="0" borderId="81" xfId="1" applyFont="1" applyBorder="1" applyAlignment="1">
      <alignment horizontal="center" vertical="center" textRotation="255"/>
    </xf>
    <xf numFmtId="0" fontId="11" fillId="0" borderId="91" xfId="1" applyFont="1" applyBorder="1" applyAlignment="1">
      <alignment horizontal="center" vertical="center" textRotation="255"/>
    </xf>
    <xf numFmtId="0" fontId="11" fillId="0" borderId="42" xfId="1" applyFont="1" applyBorder="1" applyAlignment="1">
      <alignment horizontal="distributed" vertical="center"/>
    </xf>
    <xf numFmtId="0" fontId="16" fillId="0" borderId="86" xfId="1" applyFont="1" applyBorder="1" applyAlignment="1">
      <alignment horizontal="center" vertical="distributed" textRotation="255" wrapText="1"/>
    </xf>
    <xf numFmtId="0" fontId="16" fillId="0" borderId="103" xfId="1" applyFont="1" applyBorder="1" applyAlignment="1">
      <alignment horizontal="center" vertical="distributed" textRotation="255" wrapText="1"/>
    </xf>
    <xf numFmtId="0" fontId="16" fillId="0" borderId="104" xfId="1" applyFont="1" applyBorder="1" applyAlignment="1">
      <alignment horizontal="center" vertical="distributed" textRotation="255" wrapText="1"/>
    </xf>
    <xf numFmtId="0" fontId="16" fillId="0" borderId="105" xfId="1" applyFont="1" applyBorder="1" applyAlignment="1">
      <alignment horizontal="center" vertical="distributed" textRotation="255" wrapText="1"/>
    </xf>
    <xf numFmtId="0" fontId="10" fillId="0" borderId="49" xfId="1" applyFont="1" applyBorder="1" applyAlignment="1">
      <alignment horizontal="distributed" vertical="center"/>
    </xf>
    <xf numFmtId="0" fontId="10" fillId="0" borderId="35" xfId="1" applyFont="1" applyBorder="1" applyAlignment="1">
      <alignment horizontal="distributed" vertical="center"/>
    </xf>
    <xf numFmtId="0" fontId="4" fillId="0" borderId="110" xfId="1" applyFont="1" applyBorder="1" applyAlignment="1">
      <alignment horizontal="left" vertical="center" wrapText="1"/>
    </xf>
    <xf numFmtId="0" fontId="4" fillId="0" borderId="37" xfId="1" applyFont="1" applyBorder="1" applyAlignment="1">
      <alignment horizontal="left" vertical="center" wrapText="1"/>
    </xf>
    <xf numFmtId="0" fontId="4" fillId="0" borderId="36" xfId="1" applyFont="1" applyBorder="1" applyAlignment="1">
      <alignment horizontal="left" vertical="center" wrapText="1"/>
    </xf>
    <xf numFmtId="0" fontId="15" fillId="0" borderId="106" xfId="1" applyFont="1" applyBorder="1" applyAlignment="1">
      <alignment horizontal="distributed" vertical="center" wrapText="1"/>
    </xf>
    <xf numFmtId="0" fontId="15" fillId="0" borderId="77" xfId="1" applyFont="1" applyBorder="1" applyAlignment="1">
      <alignment horizontal="distributed" vertical="center" wrapText="1"/>
    </xf>
    <xf numFmtId="0" fontId="4" fillId="0" borderId="114" xfId="1" quotePrefix="1" applyFont="1" applyBorder="1" applyAlignment="1">
      <alignment horizontal="left" vertical="center" wrapText="1"/>
    </xf>
    <xf numFmtId="0" fontId="4" fillId="0" borderId="79" xfId="1" quotePrefix="1" applyFont="1" applyBorder="1" applyAlignment="1">
      <alignment horizontal="left" vertical="center" wrapText="1"/>
    </xf>
    <xf numFmtId="0" fontId="4" fillId="0" borderId="78" xfId="1" quotePrefix="1" applyFont="1" applyBorder="1" applyAlignment="1">
      <alignment horizontal="left" vertical="center" wrapText="1"/>
    </xf>
    <xf numFmtId="0" fontId="11" fillId="0" borderId="0" xfId="1" applyFont="1" applyAlignment="1">
      <alignment horizontal="distributed" vertical="center"/>
    </xf>
    <xf numFmtId="0" fontId="11" fillId="0" borderId="55" xfId="1" applyFont="1" applyBorder="1" applyAlignment="1">
      <alignment horizontal="distributed" vertical="center"/>
    </xf>
    <xf numFmtId="0" fontId="11" fillId="0" borderId="50" xfId="1" applyFont="1" applyBorder="1" applyAlignment="1">
      <alignment horizontal="distributed" vertical="center"/>
    </xf>
    <xf numFmtId="0" fontId="4" fillId="0" borderId="115" xfId="1" applyFont="1" applyBorder="1" applyAlignment="1">
      <alignment horizontal="left" vertical="center" wrapText="1" shrinkToFit="1"/>
    </xf>
    <xf numFmtId="0" fontId="4" fillId="0" borderId="54" xfId="1" applyFont="1" applyBorder="1" applyAlignment="1">
      <alignment horizontal="left" vertical="center" wrapText="1" shrinkToFit="1"/>
    </xf>
    <xf numFmtId="0" fontId="4" fillId="0" borderId="57" xfId="1" applyFont="1" applyBorder="1" applyAlignment="1">
      <alignment horizontal="left" vertical="center" wrapText="1" shrinkToFit="1"/>
    </xf>
    <xf numFmtId="0" fontId="4" fillId="0" borderId="110" xfId="1" quotePrefix="1" applyFont="1" applyBorder="1" applyAlignment="1">
      <alignment horizontal="left" vertical="center" wrapText="1"/>
    </xf>
    <xf numFmtId="0" fontId="4" fillId="0" borderId="37" xfId="1" quotePrefix="1" applyFont="1" applyBorder="1" applyAlignment="1">
      <alignment horizontal="left" vertical="center" wrapText="1"/>
    </xf>
    <xf numFmtId="0" fontId="4" fillId="0" borderId="36" xfId="1" quotePrefix="1" applyFont="1" applyBorder="1" applyAlignment="1">
      <alignment horizontal="left" vertical="center" wrapText="1"/>
    </xf>
    <xf numFmtId="0" fontId="15" fillId="0" borderId="86" xfId="1" applyFont="1" applyBorder="1" applyAlignment="1">
      <alignment horizontal="center" vertical="center" textRotation="255" wrapText="1"/>
    </xf>
    <xf numFmtId="0" fontId="15" fillId="0" borderId="103" xfId="1" applyFont="1" applyBorder="1" applyAlignment="1">
      <alignment horizontal="center" vertical="center" textRotation="255" wrapText="1"/>
    </xf>
    <xf numFmtId="0" fontId="15" fillId="0" borderId="87" xfId="1" applyFont="1" applyBorder="1" applyAlignment="1">
      <alignment horizontal="center" vertical="center" textRotation="255" wrapText="1"/>
    </xf>
    <xf numFmtId="0" fontId="15" fillId="0" borderId="44" xfId="1" applyFont="1" applyBorder="1" applyAlignment="1">
      <alignment horizontal="center" vertical="center" textRotation="255" wrapText="1"/>
    </xf>
    <xf numFmtId="0" fontId="15" fillId="0" borderId="82" xfId="1" applyFont="1" applyBorder="1" applyAlignment="1">
      <alignment horizontal="center" vertical="center" textRotation="255" wrapText="1"/>
    </xf>
    <xf numFmtId="0" fontId="15" fillId="0" borderId="46" xfId="1" applyFont="1" applyBorder="1" applyAlignment="1">
      <alignment horizontal="center" vertical="center" textRotation="255" wrapText="1"/>
    </xf>
    <xf numFmtId="0" fontId="11" fillId="0" borderId="49" xfId="1" applyFont="1" applyBorder="1" applyAlignment="1">
      <alignment horizontal="distributed" vertical="center"/>
    </xf>
    <xf numFmtId="0" fontId="15" fillId="0" borderId="49" xfId="1" applyFont="1" applyBorder="1" applyAlignment="1">
      <alignment horizontal="distributed" vertical="center" wrapText="1"/>
    </xf>
    <xf numFmtId="0" fontId="15" fillId="0" borderId="35" xfId="1" applyFont="1" applyBorder="1" applyAlignment="1">
      <alignment horizontal="distributed" vertical="center" wrapText="1"/>
    </xf>
    <xf numFmtId="0" fontId="15" fillId="0" borderId="83" xfId="1" applyFont="1" applyBorder="1" applyAlignment="1">
      <alignment horizontal="distributed" vertical="center" wrapText="1"/>
    </xf>
    <xf numFmtId="0" fontId="15" fillId="0" borderId="34" xfId="1" applyFont="1" applyBorder="1" applyAlignment="1">
      <alignment horizontal="distributed" vertical="center" wrapText="1"/>
    </xf>
    <xf numFmtId="0" fontId="1" fillId="0" borderId="34" xfId="1" applyBorder="1" applyAlignment="1">
      <alignment horizontal="distributed" vertical="center"/>
    </xf>
    <xf numFmtId="0" fontId="1" fillId="0" borderId="35" xfId="1" applyBorder="1" applyAlignment="1">
      <alignment horizontal="distributed" vertical="center"/>
    </xf>
    <xf numFmtId="0" fontId="11" fillId="0" borderId="86" xfId="1" applyFont="1" applyBorder="1" applyAlignment="1">
      <alignment horizontal="distributed" vertical="center"/>
    </xf>
    <xf numFmtId="0" fontId="1" fillId="0" borderId="49" xfId="1" applyBorder="1" applyAlignment="1">
      <alignment horizontal="distributed" vertical="center"/>
    </xf>
    <xf numFmtId="0" fontId="1" fillId="0" borderId="33" xfId="1" applyBorder="1" applyAlignment="1">
      <alignment horizontal="distributed" vertical="center"/>
    </xf>
    <xf numFmtId="0" fontId="11" fillId="0" borderId="47" xfId="1" applyFont="1" applyBorder="1" applyAlignment="1">
      <alignment horizontal="distributed" vertical="center"/>
    </xf>
    <xf numFmtId="0" fontId="15" fillId="0" borderId="86" xfId="1" applyFont="1" applyBorder="1" applyAlignment="1">
      <alignment horizontal="distributed" vertical="center" wrapText="1"/>
    </xf>
    <xf numFmtId="0" fontId="15" fillId="0" borderId="42" xfId="1" applyFont="1" applyBorder="1" applyAlignment="1">
      <alignment horizontal="distributed" vertical="center" wrapText="1"/>
    </xf>
    <xf numFmtId="0" fontId="15" fillId="0" borderId="47" xfId="1" applyFont="1" applyBorder="1" applyAlignment="1">
      <alignment horizontal="distributed" vertical="center" wrapText="1"/>
    </xf>
    <xf numFmtId="0" fontId="1" fillId="0" borderId="42" xfId="1" applyBorder="1" applyAlignment="1">
      <alignment horizontal="distributed" vertical="center"/>
    </xf>
    <xf numFmtId="0" fontId="1" fillId="0" borderId="47" xfId="1" applyBorder="1" applyAlignment="1">
      <alignment horizontal="distributed" vertical="center"/>
    </xf>
    <xf numFmtId="0" fontId="15" fillId="0" borderId="102" xfId="1" applyFont="1" applyBorder="1" applyAlignment="1">
      <alignment horizontal="center" vertical="center" textRotation="255"/>
    </xf>
    <xf numFmtId="0" fontId="11" fillId="0" borderId="121" xfId="1" applyFont="1" applyBorder="1" applyAlignment="1">
      <alignment horizontal="distributed" vertical="center"/>
    </xf>
    <xf numFmtId="0" fontId="11" fillId="0" borderId="52" xfId="1" applyFont="1" applyBorder="1" applyAlignment="1">
      <alignment horizontal="distributed" vertical="center"/>
    </xf>
    <xf numFmtId="0" fontId="15" fillId="0" borderId="121" xfId="1" applyFont="1" applyBorder="1" applyAlignment="1">
      <alignment horizontal="distributed" vertical="center" wrapText="1"/>
    </xf>
    <xf numFmtId="0" fontId="15" fillId="0" borderId="52" xfId="1" applyFont="1" applyBorder="1" applyAlignment="1">
      <alignment horizontal="distributed" vertical="center" wrapText="1"/>
    </xf>
    <xf numFmtId="0" fontId="10" fillId="0" borderId="49" xfId="1" applyFont="1" applyBorder="1" applyAlignment="1">
      <alignment horizontal="distributed" vertical="center" wrapText="1"/>
    </xf>
    <xf numFmtId="0" fontId="10" fillId="0" borderId="34" xfId="1" applyFont="1" applyBorder="1" applyAlignment="1">
      <alignment horizontal="distributed" vertical="center" wrapText="1"/>
    </xf>
    <xf numFmtId="0" fontId="10" fillId="0" borderId="35" xfId="1" applyFont="1" applyBorder="1" applyAlignment="1">
      <alignment horizontal="distributed" vertical="center" wrapText="1"/>
    </xf>
    <xf numFmtId="0" fontId="4" fillId="0" borderId="39" xfId="1" applyFont="1" applyBorder="1" applyAlignment="1">
      <alignment horizontal="left" vertical="center" wrapText="1"/>
    </xf>
    <xf numFmtId="0" fontId="19" fillId="0" borderId="34" xfId="0" applyFont="1" applyBorder="1" applyAlignment="1">
      <alignment horizontal="left" vertical="center" wrapText="1"/>
    </xf>
    <xf numFmtId="0" fontId="19" fillId="0" borderId="40" xfId="0" applyFont="1" applyBorder="1" applyAlignment="1">
      <alignment horizontal="left" vertical="center" wrapText="1"/>
    </xf>
    <xf numFmtId="0" fontId="4" fillId="0" borderId="34" xfId="1" applyFont="1" applyBorder="1" applyAlignment="1">
      <alignment horizontal="left" vertical="center" wrapText="1"/>
    </xf>
    <xf numFmtId="0" fontId="4" fillId="0" borderId="40" xfId="1" applyFont="1" applyBorder="1" applyAlignment="1">
      <alignment horizontal="left" vertical="center" wrapText="1"/>
    </xf>
    <xf numFmtId="0" fontId="15" fillId="0" borderId="88" xfId="1" applyFont="1" applyBorder="1" applyAlignment="1">
      <alignment horizontal="center" vertical="center" textRotation="255"/>
    </xf>
    <xf numFmtId="0" fontId="15" fillId="0" borderId="84" xfId="1" applyFont="1" applyBorder="1" applyAlignment="1">
      <alignment horizontal="center" vertical="center" textRotation="255"/>
    </xf>
    <xf numFmtId="0" fontId="15" fillId="0" borderId="85" xfId="1" applyFont="1" applyBorder="1" applyAlignment="1">
      <alignment horizontal="center" vertical="center" textRotation="255"/>
    </xf>
    <xf numFmtId="0" fontId="15" fillId="0" borderId="49" xfId="1" applyFont="1" applyBorder="1" applyAlignment="1">
      <alignment horizontal="distributed" vertical="center"/>
    </xf>
    <xf numFmtId="0" fontId="15" fillId="0" borderId="34" xfId="1" applyFont="1" applyBorder="1" applyAlignment="1">
      <alignment horizontal="distributed" vertical="center"/>
    </xf>
    <xf numFmtId="0" fontId="15" fillId="0" borderId="35" xfId="1" applyFont="1" applyBorder="1" applyAlignment="1">
      <alignment horizontal="distributed" vertical="center"/>
    </xf>
    <xf numFmtId="179" fontId="15" fillId="0" borderId="49" xfId="1" applyNumberFormat="1" applyFont="1" applyBorder="1" applyAlignment="1">
      <alignment horizontal="distributed" vertical="center" wrapText="1" shrinkToFit="1"/>
    </xf>
    <xf numFmtId="179" fontId="15" fillId="0" borderId="34" xfId="1" applyNumberFormat="1" applyFont="1" applyBorder="1" applyAlignment="1">
      <alignment horizontal="distributed" vertical="center" wrapText="1" shrinkToFit="1"/>
    </xf>
    <xf numFmtId="179" fontId="15" fillId="0" borderId="35" xfId="1" applyNumberFormat="1" applyFont="1" applyBorder="1" applyAlignment="1">
      <alignment horizontal="distributed" vertical="center" wrapText="1" shrinkToFit="1"/>
    </xf>
    <xf numFmtId="0" fontId="11" fillId="0" borderId="89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distributed" vertical="center" shrinkToFit="1"/>
    </xf>
    <xf numFmtId="0" fontId="11" fillId="0" borderId="27" xfId="1" applyFont="1" applyBorder="1" applyAlignment="1">
      <alignment horizontal="distributed" vertical="center" shrinkToFit="1"/>
    </xf>
    <xf numFmtId="0" fontId="11" fillId="0" borderId="28" xfId="1" applyFont="1" applyBorder="1" applyAlignment="1">
      <alignment horizontal="distributed" vertical="center" shrinkToFit="1"/>
    </xf>
    <xf numFmtId="0" fontId="11" fillId="0" borderId="39" xfId="1" applyFont="1" applyBorder="1" applyAlignment="1">
      <alignment horizontal="distributed" vertical="center"/>
    </xf>
    <xf numFmtId="0" fontId="11" fillId="0" borderId="75" xfId="1" applyFont="1" applyBorder="1" applyAlignment="1">
      <alignment horizontal="distributed" vertical="center"/>
    </xf>
    <xf numFmtId="0" fontId="11" fillId="0" borderId="99" xfId="1" applyFont="1" applyBorder="1" applyAlignment="1">
      <alignment horizontal="distributed" vertical="center"/>
    </xf>
    <xf numFmtId="0" fontId="11" fillId="0" borderId="32" xfId="1" applyFont="1" applyBorder="1" applyAlignment="1">
      <alignment horizontal="distributed" vertical="center"/>
    </xf>
    <xf numFmtId="0" fontId="11" fillId="0" borderId="68" xfId="1" applyFont="1" applyBorder="1" applyAlignment="1">
      <alignment horizontal="distributed" vertical="center"/>
    </xf>
    <xf numFmtId="0" fontId="11" fillId="0" borderId="61" xfId="1" applyFont="1" applyBorder="1" applyAlignment="1">
      <alignment horizontal="distributed" vertical="center"/>
    </xf>
    <xf numFmtId="0" fontId="11" fillId="0" borderId="69" xfId="1" applyFont="1" applyBorder="1" applyAlignment="1">
      <alignment horizontal="distributed" vertical="center"/>
    </xf>
    <xf numFmtId="0" fontId="4" fillId="0" borderId="111" xfId="1" applyFont="1" applyBorder="1" applyAlignment="1">
      <alignment horizontal="left" vertical="center" wrapText="1" shrinkToFit="1"/>
    </xf>
    <xf numFmtId="0" fontId="4" fillId="0" borderId="112" xfId="1" applyFont="1" applyBorder="1" applyAlignment="1">
      <alignment horizontal="left" vertical="center" wrapText="1" shrinkToFit="1"/>
    </xf>
    <xf numFmtId="0" fontId="4" fillId="0" borderId="70" xfId="1" applyFont="1" applyBorder="1" applyAlignment="1">
      <alignment horizontal="left" vertical="center" wrapText="1" shrinkToFit="1"/>
    </xf>
    <xf numFmtId="0" fontId="11" fillId="3" borderId="72" xfId="1" applyFont="1" applyFill="1" applyBorder="1" applyAlignment="1">
      <alignment horizontal="distributed" vertical="center"/>
    </xf>
    <xf numFmtId="0" fontId="11" fillId="3" borderId="73" xfId="1" applyFont="1" applyFill="1" applyBorder="1" applyAlignment="1">
      <alignment horizontal="distributed" vertical="center"/>
    </xf>
    <xf numFmtId="0" fontId="11" fillId="3" borderId="14" xfId="1" applyFont="1" applyFill="1" applyBorder="1" applyAlignment="1">
      <alignment horizontal="distributed" vertical="center"/>
    </xf>
    <xf numFmtId="0" fontId="4" fillId="0" borderId="10" xfId="1" applyFont="1" applyBorder="1" applyAlignment="1">
      <alignment horizontal="left" vertical="center" wrapText="1" shrinkToFit="1"/>
    </xf>
    <xf numFmtId="0" fontId="4" fillId="0" borderId="11" xfId="1" applyFont="1" applyBorder="1" applyAlignment="1">
      <alignment horizontal="left" vertical="center" wrapText="1" shrinkToFit="1"/>
    </xf>
    <xf numFmtId="0" fontId="4" fillId="0" borderId="12" xfId="1" applyFont="1" applyBorder="1" applyAlignment="1">
      <alignment horizontal="left" vertical="center" wrapText="1" shrinkToFit="1"/>
    </xf>
    <xf numFmtId="0" fontId="11" fillId="0" borderId="33" xfId="1" applyFont="1" applyBorder="1" applyAlignment="1">
      <alignment horizontal="distributed" vertical="center"/>
    </xf>
    <xf numFmtId="0" fontId="11" fillId="0" borderId="33" xfId="1" applyFont="1" applyBorder="1" applyAlignment="1">
      <alignment horizontal="distributed" vertical="center" wrapText="1"/>
    </xf>
    <xf numFmtId="0" fontId="11" fillId="0" borderId="34" xfId="1" applyFont="1" applyBorder="1" applyAlignment="1">
      <alignment horizontal="distributed" vertical="center" wrapText="1"/>
    </xf>
    <xf numFmtId="0" fontId="11" fillId="0" borderId="35" xfId="1" applyFont="1" applyBorder="1" applyAlignment="1">
      <alignment horizontal="distributed" vertical="center" wrapText="1"/>
    </xf>
    <xf numFmtId="0" fontId="14" fillId="0" borderId="68" xfId="1" applyFont="1" applyBorder="1" applyAlignment="1">
      <alignment horizontal="distributed" vertical="center" wrapText="1" shrinkToFit="1"/>
    </xf>
    <xf numFmtId="0" fontId="14" fillId="0" borderId="61" xfId="1" applyFont="1" applyBorder="1" applyAlignment="1">
      <alignment horizontal="distributed" vertical="center" shrinkToFit="1"/>
    </xf>
    <xf numFmtId="0" fontId="14" fillId="0" borderId="69" xfId="1" applyFont="1" applyBorder="1" applyAlignment="1">
      <alignment horizontal="distributed" vertical="center" shrinkToFit="1"/>
    </xf>
    <xf numFmtId="0" fontId="11" fillId="2" borderId="62" xfId="1" applyFont="1" applyFill="1" applyBorder="1" applyAlignment="1">
      <alignment horizontal="distributed" vertical="center"/>
    </xf>
    <xf numFmtId="0" fontId="11" fillId="2" borderId="63" xfId="1" applyFont="1" applyFill="1" applyBorder="1" applyAlignment="1">
      <alignment horizontal="distributed" vertical="center"/>
    </xf>
    <xf numFmtId="0" fontId="11" fillId="2" borderId="64" xfId="1" applyFont="1" applyFill="1" applyBorder="1" applyAlignment="1">
      <alignment horizontal="distributed" vertical="center"/>
    </xf>
    <xf numFmtId="0" fontId="4" fillId="0" borderId="113" xfId="1" applyFont="1" applyBorder="1" applyAlignment="1">
      <alignment horizontal="left" vertical="center" wrapText="1" shrinkToFit="1"/>
    </xf>
    <xf numFmtId="0" fontId="4" fillId="0" borderId="66" xfId="1" applyFont="1" applyBorder="1" applyAlignment="1">
      <alignment horizontal="left" vertical="center" wrapText="1" shrinkToFit="1"/>
    </xf>
    <xf numFmtId="0" fontId="4" fillId="0" borderId="65" xfId="1" applyFont="1" applyBorder="1" applyAlignment="1">
      <alignment horizontal="left" vertical="center" wrapText="1" shrinkToFit="1"/>
    </xf>
    <xf numFmtId="0" fontId="4" fillId="0" borderId="97" xfId="1" applyFont="1" applyBorder="1" applyAlignment="1">
      <alignment horizontal="left" vertical="center" wrapText="1"/>
    </xf>
    <xf numFmtId="0" fontId="4" fillId="0" borderId="61" xfId="1" applyFont="1" applyBorder="1" applyAlignment="1">
      <alignment horizontal="left" vertical="center" wrapText="1"/>
    </xf>
    <xf numFmtId="0" fontId="4" fillId="0" borderId="98" xfId="1" applyFont="1" applyBorder="1" applyAlignment="1">
      <alignment horizontal="left" vertical="center" wrapText="1"/>
    </xf>
    <xf numFmtId="0" fontId="15" fillId="0" borderId="45" xfId="1" applyFont="1" applyBorder="1" applyAlignment="1">
      <alignment horizontal="distributed" vertical="center" wrapText="1"/>
    </xf>
    <xf numFmtId="0" fontId="15" fillId="0" borderId="55" xfId="1" applyFont="1" applyBorder="1" applyAlignment="1">
      <alignment horizontal="distributed" vertical="center" wrapText="1"/>
    </xf>
    <xf numFmtId="0" fontId="15" fillId="0" borderId="50" xfId="1" applyFont="1" applyBorder="1" applyAlignment="1">
      <alignment horizontal="distributed" vertical="center" wrapText="1"/>
    </xf>
    <xf numFmtId="0" fontId="15" fillId="0" borderId="33" xfId="1" applyFont="1" applyBorder="1" applyAlignment="1">
      <alignment horizontal="distributed" vertical="center" wrapText="1"/>
    </xf>
    <xf numFmtId="0" fontId="15" fillId="0" borderId="42" xfId="1" applyFont="1" applyBorder="1" applyAlignment="1">
      <alignment horizontal="distributed" vertical="center"/>
    </xf>
    <xf numFmtId="0" fontId="15" fillId="0" borderId="47" xfId="1" applyFont="1" applyBorder="1" applyAlignment="1">
      <alignment horizontal="distributed" vertical="center"/>
    </xf>
    <xf numFmtId="0" fontId="15" fillId="0" borderId="33" xfId="1" applyFont="1" applyBorder="1" applyAlignment="1">
      <alignment horizontal="distributed" vertical="center"/>
    </xf>
    <xf numFmtId="0" fontId="11" fillId="0" borderId="33" xfId="1" applyFont="1" applyBorder="1" applyAlignment="1">
      <alignment horizontal="distributed" vertical="center" shrinkToFit="1"/>
    </xf>
    <xf numFmtId="0" fontId="11" fillId="0" borderId="42" xfId="1" applyFont="1" applyBorder="1" applyAlignment="1">
      <alignment horizontal="distributed" vertical="center" shrinkToFit="1"/>
    </xf>
    <xf numFmtId="0" fontId="11" fillId="0" borderId="47" xfId="1" applyFont="1" applyBorder="1" applyAlignment="1">
      <alignment horizontal="distributed" vertical="center" shrinkToFit="1"/>
    </xf>
    <xf numFmtId="0" fontId="11" fillId="0" borderId="49" xfId="1" applyFont="1" applyBorder="1" applyAlignment="1">
      <alignment horizontal="distributed" vertical="center" wrapText="1"/>
    </xf>
    <xf numFmtId="0" fontId="1" fillId="0" borderId="35" xfId="1" applyBorder="1" applyAlignment="1">
      <alignment horizontal="distributed" vertical="center" wrapText="1"/>
    </xf>
    <xf numFmtId="0" fontId="11" fillId="0" borderId="45" xfId="1" applyFont="1" applyBorder="1" applyAlignment="1">
      <alignment horizontal="distributed" vertical="center" wrapText="1"/>
    </xf>
    <xf numFmtId="0" fontId="1" fillId="0" borderId="50" xfId="1" applyBorder="1" applyAlignment="1">
      <alignment horizontal="distributed" vertical="center" wrapText="1"/>
    </xf>
    <xf numFmtId="0" fontId="11" fillId="0" borderId="43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5" xfId="1" applyFont="1" applyBorder="1" applyAlignment="1">
      <alignment horizontal="center" vertical="center"/>
    </xf>
    <xf numFmtId="0" fontId="11" fillId="0" borderId="46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11" xfId="1" applyFont="1" applyBorder="1" applyAlignment="1">
      <alignment horizontal="left" vertical="center" shrinkToFit="1"/>
    </xf>
    <xf numFmtId="0" fontId="11" fillId="0" borderId="13" xfId="1" applyFont="1" applyBorder="1" applyAlignment="1">
      <alignment horizontal="right" vertical="center" shrinkToFit="1"/>
    </xf>
    <xf numFmtId="0" fontId="11" fillId="0" borderId="73" xfId="1" applyFont="1" applyBorder="1" applyAlignment="1">
      <alignment horizontal="right" vertical="center" shrinkToFit="1"/>
    </xf>
    <xf numFmtId="0" fontId="11" fillId="0" borderId="14" xfId="1" applyFont="1" applyBorder="1" applyAlignment="1">
      <alignment horizontal="right" vertical="center" shrinkToFit="1"/>
    </xf>
    <xf numFmtId="0" fontId="15" fillId="0" borderId="19" xfId="1" applyFont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5" fillId="0" borderId="94" xfId="1" applyFont="1" applyBorder="1" applyAlignment="1">
      <alignment horizontal="center" vertical="center"/>
    </xf>
    <xf numFmtId="0" fontId="11" fillId="0" borderId="19" xfId="1" applyFont="1" applyBorder="1" applyAlignment="1">
      <alignment horizontal="distributed" vertical="center"/>
    </xf>
    <xf numFmtId="0" fontId="11" fillId="0" borderId="20" xfId="1" applyFont="1" applyBorder="1" applyAlignment="1">
      <alignment horizontal="distributed" vertical="center"/>
    </xf>
    <xf numFmtId="0" fontId="11" fillId="0" borderId="21" xfId="1" applyFont="1" applyBorder="1" applyAlignment="1">
      <alignment horizontal="distributed" vertical="center"/>
    </xf>
    <xf numFmtId="0" fontId="4" fillId="0" borderId="19" xfId="1" applyFont="1" applyBorder="1" applyAlignment="1">
      <alignment horizontal="left" vertical="center" wrapText="1" shrinkToFit="1"/>
    </xf>
    <xf numFmtId="0" fontId="4" fillId="0" borderId="20" xfId="1" applyFont="1" applyBorder="1" applyAlignment="1">
      <alignment horizontal="left" vertical="center" wrapText="1" shrinkToFit="1"/>
    </xf>
    <xf numFmtId="0" fontId="4" fillId="0" borderId="94" xfId="1" applyFont="1" applyBorder="1" applyAlignment="1">
      <alignment horizontal="left" vertical="center" wrapText="1" shrinkToFit="1"/>
    </xf>
    <xf numFmtId="0" fontId="11" fillId="0" borderId="1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wrapText="1"/>
    </xf>
    <xf numFmtId="0" fontId="11" fillId="0" borderId="92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left" vertical="center" shrinkToFit="1"/>
    </xf>
    <xf numFmtId="0" fontId="11" fillId="0" borderId="8" xfId="1" applyFont="1" applyBorder="1" applyAlignment="1">
      <alignment horizontal="right" vertical="center" shrinkToFit="1"/>
    </xf>
    <xf numFmtId="0" fontId="11" fillId="0" borderId="93" xfId="1" applyFont="1" applyBorder="1" applyAlignment="1">
      <alignment horizontal="right" vertical="center" shrinkToFit="1"/>
    </xf>
    <xf numFmtId="0" fontId="11" fillId="0" borderId="9" xfId="1" applyFont="1" applyBorder="1" applyAlignment="1">
      <alignment horizontal="right" vertical="center" shrinkToFit="1"/>
    </xf>
    <xf numFmtId="0" fontId="11" fillId="2" borderId="26" xfId="1" applyFont="1" applyFill="1" applyBorder="1" applyAlignment="1">
      <alignment horizontal="distributed" vertical="center"/>
    </xf>
    <xf numFmtId="0" fontId="11" fillId="2" borderId="27" xfId="1" applyFont="1" applyFill="1" applyBorder="1" applyAlignment="1">
      <alignment horizontal="distributed" vertical="center"/>
    </xf>
    <xf numFmtId="0" fontId="11" fillId="2" borderId="28" xfId="1" applyFont="1" applyFill="1" applyBorder="1" applyAlignment="1">
      <alignment horizontal="distributed" vertical="center"/>
    </xf>
  </cellXfs>
  <cellStyles count="2">
    <cellStyle name="標準" xfId="0" builtinId="0"/>
    <cellStyle name="標準 2" xfId="1" xr:uid="{304A149F-C687-4B3B-94E6-29F604B07C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D92A-3C68-427E-9808-3A3DA3B9AC27}">
  <sheetPr>
    <pageSetUpPr fitToPage="1"/>
  </sheetPr>
  <dimension ref="A1:AH413"/>
  <sheetViews>
    <sheetView showGridLines="0"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8.125" defaultRowHeight="12" x14ac:dyDescent="0.15"/>
  <cols>
    <col min="1" max="6" width="2.75" style="122" customWidth="1"/>
    <col min="7" max="7" width="16.75" style="122" customWidth="1"/>
    <col min="8" max="8" width="4.75" style="122" customWidth="1"/>
    <col min="9" max="10" width="12.75" style="122" customWidth="1"/>
    <col min="11" max="13" width="8.75" style="122" customWidth="1"/>
    <col min="14" max="17" width="16.75" style="122" customWidth="1"/>
    <col min="18" max="18" width="2.75" style="122" customWidth="1"/>
    <col min="19" max="34" width="2.75" style="175" customWidth="1"/>
    <col min="35" max="16384" width="8.125" style="176"/>
  </cols>
  <sheetData>
    <row r="1" spans="2:34" ht="30" customHeight="1" x14ac:dyDescent="0.15">
      <c r="B1" s="23"/>
      <c r="C1" s="23" t="str">
        <f>O4&amp;"年営農類型別経営統計（個人経営体）　集計結果検討表"</f>
        <v>年営農類型別経営統計（個人経営体）　集計結果検討表</v>
      </c>
      <c r="D1" s="1"/>
      <c r="E1" s="1"/>
      <c r="F1" s="1"/>
      <c r="G1" s="1"/>
      <c r="H1" s="1"/>
    </row>
    <row r="2" spans="2:34" ht="18" customHeight="1" thickBot="1" x14ac:dyDescent="0.2">
      <c r="B2" s="23"/>
      <c r="C2" s="24"/>
      <c r="D2" s="24"/>
      <c r="E2" s="24"/>
      <c r="F2" s="24"/>
      <c r="G2" s="25"/>
      <c r="H2" s="24"/>
      <c r="I2" s="24"/>
      <c r="J2" s="25"/>
      <c r="K2" s="24"/>
      <c r="L2" s="24"/>
      <c r="M2" s="24"/>
      <c r="N2" s="26"/>
      <c r="O2" s="26"/>
      <c r="P2" s="26"/>
      <c r="Q2" s="26"/>
      <c r="S2" s="27"/>
      <c r="T2" s="177"/>
    </row>
    <row r="3" spans="2:34" ht="24" customHeight="1" x14ac:dyDescent="0.15">
      <c r="B3" s="23"/>
      <c r="C3" s="386"/>
      <c r="D3" s="387"/>
      <c r="E3" s="387"/>
      <c r="F3" s="387"/>
      <c r="G3" s="29" t="s">
        <v>0</v>
      </c>
      <c r="H3" s="387" t="s">
        <v>1</v>
      </c>
      <c r="I3" s="387"/>
      <c r="J3" s="387"/>
      <c r="K3" s="388" t="s">
        <v>2</v>
      </c>
      <c r="L3" s="389"/>
      <c r="M3" s="390"/>
      <c r="N3" s="30" t="s">
        <v>3</v>
      </c>
      <c r="O3" s="28" t="s">
        <v>4</v>
      </c>
      <c r="P3" s="29" t="s">
        <v>5</v>
      </c>
      <c r="Q3" s="72" t="s">
        <v>6</v>
      </c>
      <c r="S3" s="27"/>
      <c r="T3" s="177"/>
    </row>
    <row r="4" spans="2:34" ht="24" customHeight="1" thickBot="1" x14ac:dyDescent="0.2">
      <c r="B4" s="23"/>
      <c r="C4" s="391" t="s">
        <v>7</v>
      </c>
      <c r="D4" s="392"/>
      <c r="E4" s="392"/>
      <c r="F4" s="392"/>
      <c r="G4" s="68"/>
      <c r="H4" s="393"/>
      <c r="I4" s="393"/>
      <c r="J4" s="393"/>
      <c r="K4" s="394"/>
      <c r="L4" s="395"/>
      <c r="M4" s="396"/>
      <c r="N4" s="173"/>
      <c r="O4" s="70"/>
      <c r="P4" s="69"/>
      <c r="Q4" s="75"/>
      <c r="S4" s="27"/>
      <c r="T4" s="177"/>
    </row>
    <row r="5" spans="2:34" ht="24" customHeight="1" thickBot="1" x14ac:dyDescent="0.2">
      <c r="B5" s="23"/>
      <c r="C5" s="370" t="s">
        <v>8</v>
      </c>
      <c r="D5" s="371"/>
      <c r="E5" s="371"/>
      <c r="F5" s="371"/>
      <c r="G5" s="69"/>
      <c r="H5" s="372"/>
      <c r="I5" s="372"/>
      <c r="J5" s="372"/>
      <c r="K5" s="373"/>
      <c r="L5" s="374"/>
      <c r="M5" s="375"/>
      <c r="N5" s="174"/>
      <c r="O5" s="73" t="s">
        <v>9</v>
      </c>
      <c r="P5" s="74" t="s">
        <v>10</v>
      </c>
      <c r="Q5" s="31"/>
      <c r="S5" s="27"/>
      <c r="T5" s="177"/>
    </row>
    <row r="6" spans="2:34" ht="24" customHeight="1" thickBot="1" x14ac:dyDescent="0.2">
      <c r="B6" s="23"/>
      <c r="C6" s="25"/>
      <c r="D6" s="25"/>
      <c r="E6" s="24"/>
      <c r="F6" s="24"/>
      <c r="G6" s="24"/>
      <c r="H6" s="24"/>
      <c r="I6" s="24"/>
      <c r="J6" s="24"/>
      <c r="K6" s="24"/>
      <c r="L6" s="24"/>
      <c r="M6" s="24"/>
      <c r="N6" s="32"/>
      <c r="O6" s="71"/>
      <c r="P6" s="76"/>
      <c r="Q6" s="33"/>
      <c r="S6" s="27"/>
      <c r="T6" s="177"/>
    </row>
    <row r="7" spans="2:34" ht="18" customHeight="1" thickBot="1" x14ac:dyDescent="0.2">
      <c r="C7" s="34"/>
      <c r="D7" s="35"/>
      <c r="E7" s="35"/>
      <c r="F7" s="35"/>
      <c r="G7" s="35"/>
      <c r="H7" s="35"/>
      <c r="Q7" s="123"/>
      <c r="S7" s="27" t="s">
        <v>11</v>
      </c>
      <c r="T7" s="177"/>
    </row>
    <row r="8" spans="2:34" ht="31.9" customHeight="1" thickBot="1" x14ac:dyDescent="0.2">
      <c r="B8" s="36"/>
      <c r="C8" s="376" t="s">
        <v>12</v>
      </c>
      <c r="D8" s="377"/>
      <c r="E8" s="377"/>
      <c r="F8" s="377"/>
      <c r="G8" s="378"/>
      <c r="H8" s="38" t="s">
        <v>13</v>
      </c>
      <c r="I8" s="165" t="str">
        <f>O4-1&amp;"年"</f>
        <v>-1年</v>
      </c>
      <c r="J8" s="165" t="str">
        <f>O4&amp;"年"</f>
        <v>年</v>
      </c>
      <c r="K8" s="166" t="s">
        <v>14</v>
      </c>
      <c r="L8" s="166" t="s">
        <v>146</v>
      </c>
      <c r="M8" s="167" t="s">
        <v>15</v>
      </c>
      <c r="N8" s="376" t="s">
        <v>16</v>
      </c>
      <c r="O8" s="377"/>
      <c r="P8" s="377"/>
      <c r="Q8" s="379"/>
      <c r="R8" s="7"/>
      <c r="S8" s="178">
        <v>0</v>
      </c>
      <c r="T8" s="178">
        <v>1</v>
      </c>
      <c r="U8" s="178">
        <v>2</v>
      </c>
      <c r="V8" s="178">
        <v>3</v>
      </c>
      <c r="W8" s="178">
        <v>4</v>
      </c>
      <c r="X8" s="178">
        <v>5</v>
      </c>
      <c r="Y8" s="178">
        <v>6</v>
      </c>
      <c r="Z8" s="178">
        <v>7</v>
      </c>
      <c r="AA8" s="178">
        <v>8</v>
      </c>
      <c r="AB8" s="178">
        <v>9</v>
      </c>
      <c r="AC8" s="178">
        <v>10</v>
      </c>
      <c r="AD8" s="178">
        <v>11</v>
      </c>
      <c r="AE8" s="178">
        <v>12</v>
      </c>
      <c r="AF8" s="178">
        <v>13</v>
      </c>
      <c r="AG8" s="178">
        <v>14</v>
      </c>
      <c r="AH8" s="179" t="s">
        <v>147</v>
      </c>
    </row>
    <row r="9" spans="2:34" ht="23.25" customHeight="1" thickBot="1" x14ac:dyDescent="0.2">
      <c r="B9" s="37"/>
      <c r="C9" s="380" t="s">
        <v>17</v>
      </c>
      <c r="D9" s="381"/>
      <c r="E9" s="381"/>
      <c r="F9" s="381"/>
      <c r="G9" s="382"/>
      <c r="H9" s="38" t="s">
        <v>18</v>
      </c>
      <c r="I9" s="2"/>
      <c r="J9" s="3"/>
      <c r="K9" s="138"/>
      <c r="L9" s="139">
        <f>IFERROR(J9-I9,"-")</f>
        <v>0</v>
      </c>
      <c r="M9" s="127"/>
      <c r="N9" s="383"/>
      <c r="O9" s="384"/>
      <c r="P9" s="384"/>
      <c r="Q9" s="385"/>
      <c r="R9" s="7"/>
      <c r="S9" s="180">
        <v>1</v>
      </c>
      <c r="T9" s="180">
        <v>1</v>
      </c>
      <c r="U9" s="180">
        <v>1</v>
      </c>
      <c r="V9" s="180">
        <v>1</v>
      </c>
      <c r="W9" s="180">
        <v>1</v>
      </c>
      <c r="X9" s="180">
        <v>1</v>
      </c>
      <c r="Y9" s="180">
        <v>1</v>
      </c>
      <c r="Z9" s="180">
        <v>1</v>
      </c>
      <c r="AA9" s="180">
        <v>1</v>
      </c>
      <c r="AB9" s="180">
        <v>1</v>
      </c>
      <c r="AC9" s="180">
        <v>1</v>
      </c>
      <c r="AD9" s="180">
        <v>1</v>
      </c>
      <c r="AE9" s="180">
        <v>1</v>
      </c>
      <c r="AF9" s="180">
        <v>1</v>
      </c>
      <c r="AG9" s="180"/>
      <c r="AH9" s="180">
        <v>1</v>
      </c>
    </row>
    <row r="10" spans="2:34" ht="23.25" customHeight="1" x14ac:dyDescent="0.15">
      <c r="B10" s="39"/>
      <c r="C10" s="397" t="s">
        <v>19</v>
      </c>
      <c r="D10" s="398"/>
      <c r="E10" s="398"/>
      <c r="F10" s="398"/>
      <c r="G10" s="399"/>
      <c r="H10" s="40" t="s">
        <v>20</v>
      </c>
      <c r="I10" s="4"/>
      <c r="J10" s="5"/>
      <c r="K10" s="6" t="str">
        <f t="shared" ref="K10:K91" si="0">IFERROR(J10/I10*100-100,"-")</f>
        <v>-</v>
      </c>
      <c r="L10" s="140">
        <f t="shared" ref="L10:L73" si="1">IFERROR(J10-I10,"-")</f>
        <v>0</v>
      </c>
      <c r="M10" s="128" t="str">
        <f t="shared" ref="M10:M87" si="2">IFERROR(ROUND((J10-I10)/($J$10-$I$10)*100,1),"-")</f>
        <v>-</v>
      </c>
      <c r="N10" s="207"/>
      <c r="O10" s="208"/>
      <c r="P10" s="208"/>
      <c r="Q10" s="209"/>
      <c r="R10" s="7"/>
      <c r="S10" s="180">
        <v>1</v>
      </c>
      <c r="T10" s="180">
        <v>1</v>
      </c>
      <c r="U10" s="180">
        <v>1</v>
      </c>
      <c r="V10" s="180">
        <v>1</v>
      </c>
      <c r="W10" s="180">
        <v>1</v>
      </c>
      <c r="X10" s="180">
        <v>1</v>
      </c>
      <c r="Y10" s="180">
        <v>1</v>
      </c>
      <c r="Z10" s="180">
        <v>1</v>
      </c>
      <c r="AA10" s="180">
        <v>1</v>
      </c>
      <c r="AB10" s="180">
        <v>1</v>
      </c>
      <c r="AC10" s="180">
        <v>1</v>
      </c>
      <c r="AD10" s="180">
        <v>1</v>
      </c>
      <c r="AE10" s="180">
        <v>1</v>
      </c>
      <c r="AF10" s="180">
        <v>1</v>
      </c>
      <c r="AG10" s="180"/>
      <c r="AH10" s="180">
        <v>1</v>
      </c>
    </row>
    <row r="11" spans="2:34" ht="23.25" customHeight="1" x14ac:dyDescent="0.15">
      <c r="B11" s="39"/>
      <c r="C11" s="41"/>
      <c r="D11" s="336" t="s">
        <v>21</v>
      </c>
      <c r="E11" s="237"/>
      <c r="F11" s="237"/>
      <c r="G11" s="238"/>
      <c r="H11" s="43" t="s">
        <v>20</v>
      </c>
      <c r="I11" s="8"/>
      <c r="J11" s="9"/>
      <c r="K11" s="10" t="str">
        <f t="shared" si="0"/>
        <v>-</v>
      </c>
      <c r="L11" s="141">
        <f t="shared" si="1"/>
        <v>0</v>
      </c>
      <c r="M11" s="129" t="str">
        <f t="shared" si="2"/>
        <v>-</v>
      </c>
      <c r="N11" s="190"/>
      <c r="O11" s="191"/>
      <c r="P11" s="191"/>
      <c r="Q11" s="192"/>
      <c r="R11" s="7"/>
      <c r="S11" s="180">
        <v>1</v>
      </c>
      <c r="T11" s="180">
        <v>1</v>
      </c>
      <c r="U11" s="180">
        <v>1</v>
      </c>
      <c r="V11" s="180">
        <v>1</v>
      </c>
      <c r="W11" s="180">
        <v>1</v>
      </c>
      <c r="X11" s="180">
        <v>1</v>
      </c>
      <c r="Y11" s="180">
        <v>1</v>
      </c>
      <c r="Z11" s="180">
        <v>1</v>
      </c>
      <c r="AA11" s="180"/>
      <c r="AB11" s="180"/>
      <c r="AC11" s="180"/>
      <c r="AD11" s="180"/>
      <c r="AE11" s="180"/>
      <c r="AF11" s="180"/>
      <c r="AG11" s="180"/>
      <c r="AH11" s="180">
        <v>1</v>
      </c>
    </row>
    <row r="12" spans="2:34" ht="23.25" customHeight="1" x14ac:dyDescent="0.15">
      <c r="B12" s="39"/>
      <c r="C12" s="41"/>
      <c r="D12" s="44"/>
      <c r="E12" s="237" t="s">
        <v>22</v>
      </c>
      <c r="F12" s="237"/>
      <c r="G12" s="238"/>
      <c r="H12" s="43" t="s">
        <v>20</v>
      </c>
      <c r="I12" s="8"/>
      <c r="J12" s="9"/>
      <c r="K12" s="10" t="str">
        <f t="shared" si="0"/>
        <v>-</v>
      </c>
      <c r="L12" s="141">
        <f t="shared" si="1"/>
        <v>0</v>
      </c>
      <c r="M12" s="129" t="str">
        <f t="shared" si="2"/>
        <v>-</v>
      </c>
      <c r="N12" s="255"/>
      <c r="O12" s="256"/>
      <c r="P12" s="256"/>
      <c r="Q12" s="257"/>
      <c r="R12" s="7"/>
      <c r="S12" s="180">
        <v>1</v>
      </c>
      <c r="T12" s="180">
        <v>1</v>
      </c>
      <c r="U12" s="180">
        <v>1</v>
      </c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</row>
    <row r="13" spans="2:34" ht="23.25" customHeight="1" x14ac:dyDescent="0.15">
      <c r="B13" s="39"/>
      <c r="C13" s="41"/>
      <c r="D13" s="44"/>
      <c r="E13" s="237" t="s">
        <v>23</v>
      </c>
      <c r="F13" s="237"/>
      <c r="G13" s="238"/>
      <c r="H13" s="43" t="s">
        <v>20</v>
      </c>
      <c r="I13" s="8"/>
      <c r="J13" s="9"/>
      <c r="K13" s="10" t="str">
        <f t="shared" si="0"/>
        <v>-</v>
      </c>
      <c r="L13" s="141">
        <f t="shared" si="1"/>
        <v>0</v>
      </c>
      <c r="M13" s="129" t="str">
        <f t="shared" si="2"/>
        <v>-</v>
      </c>
      <c r="N13" s="255"/>
      <c r="O13" s="256"/>
      <c r="P13" s="256"/>
      <c r="Q13" s="257"/>
      <c r="R13" s="7"/>
      <c r="S13" s="180">
        <v>1</v>
      </c>
      <c r="T13" s="180">
        <v>1</v>
      </c>
      <c r="U13" s="180">
        <v>1</v>
      </c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</row>
    <row r="14" spans="2:34" ht="23.25" customHeight="1" x14ac:dyDescent="0.15">
      <c r="B14" s="39"/>
      <c r="C14" s="41"/>
      <c r="D14" s="44"/>
      <c r="E14" s="237" t="s">
        <v>148</v>
      </c>
      <c r="F14" s="237"/>
      <c r="G14" s="238"/>
      <c r="H14" s="43" t="s">
        <v>20</v>
      </c>
      <c r="I14" s="8"/>
      <c r="J14" s="9"/>
      <c r="K14" s="10" t="str">
        <f t="shared" si="0"/>
        <v>-</v>
      </c>
      <c r="L14" s="141">
        <f t="shared" si="1"/>
        <v>0</v>
      </c>
      <c r="M14" s="129" t="str">
        <f t="shared" si="2"/>
        <v>-</v>
      </c>
      <c r="N14" s="255"/>
      <c r="O14" s="256"/>
      <c r="P14" s="256"/>
      <c r="Q14" s="257"/>
      <c r="R14" s="7"/>
      <c r="S14" s="180">
        <v>1</v>
      </c>
      <c r="T14" s="180">
        <v>1</v>
      </c>
      <c r="U14" s="180">
        <v>1</v>
      </c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</row>
    <row r="15" spans="2:34" ht="23.25" customHeight="1" x14ac:dyDescent="0.15">
      <c r="B15" s="39"/>
      <c r="C15" s="41"/>
      <c r="D15" s="44"/>
      <c r="E15" s="237" t="s">
        <v>24</v>
      </c>
      <c r="F15" s="237"/>
      <c r="G15" s="238"/>
      <c r="H15" s="43" t="s">
        <v>20</v>
      </c>
      <c r="I15" s="8"/>
      <c r="J15" s="9"/>
      <c r="K15" s="10" t="str">
        <f t="shared" si="0"/>
        <v>-</v>
      </c>
      <c r="L15" s="141">
        <f t="shared" si="1"/>
        <v>0</v>
      </c>
      <c r="M15" s="129" t="str">
        <f t="shared" si="2"/>
        <v>-</v>
      </c>
      <c r="N15" s="255"/>
      <c r="O15" s="256"/>
      <c r="P15" s="256"/>
      <c r="Q15" s="257"/>
      <c r="R15" s="7"/>
      <c r="S15" s="180">
        <v>1</v>
      </c>
      <c r="T15" s="180">
        <v>1</v>
      </c>
      <c r="U15" s="180">
        <v>1</v>
      </c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</row>
    <row r="16" spans="2:34" ht="23.25" customHeight="1" x14ac:dyDescent="0.15">
      <c r="B16" s="39"/>
      <c r="C16" s="41"/>
      <c r="D16" s="44"/>
      <c r="E16" s="237" t="s">
        <v>25</v>
      </c>
      <c r="F16" s="237"/>
      <c r="G16" s="238"/>
      <c r="H16" s="43" t="s">
        <v>20</v>
      </c>
      <c r="I16" s="8"/>
      <c r="J16" s="9"/>
      <c r="K16" s="10" t="str">
        <f t="shared" si="0"/>
        <v>-</v>
      </c>
      <c r="L16" s="141">
        <f t="shared" si="1"/>
        <v>0</v>
      </c>
      <c r="M16" s="129" t="str">
        <f t="shared" si="2"/>
        <v>-</v>
      </c>
      <c r="N16" s="255"/>
      <c r="O16" s="256"/>
      <c r="P16" s="256"/>
      <c r="Q16" s="257"/>
      <c r="R16" s="7"/>
      <c r="S16" s="180">
        <v>1</v>
      </c>
      <c r="T16" s="180">
        <v>1</v>
      </c>
      <c r="U16" s="180">
        <v>1</v>
      </c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>
        <v>1</v>
      </c>
    </row>
    <row r="17" spans="2:34" ht="23.25" customHeight="1" x14ac:dyDescent="0.15">
      <c r="B17" s="39"/>
      <c r="C17" s="41"/>
      <c r="D17" s="44"/>
      <c r="E17" s="237" t="s">
        <v>26</v>
      </c>
      <c r="F17" s="237"/>
      <c r="G17" s="238"/>
      <c r="H17" s="43" t="s">
        <v>20</v>
      </c>
      <c r="I17" s="8"/>
      <c r="J17" s="9"/>
      <c r="K17" s="10" t="str">
        <f t="shared" si="0"/>
        <v>-</v>
      </c>
      <c r="L17" s="141">
        <f t="shared" si="1"/>
        <v>0</v>
      </c>
      <c r="M17" s="129" t="str">
        <f t="shared" si="2"/>
        <v>-</v>
      </c>
      <c r="N17" s="255"/>
      <c r="O17" s="256"/>
      <c r="P17" s="256"/>
      <c r="Q17" s="257"/>
      <c r="R17" s="7"/>
      <c r="S17" s="180">
        <v>1</v>
      </c>
      <c r="T17" s="180">
        <v>1</v>
      </c>
      <c r="U17" s="180">
        <v>1</v>
      </c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>
        <v>1</v>
      </c>
    </row>
    <row r="18" spans="2:34" ht="23.25" customHeight="1" x14ac:dyDescent="0.15">
      <c r="B18" s="39"/>
      <c r="C18" s="41"/>
      <c r="D18" s="44"/>
      <c r="E18" s="248" t="s">
        <v>27</v>
      </c>
      <c r="F18" s="248"/>
      <c r="G18" s="238"/>
      <c r="H18" s="43" t="s">
        <v>20</v>
      </c>
      <c r="I18" s="8"/>
      <c r="J18" s="9"/>
      <c r="K18" s="10" t="str">
        <f t="shared" si="0"/>
        <v>-</v>
      </c>
      <c r="L18" s="141">
        <f t="shared" si="1"/>
        <v>0</v>
      </c>
      <c r="M18" s="129" t="str">
        <f t="shared" si="2"/>
        <v>-</v>
      </c>
      <c r="N18" s="190"/>
      <c r="O18" s="191"/>
      <c r="P18" s="191"/>
      <c r="Q18" s="192"/>
      <c r="R18" s="7"/>
      <c r="S18" s="180">
        <v>1</v>
      </c>
      <c r="T18" s="180"/>
      <c r="U18" s="180">
        <v>1</v>
      </c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>
        <v>1</v>
      </c>
    </row>
    <row r="19" spans="2:34" ht="23.25" customHeight="1" x14ac:dyDescent="0.15">
      <c r="B19" s="39"/>
      <c r="C19" s="41"/>
      <c r="D19" s="44"/>
      <c r="E19" s="366"/>
      <c r="F19" s="367"/>
      <c r="G19" s="42" t="s">
        <v>28</v>
      </c>
      <c r="H19" s="43" t="s">
        <v>20</v>
      </c>
      <c r="I19" s="8"/>
      <c r="J19" s="9"/>
      <c r="K19" s="10" t="str">
        <f t="shared" si="0"/>
        <v>-</v>
      </c>
      <c r="L19" s="141">
        <f t="shared" si="1"/>
        <v>0</v>
      </c>
      <c r="M19" s="129" t="str">
        <f t="shared" si="2"/>
        <v>-</v>
      </c>
      <c r="N19" s="255"/>
      <c r="O19" s="256"/>
      <c r="P19" s="256"/>
      <c r="Q19" s="257"/>
      <c r="R19" s="7"/>
      <c r="S19" s="180"/>
      <c r="T19" s="180"/>
      <c r="U19" s="180">
        <v>1</v>
      </c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</row>
    <row r="20" spans="2:34" ht="23.25" customHeight="1" x14ac:dyDescent="0.15">
      <c r="B20" s="39"/>
      <c r="C20" s="41"/>
      <c r="D20" s="44"/>
      <c r="E20" s="366"/>
      <c r="F20" s="367"/>
      <c r="G20" s="42" t="s">
        <v>29</v>
      </c>
      <c r="H20" s="43" t="s">
        <v>20</v>
      </c>
      <c r="I20" s="8"/>
      <c r="J20" s="9"/>
      <c r="K20" s="10" t="str">
        <f t="shared" si="0"/>
        <v>-</v>
      </c>
      <c r="L20" s="141">
        <f t="shared" si="1"/>
        <v>0</v>
      </c>
      <c r="M20" s="129" t="str">
        <f t="shared" si="2"/>
        <v>-</v>
      </c>
      <c r="N20" s="255"/>
      <c r="O20" s="256"/>
      <c r="P20" s="256"/>
      <c r="Q20" s="257"/>
      <c r="R20" s="7"/>
      <c r="S20" s="180"/>
      <c r="T20" s="180"/>
      <c r="U20" s="180">
        <v>1</v>
      </c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</row>
    <row r="21" spans="2:34" ht="23.25" customHeight="1" x14ac:dyDescent="0.15">
      <c r="B21" s="39"/>
      <c r="C21" s="41"/>
      <c r="D21" s="45"/>
      <c r="E21" s="368"/>
      <c r="F21" s="369"/>
      <c r="G21" s="42" t="s">
        <v>30</v>
      </c>
      <c r="H21" s="43" t="s">
        <v>20</v>
      </c>
      <c r="I21" s="8"/>
      <c r="J21" s="9"/>
      <c r="K21" s="10" t="str">
        <f t="shared" si="0"/>
        <v>-</v>
      </c>
      <c r="L21" s="141">
        <f t="shared" si="1"/>
        <v>0</v>
      </c>
      <c r="M21" s="129" t="str">
        <f t="shared" si="2"/>
        <v>-</v>
      </c>
      <c r="N21" s="255"/>
      <c r="O21" s="256"/>
      <c r="P21" s="256"/>
      <c r="Q21" s="257"/>
      <c r="R21" s="7"/>
      <c r="S21" s="180"/>
      <c r="T21" s="180"/>
      <c r="U21" s="180">
        <v>1</v>
      </c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>
        <v>1</v>
      </c>
    </row>
    <row r="22" spans="2:34" ht="23.25" customHeight="1" x14ac:dyDescent="0.15">
      <c r="B22" s="39"/>
      <c r="C22" s="41"/>
      <c r="D22" s="44"/>
      <c r="E22" s="248" t="s">
        <v>31</v>
      </c>
      <c r="F22" s="248"/>
      <c r="G22" s="238"/>
      <c r="H22" s="43" t="s">
        <v>20</v>
      </c>
      <c r="I22" s="8"/>
      <c r="J22" s="9"/>
      <c r="K22" s="10" t="str">
        <f t="shared" si="0"/>
        <v>-</v>
      </c>
      <c r="L22" s="141">
        <f t="shared" si="1"/>
        <v>0</v>
      </c>
      <c r="M22" s="129" t="str">
        <f t="shared" si="2"/>
        <v>-</v>
      </c>
      <c r="N22" s="255"/>
      <c r="O22" s="256"/>
      <c r="P22" s="256"/>
      <c r="Q22" s="257"/>
      <c r="R22" s="7"/>
      <c r="S22" s="180">
        <v>1</v>
      </c>
      <c r="T22" s="180">
        <v>1</v>
      </c>
      <c r="U22" s="180">
        <v>1</v>
      </c>
      <c r="V22" s="180">
        <v>1</v>
      </c>
      <c r="W22" s="180">
        <v>1</v>
      </c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>
        <v>1</v>
      </c>
    </row>
    <row r="23" spans="2:34" ht="23.25" customHeight="1" x14ac:dyDescent="0.15">
      <c r="B23" s="39"/>
      <c r="C23" s="41"/>
      <c r="D23" s="44"/>
      <c r="E23" s="366"/>
      <c r="F23" s="367"/>
      <c r="G23" s="42" t="s">
        <v>32</v>
      </c>
      <c r="H23" s="43" t="s">
        <v>20</v>
      </c>
      <c r="I23" s="8"/>
      <c r="J23" s="9"/>
      <c r="K23" s="10" t="str">
        <f t="shared" si="0"/>
        <v>-</v>
      </c>
      <c r="L23" s="141">
        <f t="shared" si="1"/>
        <v>0</v>
      </c>
      <c r="M23" s="129" t="str">
        <f t="shared" si="2"/>
        <v>-</v>
      </c>
      <c r="N23" s="255"/>
      <c r="O23" s="256"/>
      <c r="P23" s="256"/>
      <c r="Q23" s="257"/>
      <c r="R23" s="7"/>
      <c r="S23" s="180"/>
      <c r="T23" s="180"/>
      <c r="U23" s="180"/>
      <c r="V23" s="180">
        <v>1</v>
      </c>
      <c r="W23" s="180">
        <v>1</v>
      </c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>
        <v>1</v>
      </c>
    </row>
    <row r="24" spans="2:34" ht="23.25" customHeight="1" x14ac:dyDescent="0.15">
      <c r="B24" s="39"/>
      <c r="C24" s="41"/>
      <c r="D24" s="44"/>
      <c r="E24" s="366"/>
      <c r="F24" s="367"/>
      <c r="G24" s="42" t="s">
        <v>33</v>
      </c>
      <c r="H24" s="43" t="s">
        <v>20</v>
      </c>
      <c r="I24" s="8"/>
      <c r="J24" s="9"/>
      <c r="K24" s="10" t="str">
        <f t="shared" si="0"/>
        <v>-</v>
      </c>
      <c r="L24" s="141">
        <f t="shared" si="1"/>
        <v>0</v>
      </c>
      <c r="M24" s="129" t="str">
        <f t="shared" si="2"/>
        <v>-</v>
      </c>
      <c r="N24" s="190"/>
      <c r="O24" s="191"/>
      <c r="P24" s="191"/>
      <c r="Q24" s="192"/>
      <c r="R24" s="7"/>
      <c r="S24" s="180"/>
      <c r="T24" s="180"/>
      <c r="U24" s="180"/>
      <c r="V24" s="180">
        <v>1</v>
      </c>
      <c r="W24" s="180">
        <v>1</v>
      </c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>
        <v>1</v>
      </c>
    </row>
    <row r="25" spans="2:34" ht="23.25" customHeight="1" x14ac:dyDescent="0.15">
      <c r="B25" s="39"/>
      <c r="C25" s="41"/>
      <c r="D25" s="44"/>
      <c r="E25" s="237" t="s">
        <v>34</v>
      </c>
      <c r="F25" s="237"/>
      <c r="G25" s="238"/>
      <c r="H25" s="43" t="s">
        <v>20</v>
      </c>
      <c r="I25" s="8"/>
      <c r="J25" s="9"/>
      <c r="K25" s="10" t="str">
        <f t="shared" si="0"/>
        <v>-</v>
      </c>
      <c r="L25" s="141">
        <f t="shared" si="1"/>
        <v>0</v>
      </c>
      <c r="M25" s="129" t="str">
        <f t="shared" si="2"/>
        <v>-</v>
      </c>
      <c r="N25" s="255"/>
      <c r="O25" s="256"/>
      <c r="P25" s="256"/>
      <c r="Q25" s="257"/>
      <c r="R25" s="7"/>
      <c r="S25" s="180">
        <v>1</v>
      </c>
      <c r="T25" s="180"/>
      <c r="U25" s="180"/>
      <c r="V25" s="180"/>
      <c r="W25" s="180"/>
      <c r="X25" s="180">
        <v>1</v>
      </c>
      <c r="Y25" s="180"/>
      <c r="Z25" s="180"/>
      <c r="AA25" s="180"/>
      <c r="AB25" s="180"/>
      <c r="AC25" s="180"/>
      <c r="AD25" s="180"/>
      <c r="AE25" s="180"/>
      <c r="AF25" s="180"/>
      <c r="AG25" s="180"/>
      <c r="AH25" s="180">
        <v>1</v>
      </c>
    </row>
    <row r="26" spans="2:34" ht="23.25" customHeight="1" x14ac:dyDescent="0.15">
      <c r="B26" s="39"/>
      <c r="C26" s="41"/>
      <c r="D26" s="44"/>
      <c r="E26" s="248" t="s">
        <v>35</v>
      </c>
      <c r="F26" s="237"/>
      <c r="G26" s="238"/>
      <c r="H26" s="43" t="s">
        <v>20</v>
      </c>
      <c r="I26" s="8"/>
      <c r="J26" s="9"/>
      <c r="K26" s="10" t="str">
        <f t="shared" si="0"/>
        <v>-</v>
      </c>
      <c r="L26" s="141">
        <f t="shared" si="1"/>
        <v>0</v>
      </c>
      <c r="M26" s="129" t="str">
        <f t="shared" si="2"/>
        <v>-</v>
      </c>
      <c r="N26" s="190"/>
      <c r="O26" s="191"/>
      <c r="P26" s="191"/>
      <c r="Q26" s="192"/>
      <c r="R26" s="7"/>
      <c r="S26" s="180">
        <v>1</v>
      </c>
      <c r="T26" s="180"/>
      <c r="U26" s="180"/>
      <c r="V26" s="180"/>
      <c r="W26" s="180"/>
      <c r="X26" s="180"/>
      <c r="Y26" s="180">
        <v>1</v>
      </c>
      <c r="Z26" s="180">
        <v>1</v>
      </c>
      <c r="AA26" s="180"/>
      <c r="AB26" s="180"/>
      <c r="AC26" s="180"/>
      <c r="AD26" s="180"/>
      <c r="AE26" s="180"/>
      <c r="AF26" s="180"/>
      <c r="AG26" s="180"/>
      <c r="AH26" s="180">
        <v>1</v>
      </c>
    </row>
    <row r="27" spans="2:34" ht="23.25" customHeight="1" x14ac:dyDescent="0.15">
      <c r="B27" s="39"/>
      <c r="C27" s="41"/>
      <c r="D27" s="44"/>
      <c r="E27" s="46"/>
      <c r="F27" s="336" t="s">
        <v>36</v>
      </c>
      <c r="G27" s="288"/>
      <c r="H27" s="43" t="s">
        <v>20</v>
      </c>
      <c r="I27" s="8"/>
      <c r="J27" s="9"/>
      <c r="K27" s="10" t="str">
        <f t="shared" si="0"/>
        <v>-</v>
      </c>
      <c r="L27" s="141">
        <f t="shared" si="1"/>
        <v>0</v>
      </c>
      <c r="M27" s="129" t="str">
        <f t="shared" si="2"/>
        <v>-</v>
      </c>
      <c r="N27" s="190"/>
      <c r="O27" s="191"/>
      <c r="P27" s="191"/>
      <c r="Q27" s="192"/>
      <c r="R27" s="7"/>
      <c r="S27" s="180"/>
      <c r="T27" s="180"/>
      <c r="U27" s="180"/>
      <c r="V27" s="180"/>
      <c r="W27" s="180"/>
      <c r="X27" s="180"/>
      <c r="Y27" s="180">
        <v>1</v>
      </c>
      <c r="Z27" s="180">
        <v>1</v>
      </c>
      <c r="AA27" s="180"/>
      <c r="AB27" s="180"/>
      <c r="AC27" s="180"/>
      <c r="AD27" s="180"/>
      <c r="AE27" s="180"/>
      <c r="AF27" s="180"/>
      <c r="AG27" s="180"/>
      <c r="AH27" s="180"/>
    </row>
    <row r="28" spans="2:34" ht="23.25" customHeight="1" x14ac:dyDescent="0.15">
      <c r="B28" s="39"/>
      <c r="C28" s="41"/>
      <c r="D28" s="44"/>
      <c r="E28" s="78"/>
      <c r="F28" s="46"/>
      <c r="G28" s="42" t="s">
        <v>37</v>
      </c>
      <c r="H28" s="43" t="s">
        <v>20</v>
      </c>
      <c r="I28" s="8"/>
      <c r="J28" s="9"/>
      <c r="K28" s="10" t="str">
        <f t="shared" si="0"/>
        <v>-</v>
      </c>
      <c r="L28" s="141">
        <f t="shared" si="1"/>
        <v>0</v>
      </c>
      <c r="M28" s="129" t="str">
        <f t="shared" si="2"/>
        <v>-</v>
      </c>
      <c r="N28" s="255"/>
      <c r="O28" s="256"/>
      <c r="P28" s="256"/>
      <c r="Q28" s="257"/>
      <c r="R28" s="7"/>
      <c r="S28" s="180"/>
      <c r="T28" s="180"/>
      <c r="U28" s="180"/>
      <c r="V28" s="180"/>
      <c r="W28" s="180"/>
      <c r="X28" s="180"/>
      <c r="Y28" s="180">
        <v>1</v>
      </c>
      <c r="Z28" s="180">
        <v>1</v>
      </c>
      <c r="AA28" s="180"/>
      <c r="AB28" s="180"/>
      <c r="AC28" s="180"/>
      <c r="AD28" s="180"/>
      <c r="AE28" s="180"/>
      <c r="AF28" s="180"/>
      <c r="AG28" s="180"/>
      <c r="AH28" s="180"/>
    </row>
    <row r="29" spans="2:34" ht="23.25" customHeight="1" x14ac:dyDescent="0.15">
      <c r="B29" s="39"/>
      <c r="C29" s="41"/>
      <c r="D29" s="44"/>
      <c r="E29" s="78"/>
      <c r="F29" s="47"/>
      <c r="G29" s="42" t="s">
        <v>149</v>
      </c>
      <c r="H29" s="43" t="s">
        <v>20</v>
      </c>
      <c r="I29" s="8"/>
      <c r="J29" s="9"/>
      <c r="K29" s="10" t="str">
        <f t="shared" si="0"/>
        <v>-</v>
      </c>
      <c r="L29" s="141">
        <f t="shared" si="1"/>
        <v>0</v>
      </c>
      <c r="M29" s="129" t="str">
        <f t="shared" si="2"/>
        <v>-</v>
      </c>
      <c r="N29" s="255"/>
      <c r="O29" s="256"/>
      <c r="P29" s="256"/>
      <c r="Q29" s="257"/>
      <c r="R29" s="7"/>
      <c r="S29" s="180"/>
      <c r="T29" s="180"/>
      <c r="U29" s="180"/>
      <c r="V29" s="180"/>
      <c r="W29" s="180"/>
      <c r="X29" s="180"/>
      <c r="Y29" s="180">
        <v>1</v>
      </c>
      <c r="Z29" s="180">
        <v>1</v>
      </c>
      <c r="AA29" s="180"/>
      <c r="AB29" s="180"/>
      <c r="AC29" s="180"/>
      <c r="AD29" s="180"/>
      <c r="AE29" s="180"/>
      <c r="AF29" s="180"/>
      <c r="AG29" s="180"/>
      <c r="AH29" s="180"/>
    </row>
    <row r="30" spans="2:34" ht="23.25" customHeight="1" x14ac:dyDescent="0.15">
      <c r="B30" s="39"/>
      <c r="C30" s="41"/>
      <c r="D30" s="44"/>
      <c r="E30" s="78"/>
      <c r="F30" s="336" t="s">
        <v>38</v>
      </c>
      <c r="G30" s="238"/>
      <c r="H30" s="43" t="s">
        <v>20</v>
      </c>
      <c r="I30" s="8"/>
      <c r="J30" s="9"/>
      <c r="K30" s="10" t="str">
        <f t="shared" si="0"/>
        <v>-</v>
      </c>
      <c r="L30" s="141">
        <f t="shared" si="1"/>
        <v>0</v>
      </c>
      <c r="M30" s="129" t="str">
        <f t="shared" si="2"/>
        <v>-</v>
      </c>
      <c r="N30" s="190"/>
      <c r="O30" s="191"/>
      <c r="P30" s="191"/>
      <c r="Q30" s="192"/>
      <c r="R30" s="7"/>
      <c r="S30" s="180"/>
      <c r="T30" s="180"/>
      <c r="U30" s="180"/>
      <c r="V30" s="180"/>
      <c r="W30" s="180"/>
      <c r="X30" s="180"/>
      <c r="Y30" s="180">
        <v>1</v>
      </c>
      <c r="Z30" s="180">
        <v>1</v>
      </c>
      <c r="AA30" s="180"/>
      <c r="AB30" s="180"/>
      <c r="AC30" s="180"/>
      <c r="AD30" s="180"/>
      <c r="AE30" s="180"/>
      <c r="AF30" s="180"/>
      <c r="AG30" s="180"/>
      <c r="AH30" s="180">
        <v>1</v>
      </c>
    </row>
    <row r="31" spans="2:34" ht="23.25" customHeight="1" x14ac:dyDescent="0.15">
      <c r="B31" s="39"/>
      <c r="C31" s="41"/>
      <c r="D31" s="44"/>
      <c r="E31" s="77"/>
      <c r="F31" s="79"/>
      <c r="G31" s="64" t="s">
        <v>39</v>
      </c>
      <c r="H31" s="43" t="s">
        <v>20</v>
      </c>
      <c r="I31" s="8"/>
      <c r="J31" s="9"/>
      <c r="K31" s="10" t="str">
        <f t="shared" si="0"/>
        <v>-</v>
      </c>
      <c r="L31" s="141">
        <f t="shared" si="1"/>
        <v>0</v>
      </c>
      <c r="M31" s="129" t="str">
        <f t="shared" si="2"/>
        <v>-</v>
      </c>
      <c r="N31" s="255"/>
      <c r="O31" s="256"/>
      <c r="P31" s="256"/>
      <c r="Q31" s="257"/>
      <c r="R31" s="7"/>
      <c r="S31" s="180"/>
      <c r="T31" s="180"/>
      <c r="U31" s="180"/>
      <c r="V31" s="180"/>
      <c r="W31" s="180"/>
      <c r="X31" s="180"/>
      <c r="Y31" s="180">
        <v>1</v>
      </c>
      <c r="Z31" s="180">
        <v>1</v>
      </c>
      <c r="AA31" s="180"/>
      <c r="AB31" s="180"/>
      <c r="AC31" s="180"/>
      <c r="AD31" s="180"/>
      <c r="AE31" s="180"/>
      <c r="AF31" s="180"/>
      <c r="AG31" s="180"/>
      <c r="AH31" s="180"/>
    </row>
    <row r="32" spans="2:34" ht="23.25" customHeight="1" x14ac:dyDescent="0.15">
      <c r="B32" s="39"/>
      <c r="C32" s="41"/>
      <c r="D32" s="44"/>
      <c r="E32" s="80"/>
      <c r="F32" s="80"/>
      <c r="G32" s="81" t="s">
        <v>40</v>
      </c>
      <c r="H32" s="43" t="s">
        <v>20</v>
      </c>
      <c r="I32" s="8"/>
      <c r="J32" s="11"/>
      <c r="K32" s="12" t="str">
        <f t="shared" si="0"/>
        <v>-</v>
      </c>
      <c r="L32" s="142">
        <f t="shared" si="1"/>
        <v>0</v>
      </c>
      <c r="M32" s="130" t="str">
        <f t="shared" si="2"/>
        <v>-</v>
      </c>
      <c r="N32" s="255"/>
      <c r="O32" s="256"/>
      <c r="P32" s="256"/>
      <c r="Q32" s="257"/>
      <c r="R32" s="7"/>
      <c r="S32" s="180"/>
      <c r="T32" s="180"/>
      <c r="U32" s="180"/>
      <c r="V32" s="180"/>
      <c r="W32" s="180"/>
      <c r="X32" s="180"/>
      <c r="Y32" s="180">
        <v>1</v>
      </c>
      <c r="Z32" s="180">
        <v>1</v>
      </c>
      <c r="AA32" s="180"/>
      <c r="AB32" s="180"/>
      <c r="AC32" s="180"/>
      <c r="AD32" s="180"/>
      <c r="AE32" s="180"/>
      <c r="AF32" s="180"/>
      <c r="AG32" s="180"/>
      <c r="AH32" s="180"/>
    </row>
    <row r="33" spans="2:34" ht="23.25" customHeight="1" x14ac:dyDescent="0.15">
      <c r="B33" s="39"/>
      <c r="C33" s="41"/>
      <c r="D33" s="44"/>
      <c r="E33" s="237" t="s">
        <v>150</v>
      </c>
      <c r="F33" s="237"/>
      <c r="G33" s="238"/>
      <c r="H33" s="43" t="s">
        <v>20</v>
      </c>
      <c r="I33" s="8"/>
      <c r="J33" s="9"/>
      <c r="K33" s="10" t="str">
        <f t="shared" si="0"/>
        <v>-</v>
      </c>
      <c r="L33" s="141">
        <f t="shared" si="1"/>
        <v>0</v>
      </c>
      <c r="M33" s="129" t="str">
        <f t="shared" si="2"/>
        <v>-</v>
      </c>
      <c r="N33" s="255"/>
      <c r="O33" s="256"/>
      <c r="P33" s="256"/>
      <c r="Q33" s="257"/>
      <c r="R33" s="7"/>
      <c r="S33" s="180">
        <v>1</v>
      </c>
      <c r="T33" s="180">
        <v>1</v>
      </c>
      <c r="U33" s="180"/>
      <c r="V33" s="180"/>
      <c r="W33" s="180"/>
      <c r="X33" s="180"/>
      <c r="Y33" s="180"/>
      <c r="Z33" s="180"/>
      <c r="AA33" s="180">
        <v>1</v>
      </c>
      <c r="AB33" s="180">
        <v>1</v>
      </c>
      <c r="AC33" s="180"/>
      <c r="AD33" s="180"/>
      <c r="AE33" s="180"/>
      <c r="AF33" s="180"/>
      <c r="AG33" s="180"/>
      <c r="AH33" s="180"/>
    </row>
    <row r="34" spans="2:34" ht="23.25" customHeight="1" x14ac:dyDescent="0.15">
      <c r="B34" s="39"/>
      <c r="C34" s="41"/>
      <c r="D34" s="44"/>
      <c r="E34" s="237" t="s">
        <v>151</v>
      </c>
      <c r="F34" s="237"/>
      <c r="G34" s="238"/>
      <c r="H34" s="43" t="s">
        <v>20</v>
      </c>
      <c r="I34" s="8"/>
      <c r="J34" s="9"/>
      <c r="K34" s="10" t="str">
        <f t="shared" si="0"/>
        <v>-</v>
      </c>
      <c r="L34" s="141">
        <f t="shared" si="1"/>
        <v>0</v>
      </c>
      <c r="M34" s="129" t="str">
        <f t="shared" si="2"/>
        <v>-</v>
      </c>
      <c r="N34" s="255"/>
      <c r="O34" s="256"/>
      <c r="P34" s="256"/>
      <c r="Q34" s="257"/>
      <c r="R34" s="7"/>
      <c r="S34" s="180">
        <v>1</v>
      </c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</row>
    <row r="35" spans="2:34" ht="23.25" customHeight="1" x14ac:dyDescent="0.15">
      <c r="B35" s="39"/>
      <c r="C35" s="41"/>
      <c r="D35" s="336" t="s">
        <v>41</v>
      </c>
      <c r="E35" s="237"/>
      <c r="F35" s="237"/>
      <c r="G35" s="238"/>
      <c r="H35" s="43" t="s">
        <v>20</v>
      </c>
      <c r="I35" s="8"/>
      <c r="J35" s="9"/>
      <c r="K35" s="10" t="str">
        <f t="shared" si="0"/>
        <v>-</v>
      </c>
      <c r="L35" s="141">
        <f t="shared" si="1"/>
        <v>0</v>
      </c>
      <c r="M35" s="129" t="str">
        <f t="shared" si="2"/>
        <v>-</v>
      </c>
      <c r="N35" s="190"/>
      <c r="O35" s="191"/>
      <c r="P35" s="191"/>
      <c r="Q35" s="192"/>
      <c r="R35" s="7"/>
      <c r="S35" s="180">
        <v>1</v>
      </c>
      <c r="T35" s="180"/>
      <c r="U35" s="180"/>
      <c r="V35" s="180"/>
      <c r="W35" s="180"/>
      <c r="X35" s="180"/>
      <c r="Y35" s="180"/>
      <c r="Z35" s="180"/>
      <c r="AA35" s="180">
        <v>1</v>
      </c>
      <c r="AB35" s="180">
        <v>1</v>
      </c>
      <c r="AC35" s="180">
        <v>1</v>
      </c>
      <c r="AD35" s="180">
        <v>1</v>
      </c>
      <c r="AE35" s="180">
        <v>1</v>
      </c>
      <c r="AF35" s="180">
        <v>1</v>
      </c>
      <c r="AG35" s="180"/>
      <c r="AH35" s="180"/>
    </row>
    <row r="36" spans="2:34" ht="23.25" customHeight="1" x14ac:dyDescent="0.15">
      <c r="B36" s="39"/>
      <c r="C36" s="41"/>
      <c r="D36" s="44"/>
      <c r="E36" s="248" t="s">
        <v>42</v>
      </c>
      <c r="F36" s="237"/>
      <c r="G36" s="238"/>
      <c r="H36" s="43" t="s">
        <v>20</v>
      </c>
      <c r="I36" s="8"/>
      <c r="J36" s="9"/>
      <c r="K36" s="10" t="str">
        <f t="shared" si="0"/>
        <v>-</v>
      </c>
      <c r="L36" s="141">
        <f t="shared" si="1"/>
        <v>0</v>
      </c>
      <c r="M36" s="129" t="str">
        <f t="shared" si="2"/>
        <v>-</v>
      </c>
      <c r="N36" s="190"/>
      <c r="O36" s="191"/>
      <c r="P36" s="191"/>
      <c r="Q36" s="192"/>
      <c r="R36" s="7"/>
      <c r="S36" s="180">
        <v>1</v>
      </c>
      <c r="T36" s="180"/>
      <c r="U36" s="180"/>
      <c r="V36" s="180"/>
      <c r="W36" s="180"/>
      <c r="X36" s="180"/>
      <c r="Y36" s="180"/>
      <c r="Z36" s="180"/>
      <c r="AA36" s="180">
        <v>1</v>
      </c>
      <c r="AB36" s="180"/>
      <c r="AC36" s="180"/>
      <c r="AD36" s="180"/>
      <c r="AE36" s="180"/>
      <c r="AF36" s="180"/>
      <c r="AG36" s="180"/>
      <c r="AH36" s="180"/>
    </row>
    <row r="37" spans="2:34" ht="23.25" customHeight="1" x14ac:dyDescent="0.15">
      <c r="B37" s="39"/>
      <c r="C37" s="41"/>
      <c r="D37" s="44"/>
      <c r="E37" s="46"/>
      <c r="F37" s="278" t="s">
        <v>43</v>
      </c>
      <c r="G37" s="238"/>
      <c r="H37" s="43" t="s">
        <v>20</v>
      </c>
      <c r="I37" s="8"/>
      <c r="J37" s="9"/>
      <c r="K37" s="10" t="str">
        <f t="shared" si="0"/>
        <v>-</v>
      </c>
      <c r="L37" s="141">
        <f t="shared" si="1"/>
        <v>0</v>
      </c>
      <c r="M37" s="129" t="str">
        <f t="shared" si="2"/>
        <v>-</v>
      </c>
      <c r="N37" s="255"/>
      <c r="O37" s="256"/>
      <c r="P37" s="256"/>
      <c r="Q37" s="257"/>
      <c r="R37" s="7"/>
      <c r="S37" s="180"/>
      <c r="T37" s="180"/>
      <c r="U37" s="180"/>
      <c r="V37" s="180"/>
      <c r="W37" s="180"/>
      <c r="X37" s="180"/>
      <c r="Y37" s="180"/>
      <c r="Z37" s="180"/>
      <c r="AA37" s="180">
        <v>1</v>
      </c>
      <c r="AB37" s="180"/>
      <c r="AC37" s="180"/>
      <c r="AD37" s="180"/>
      <c r="AE37" s="180"/>
      <c r="AF37" s="180"/>
      <c r="AG37" s="180"/>
      <c r="AH37" s="180"/>
    </row>
    <row r="38" spans="2:34" ht="23.25" customHeight="1" x14ac:dyDescent="0.15">
      <c r="B38" s="39"/>
      <c r="C38" s="41"/>
      <c r="D38" s="44"/>
      <c r="E38" s="47"/>
      <c r="F38" s="278" t="s">
        <v>284</v>
      </c>
      <c r="G38" s="284"/>
      <c r="H38" s="43" t="s">
        <v>20</v>
      </c>
      <c r="I38" s="8"/>
      <c r="J38" s="9"/>
      <c r="K38" s="10" t="str">
        <f t="shared" si="0"/>
        <v>-</v>
      </c>
      <c r="L38" s="141">
        <f t="shared" si="1"/>
        <v>0</v>
      </c>
      <c r="M38" s="129" t="str">
        <f t="shared" si="2"/>
        <v>-</v>
      </c>
      <c r="N38" s="255"/>
      <c r="O38" s="256"/>
      <c r="P38" s="256"/>
      <c r="Q38" s="257"/>
      <c r="R38" s="7"/>
      <c r="S38" s="180"/>
      <c r="T38" s="180"/>
      <c r="U38" s="180"/>
      <c r="V38" s="180"/>
      <c r="W38" s="180"/>
      <c r="X38" s="180"/>
      <c r="Y38" s="180"/>
      <c r="Z38" s="180"/>
      <c r="AA38" s="180">
        <v>1</v>
      </c>
      <c r="AB38" s="180"/>
      <c r="AC38" s="180"/>
      <c r="AD38" s="180"/>
      <c r="AE38" s="180"/>
      <c r="AF38" s="180"/>
      <c r="AG38" s="180"/>
      <c r="AH38" s="180"/>
    </row>
    <row r="39" spans="2:34" ht="23.25" customHeight="1" x14ac:dyDescent="0.15">
      <c r="B39" s="39"/>
      <c r="C39" s="41"/>
      <c r="D39" s="44"/>
      <c r="E39" s="237" t="s">
        <v>44</v>
      </c>
      <c r="F39" s="237"/>
      <c r="G39" s="238"/>
      <c r="H39" s="43" t="s">
        <v>20</v>
      </c>
      <c r="I39" s="8"/>
      <c r="J39" s="9"/>
      <c r="K39" s="10" t="str">
        <f t="shared" si="0"/>
        <v>-</v>
      </c>
      <c r="L39" s="141">
        <f t="shared" si="1"/>
        <v>0</v>
      </c>
      <c r="M39" s="129" t="str">
        <f t="shared" si="2"/>
        <v>-</v>
      </c>
      <c r="N39" s="255"/>
      <c r="O39" s="256"/>
      <c r="P39" s="256"/>
      <c r="Q39" s="257"/>
      <c r="R39" s="7"/>
      <c r="S39" s="180">
        <v>1</v>
      </c>
      <c r="T39" s="180"/>
      <c r="U39" s="180"/>
      <c r="V39" s="180"/>
      <c r="W39" s="180"/>
      <c r="X39" s="180"/>
      <c r="Y39" s="180"/>
      <c r="Z39" s="180"/>
      <c r="AA39" s="180"/>
      <c r="AB39" s="180">
        <v>1</v>
      </c>
      <c r="AC39" s="180"/>
      <c r="AD39" s="180"/>
      <c r="AE39" s="180"/>
      <c r="AF39" s="180"/>
      <c r="AG39" s="180"/>
      <c r="AH39" s="180"/>
    </row>
    <row r="40" spans="2:34" ht="23.25" customHeight="1" x14ac:dyDescent="0.15">
      <c r="B40" s="39"/>
      <c r="C40" s="41"/>
      <c r="D40" s="44"/>
      <c r="E40" s="248" t="s">
        <v>45</v>
      </c>
      <c r="F40" s="237"/>
      <c r="G40" s="238"/>
      <c r="H40" s="43" t="s">
        <v>20</v>
      </c>
      <c r="I40" s="8"/>
      <c r="J40" s="9"/>
      <c r="K40" s="10" t="str">
        <f t="shared" si="0"/>
        <v>-</v>
      </c>
      <c r="L40" s="141">
        <f t="shared" si="1"/>
        <v>0</v>
      </c>
      <c r="M40" s="129" t="str">
        <f t="shared" si="2"/>
        <v>-</v>
      </c>
      <c r="N40" s="190"/>
      <c r="O40" s="191"/>
      <c r="P40" s="191"/>
      <c r="Q40" s="192"/>
      <c r="R40" s="7"/>
      <c r="S40" s="180">
        <v>1</v>
      </c>
      <c r="T40" s="180"/>
      <c r="U40" s="180"/>
      <c r="V40" s="180"/>
      <c r="W40" s="180"/>
      <c r="X40" s="180"/>
      <c r="Y40" s="180"/>
      <c r="Z40" s="180"/>
      <c r="AA40" s="180"/>
      <c r="AB40" s="180"/>
      <c r="AC40" s="180">
        <v>1</v>
      </c>
      <c r="AD40" s="180"/>
      <c r="AE40" s="180"/>
      <c r="AF40" s="180"/>
      <c r="AG40" s="180"/>
      <c r="AH40" s="180"/>
    </row>
    <row r="41" spans="2:34" ht="23.25" customHeight="1" x14ac:dyDescent="0.15">
      <c r="B41" s="39"/>
      <c r="C41" s="41"/>
      <c r="D41" s="45"/>
      <c r="E41" s="48"/>
      <c r="F41" s="362" t="s">
        <v>46</v>
      </c>
      <c r="G41" s="363"/>
      <c r="H41" s="43" t="s">
        <v>20</v>
      </c>
      <c r="I41" s="8"/>
      <c r="J41" s="9"/>
      <c r="K41" s="10" t="str">
        <f t="shared" si="0"/>
        <v>-</v>
      </c>
      <c r="L41" s="141">
        <f t="shared" si="1"/>
        <v>0</v>
      </c>
      <c r="M41" s="129" t="str">
        <f t="shared" si="2"/>
        <v>-</v>
      </c>
      <c r="N41" s="255"/>
      <c r="O41" s="256"/>
      <c r="P41" s="256"/>
      <c r="Q41" s="257"/>
      <c r="R41" s="7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>
        <v>1</v>
      </c>
      <c r="AD41" s="180"/>
      <c r="AE41" s="180"/>
      <c r="AF41" s="180"/>
      <c r="AG41" s="180"/>
      <c r="AH41" s="180"/>
    </row>
    <row r="42" spans="2:34" ht="23.25" customHeight="1" x14ac:dyDescent="0.15">
      <c r="B42" s="39"/>
      <c r="C42" s="41"/>
      <c r="D42" s="45"/>
      <c r="E42" s="48"/>
      <c r="F42" s="337" t="s">
        <v>47</v>
      </c>
      <c r="G42" s="339"/>
      <c r="H42" s="43" t="s">
        <v>20</v>
      </c>
      <c r="I42" s="8"/>
      <c r="J42" s="9"/>
      <c r="K42" s="10" t="str">
        <f t="shared" si="0"/>
        <v>-</v>
      </c>
      <c r="L42" s="141">
        <f t="shared" si="1"/>
        <v>0</v>
      </c>
      <c r="M42" s="129" t="str">
        <f t="shared" si="2"/>
        <v>-</v>
      </c>
      <c r="N42" s="190"/>
      <c r="O42" s="191"/>
      <c r="P42" s="191"/>
      <c r="Q42" s="192"/>
      <c r="R42" s="7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1"/>
      <c r="AD42" s="180"/>
      <c r="AE42" s="180"/>
      <c r="AF42" s="180"/>
      <c r="AG42" s="180"/>
      <c r="AH42" s="180"/>
    </row>
    <row r="43" spans="2:34" ht="23.25" customHeight="1" x14ac:dyDescent="0.15">
      <c r="B43" s="39"/>
      <c r="C43" s="41"/>
      <c r="D43" s="45"/>
      <c r="E43" s="48"/>
      <c r="F43" s="49"/>
      <c r="G43" s="50" t="s">
        <v>48</v>
      </c>
      <c r="H43" s="43" t="s">
        <v>20</v>
      </c>
      <c r="I43" s="8"/>
      <c r="J43" s="9"/>
      <c r="K43" s="10" t="str">
        <f t="shared" si="0"/>
        <v>-</v>
      </c>
      <c r="L43" s="141">
        <f t="shared" si="1"/>
        <v>0</v>
      </c>
      <c r="M43" s="129" t="str">
        <f t="shared" si="2"/>
        <v>-</v>
      </c>
      <c r="N43" s="255"/>
      <c r="O43" s="256"/>
      <c r="P43" s="256"/>
      <c r="Q43" s="257"/>
      <c r="R43" s="7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>
        <v>1</v>
      </c>
      <c r="AD43" s="180"/>
      <c r="AE43" s="180"/>
      <c r="AF43" s="180"/>
      <c r="AG43" s="180"/>
      <c r="AH43" s="180"/>
    </row>
    <row r="44" spans="2:34" ht="23.25" customHeight="1" x14ac:dyDescent="0.15">
      <c r="B44" s="39"/>
      <c r="C44" s="41"/>
      <c r="D44" s="45"/>
      <c r="E44" s="51"/>
      <c r="F44" s="52"/>
      <c r="G44" s="53" t="s">
        <v>49</v>
      </c>
      <c r="H44" s="54" t="s">
        <v>20</v>
      </c>
      <c r="I44" s="13"/>
      <c r="J44" s="11"/>
      <c r="K44" s="12" t="str">
        <f t="shared" si="0"/>
        <v>-</v>
      </c>
      <c r="L44" s="142">
        <f t="shared" si="1"/>
        <v>0</v>
      </c>
      <c r="M44" s="130" t="str">
        <f t="shared" si="2"/>
        <v>-</v>
      </c>
      <c r="N44" s="255"/>
      <c r="O44" s="256"/>
      <c r="P44" s="256"/>
      <c r="Q44" s="257"/>
      <c r="R44" s="7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>
        <v>1</v>
      </c>
      <c r="AD44" s="180"/>
      <c r="AE44" s="180"/>
      <c r="AF44" s="180"/>
      <c r="AG44" s="180"/>
      <c r="AH44" s="180"/>
    </row>
    <row r="45" spans="2:34" ht="23.25" customHeight="1" x14ac:dyDescent="0.15">
      <c r="B45" s="39"/>
      <c r="C45" s="41"/>
      <c r="D45" s="44"/>
      <c r="E45" s="248" t="s">
        <v>50</v>
      </c>
      <c r="F45" s="237"/>
      <c r="G45" s="238"/>
      <c r="H45" s="43" t="s">
        <v>20</v>
      </c>
      <c r="I45" s="8"/>
      <c r="J45" s="9"/>
      <c r="K45" s="10" t="str">
        <f t="shared" si="0"/>
        <v>-</v>
      </c>
      <c r="L45" s="141">
        <f t="shared" si="1"/>
        <v>0</v>
      </c>
      <c r="M45" s="129" t="str">
        <f t="shared" si="2"/>
        <v>-</v>
      </c>
      <c r="N45" s="255"/>
      <c r="O45" s="256"/>
      <c r="P45" s="256"/>
      <c r="Q45" s="257"/>
      <c r="R45" s="7"/>
      <c r="S45" s="180">
        <v>1</v>
      </c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>
        <v>1</v>
      </c>
      <c r="AE45" s="180"/>
      <c r="AF45" s="180"/>
      <c r="AG45" s="180"/>
      <c r="AH45" s="180"/>
    </row>
    <row r="46" spans="2:34" ht="23.25" customHeight="1" x14ac:dyDescent="0.15">
      <c r="B46" s="39"/>
      <c r="C46" s="41"/>
      <c r="D46" s="45"/>
      <c r="E46" s="48"/>
      <c r="F46" s="362" t="s">
        <v>51</v>
      </c>
      <c r="G46" s="363"/>
      <c r="H46" s="43" t="s">
        <v>20</v>
      </c>
      <c r="I46" s="8"/>
      <c r="J46" s="9"/>
      <c r="K46" s="10" t="str">
        <f t="shared" si="0"/>
        <v>-</v>
      </c>
      <c r="L46" s="141">
        <f t="shared" si="1"/>
        <v>0</v>
      </c>
      <c r="M46" s="129" t="str">
        <f t="shared" si="2"/>
        <v>-</v>
      </c>
      <c r="N46" s="190"/>
      <c r="O46" s="191"/>
      <c r="P46" s="191"/>
      <c r="Q46" s="192"/>
      <c r="R46" s="7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>
        <v>1</v>
      </c>
      <c r="AE46" s="180"/>
      <c r="AF46" s="180"/>
      <c r="AG46" s="180"/>
      <c r="AH46" s="180"/>
    </row>
    <row r="47" spans="2:34" ht="23.25" customHeight="1" x14ac:dyDescent="0.15">
      <c r="B47" s="39"/>
      <c r="C47" s="41"/>
      <c r="D47" s="45"/>
      <c r="E47" s="48"/>
      <c r="F47" s="364" t="s">
        <v>52</v>
      </c>
      <c r="G47" s="365"/>
      <c r="H47" s="54" t="s">
        <v>20</v>
      </c>
      <c r="I47" s="13"/>
      <c r="J47" s="11"/>
      <c r="K47" s="12" t="str">
        <f t="shared" si="0"/>
        <v>-</v>
      </c>
      <c r="L47" s="142">
        <f t="shared" si="1"/>
        <v>0</v>
      </c>
      <c r="M47" s="130" t="str">
        <f t="shared" si="2"/>
        <v>-</v>
      </c>
      <c r="N47" s="190"/>
      <c r="O47" s="191"/>
      <c r="P47" s="191"/>
      <c r="Q47" s="192"/>
      <c r="R47" s="7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>
        <v>1</v>
      </c>
      <c r="AE47" s="180"/>
      <c r="AF47" s="180"/>
      <c r="AG47" s="180"/>
      <c r="AH47" s="180"/>
    </row>
    <row r="48" spans="2:34" ht="23.25" customHeight="1" x14ac:dyDescent="0.15">
      <c r="B48" s="39"/>
      <c r="C48" s="41"/>
      <c r="D48" s="44"/>
      <c r="E48" s="237" t="s">
        <v>53</v>
      </c>
      <c r="F48" s="237"/>
      <c r="G48" s="238"/>
      <c r="H48" s="43" t="s">
        <v>20</v>
      </c>
      <c r="I48" s="8"/>
      <c r="J48" s="9"/>
      <c r="K48" s="10" t="str">
        <f t="shared" si="0"/>
        <v>-</v>
      </c>
      <c r="L48" s="141">
        <f t="shared" si="1"/>
        <v>0</v>
      </c>
      <c r="M48" s="129" t="str">
        <f t="shared" si="2"/>
        <v>-</v>
      </c>
      <c r="N48" s="255"/>
      <c r="O48" s="256"/>
      <c r="P48" s="256"/>
      <c r="Q48" s="257"/>
      <c r="R48" s="7"/>
      <c r="S48" s="180">
        <v>1</v>
      </c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>
        <v>1</v>
      </c>
      <c r="AF48" s="180"/>
      <c r="AG48" s="180"/>
      <c r="AH48" s="180"/>
    </row>
    <row r="49" spans="1:34" ht="23.25" customHeight="1" x14ac:dyDescent="0.15">
      <c r="B49" s="39"/>
      <c r="C49" s="41"/>
      <c r="D49" s="44"/>
      <c r="E49" s="311" t="s">
        <v>54</v>
      </c>
      <c r="F49" s="311"/>
      <c r="G49" s="312"/>
      <c r="H49" s="43" t="s">
        <v>20</v>
      </c>
      <c r="I49" s="8"/>
      <c r="J49" s="9"/>
      <c r="K49" s="10" t="str">
        <f t="shared" si="0"/>
        <v>-</v>
      </c>
      <c r="L49" s="141">
        <f t="shared" si="1"/>
        <v>0</v>
      </c>
      <c r="M49" s="129" t="str">
        <f t="shared" si="2"/>
        <v>-</v>
      </c>
      <c r="N49" s="255"/>
      <c r="O49" s="256"/>
      <c r="P49" s="256"/>
      <c r="Q49" s="257"/>
      <c r="R49" s="7"/>
      <c r="S49" s="180">
        <v>1</v>
      </c>
      <c r="T49" s="180"/>
      <c r="U49" s="180"/>
      <c r="V49" s="180"/>
      <c r="W49" s="180"/>
      <c r="X49" s="180"/>
      <c r="Y49" s="180"/>
      <c r="Z49" s="180"/>
      <c r="AA49" s="180"/>
      <c r="AB49" s="180"/>
      <c r="AC49" s="180"/>
      <c r="AD49" s="180"/>
      <c r="AE49" s="180"/>
      <c r="AF49" s="180">
        <v>1</v>
      </c>
      <c r="AG49" s="180"/>
      <c r="AH49" s="180"/>
    </row>
    <row r="50" spans="1:34" ht="23.25" customHeight="1" x14ac:dyDescent="0.15">
      <c r="B50" s="39"/>
      <c r="C50" s="41"/>
      <c r="D50" s="44"/>
      <c r="E50" s="311" t="s">
        <v>152</v>
      </c>
      <c r="F50" s="311"/>
      <c r="G50" s="312"/>
      <c r="H50" s="43" t="s">
        <v>20</v>
      </c>
      <c r="I50" s="8"/>
      <c r="J50" s="9"/>
      <c r="K50" s="10" t="str">
        <f t="shared" si="0"/>
        <v>-</v>
      </c>
      <c r="L50" s="141">
        <f t="shared" si="1"/>
        <v>0</v>
      </c>
      <c r="M50" s="129" t="str">
        <f t="shared" si="2"/>
        <v>-</v>
      </c>
      <c r="N50" s="255"/>
      <c r="O50" s="256"/>
      <c r="P50" s="256"/>
      <c r="Q50" s="257"/>
      <c r="R50" s="7"/>
      <c r="S50" s="180">
        <v>1</v>
      </c>
      <c r="T50" s="180"/>
      <c r="U50" s="180"/>
      <c r="V50" s="180"/>
      <c r="W50" s="180"/>
      <c r="X50" s="180"/>
      <c r="Y50" s="180"/>
      <c r="Z50" s="180"/>
      <c r="AA50" s="180">
        <v>1</v>
      </c>
      <c r="AB50" s="180">
        <v>1</v>
      </c>
      <c r="AC50" s="180">
        <v>1</v>
      </c>
      <c r="AD50" s="180">
        <v>1</v>
      </c>
      <c r="AE50" s="180">
        <v>1</v>
      </c>
      <c r="AF50" s="180">
        <v>1</v>
      </c>
      <c r="AG50" s="180"/>
      <c r="AH50" s="180"/>
    </row>
    <row r="51" spans="1:34" ht="23.25" customHeight="1" x14ac:dyDescent="0.15">
      <c r="B51" s="39"/>
      <c r="C51" s="41"/>
      <c r="D51" s="336" t="s">
        <v>55</v>
      </c>
      <c r="E51" s="237"/>
      <c r="F51" s="237"/>
      <c r="G51" s="238"/>
      <c r="H51" s="43" t="s">
        <v>20</v>
      </c>
      <c r="I51" s="8"/>
      <c r="J51" s="9"/>
      <c r="K51" s="10" t="str">
        <f t="shared" si="0"/>
        <v>-</v>
      </c>
      <c r="L51" s="141">
        <f t="shared" si="1"/>
        <v>0</v>
      </c>
      <c r="M51" s="129" t="str">
        <f t="shared" si="2"/>
        <v>-</v>
      </c>
      <c r="N51" s="190"/>
      <c r="O51" s="191"/>
      <c r="P51" s="191"/>
      <c r="Q51" s="192"/>
      <c r="R51" s="7"/>
      <c r="S51" s="180">
        <v>1</v>
      </c>
      <c r="T51" s="180">
        <v>1</v>
      </c>
      <c r="U51" s="180"/>
      <c r="V51" s="180"/>
      <c r="W51" s="180"/>
      <c r="X51" s="180"/>
      <c r="Y51" s="180"/>
      <c r="Z51" s="180"/>
      <c r="AA51" s="180"/>
      <c r="AB51" s="180"/>
      <c r="AC51" s="180"/>
      <c r="AD51" s="180"/>
      <c r="AE51" s="180"/>
      <c r="AF51" s="180"/>
      <c r="AG51" s="180"/>
      <c r="AH51" s="180"/>
    </row>
    <row r="52" spans="1:34" ht="23.25" customHeight="1" x14ac:dyDescent="0.15">
      <c r="B52" s="39"/>
      <c r="C52" s="41"/>
      <c r="D52" s="359" t="s">
        <v>56</v>
      </c>
      <c r="E52" s="360"/>
      <c r="F52" s="360"/>
      <c r="G52" s="361"/>
      <c r="H52" s="54" t="s">
        <v>20</v>
      </c>
      <c r="I52" s="13"/>
      <c r="J52" s="11"/>
      <c r="K52" s="12" t="str">
        <f t="shared" si="0"/>
        <v>-</v>
      </c>
      <c r="L52" s="142">
        <f t="shared" si="1"/>
        <v>0</v>
      </c>
      <c r="M52" s="130" t="str">
        <f t="shared" si="2"/>
        <v>-</v>
      </c>
      <c r="N52" s="190"/>
      <c r="O52" s="191"/>
      <c r="P52" s="191"/>
      <c r="Q52" s="192"/>
      <c r="R52" s="7"/>
      <c r="S52" s="180">
        <v>1</v>
      </c>
      <c r="T52" s="180">
        <v>1</v>
      </c>
      <c r="U52" s="180">
        <v>1</v>
      </c>
      <c r="V52" s="180">
        <v>1</v>
      </c>
      <c r="W52" s="180">
        <v>1</v>
      </c>
      <c r="X52" s="180">
        <v>1</v>
      </c>
      <c r="Y52" s="180">
        <v>1</v>
      </c>
      <c r="Z52" s="180">
        <v>1</v>
      </c>
      <c r="AA52" s="180">
        <v>1</v>
      </c>
      <c r="AB52" s="180">
        <v>1</v>
      </c>
      <c r="AC52" s="180">
        <v>1</v>
      </c>
      <c r="AD52" s="180">
        <v>1</v>
      </c>
      <c r="AE52" s="180">
        <v>1</v>
      </c>
      <c r="AF52" s="180">
        <v>1</v>
      </c>
      <c r="AG52" s="180"/>
      <c r="AH52" s="180">
        <v>1</v>
      </c>
    </row>
    <row r="53" spans="1:34" ht="23.25" customHeight="1" x14ac:dyDescent="0.15">
      <c r="B53" s="39"/>
      <c r="C53" s="41"/>
      <c r="D53" s="55"/>
      <c r="E53" s="310"/>
      <c r="F53" s="311"/>
      <c r="G53" s="312"/>
      <c r="H53" s="43" t="s">
        <v>20</v>
      </c>
      <c r="I53" s="8"/>
      <c r="J53" s="9"/>
      <c r="K53" s="10" t="str">
        <f t="shared" si="0"/>
        <v>-</v>
      </c>
      <c r="L53" s="141">
        <f t="shared" si="1"/>
        <v>0</v>
      </c>
      <c r="M53" s="129" t="str">
        <f t="shared" si="2"/>
        <v>-</v>
      </c>
      <c r="N53" s="190"/>
      <c r="O53" s="191"/>
      <c r="P53" s="191"/>
      <c r="Q53" s="192"/>
      <c r="R53" s="7"/>
      <c r="S53" s="180">
        <v>1</v>
      </c>
      <c r="T53" s="180">
        <v>1</v>
      </c>
      <c r="U53" s="180">
        <v>1</v>
      </c>
      <c r="V53" s="180">
        <v>1</v>
      </c>
      <c r="W53" s="180">
        <v>1</v>
      </c>
      <c r="X53" s="180">
        <v>1</v>
      </c>
      <c r="Y53" s="180">
        <v>1</v>
      </c>
      <c r="Z53" s="180">
        <v>1</v>
      </c>
      <c r="AA53" s="180">
        <v>1</v>
      </c>
      <c r="AB53" s="180">
        <v>1</v>
      </c>
      <c r="AC53" s="180">
        <v>1</v>
      </c>
      <c r="AD53" s="180">
        <v>1</v>
      </c>
      <c r="AE53" s="180">
        <v>1</v>
      </c>
      <c r="AF53" s="180">
        <v>1</v>
      </c>
      <c r="AG53" s="180"/>
      <c r="AH53" s="180"/>
    </row>
    <row r="54" spans="1:34" ht="23.25" customHeight="1" x14ac:dyDescent="0.15">
      <c r="B54" s="39"/>
      <c r="C54" s="41"/>
      <c r="D54" s="55"/>
      <c r="E54" s="358"/>
      <c r="F54" s="356"/>
      <c r="G54" s="357"/>
      <c r="H54" s="43" t="s">
        <v>20</v>
      </c>
      <c r="I54" s="14"/>
      <c r="J54" s="15"/>
      <c r="K54" s="10" t="str">
        <f t="shared" si="0"/>
        <v>-</v>
      </c>
      <c r="L54" s="141">
        <f t="shared" si="1"/>
        <v>0</v>
      </c>
      <c r="M54" s="129" t="str">
        <f t="shared" si="2"/>
        <v>-</v>
      </c>
      <c r="N54" s="190"/>
      <c r="O54" s="191"/>
      <c r="P54" s="191"/>
      <c r="Q54" s="192"/>
      <c r="R54" s="7"/>
      <c r="S54" s="180">
        <v>1</v>
      </c>
      <c r="T54" s="180">
        <v>1</v>
      </c>
      <c r="U54" s="180">
        <v>1</v>
      </c>
      <c r="V54" s="180">
        <v>1</v>
      </c>
      <c r="W54" s="180">
        <v>1</v>
      </c>
      <c r="X54" s="180">
        <v>1</v>
      </c>
      <c r="Y54" s="180">
        <v>1</v>
      </c>
      <c r="Z54" s="180">
        <v>1</v>
      </c>
      <c r="AA54" s="180">
        <v>1</v>
      </c>
      <c r="AB54" s="180">
        <v>1</v>
      </c>
      <c r="AC54" s="180">
        <v>1</v>
      </c>
      <c r="AD54" s="180">
        <v>1</v>
      </c>
      <c r="AE54" s="180">
        <v>1</v>
      </c>
      <c r="AF54" s="180">
        <v>1</v>
      </c>
      <c r="AG54" s="180"/>
      <c r="AH54" s="180"/>
    </row>
    <row r="55" spans="1:34" ht="23.25" customHeight="1" x14ac:dyDescent="0.15">
      <c r="B55" s="39"/>
      <c r="C55" s="41"/>
      <c r="D55" s="55"/>
      <c r="E55" s="358"/>
      <c r="F55" s="356"/>
      <c r="G55" s="357"/>
      <c r="H55" s="43" t="s">
        <v>20</v>
      </c>
      <c r="I55" s="14"/>
      <c r="J55" s="15"/>
      <c r="K55" s="10" t="str">
        <f t="shared" si="0"/>
        <v>-</v>
      </c>
      <c r="L55" s="141">
        <f t="shared" si="1"/>
        <v>0</v>
      </c>
      <c r="M55" s="129" t="str">
        <f t="shared" si="2"/>
        <v>-</v>
      </c>
      <c r="N55" s="190"/>
      <c r="O55" s="191"/>
      <c r="P55" s="191"/>
      <c r="Q55" s="192"/>
      <c r="R55" s="7"/>
      <c r="S55" s="180">
        <v>1</v>
      </c>
      <c r="T55" s="180"/>
      <c r="U55" s="180"/>
      <c r="V55" s="180"/>
      <c r="W55" s="180"/>
      <c r="X55" s="180"/>
      <c r="Y55" s="180"/>
      <c r="Z55" s="180"/>
      <c r="AA55" s="180"/>
      <c r="AB55" s="180"/>
      <c r="AC55" s="180"/>
      <c r="AD55" s="180"/>
      <c r="AE55" s="180"/>
      <c r="AF55" s="180"/>
      <c r="AG55" s="180"/>
      <c r="AH55" s="180"/>
    </row>
    <row r="56" spans="1:34" ht="23.25" customHeight="1" x14ac:dyDescent="0.15">
      <c r="B56" s="39"/>
      <c r="C56" s="41"/>
      <c r="D56" s="55"/>
      <c r="E56" s="358"/>
      <c r="F56" s="356"/>
      <c r="G56" s="357"/>
      <c r="H56" s="43" t="s">
        <v>20</v>
      </c>
      <c r="I56" s="14"/>
      <c r="J56" s="15"/>
      <c r="K56" s="10" t="str">
        <f t="shared" si="0"/>
        <v>-</v>
      </c>
      <c r="L56" s="141">
        <f t="shared" si="1"/>
        <v>0</v>
      </c>
      <c r="M56" s="129" t="str">
        <f t="shared" si="2"/>
        <v>-</v>
      </c>
      <c r="N56" s="190"/>
      <c r="O56" s="191"/>
      <c r="P56" s="191"/>
      <c r="Q56" s="192"/>
      <c r="R56" s="7"/>
      <c r="S56" s="180">
        <v>1</v>
      </c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  <c r="AG56" s="180"/>
      <c r="AH56" s="180"/>
    </row>
    <row r="57" spans="1:34" ht="23.25" customHeight="1" x14ac:dyDescent="0.15">
      <c r="B57" s="39"/>
      <c r="C57" s="41"/>
      <c r="D57" s="55"/>
      <c r="E57" s="358"/>
      <c r="F57" s="356"/>
      <c r="G57" s="357"/>
      <c r="H57" s="43" t="s">
        <v>20</v>
      </c>
      <c r="I57" s="14"/>
      <c r="J57" s="15"/>
      <c r="K57" s="10" t="str">
        <f t="shared" si="0"/>
        <v>-</v>
      </c>
      <c r="L57" s="141">
        <f t="shared" si="1"/>
        <v>0</v>
      </c>
      <c r="M57" s="129" t="str">
        <f t="shared" si="2"/>
        <v>-</v>
      </c>
      <c r="N57" s="190"/>
      <c r="O57" s="191"/>
      <c r="P57" s="191"/>
      <c r="Q57" s="192"/>
      <c r="R57" s="7"/>
      <c r="S57" s="180">
        <v>1</v>
      </c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  <c r="AG57" s="180"/>
      <c r="AH57" s="180"/>
    </row>
    <row r="58" spans="1:34" ht="23.25" customHeight="1" x14ac:dyDescent="0.15">
      <c r="B58" s="39"/>
      <c r="C58" s="41"/>
      <c r="D58" s="55"/>
      <c r="E58" s="358"/>
      <c r="F58" s="356"/>
      <c r="G58" s="357"/>
      <c r="H58" s="43" t="s">
        <v>20</v>
      </c>
      <c r="I58" s="8"/>
      <c r="J58" s="9"/>
      <c r="K58" s="10" t="str">
        <f t="shared" si="0"/>
        <v>-</v>
      </c>
      <c r="L58" s="141">
        <f t="shared" si="1"/>
        <v>0</v>
      </c>
      <c r="M58" s="129" t="str">
        <f t="shared" si="2"/>
        <v>-</v>
      </c>
      <c r="N58" s="255"/>
      <c r="O58" s="256"/>
      <c r="P58" s="256"/>
      <c r="Q58" s="257"/>
      <c r="R58" s="7"/>
      <c r="S58" s="180">
        <v>1</v>
      </c>
      <c r="T58" s="180">
        <v>1</v>
      </c>
      <c r="U58" s="180">
        <v>1</v>
      </c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</row>
    <row r="59" spans="1:34" ht="23.25" customHeight="1" x14ac:dyDescent="0.15">
      <c r="B59" s="39"/>
      <c r="C59" s="41"/>
      <c r="D59" s="55"/>
      <c r="E59" s="358"/>
      <c r="F59" s="356"/>
      <c r="G59" s="357"/>
      <c r="H59" s="43" t="s">
        <v>20</v>
      </c>
      <c r="I59" s="8"/>
      <c r="J59" s="9"/>
      <c r="K59" s="10" t="str">
        <f t="shared" si="0"/>
        <v>-</v>
      </c>
      <c r="L59" s="141">
        <f t="shared" si="1"/>
        <v>0</v>
      </c>
      <c r="M59" s="129" t="str">
        <f t="shared" si="2"/>
        <v>-</v>
      </c>
      <c r="N59" s="255"/>
      <c r="O59" s="256"/>
      <c r="P59" s="256"/>
      <c r="Q59" s="257"/>
      <c r="R59" s="7"/>
      <c r="S59" s="180">
        <v>1</v>
      </c>
      <c r="T59" s="180">
        <v>1</v>
      </c>
      <c r="U59" s="180">
        <v>1</v>
      </c>
      <c r="V59" s="180"/>
      <c r="W59" s="180"/>
      <c r="X59" s="180"/>
      <c r="Y59" s="180"/>
      <c r="Z59" s="180"/>
      <c r="AA59" s="180"/>
      <c r="AB59" s="180"/>
      <c r="AC59" s="180"/>
      <c r="AD59" s="180"/>
      <c r="AE59" s="180"/>
      <c r="AF59" s="180"/>
      <c r="AG59" s="180"/>
      <c r="AH59" s="180"/>
    </row>
    <row r="60" spans="1:34" ht="23.25" customHeight="1" x14ac:dyDescent="0.15">
      <c r="B60" s="39"/>
      <c r="C60" s="41"/>
      <c r="D60" s="55"/>
      <c r="E60" s="355"/>
      <c r="F60" s="356"/>
      <c r="G60" s="357"/>
      <c r="H60" s="54" t="s">
        <v>20</v>
      </c>
      <c r="I60" s="13"/>
      <c r="J60" s="11"/>
      <c r="K60" s="12" t="str">
        <f t="shared" si="0"/>
        <v>-</v>
      </c>
      <c r="L60" s="142">
        <f t="shared" si="1"/>
        <v>0</v>
      </c>
      <c r="M60" s="130" t="str">
        <f t="shared" si="2"/>
        <v>-</v>
      </c>
      <c r="N60" s="255"/>
      <c r="O60" s="256"/>
      <c r="P60" s="256"/>
      <c r="Q60" s="257"/>
      <c r="R60" s="7"/>
      <c r="S60" s="180">
        <v>1</v>
      </c>
      <c r="T60" s="180">
        <v>1</v>
      </c>
      <c r="U60" s="180">
        <v>1</v>
      </c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0"/>
    </row>
    <row r="61" spans="1:34" ht="23.25" customHeight="1" x14ac:dyDescent="0.15">
      <c r="B61" s="39"/>
      <c r="C61" s="41"/>
      <c r="D61" s="55"/>
      <c r="E61" s="355"/>
      <c r="F61" s="356"/>
      <c r="G61" s="357"/>
      <c r="H61" s="43" t="s">
        <v>20</v>
      </c>
      <c r="I61" s="8"/>
      <c r="J61" s="9"/>
      <c r="K61" s="10" t="str">
        <f t="shared" si="0"/>
        <v>-</v>
      </c>
      <c r="L61" s="141">
        <f t="shared" si="1"/>
        <v>0</v>
      </c>
      <c r="M61" s="129" t="str">
        <f t="shared" si="2"/>
        <v>-</v>
      </c>
      <c r="N61" s="255"/>
      <c r="O61" s="256"/>
      <c r="P61" s="256"/>
      <c r="Q61" s="257"/>
      <c r="R61" s="7"/>
      <c r="S61" s="180">
        <v>1</v>
      </c>
      <c r="T61" s="180"/>
      <c r="U61" s="180">
        <v>1</v>
      </c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  <c r="AG61" s="180"/>
      <c r="AH61" s="180"/>
    </row>
    <row r="62" spans="1:34" s="175" customFormat="1" ht="23.25" customHeight="1" x14ac:dyDescent="0.15">
      <c r="A62" s="27"/>
      <c r="B62" s="39"/>
      <c r="C62" s="41"/>
      <c r="D62" s="55"/>
      <c r="E62" s="355"/>
      <c r="F62" s="356"/>
      <c r="G62" s="357"/>
      <c r="H62" s="54" t="s">
        <v>20</v>
      </c>
      <c r="I62" s="13"/>
      <c r="J62" s="11"/>
      <c r="K62" s="12" t="str">
        <f t="shared" si="0"/>
        <v>-</v>
      </c>
      <c r="L62" s="142">
        <f t="shared" si="1"/>
        <v>0</v>
      </c>
      <c r="M62" s="130" t="str">
        <f t="shared" si="2"/>
        <v>-</v>
      </c>
      <c r="N62" s="190"/>
      <c r="O62" s="191"/>
      <c r="P62" s="191"/>
      <c r="Q62" s="192"/>
      <c r="R62" s="7"/>
      <c r="S62" s="180">
        <v>1</v>
      </c>
      <c r="T62" s="180">
        <v>1</v>
      </c>
      <c r="U62" s="180">
        <v>1</v>
      </c>
      <c r="V62" s="180"/>
      <c r="W62" s="180"/>
      <c r="X62" s="180"/>
      <c r="Y62" s="180"/>
      <c r="Z62" s="180"/>
      <c r="AA62" s="180"/>
      <c r="AB62" s="180"/>
      <c r="AC62" s="180"/>
      <c r="AD62" s="180"/>
      <c r="AE62" s="180"/>
      <c r="AF62" s="180"/>
      <c r="AG62" s="180"/>
      <c r="AH62" s="180"/>
    </row>
    <row r="63" spans="1:34" s="175" customFormat="1" ht="23.25" customHeight="1" x14ac:dyDescent="0.15">
      <c r="A63" s="27"/>
      <c r="B63" s="39"/>
      <c r="C63" s="41"/>
      <c r="D63" s="55"/>
      <c r="E63" s="355"/>
      <c r="F63" s="356"/>
      <c r="G63" s="357"/>
      <c r="H63" s="43" t="s">
        <v>20</v>
      </c>
      <c r="I63" s="8"/>
      <c r="J63" s="9"/>
      <c r="K63" s="10" t="str">
        <f t="shared" si="0"/>
        <v>-</v>
      </c>
      <c r="L63" s="141">
        <f t="shared" si="1"/>
        <v>0</v>
      </c>
      <c r="M63" s="129" t="str">
        <f t="shared" si="2"/>
        <v>-</v>
      </c>
      <c r="N63" s="190"/>
      <c r="O63" s="191"/>
      <c r="P63" s="191"/>
      <c r="Q63" s="192"/>
      <c r="R63" s="7"/>
      <c r="S63" s="180"/>
      <c r="T63" s="180"/>
      <c r="U63" s="180"/>
      <c r="V63" s="180"/>
      <c r="W63" s="181"/>
      <c r="X63" s="180"/>
      <c r="Y63" s="180"/>
      <c r="Z63" s="181"/>
      <c r="AA63" s="180"/>
      <c r="AB63" s="180"/>
      <c r="AC63" s="180"/>
      <c r="AD63" s="180"/>
      <c r="AE63" s="180"/>
      <c r="AF63" s="180"/>
      <c r="AG63" s="180"/>
      <c r="AH63" s="180"/>
    </row>
    <row r="64" spans="1:34" s="175" customFormat="1" ht="23.25" customHeight="1" x14ac:dyDescent="0.15">
      <c r="A64" s="27"/>
      <c r="B64" s="39"/>
      <c r="C64" s="41"/>
      <c r="D64" s="55"/>
      <c r="E64" s="355"/>
      <c r="F64" s="356"/>
      <c r="G64" s="357"/>
      <c r="H64" s="43" t="s">
        <v>20</v>
      </c>
      <c r="I64" s="8"/>
      <c r="J64" s="9"/>
      <c r="K64" s="10" t="str">
        <f t="shared" si="0"/>
        <v>-</v>
      </c>
      <c r="L64" s="141">
        <f t="shared" si="1"/>
        <v>0</v>
      </c>
      <c r="M64" s="129" t="str">
        <f t="shared" si="2"/>
        <v>-</v>
      </c>
      <c r="N64" s="190"/>
      <c r="O64" s="191"/>
      <c r="P64" s="191"/>
      <c r="Q64" s="192"/>
      <c r="R64" s="7"/>
      <c r="S64" s="180">
        <v>1</v>
      </c>
      <c r="T64" s="180"/>
      <c r="U64" s="180"/>
      <c r="V64" s="181"/>
      <c r="W64" s="180">
        <v>1</v>
      </c>
      <c r="X64" s="180"/>
      <c r="Y64" s="180"/>
      <c r="Z64" s="180">
        <v>1</v>
      </c>
      <c r="AA64" s="180"/>
      <c r="AB64" s="180"/>
      <c r="AC64" s="180"/>
      <c r="AD64" s="180"/>
      <c r="AE64" s="180"/>
      <c r="AF64" s="180"/>
      <c r="AG64" s="180"/>
      <c r="AH64" s="180"/>
    </row>
    <row r="65" spans="1:34" s="175" customFormat="1" ht="23.25" customHeight="1" x14ac:dyDescent="0.15">
      <c r="A65" s="27"/>
      <c r="B65" s="39"/>
      <c r="C65" s="41"/>
      <c r="D65" s="55"/>
      <c r="E65" s="355"/>
      <c r="F65" s="356"/>
      <c r="G65" s="357"/>
      <c r="H65" s="54" t="s">
        <v>20</v>
      </c>
      <c r="I65" s="13"/>
      <c r="J65" s="11"/>
      <c r="K65" s="12" t="str">
        <f t="shared" si="0"/>
        <v>-</v>
      </c>
      <c r="L65" s="142">
        <f t="shared" si="1"/>
        <v>0</v>
      </c>
      <c r="M65" s="130" t="str">
        <f t="shared" si="2"/>
        <v>-</v>
      </c>
      <c r="N65" s="190"/>
      <c r="O65" s="191"/>
      <c r="P65" s="191"/>
      <c r="Q65" s="192"/>
      <c r="R65" s="7"/>
      <c r="S65" s="180"/>
      <c r="T65" s="180"/>
      <c r="U65" s="180">
        <v>1</v>
      </c>
      <c r="V65" s="181"/>
      <c r="W65" s="181"/>
      <c r="X65" s="180"/>
      <c r="Y65" s="180"/>
      <c r="Z65" s="180"/>
      <c r="AA65" s="180"/>
      <c r="AB65" s="180"/>
      <c r="AC65" s="180"/>
      <c r="AD65" s="180"/>
      <c r="AE65" s="180"/>
      <c r="AF65" s="180"/>
      <c r="AG65" s="180"/>
      <c r="AH65" s="180"/>
    </row>
    <row r="66" spans="1:34" s="175" customFormat="1" ht="23.25" customHeight="1" x14ac:dyDescent="0.15">
      <c r="A66" s="27"/>
      <c r="B66" s="39"/>
      <c r="C66" s="41"/>
      <c r="D66" s="55"/>
      <c r="E66" s="355"/>
      <c r="F66" s="356"/>
      <c r="G66" s="357"/>
      <c r="H66" s="43" t="s">
        <v>20</v>
      </c>
      <c r="I66" s="8"/>
      <c r="J66" s="9"/>
      <c r="K66" s="10" t="str">
        <f t="shared" si="0"/>
        <v>-</v>
      </c>
      <c r="L66" s="141">
        <f t="shared" si="1"/>
        <v>0</v>
      </c>
      <c r="M66" s="129" t="str">
        <f t="shared" si="2"/>
        <v>-</v>
      </c>
      <c r="N66" s="255"/>
      <c r="O66" s="256"/>
      <c r="P66" s="256"/>
      <c r="Q66" s="257"/>
      <c r="R66" s="7"/>
      <c r="S66" s="180">
        <v>1</v>
      </c>
      <c r="T66" s="180"/>
      <c r="U66" s="180"/>
      <c r="V66" s="180">
        <v>1</v>
      </c>
      <c r="W66" s="180">
        <v>1</v>
      </c>
      <c r="X66" s="181"/>
      <c r="Y66" s="180"/>
      <c r="Z66" s="180"/>
      <c r="AA66" s="180"/>
      <c r="AB66" s="180"/>
      <c r="AC66" s="180"/>
      <c r="AD66" s="180"/>
      <c r="AE66" s="180"/>
      <c r="AF66" s="180"/>
      <c r="AG66" s="180"/>
      <c r="AH66" s="180"/>
    </row>
    <row r="67" spans="1:34" s="175" customFormat="1" ht="23.25" customHeight="1" x14ac:dyDescent="0.15">
      <c r="A67" s="27"/>
      <c r="B67" s="39"/>
      <c r="C67" s="41"/>
      <c r="D67" s="55"/>
      <c r="E67" s="355"/>
      <c r="F67" s="356"/>
      <c r="G67" s="357"/>
      <c r="H67" s="43" t="s">
        <v>20</v>
      </c>
      <c r="I67" s="8"/>
      <c r="J67" s="9"/>
      <c r="K67" s="10" t="str">
        <f t="shared" si="0"/>
        <v>-</v>
      </c>
      <c r="L67" s="141">
        <f t="shared" si="1"/>
        <v>0</v>
      </c>
      <c r="M67" s="129" t="str">
        <f t="shared" si="2"/>
        <v>-</v>
      </c>
      <c r="N67" s="190"/>
      <c r="O67" s="191"/>
      <c r="P67" s="191"/>
      <c r="Q67" s="192"/>
      <c r="R67" s="7"/>
      <c r="S67" s="180"/>
      <c r="T67" s="180"/>
      <c r="U67" s="180"/>
      <c r="V67" s="180">
        <v>1</v>
      </c>
      <c r="W67" s="180">
        <v>1</v>
      </c>
      <c r="X67" s="181"/>
      <c r="Y67" s="180"/>
      <c r="Z67" s="180"/>
      <c r="AA67" s="180"/>
      <c r="AB67" s="180"/>
      <c r="AC67" s="180"/>
      <c r="AD67" s="180"/>
      <c r="AE67" s="180"/>
      <c r="AF67" s="180"/>
      <c r="AG67" s="180"/>
      <c r="AH67" s="180"/>
    </row>
    <row r="68" spans="1:34" s="175" customFormat="1" ht="23.25" customHeight="1" x14ac:dyDescent="0.15">
      <c r="A68" s="27"/>
      <c r="B68" s="39"/>
      <c r="C68" s="41"/>
      <c r="D68" s="55"/>
      <c r="E68" s="355"/>
      <c r="F68" s="356"/>
      <c r="G68" s="357"/>
      <c r="H68" s="54" t="s">
        <v>20</v>
      </c>
      <c r="I68" s="13"/>
      <c r="J68" s="11"/>
      <c r="K68" s="12" t="str">
        <f t="shared" si="0"/>
        <v>-</v>
      </c>
      <c r="L68" s="142">
        <f t="shared" si="1"/>
        <v>0</v>
      </c>
      <c r="M68" s="130" t="str">
        <f t="shared" si="2"/>
        <v>-</v>
      </c>
      <c r="N68" s="190"/>
      <c r="O68" s="191"/>
      <c r="P68" s="191"/>
      <c r="Q68" s="192"/>
      <c r="R68" s="7"/>
      <c r="S68" s="180"/>
      <c r="T68" s="180"/>
      <c r="U68" s="180"/>
      <c r="V68" s="180"/>
      <c r="W68" s="180"/>
      <c r="X68" s="180">
        <v>1</v>
      </c>
      <c r="Y68" s="180"/>
      <c r="Z68" s="180"/>
      <c r="AA68" s="180"/>
      <c r="AB68" s="180"/>
      <c r="AC68" s="180"/>
      <c r="AD68" s="180"/>
      <c r="AE68" s="180"/>
      <c r="AF68" s="180"/>
      <c r="AG68" s="180"/>
      <c r="AH68" s="180"/>
    </row>
    <row r="69" spans="1:34" s="175" customFormat="1" ht="23.25" customHeight="1" x14ac:dyDescent="0.15">
      <c r="A69" s="27"/>
      <c r="B69" s="39"/>
      <c r="C69" s="41"/>
      <c r="D69" s="55"/>
      <c r="E69" s="358"/>
      <c r="F69" s="356"/>
      <c r="G69" s="357"/>
      <c r="H69" s="43" t="s">
        <v>20</v>
      </c>
      <c r="I69" s="8"/>
      <c r="J69" s="9"/>
      <c r="K69" s="10" t="str">
        <f t="shared" si="0"/>
        <v>-</v>
      </c>
      <c r="L69" s="141">
        <f t="shared" si="1"/>
        <v>0</v>
      </c>
      <c r="M69" s="129" t="str">
        <f t="shared" si="2"/>
        <v>-</v>
      </c>
      <c r="N69" s="255"/>
      <c r="O69" s="256"/>
      <c r="P69" s="256"/>
      <c r="Q69" s="257"/>
      <c r="R69" s="7"/>
      <c r="S69" s="180"/>
      <c r="T69" s="180"/>
      <c r="U69" s="180"/>
      <c r="V69" s="180"/>
      <c r="W69" s="180"/>
      <c r="X69" s="180">
        <v>1</v>
      </c>
      <c r="Y69" s="180"/>
      <c r="Z69" s="180"/>
      <c r="AA69" s="181"/>
      <c r="AB69" s="181"/>
      <c r="AC69" s="181"/>
      <c r="AD69" s="181"/>
      <c r="AE69" s="181"/>
      <c r="AF69" s="181"/>
      <c r="AG69" s="180"/>
      <c r="AH69" s="180"/>
    </row>
    <row r="70" spans="1:34" s="175" customFormat="1" ht="23.25" customHeight="1" x14ac:dyDescent="0.15">
      <c r="A70" s="27"/>
      <c r="B70" s="39"/>
      <c r="C70" s="41"/>
      <c r="D70" s="55"/>
      <c r="E70" s="355"/>
      <c r="F70" s="356"/>
      <c r="G70" s="357"/>
      <c r="H70" s="54" t="s">
        <v>20</v>
      </c>
      <c r="I70" s="13"/>
      <c r="J70" s="11"/>
      <c r="K70" s="12" t="str">
        <f t="shared" si="0"/>
        <v>-</v>
      </c>
      <c r="L70" s="142">
        <f t="shared" si="1"/>
        <v>0</v>
      </c>
      <c r="M70" s="130" t="str">
        <f t="shared" si="2"/>
        <v>-</v>
      </c>
      <c r="N70" s="190"/>
      <c r="O70" s="191"/>
      <c r="P70" s="191"/>
      <c r="Q70" s="192"/>
      <c r="R70" s="7"/>
      <c r="S70" s="180"/>
      <c r="T70" s="180"/>
      <c r="U70" s="180"/>
      <c r="V70" s="180"/>
      <c r="W70" s="180"/>
      <c r="X70" s="180">
        <v>1</v>
      </c>
      <c r="Y70" s="180"/>
      <c r="Z70" s="180"/>
      <c r="AA70" s="181"/>
      <c r="AB70" s="180"/>
      <c r="AC70" s="180"/>
      <c r="AD70" s="180"/>
      <c r="AE70" s="180"/>
      <c r="AF70" s="180"/>
      <c r="AG70" s="180"/>
      <c r="AH70" s="180"/>
    </row>
    <row r="71" spans="1:34" s="175" customFormat="1" ht="23.25" customHeight="1" x14ac:dyDescent="0.15">
      <c r="A71" s="27"/>
      <c r="B71" s="39"/>
      <c r="C71" s="41"/>
      <c r="D71" s="55"/>
      <c r="E71" s="358"/>
      <c r="F71" s="356"/>
      <c r="G71" s="357"/>
      <c r="H71" s="43" t="s">
        <v>20</v>
      </c>
      <c r="I71" s="8"/>
      <c r="J71" s="9"/>
      <c r="K71" s="10" t="str">
        <f t="shared" si="0"/>
        <v>-</v>
      </c>
      <c r="L71" s="141">
        <f t="shared" si="1"/>
        <v>0</v>
      </c>
      <c r="M71" s="129" t="str">
        <f t="shared" si="2"/>
        <v>-</v>
      </c>
      <c r="N71" s="190"/>
      <c r="O71" s="191"/>
      <c r="P71" s="191"/>
      <c r="Q71" s="192"/>
      <c r="R71" s="7"/>
      <c r="S71" s="180">
        <v>1</v>
      </c>
      <c r="T71" s="180"/>
      <c r="U71" s="180"/>
      <c r="V71" s="180"/>
      <c r="W71" s="180"/>
      <c r="X71" s="180"/>
      <c r="Y71" s="180"/>
      <c r="Z71" s="180"/>
      <c r="AA71" s="180">
        <v>1</v>
      </c>
      <c r="AB71" s="180">
        <v>1</v>
      </c>
      <c r="AC71" s="180">
        <v>1</v>
      </c>
      <c r="AD71" s="180">
        <v>1</v>
      </c>
      <c r="AE71" s="180">
        <v>1</v>
      </c>
      <c r="AF71" s="180">
        <v>1</v>
      </c>
      <c r="AG71" s="180"/>
      <c r="AH71" s="180"/>
    </row>
    <row r="72" spans="1:34" s="175" customFormat="1" ht="23.25" customHeight="1" x14ac:dyDescent="0.15">
      <c r="A72" s="27"/>
      <c r="B72" s="39"/>
      <c r="C72" s="41"/>
      <c r="D72" s="55"/>
      <c r="E72" s="355"/>
      <c r="F72" s="356"/>
      <c r="G72" s="357"/>
      <c r="H72" s="43" t="s">
        <v>20</v>
      </c>
      <c r="I72" s="8"/>
      <c r="J72" s="9"/>
      <c r="K72" s="10" t="str">
        <f t="shared" si="0"/>
        <v>-</v>
      </c>
      <c r="L72" s="141">
        <f t="shared" si="1"/>
        <v>0</v>
      </c>
      <c r="M72" s="129" t="str">
        <f t="shared" si="2"/>
        <v>-</v>
      </c>
      <c r="N72" s="255"/>
      <c r="O72" s="256"/>
      <c r="P72" s="256"/>
      <c r="Q72" s="257"/>
      <c r="R72" s="7"/>
      <c r="S72" s="180">
        <v>1</v>
      </c>
      <c r="T72" s="180"/>
      <c r="U72" s="180"/>
      <c r="V72" s="180"/>
      <c r="W72" s="180"/>
      <c r="X72" s="180"/>
      <c r="Y72" s="180"/>
      <c r="Z72" s="180"/>
      <c r="AA72" s="180">
        <v>1</v>
      </c>
      <c r="AB72" s="180">
        <v>1</v>
      </c>
      <c r="AC72" s="180">
        <v>1</v>
      </c>
      <c r="AD72" s="180">
        <v>1</v>
      </c>
      <c r="AE72" s="180">
        <v>1</v>
      </c>
      <c r="AF72" s="180">
        <v>1</v>
      </c>
      <c r="AG72" s="180"/>
      <c r="AH72" s="180"/>
    </row>
    <row r="73" spans="1:34" s="175" customFormat="1" ht="23.25" customHeight="1" x14ac:dyDescent="0.15">
      <c r="A73" s="27"/>
      <c r="B73" s="39"/>
      <c r="C73" s="41"/>
      <c r="D73" s="55"/>
      <c r="E73" s="355"/>
      <c r="F73" s="356"/>
      <c r="G73" s="357"/>
      <c r="H73" s="54" t="s">
        <v>20</v>
      </c>
      <c r="I73" s="13"/>
      <c r="J73" s="11"/>
      <c r="K73" s="12" t="str">
        <f t="shared" si="0"/>
        <v>-</v>
      </c>
      <c r="L73" s="142">
        <f t="shared" si="1"/>
        <v>0</v>
      </c>
      <c r="M73" s="130" t="str">
        <f t="shared" si="2"/>
        <v>-</v>
      </c>
      <c r="N73" s="190"/>
      <c r="O73" s="191"/>
      <c r="P73" s="191"/>
      <c r="Q73" s="192"/>
      <c r="R73" s="7"/>
      <c r="S73" s="180"/>
      <c r="T73" s="180"/>
      <c r="U73" s="180"/>
      <c r="V73" s="180"/>
      <c r="W73" s="180"/>
      <c r="X73" s="180"/>
      <c r="Y73" s="180"/>
      <c r="Z73" s="180"/>
      <c r="AA73" s="180">
        <v>1</v>
      </c>
      <c r="AB73" s="181"/>
      <c r="AC73" s="181"/>
      <c r="AD73" s="180"/>
      <c r="AE73" s="180"/>
      <c r="AF73" s="180"/>
      <c r="AG73" s="180"/>
      <c r="AH73" s="180"/>
    </row>
    <row r="74" spans="1:34" s="175" customFormat="1" ht="23.25" customHeight="1" x14ac:dyDescent="0.15">
      <c r="A74" s="27"/>
      <c r="B74" s="39"/>
      <c r="C74" s="41"/>
      <c r="D74" s="55"/>
      <c r="E74" s="355"/>
      <c r="F74" s="356"/>
      <c r="G74" s="357"/>
      <c r="H74" s="43" t="s">
        <v>20</v>
      </c>
      <c r="I74" s="8"/>
      <c r="J74" s="9"/>
      <c r="K74" s="10" t="str">
        <f t="shared" si="0"/>
        <v>-</v>
      </c>
      <c r="L74" s="141">
        <f t="shared" ref="L74:L137" si="3">IFERROR(J74-I74,"-")</f>
        <v>0</v>
      </c>
      <c r="M74" s="129" t="str">
        <f t="shared" si="2"/>
        <v>-</v>
      </c>
      <c r="N74" s="190"/>
      <c r="O74" s="191"/>
      <c r="P74" s="191"/>
      <c r="Q74" s="192"/>
      <c r="R74" s="7"/>
      <c r="S74" s="180">
        <v>1</v>
      </c>
      <c r="T74" s="180"/>
      <c r="U74" s="180"/>
      <c r="V74" s="180"/>
      <c r="W74" s="180"/>
      <c r="X74" s="180"/>
      <c r="Y74" s="180"/>
      <c r="Z74" s="180"/>
      <c r="AA74" s="180"/>
      <c r="AB74" s="180">
        <v>1</v>
      </c>
      <c r="AC74" s="180">
        <v>1</v>
      </c>
      <c r="AD74" s="181"/>
      <c r="AE74" s="180"/>
      <c r="AF74" s="180"/>
      <c r="AG74" s="180"/>
      <c r="AH74" s="180"/>
    </row>
    <row r="75" spans="1:34" s="175" customFormat="1" ht="23.25" customHeight="1" x14ac:dyDescent="0.15">
      <c r="A75" s="27"/>
      <c r="B75" s="39"/>
      <c r="C75" s="41"/>
      <c r="D75" s="55"/>
      <c r="E75" s="279"/>
      <c r="F75" s="311"/>
      <c r="G75" s="312"/>
      <c r="H75" s="43" t="s">
        <v>20</v>
      </c>
      <c r="I75" s="8"/>
      <c r="J75" s="9"/>
      <c r="K75" s="10" t="str">
        <f t="shared" si="0"/>
        <v>-</v>
      </c>
      <c r="L75" s="141">
        <f t="shared" si="3"/>
        <v>0</v>
      </c>
      <c r="M75" s="129" t="str">
        <f t="shared" si="2"/>
        <v>-</v>
      </c>
      <c r="N75" s="255"/>
      <c r="O75" s="256"/>
      <c r="P75" s="256"/>
      <c r="Q75" s="257"/>
      <c r="R75" s="7"/>
      <c r="S75" s="180"/>
      <c r="T75" s="180"/>
      <c r="U75" s="180"/>
      <c r="V75" s="180"/>
      <c r="W75" s="180"/>
      <c r="X75" s="180"/>
      <c r="Y75" s="180"/>
      <c r="Z75" s="180"/>
      <c r="AA75" s="180">
        <v>1</v>
      </c>
      <c r="AB75" s="180">
        <v>1</v>
      </c>
      <c r="AC75" s="180">
        <v>1</v>
      </c>
      <c r="AD75" s="180"/>
      <c r="AE75" s="181"/>
      <c r="AF75" s="180"/>
      <c r="AG75" s="180"/>
      <c r="AH75" s="180"/>
    </row>
    <row r="76" spans="1:34" s="175" customFormat="1" ht="23.25" customHeight="1" x14ac:dyDescent="0.15">
      <c r="A76" s="27"/>
      <c r="B76" s="39"/>
      <c r="C76" s="56"/>
      <c r="D76" s="57"/>
      <c r="E76" s="352"/>
      <c r="F76" s="353"/>
      <c r="G76" s="354"/>
      <c r="H76" s="58" t="s">
        <v>20</v>
      </c>
      <c r="I76" s="14"/>
      <c r="J76" s="15"/>
      <c r="K76" s="16" t="str">
        <f t="shared" si="0"/>
        <v>-</v>
      </c>
      <c r="L76" s="143">
        <f t="shared" si="3"/>
        <v>0</v>
      </c>
      <c r="M76" s="131" t="str">
        <f t="shared" si="2"/>
        <v>-</v>
      </c>
      <c r="N76" s="255"/>
      <c r="O76" s="256"/>
      <c r="P76" s="256"/>
      <c r="Q76" s="257"/>
      <c r="R76" s="7"/>
      <c r="S76" s="180">
        <v>1</v>
      </c>
      <c r="T76" s="181"/>
      <c r="U76" s="181"/>
      <c r="V76" s="181"/>
      <c r="W76" s="181"/>
      <c r="X76" s="181"/>
      <c r="Y76" s="181"/>
      <c r="Z76" s="181"/>
      <c r="AA76" s="181"/>
      <c r="AB76" s="180">
        <v>1</v>
      </c>
      <c r="AC76" s="180">
        <v>1</v>
      </c>
      <c r="AD76" s="181"/>
      <c r="AE76" s="181"/>
      <c r="AF76" s="181"/>
      <c r="AG76" s="180"/>
      <c r="AH76" s="180"/>
    </row>
    <row r="77" spans="1:34" s="175" customFormat="1" ht="23.25" customHeight="1" x14ac:dyDescent="0.15">
      <c r="A77" s="27"/>
      <c r="B77" s="39"/>
      <c r="C77" s="56"/>
      <c r="D77" s="57"/>
      <c r="E77" s="352"/>
      <c r="F77" s="353"/>
      <c r="G77" s="354"/>
      <c r="H77" s="58" t="s">
        <v>20</v>
      </c>
      <c r="I77" s="14"/>
      <c r="J77" s="15"/>
      <c r="K77" s="16" t="str">
        <f t="shared" si="0"/>
        <v>-</v>
      </c>
      <c r="L77" s="143">
        <f t="shared" si="3"/>
        <v>0</v>
      </c>
      <c r="M77" s="131" t="str">
        <f t="shared" si="2"/>
        <v>-</v>
      </c>
      <c r="N77" s="255"/>
      <c r="O77" s="256"/>
      <c r="P77" s="256"/>
      <c r="Q77" s="257"/>
      <c r="R77" s="7"/>
      <c r="S77" s="181"/>
      <c r="T77" s="181"/>
      <c r="U77" s="181"/>
      <c r="V77" s="181"/>
      <c r="W77" s="181"/>
      <c r="X77" s="181"/>
      <c r="Y77" s="181"/>
      <c r="Z77" s="181"/>
      <c r="AA77" s="181"/>
      <c r="AB77" s="180">
        <v>1</v>
      </c>
      <c r="AC77" s="180">
        <v>1</v>
      </c>
      <c r="AD77" s="181"/>
      <c r="AE77" s="181"/>
      <c r="AF77" s="181"/>
      <c r="AG77" s="180"/>
      <c r="AH77" s="180"/>
    </row>
    <row r="78" spans="1:34" s="175" customFormat="1" ht="23.25" customHeight="1" x14ac:dyDescent="0.15">
      <c r="A78" s="27"/>
      <c r="B78" s="39"/>
      <c r="C78" s="56"/>
      <c r="D78" s="57"/>
      <c r="E78" s="352"/>
      <c r="F78" s="353"/>
      <c r="G78" s="354"/>
      <c r="H78" s="58" t="s">
        <v>20</v>
      </c>
      <c r="I78" s="14"/>
      <c r="J78" s="15"/>
      <c r="K78" s="16" t="str">
        <f t="shared" si="0"/>
        <v>-</v>
      </c>
      <c r="L78" s="143">
        <f t="shared" si="3"/>
        <v>0</v>
      </c>
      <c r="M78" s="131" t="str">
        <f t="shared" si="2"/>
        <v>-</v>
      </c>
      <c r="N78" s="255"/>
      <c r="O78" s="256"/>
      <c r="P78" s="256"/>
      <c r="Q78" s="257"/>
      <c r="R78" s="7"/>
      <c r="S78" s="180">
        <v>1</v>
      </c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>
        <v>1</v>
      </c>
      <c r="AE78" s="180"/>
      <c r="AF78" s="180"/>
      <c r="AG78" s="180"/>
      <c r="AH78" s="180"/>
    </row>
    <row r="79" spans="1:34" s="175" customFormat="1" ht="23.25" customHeight="1" x14ac:dyDescent="0.15">
      <c r="A79" s="27"/>
      <c r="B79" s="39"/>
      <c r="C79" s="56"/>
      <c r="D79" s="57"/>
      <c r="E79" s="352"/>
      <c r="F79" s="353"/>
      <c r="G79" s="354"/>
      <c r="H79" s="58" t="s">
        <v>20</v>
      </c>
      <c r="I79" s="14"/>
      <c r="J79" s="15"/>
      <c r="K79" s="16" t="str">
        <f t="shared" ref="K79:K82" si="4">IFERROR(J79/I79*100-100,"-")</f>
        <v>-</v>
      </c>
      <c r="L79" s="143">
        <f t="shared" si="3"/>
        <v>0</v>
      </c>
      <c r="M79" s="131" t="str">
        <f t="shared" ref="M79:M82" si="5">IFERROR(ROUND((J79-I79)/($J$10-$I$10)*100,1),"-")</f>
        <v>-</v>
      </c>
      <c r="N79" s="255"/>
      <c r="O79" s="256"/>
      <c r="P79" s="256"/>
      <c r="Q79" s="257"/>
      <c r="R79" s="7"/>
      <c r="S79" s="180">
        <v>1</v>
      </c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>
        <v>1</v>
      </c>
      <c r="AF79" s="180"/>
      <c r="AG79" s="180"/>
      <c r="AH79" s="180"/>
    </row>
    <row r="80" spans="1:34" s="175" customFormat="1" ht="23.25" customHeight="1" x14ac:dyDescent="0.15">
      <c r="A80" s="27"/>
      <c r="B80" s="39"/>
      <c r="C80" s="56"/>
      <c r="D80" s="57"/>
      <c r="E80" s="352"/>
      <c r="F80" s="353"/>
      <c r="G80" s="354"/>
      <c r="H80" s="58" t="s">
        <v>20</v>
      </c>
      <c r="I80" s="14"/>
      <c r="J80" s="15"/>
      <c r="K80" s="16" t="str">
        <f t="shared" si="4"/>
        <v>-</v>
      </c>
      <c r="L80" s="143">
        <f t="shared" si="3"/>
        <v>0</v>
      </c>
      <c r="M80" s="131" t="str">
        <f t="shared" si="5"/>
        <v>-</v>
      </c>
      <c r="N80" s="255"/>
      <c r="O80" s="256"/>
      <c r="P80" s="256"/>
      <c r="Q80" s="257"/>
      <c r="R80" s="7"/>
      <c r="S80" s="180">
        <v>1</v>
      </c>
      <c r="T80" s="180">
        <v>1</v>
      </c>
      <c r="U80" s="180">
        <v>1</v>
      </c>
      <c r="V80" s="180">
        <v>1</v>
      </c>
      <c r="W80" s="180">
        <v>1</v>
      </c>
      <c r="X80" s="180">
        <v>1</v>
      </c>
      <c r="Y80" s="180">
        <v>1</v>
      </c>
      <c r="Z80" s="180">
        <v>1</v>
      </c>
      <c r="AA80" s="180">
        <v>1</v>
      </c>
      <c r="AB80" s="180">
        <v>1</v>
      </c>
      <c r="AC80" s="180">
        <v>1</v>
      </c>
      <c r="AD80" s="180">
        <v>1</v>
      </c>
      <c r="AE80" s="180">
        <v>1</v>
      </c>
      <c r="AF80" s="180">
        <v>1</v>
      </c>
      <c r="AG80" s="180"/>
      <c r="AH80" s="180"/>
    </row>
    <row r="81" spans="1:34" s="175" customFormat="1" ht="23.25" customHeight="1" x14ac:dyDescent="0.15">
      <c r="A81" s="27"/>
      <c r="B81" s="39"/>
      <c r="C81" s="56"/>
      <c r="D81" s="57"/>
      <c r="E81" s="352"/>
      <c r="F81" s="353"/>
      <c r="G81" s="354"/>
      <c r="H81" s="58" t="s">
        <v>20</v>
      </c>
      <c r="I81" s="14"/>
      <c r="J81" s="15"/>
      <c r="K81" s="16" t="str">
        <f t="shared" si="4"/>
        <v>-</v>
      </c>
      <c r="L81" s="143">
        <f t="shared" si="3"/>
        <v>0</v>
      </c>
      <c r="M81" s="131" t="str">
        <f t="shared" si="5"/>
        <v>-</v>
      </c>
      <c r="N81" s="255"/>
      <c r="O81" s="256"/>
      <c r="P81" s="256"/>
      <c r="Q81" s="257"/>
      <c r="R81" s="7"/>
      <c r="S81" s="180">
        <v>1</v>
      </c>
      <c r="T81" s="180">
        <v>1</v>
      </c>
      <c r="U81" s="180">
        <v>1</v>
      </c>
      <c r="V81" s="180">
        <v>1</v>
      </c>
      <c r="W81" s="180">
        <v>1</v>
      </c>
      <c r="X81" s="180">
        <v>1</v>
      </c>
      <c r="Y81" s="180">
        <v>1</v>
      </c>
      <c r="Z81" s="180">
        <v>1</v>
      </c>
      <c r="AA81" s="180"/>
      <c r="AB81" s="180"/>
      <c r="AC81" s="180"/>
      <c r="AD81" s="180"/>
      <c r="AE81" s="180"/>
      <c r="AF81" s="180"/>
      <c r="AG81" s="180"/>
      <c r="AH81" s="180"/>
    </row>
    <row r="82" spans="1:34" s="175" customFormat="1" ht="23.25" customHeight="1" x14ac:dyDescent="0.15">
      <c r="A82" s="27"/>
      <c r="B82" s="39"/>
      <c r="C82" s="56"/>
      <c r="D82" s="57"/>
      <c r="E82" s="352"/>
      <c r="F82" s="353"/>
      <c r="G82" s="354"/>
      <c r="H82" s="58" t="s">
        <v>20</v>
      </c>
      <c r="I82" s="14"/>
      <c r="J82" s="15"/>
      <c r="K82" s="16" t="str">
        <f t="shared" si="4"/>
        <v>-</v>
      </c>
      <c r="L82" s="143">
        <f t="shared" si="3"/>
        <v>0</v>
      </c>
      <c r="M82" s="131" t="str">
        <f t="shared" si="5"/>
        <v>-</v>
      </c>
      <c r="N82" s="255"/>
      <c r="O82" s="256"/>
      <c r="P82" s="256"/>
      <c r="Q82" s="257"/>
      <c r="R82" s="7"/>
      <c r="S82" s="180">
        <v>1</v>
      </c>
      <c r="T82" s="180">
        <v>1</v>
      </c>
      <c r="U82" s="180">
        <v>1</v>
      </c>
      <c r="V82" s="180">
        <v>1</v>
      </c>
      <c r="W82" s="180">
        <v>1</v>
      </c>
      <c r="X82" s="180">
        <v>1</v>
      </c>
      <c r="Y82" s="180">
        <v>1</v>
      </c>
      <c r="Z82" s="180">
        <v>1</v>
      </c>
      <c r="AA82" s="180"/>
      <c r="AB82" s="180"/>
      <c r="AC82" s="180"/>
      <c r="AD82" s="180"/>
      <c r="AE82" s="180"/>
      <c r="AF82" s="180"/>
      <c r="AG82" s="180"/>
      <c r="AH82" s="180"/>
    </row>
    <row r="83" spans="1:34" s="175" customFormat="1" ht="23.25" customHeight="1" x14ac:dyDescent="0.15">
      <c r="A83" s="27"/>
      <c r="B83" s="39"/>
      <c r="C83" s="56"/>
      <c r="D83" s="57"/>
      <c r="E83" s="352"/>
      <c r="F83" s="353"/>
      <c r="G83" s="354"/>
      <c r="H83" s="58" t="s">
        <v>20</v>
      </c>
      <c r="I83" s="14"/>
      <c r="J83" s="15"/>
      <c r="K83" s="16" t="str">
        <f t="shared" si="0"/>
        <v>-</v>
      </c>
      <c r="L83" s="143">
        <f t="shared" si="3"/>
        <v>0</v>
      </c>
      <c r="M83" s="131" t="str">
        <f t="shared" si="2"/>
        <v>-</v>
      </c>
      <c r="N83" s="255"/>
      <c r="O83" s="256"/>
      <c r="P83" s="256"/>
      <c r="Q83" s="257"/>
      <c r="R83" s="7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  <c r="AG83" s="180"/>
      <c r="AH83" s="180"/>
    </row>
    <row r="84" spans="1:34" s="175" customFormat="1" ht="23.25" customHeight="1" x14ac:dyDescent="0.15">
      <c r="A84" s="27"/>
      <c r="B84" s="39"/>
      <c r="C84" s="56"/>
      <c r="D84" s="57"/>
      <c r="E84" s="352"/>
      <c r="F84" s="353"/>
      <c r="G84" s="354"/>
      <c r="H84" s="58" t="s">
        <v>20</v>
      </c>
      <c r="I84" s="14"/>
      <c r="J84" s="15"/>
      <c r="K84" s="16" t="str">
        <f t="shared" si="0"/>
        <v>-</v>
      </c>
      <c r="L84" s="143">
        <f t="shared" si="3"/>
        <v>0</v>
      </c>
      <c r="M84" s="131" t="str">
        <f t="shared" si="2"/>
        <v>-</v>
      </c>
      <c r="N84" s="255"/>
      <c r="O84" s="256"/>
      <c r="P84" s="256"/>
      <c r="Q84" s="257"/>
      <c r="R84" s="7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  <c r="AG84" s="180"/>
      <c r="AH84" s="180"/>
    </row>
    <row r="85" spans="1:34" s="175" customFormat="1" ht="23.25" customHeight="1" x14ac:dyDescent="0.15">
      <c r="A85" s="27"/>
      <c r="B85" s="39"/>
      <c r="C85" s="56"/>
      <c r="D85" s="57"/>
      <c r="E85" s="352"/>
      <c r="F85" s="353"/>
      <c r="G85" s="354"/>
      <c r="H85" s="58" t="s">
        <v>20</v>
      </c>
      <c r="I85" s="14"/>
      <c r="J85" s="15"/>
      <c r="K85" s="16" t="str">
        <f t="shared" si="0"/>
        <v>-</v>
      </c>
      <c r="L85" s="143">
        <f t="shared" si="3"/>
        <v>0</v>
      </c>
      <c r="M85" s="131" t="str">
        <f t="shared" si="2"/>
        <v>-</v>
      </c>
      <c r="N85" s="255"/>
      <c r="O85" s="256"/>
      <c r="P85" s="256"/>
      <c r="Q85" s="257"/>
      <c r="R85" s="7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  <c r="AF85" s="180"/>
      <c r="AG85" s="180"/>
      <c r="AH85" s="180"/>
    </row>
    <row r="86" spans="1:34" s="175" customFormat="1" ht="23.25" customHeight="1" x14ac:dyDescent="0.15">
      <c r="A86" s="27"/>
      <c r="B86" s="39"/>
      <c r="C86" s="56"/>
      <c r="D86" s="57"/>
      <c r="E86" s="352"/>
      <c r="F86" s="353"/>
      <c r="G86" s="354"/>
      <c r="H86" s="58" t="s">
        <v>20</v>
      </c>
      <c r="I86" s="14"/>
      <c r="J86" s="15"/>
      <c r="K86" s="16" t="str">
        <f t="shared" si="0"/>
        <v>-</v>
      </c>
      <c r="L86" s="143">
        <f t="shared" si="3"/>
        <v>0</v>
      </c>
      <c r="M86" s="131" t="str">
        <f t="shared" si="2"/>
        <v>-</v>
      </c>
      <c r="N86" s="255"/>
      <c r="O86" s="256"/>
      <c r="P86" s="256"/>
      <c r="Q86" s="257"/>
      <c r="R86" s="7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  <c r="AF86" s="180"/>
      <c r="AG86" s="180"/>
      <c r="AH86" s="180"/>
    </row>
    <row r="87" spans="1:34" s="175" customFormat="1" ht="23.25" customHeight="1" x14ac:dyDescent="0.15">
      <c r="A87" s="27"/>
      <c r="B87" s="39"/>
      <c r="C87" s="56"/>
      <c r="D87" s="59"/>
      <c r="E87" s="352"/>
      <c r="F87" s="353"/>
      <c r="G87" s="354"/>
      <c r="H87" s="58" t="s">
        <v>20</v>
      </c>
      <c r="I87" s="14"/>
      <c r="J87" s="15"/>
      <c r="K87" s="16" t="str">
        <f t="shared" si="0"/>
        <v>-</v>
      </c>
      <c r="L87" s="143">
        <f t="shared" si="3"/>
        <v>0</v>
      </c>
      <c r="M87" s="131" t="str">
        <f t="shared" si="2"/>
        <v>-</v>
      </c>
      <c r="N87" s="255"/>
      <c r="O87" s="256"/>
      <c r="P87" s="256"/>
      <c r="Q87" s="257"/>
      <c r="R87" s="7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0"/>
      <c r="AD87" s="180"/>
      <c r="AE87" s="180"/>
      <c r="AF87" s="180"/>
      <c r="AG87" s="180"/>
      <c r="AH87" s="180"/>
    </row>
    <row r="88" spans="1:34" s="175" customFormat="1" ht="23.25" customHeight="1" x14ac:dyDescent="0.15">
      <c r="A88" s="27"/>
      <c r="B88" s="39"/>
      <c r="C88" s="56"/>
      <c r="D88" s="233" t="s">
        <v>153</v>
      </c>
      <c r="E88" s="234"/>
      <c r="F88" s="234"/>
      <c r="G88" s="235"/>
      <c r="H88" s="58" t="s">
        <v>20</v>
      </c>
      <c r="I88" s="14"/>
      <c r="J88" s="15"/>
      <c r="K88" s="16" t="str">
        <f t="shared" si="0"/>
        <v>-</v>
      </c>
      <c r="L88" s="143">
        <f t="shared" si="3"/>
        <v>0</v>
      </c>
      <c r="M88" s="131" t="str">
        <f t="shared" ref="M88:M89" si="6">IFERROR(ROUND((J88-I88)/($J$10-$I$10)*100,1),"-")</f>
        <v>-</v>
      </c>
      <c r="N88" s="255"/>
      <c r="O88" s="256"/>
      <c r="P88" s="256"/>
      <c r="Q88" s="257"/>
      <c r="R88" s="7"/>
      <c r="S88" s="180">
        <v>1</v>
      </c>
      <c r="T88" s="180">
        <v>1</v>
      </c>
      <c r="U88" s="180">
        <v>1</v>
      </c>
      <c r="V88" s="180">
        <v>1</v>
      </c>
      <c r="W88" s="180">
        <v>1</v>
      </c>
      <c r="X88" s="180">
        <v>1</v>
      </c>
      <c r="Y88" s="180"/>
      <c r="Z88" s="180"/>
      <c r="AA88" s="180">
        <v>1</v>
      </c>
      <c r="AB88" s="180"/>
      <c r="AC88" s="180"/>
      <c r="AD88" s="180"/>
      <c r="AE88" s="180"/>
      <c r="AF88" s="180"/>
      <c r="AG88" s="180"/>
      <c r="AH88" s="180"/>
    </row>
    <row r="89" spans="1:34" s="175" customFormat="1" ht="23.25" customHeight="1" x14ac:dyDescent="0.15">
      <c r="A89" s="27"/>
      <c r="B89" s="39"/>
      <c r="C89" s="60"/>
      <c r="D89" s="340" t="s">
        <v>154</v>
      </c>
      <c r="E89" s="341"/>
      <c r="F89" s="341"/>
      <c r="G89" s="342"/>
      <c r="H89" s="86" t="s">
        <v>20</v>
      </c>
      <c r="I89" s="87"/>
      <c r="J89" s="88"/>
      <c r="K89" s="89" t="str">
        <f t="shared" si="0"/>
        <v>-</v>
      </c>
      <c r="L89" s="144">
        <f t="shared" si="3"/>
        <v>0</v>
      </c>
      <c r="M89" s="132" t="str">
        <f t="shared" si="6"/>
        <v>-</v>
      </c>
      <c r="N89" s="349"/>
      <c r="O89" s="350"/>
      <c r="P89" s="350"/>
      <c r="Q89" s="351"/>
      <c r="R89" s="7"/>
      <c r="S89" s="180">
        <v>1</v>
      </c>
      <c r="T89" s="180">
        <v>1</v>
      </c>
      <c r="U89" s="180">
        <v>1</v>
      </c>
      <c r="V89" s="180">
        <v>1</v>
      </c>
      <c r="W89" s="180">
        <v>1</v>
      </c>
      <c r="X89" s="180">
        <v>1</v>
      </c>
      <c r="Y89" s="180">
        <v>1</v>
      </c>
      <c r="Z89" s="180">
        <v>1</v>
      </c>
      <c r="AA89" s="180">
        <v>1</v>
      </c>
      <c r="AB89" s="180">
        <v>1</v>
      </c>
      <c r="AC89" s="180">
        <v>1</v>
      </c>
      <c r="AD89" s="180">
        <v>1</v>
      </c>
      <c r="AE89" s="180">
        <v>1</v>
      </c>
      <c r="AF89" s="180">
        <v>1</v>
      </c>
      <c r="AG89" s="180"/>
      <c r="AH89" s="180"/>
    </row>
    <row r="90" spans="1:34" s="175" customFormat="1" ht="23.25" customHeight="1" x14ac:dyDescent="0.15">
      <c r="A90" s="27"/>
      <c r="B90" s="39"/>
      <c r="C90" s="343" t="s">
        <v>155</v>
      </c>
      <c r="D90" s="344"/>
      <c r="E90" s="344"/>
      <c r="F90" s="344"/>
      <c r="G90" s="345"/>
      <c r="H90" s="61" t="s">
        <v>20</v>
      </c>
      <c r="I90" s="17"/>
      <c r="J90" s="18"/>
      <c r="K90" s="19" t="str">
        <f t="shared" si="0"/>
        <v>-</v>
      </c>
      <c r="L90" s="145">
        <f t="shared" si="3"/>
        <v>0</v>
      </c>
      <c r="M90" s="133" t="str">
        <f t="shared" ref="M90:M110" si="7">IFERROR(ROUND((J90-I90)/($J$90-$I$90)*100,1),"-")</f>
        <v>-</v>
      </c>
      <c r="N90" s="346"/>
      <c r="O90" s="347"/>
      <c r="P90" s="347"/>
      <c r="Q90" s="348"/>
      <c r="R90" s="7"/>
      <c r="S90" s="180">
        <v>1</v>
      </c>
      <c r="T90" s="180">
        <v>1</v>
      </c>
      <c r="U90" s="180">
        <v>1</v>
      </c>
      <c r="V90" s="180">
        <v>1</v>
      </c>
      <c r="W90" s="180">
        <v>1</v>
      </c>
      <c r="X90" s="180">
        <v>1</v>
      </c>
      <c r="Y90" s="180">
        <v>1</v>
      </c>
      <c r="Z90" s="180">
        <v>1</v>
      </c>
      <c r="AA90" s="180">
        <v>1</v>
      </c>
      <c r="AB90" s="180">
        <v>1</v>
      </c>
      <c r="AC90" s="180">
        <v>1</v>
      </c>
      <c r="AD90" s="180">
        <v>1</v>
      </c>
      <c r="AE90" s="180">
        <v>1</v>
      </c>
      <c r="AF90" s="180">
        <v>1</v>
      </c>
      <c r="AG90" s="180"/>
      <c r="AH90" s="180"/>
    </row>
    <row r="91" spans="1:34" s="175" customFormat="1" ht="23.25" customHeight="1" x14ac:dyDescent="0.15">
      <c r="A91" s="27"/>
      <c r="B91" s="39"/>
      <c r="C91" s="41"/>
      <c r="D91" s="278" t="s">
        <v>57</v>
      </c>
      <c r="E91" s="237"/>
      <c r="F91" s="237"/>
      <c r="G91" s="238"/>
      <c r="H91" s="43" t="s">
        <v>20</v>
      </c>
      <c r="I91" s="8"/>
      <c r="J91" s="9"/>
      <c r="K91" s="10" t="str">
        <f t="shared" si="0"/>
        <v>-</v>
      </c>
      <c r="L91" s="141">
        <f t="shared" si="3"/>
        <v>0</v>
      </c>
      <c r="M91" s="129" t="str">
        <f t="shared" si="7"/>
        <v>-</v>
      </c>
      <c r="N91" s="190"/>
      <c r="O91" s="191"/>
      <c r="P91" s="191"/>
      <c r="Q91" s="192"/>
      <c r="R91" s="7"/>
      <c r="S91" s="180">
        <v>1</v>
      </c>
      <c r="T91" s="180">
        <v>1</v>
      </c>
      <c r="U91" s="180">
        <v>1</v>
      </c>
      <c r="V91" s="180">
        <v>1</v>
      </c>
      <c r="W91" s="180">
        <v>1</v>
      </c>
      <c r="X91" s="180">
        <v>1</v>
      </c>
      <c r="Y91" s="180">
        <v>1</v>
      </c>
      <c r="Z91" s="180">
        <v>1</v>
      </c>
      <c r="AA91" s="180">
        <v>1</v>
      </c>
      <c r="AB91" s="180">
        <v>1</v>
      </c>
      <c r="AC91" s="180">
        <v>1</v>
      </c>
      <c r="AD91" s="180">
        <v>1</v>
      </c>
      <c r="AE91" s="180">
        <v>1</v>
      </c>
      <c r="AF91" s="180">
        <v>1</v>
      </c>
      <c r="AG91" s="180"/>
      <c r="AH91" s="180"/>
    </row>
    <row r="92" spans="1:34" s="175" customFormat="1" ht="23.25" customHeight="1" x14ac:dyDescent="0.15">
      <c r="A92" s="27"/>
      <c r="B92" s="39"/>
      <c r="C92" s="41"/>
      <c r="D92" s="278" t="s">
        <v>58</v>
      </c>
      <c r="E92" s="237"/>
      <c r="F92" s="237"/>
      <c r="G92" s="238"/>
      <c r="H92" s="43" t="s">
        <v>20</v>
      </c>
      <c r="I92" s="8"/>
      <c r="J92" s="9"/>
      <c r="K92" s="10" t="str">
        <f t="shared" ref="K92:K231" si="8">IFERROR(J92/I92*100-100,"-")</f>
        <v>-</v>
      </c>
      <c r="L92" s="141">
        <f t="shared" si="3"/>
        <v>0</v>
      </c>
      <c r="M92" s="129" t="str">
        <f t="shared" si="7"/>
        <v>-</v>
      </c>
      <c r="N92" s="255"/>
      <c r="O92" s="256"/>
      <c r="P92" s="256"/>
      <c r="Q92" s="257"/>
      <c r="R92" s="7"/>
      <c r="S92" s="180">
        <v>1</v>
      </c>
      <c r="T92" s="180">
        <v>1</v>
      </c>
      <c r="U92" s="180">
        <v>1</v>
      </c>
      <c r="V92" s="180">
        <v>1</v>
      </c>
      <c r="W92" s="180">
        <v>1</v>
      </c>
      <c r="X92" s="180">
        <v>1</v>
      </c>
      <c r="Y92" s="180">
        <v>1</v>
      </c>
      <c r="Z92" s="180">
        <v>1</v>
      </c>
      <c r="AA92" s="180"/>
      <c r="AB92" s="180"/>
      <c r="AC92" s="180"/>
      <c r="AD92" s="180"/>
      <c r="AE92" s="180"/>
      <c r="AF92" s="180"/>
      <c r="AG92" s="180"/>
      <c r="AH92" s="180"/>
    </row>
    <row r="93" spans="1:34" s="175" customFormat="1" ht="23.25" customHeight="1" x14ac:dyDescent="0.15">
      <c r="A93" s="27"/>
      <c r="B93" s="39"/>
      <c r="C93" s="41"/>
      <c r="D93" s="278" t="s">
        <v>59</v>
      </c>
      <c r="E93" s="237"/>
      <c r="F93" s="237"/>
      <c r="G93" s="238"/>
      <c r="H93" s="43" t="s">
        <v>20</v>
      </c>
      <c r="I93" s="8"/>
      <c r="J93" s="9"/>
      <c r="K93" s="10" t="str">
        <f t="shared" si="8"/>
        <v>-</v>
      </c>
      <c r="L93" s="141">
        <f t="shared" si="3"/>
        <v>0</v>
      </c>
      <c r="M93" s="129" t="str">
        <f t="shared" si="7"/>
        <v>-</v>
      </c>
      <c r="N93" s="255"/>
      <c r="O93" s="256"/>
      <c r="P93" s="256"/>
      <c r="Q93" s="257"/>
      <c r="R93" s="7"/>
      <c r="S93" s="180">
        <v>1</v>
      </c>
      <c r="T93" s="180"/>
      <c r="U93" s="180"/>
      <c r="V93" s="180"/>
      <c r="W93" s="180"/>
      <c r="X93" s="180"/>
      <c r="Y93" s="180"/>
      <c r="Z93" s="180"/>
      <c r="AA93" s="180">
        <v>1</v>
      </c>
      <c r="AB93" s="180">
        <v>1</v>
      </c>
      <c r="AC93" s="180">
        <v>1</v>
      </c>
      <c r="AD93" s="180">
        <v>1</v>
      </c>
      <c r="AE93" s="180">
        <v>1</v>
      </c>
      <c r="AF93" s="180">
        <v>1</v>
      </c>
      <c r="AG93" s="180"/>
      <c r="AH93" s="180"/>
    </row>
    <row r="94" spans="1:34" s="175" customFormat="1" ht="23.25" customHeight="1" x14ac:dyDescent="0.15">
      <c r="A94" s="27"/>
      <c r="B94" s="37"/>
      <c r="C94" s="41"/>
      <c r="D94" s="278" t="s">
        <v>60</v>
      </c>
      <c r="E94" s="237"/>
      <c r="F94" s="237"/>
      <c r="G94" s="238"/>
      <c r="H94" s="43" t="s">
        <v>20</v>
      </c>
      <c r="I94" s="8"/>
      <c r="J94" s="9"/>
      <c r="K94" s="10" t="str">
        <f t="shared" si="8"/>
        <v>-</v>
      </c>
      <c r="L94" s="141">
        <f t="shared" si="3"/>
        <v>0</v>
      </c>
      <c r="M94" s="129" t="str">
        <f t="shared" si="7"/>
        <v>-</v>
      </c>
      <c r="N94" s="255"/>
      <c r="O94" s="256"/>
      <c r="P94" s="256"/>
      <c r="Q94" s="257"/>
      <c r="R94" s="7"/>
      <c r="S94" s="180">
        <v>1</v>
      </c>
      <c r="T94" s="180">
        <v>1</v>
      </c>
      <c r="U94" s="180">
        <v>1</v>
      </c>
      <c r="V94" s="180">
        <v>1</v>
      </c>
      <c r="W94" s="180">
        <v>1</v>
      </c>
      <c r="X94" s="180">
        <v>1</v>
      </c>
      <c r="Y94" s="180">
        <v>1</v>
      </c>
      <c r="Z94" s="180">
        <v>1</v>
      </c>
      <c r="AA94" s="180"/>
      <c r="AB94" s="180"/>
      <c r="AC94" s="180"/>
      <c r="AD94" s="180"/>
      <c r="AE94" s="180"/>
      <c r="AF94" s="180"/>
      <c r="AG94" s="180"/>
      <c r="AH94" s="180"/>
    </row>
    <row r="95" spans="1:34" s="175" customFormat="1" ht="23.25" customHeight="1" x14ac:dyDescent="0.15">
      <c r="A95" s="27"/>
      <c r="B95" s="37"/>
      <c r="C95" s="41"/>
      <c r="D95" s="278" t="s">
        <v>61</v>
      </c>
      <c r="E95" s="237"/>
      <c r="F95" s="237"/>
      <c r="G95" s="238"/>
      <c r="H95" s="43" t="s">
        <v>20</v>
      </c>
      <c r="I95" s="8"/>
      <c r="J95" s="9"/>
      <c r="K95" s="10" t="str">
        <f t="shared" si="8"/>
        <v>-</v>
      </c>
      <c r="L95" s="141">
        <f t="shared" si="3"/>
        <v>0</v>
      </c>
      <c r="M95" s="129" t="str">
        <f t="shared" si="7"/>
        <v>-</v>
      </c>
      <c r="N95" s="255"/>
      <c r="O95" s="256"/>
      <c r="P95" s="256"/>
      <c r="Q95" s="257"/>
      <c r="R95" s="7"/>
      <c r="S95" s="180">
        <v>1</v>
      </c>
      <c r="T95" s="180"/>
      <c r="U95" s="180"/>
      <c r="V95" s="180"/>
      <c r="W95" s="180"/>
      <c r="X95" s="180"/>
      <c r="Y95" s="180"/>
      <c r="Z95" s="180"/>
      <c r="AA95" s="180">
        <v>1</v>
      </c>
      <c r="AB95" s="180">
        <v>1</v>
      </c>
      <c r="AC95" s="180">
        <v>1</v>
      </c>
      <c r="AD95" s="180">
        <v>1</v>
      </c>
      <c r="AE95" s="180">
        <v>1</v>
      </c>
      <c r="AF95" s="180">
        <v>1</v>
      </c>
      <c r="AG95" s="180"/>
      <c r="AH95" s="180"/>
    </row>
    <row r="96" spans="1:34" s="175" customFormat="1" ht="23.25" customHeight="1" x14ac:dyDescent="0.15">
      <c r="A96" s="27"/>
      <c r="B96" s="37"/>
      <c r="C96" s="41"/>
      <c r="D96" s="278" t="s">
        <v>62</v>
      </c>
      <c r="E96" s="237"/>
      <c r="F96" s="237"/>
      <c r="G96" s="238"/>
      <c r="H96" s="43" t="s">
        <v>20</v>
      </c>
      <c r="I96" s="8"/>
      <c r="J96" s="9"/>
      <c r="K96" s="10" t="str">
        <f t="shared" si="8"/>
        <v>-</v>
      </c>
      <c r="L96" s="141">
        <f t="shared" si="3"/>
        <v>0</v>
      </c>
      <c r="M96" s="129" t="str">
        <f t="shared" si="7"/>
        <v>-</v>
      </c>
      <c r="N96" s="255"/>
      <c r="O96" s="256"/>
      <c r="P96" s="256"/>
      <c r="Q96" s="257"/>
      <c r="R96" s="7"/>
      <c r="S96" s="180">
        <v>1</v>
      </c>
      <c r="T96" s="180">
        <v>1</v>
      </c>
      <c r="U96" s="180">
        <v>1</v>
      </c>
      <c r="V96" s="180">
        <v>1</v>
      </c>
      <c r="W96" s="180">
        <v>1</v>
      </c>
      <c r="X96" s="180">
        <v>1</v>
      </c>
      <c r="Y96" s="180">
        <v>1</v>
      </c>
      <c r="Z96" s="180">
        <v>1</v>
      </c>
      <c r="AA96" s="180">
        <v>1</v>
      </c>
      <c r="AB96" s="180">
        <v>1</v>
      </c>
      <c r="AC96" s="180">
        <v>1</v>
      </c>
      <c r="AD96" s="180">
        <v>1</v>
      </c>
      <c r="AE96" s="180">
        <v>1</v>
      </c>
      <c r="AF96" s="180">
        <v>1</v>
      </c>
      <c r="AG96" s="180"/>
      <c r="AH96" s="180"/>
    </row>
    <row r="97" spans="1:34" s="175" customFormat="1" ht="23.25" customHeight="1" x14ac:dyDescent="0.15">
      <c r="A97" s="27"/>
      <c r="B97" s="37"/>
      <c r="C97" s="41"/>
      <c r="D97" s="278" t="s">
        <v>63</v>
      </c>
      <c r="E97" s="283"/>
      <c r="F97" s="283"/>
      <c r="G97" s="284"/>
      <c r="H97" s="43" t="s">
        <v>20</v>
      </c>
      <c r="I97" s="8"/>
      <c r="J97" s="9"/>
      <c r="K97" s="10" t="str">
        <f t="shared" si="8"/>
        <v>-</v>
      </c>
      <c r="L97" s="141">
        <f t="shared" si="3"/>
        <v>0</v>
      </c>
      <c r="M97" s="129" t="str">
        <f t="shared" si="7"/>
        <v>-</v>
      </c>
      <c r="N97" s="255"/>
      <c r="O97" s="256"/>
      <c r="P97" s="256"/>
      <c r="Q97" s="257"/>
      <c r="R97" s="7"/>
      <c r="S97" s="180">
        <v>1</v>
      </c>
      <c r="T97" s="180">
        <v>1</v>
      </c>
      <c r="U97" s="180">
        <v>1</v>
      </c>
      <c r="V97" s="180">
        <v>1</v>
      </c>
      <c r="W97" s="180">
        <v>1</v>
      </c>
      <c r="X97" s="180">
        <v>1</v>
      </c>
      <c r="Y97" s="180">
        <v>1</v>
      </c>
      <c r="Z97" s="180">
        <v>1</v>
      </c>
      <c r="AA97" s="180">
        <v>1</v>
      </c>
      <c r="AB97" s="180">
        <v>1</v>
      </c>
      <c r="AC97" s="180">
        <v>1</v>
      </c>
      <c r="AD97" s="180">
        <v>1</v>
      </c>
      <c r="AE97" s="180">
        <v>1</v>
      </c>
      <c r="AF97" s="180">
        <v>1</v>
      </c>
      <c r="AG97" s="180"/>
      <c r="AH97" s="180"/>
    </row>
    <row r="98" spans="1:34" s="175" customFormat="1" ht="23.25" customHeight="1" x14ac:dyDescent="0.15">
      <c r="A98" s="27"/>
      <c r="B98" s="37"/>
      <c r="C98" s="41"/>
      <c r="D98" s="278" t="s">
        <v>64</v>
      </c>
      <c r="E98" s="237"/>
      <c r="F98" s="237"/>
      <c r="G98" s="238"/>
      <c r="H98" s="43" t="s">
        <v>20</v>
      </c>
      <c r="I98" s="8"/>
      <c r="J98" s="9"/>
      <c r="K98" s="10" t="str">
        <f t="shared" si="8"/>
        <v>-</v>
      </c>
      <c r="L98" s="141">
        <f t="shared" si="3"/>
        <v>0</v>
      </c>
      <c r="M98" s="129" t="str">
        <f t="shared" si="7"/>
        <v>-</v>
      </c>
      <c r="N98" s="255"/>
      <c r="O98" s="256"/>
      <c r="P98" s="256"/>
      <c r="Q98" s="257"/>
      <c r="R98" s="7"/>
      <c r="S98" s="180">
        <v>1</v>
      </c>
      <c r="T98" s="180">
        <v>1</v>
      </c>
      <c r="U98" s="180">
        <v>1</v>
      </c>
      <c r="V98" s="180">
        <v>1</v>
      </c>
      <c r="W98" s="180">
        <v>1</v>
      </c>
      <c r="X98" s="180">
        <v>1</v>
      </c>
      <c r="Y98" s="180">
        <v>1</v>
      </c>
      <c r="Z98" s="180">
        <v>1</v>
      </c>
      <c r="AA98" s="180">
        <v>1</v>
      </c>
      <c r="AB98" s="180">
        <v>1</v>
      </c>
      <c r="AC98" s="180">
        <v>1</v>
      </c>
      <c r="AD98" s="180">
        <v>1</v>
      </c>
      <c r="AE98" s="180">
        <v>1</v>
      </c>
      <c r="AF98" s="180">
        <v>1</v>
      </c>
      <c r="AG98" s="180"/>
      <c r="AH98" s="180"/>
    </row>
    <row r="99" spans="1:34" s="175" customFormat="1" ht="23.25" customHeight="1" x14ac:dyDescent="0.15">
      <c r="A99" s="27"/>
      <c r="B99" s="37"/>
      <c r="C99" s="41"/>
      <c r="D99" s="278" t="s">
        <v>65</v>
      </c>
      <c r="E99" s="237"/>
      <c r="F99" s="237"/>
      <c r="G99" s="238"/>
      <c r="H99" s="43" t="s">
        <v>20</v>
      </c>
      <c r="I99" s="8"/>
      <c r="J99" s="82"/>
      <c r="K99" s="10" t="str">
        <f t="shared" si="8"/>
        <v>-</v>
      </c>
      <c r="L99" s="141">
        <f t="shared" si="3"/>
        <v>0</v>
      </c>
      <c r="M99" s="129" t="str">
        <f t="shared" si="7"/>
        <v>-</v>
      </c>
      <c r="N99" s="190"/>
      <c r="O99" s="191"/>
      <c r="P99" s="191"/>
      <c r="Q99" s="192"/>
      <c r="R99" s="7"/>
      <c r="S99" s="180">
        <v>1</v>
      </c>
      <c r="T99" s="180">
        <v>1</v>
      </c>
      <c r="U99" s="180">
        <v>1</v>
      </c>
      <c r="V99" s="180">
        <v>1</v>
      </c>
      <c r="W99" s="180">
        <v>1</v>
      </c>
      <c r="X99" s="180">
        <v>1</v>
      </c>
      <c r="Y99" s="180">
        <v>1</v>
      </c>
      <c r="Z99" s="180">
        <v>1</v>
      </c>
      <c r="AA99" s="180">
        <v>1</v>
      </c>
      <c r="AB99" s="180">
        <v>1</v>
      </c>
      <c r="AC99" s="180">
        <v>1</v>
      </c>
      <c r="AD99" s="180">
        <v>1</v>
      </c>
      <c r="AE99" s="180">
        <v>1</v>
      </c>
      <c r="AF99" s="180">
        <v>1</v>
      </c>
      <c r="AG99" s="180"/>
      <c r="AH99" s="180"/>
    </row>
    <row r="100" spans="1:34" s="175" customFormat="1" ht="23.25" customHeight="1" x14ac:dyDescent="0.15">
      <c r="A100" s="27"/>
      <c r="B100" s="37"/>
      <c r="C100" s="62"/>
      <c r="D100" s="278" t="s">
        <v>66</v>
      </c>
      <c r="E100" s="237"/>
      <c r="F100" s="237"/>
      <c r="G100" s="238"/>
      <c r="H100" s="43" t="s">
        <v>20</v>
      </c>
      <c r="I100" s="8"/>
      <c r="J100" s="82"/>
      <c r="K100" s="10" t="str">
        <f t="shared" si="8"/>
        <v>-</v>
      </c>
      <c r="L100" s="141">
        <f t="shared" si="3"/>
        <v>0</v>
      </c>
      <c r="M100" s="129" t="str">
        <f t="shared" si="7"/>
        <v>-</v>
      </c>
      <c r="N100" s="255"/>
      <c r="O100" s="256"/>
      <c r="P100" s="256"/>
      <c r="Q100" s="257"/>
      <c r="R100" s="7"/>
      <c r="S100" s="180">
        <v>1</v>
      </c>
      <c r="T100" s="180">
        <v>1</v>
      </c>
      <c r="U100" s="180">
        <v>1</v>
      </c>
      <c r="V100" s="180">
        <v>1</v>
      </c>
      <c r="W100" s="180">
        <v>1</v>
      </c>
      <c r="X100" s="180">
        <v>1</v>
      </c>
      <c r="Y100" s="180">
        <v>1</v>
      </c>
      <c r="Z100" s="180">
        <v>1</v>
      </c>
      <c r="AA100" s="180">
        <v>1</v>
      </c>
      <c r="AB100" s="180">
        <v>1</v>
      </c>
      <c r="AC100" s="180">
        <v>1</v>
      </c>
      <c r="AD100" s="180">
        <v>1</v>
      </c>
      <c r="AE100" s="180">
        <v>1</v>
      </c>
      <c r="AF100" s="180">
        <v>1</v>
      </c>
      <c r="AG100" s="180"/>
      <c r="AH100" s="180"/>
    </row>
    <row r="101" spans="1:34" s="175" customFormat="1" ht="23.25" customHeight="1" x14ac:dyDescent="0.15">
      <c r="A101" s="27"/>
      <c r="B101" s="37"/>
      <c r="C101" s="62"/>
      <c r="D101" s="278" t="s">
        <v>156</v>
      </c>
      <c r="E101" s="237"/>
      <c r="F101" s="237"/>
      <c r="G101" s="238"/>
      <c r="H101" s="43" t="s">
        <v>20</v>
      </c>
      <c r="I101" s="8"/>
      <c r="J101" s="82"/>
      <c r="K101" s="10" t="str">
        <f t="shared" si="8"/>
        <v>-</v>
      </c>
      <c r="L101" s="141">
        <f t="shared" si="3"/>
        <v>0</v>
      </c>
      <c r="M101" s="129" t="str">
        <f t="shared" si="7"/>
        <v>-</v>
      </c>
      <c r="N101" s="255"/>
      <c r="O101" s="256"/>
      <c r="P101" s="256"/>
      <c r="Q101" s="257"/>
      <c r="R101" s="7"/>
      <c r="S101" s="180">
        <v>1</v>
      </c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80"/>
      <c r="AH101" s="180"/>
    </row>
    <row r="102" spans="1:34" s="175" customFormat="1" ht="23.25" customHeight="1" x14ac:dyDescent="0.15">
      <c r="A102" s="27"/>
      <c r="B102" s="37"/>
      <c r="C102" s="41"/>
      <c r="D102" s="278" t="s">
        <v>67</v>
      </c>
      <c r="E102" s="237"/>
      <c r="F102" s="237"/>
      <c r="G102" s="238"/>
      <c r="H102" s="43" t="s">
        <v>20</v>
      </c>
      <c r="I102" s="8"/>
      <c r="J102" s="9"/>
      <c r="K102" s="10" t="str">
        <f t="shared" si="8"/>
        <v>-</v>
      </c>
      <c r="L102" s="141">
        <f t="shared" si="3"/>
        <v>0</v>
      </c>
      <c r="M102" s="129" t="str">
        <f t="shared" si="7"/>
        <v>-</v>
      </c>
      <c r="N102" s="269"/>
      <c r="O102" s="270"/>
      <c r="P102" s="270"/>
      <c r="Q102" s="271"/>
      <c r="R102" s="7"/>
      <c r="S102" s="180">
        <v>1</v>
      </c>
      <c r="T102" s="180">
        <v>1</v>
      </c>
      <c r="U102" s="180">
        <v>1</v>
      </c>
      <c r="V102" s="180">
        <v>1</v>
      </c>
      <c r="W102" s="180">
        <v>1</v>
      </c>
      <c r="X102" s="180">
        <v>1</v>
      </c>
      <c r="Y102" s="180">
        <v>1</v>
      </c>
      <c r="Z102" s="180">
        <v>1</v>
      </c>
      <c r="AA102" s="180">
        <v>1</v>
      </c>
      <c r="AB102" s="180">
        <v>1</v>
      </c>
      <c r="AC102" s="180">
        <v>1</v>
      </c>
      <c r="AD102" s="180">
        <v>1</v>
      </c>
      <c r="AE102" s="180">
        <v>1</v>
      </c>
      <c r="AF102" s="180">
        <v>1</v>
      </c>
      <c r="AG102" s="180"/>
      <c r="AH102" s="180"/>
    </row>
    <row r="103" spans="1:34" s="175" customFormat="1" ht="23.25" customHeight="1" x14ac:dyDescent="0.15">
      <c r="A103" s="27"/>
      <c r="B103" s="37"/>
      <c r="C103" s="62"/>
      <c r="D103" s="278" t="s">
        <v>157</v>
      </c>
      <c r="E103" s="237"/>
      <c r="F103" s="237"/>
      <c r="G103" s="238"/>
      <c r="H103" s="43" t="s">
        <v>20</v>
      </c>
      <c r="I103" s="8"/>
      <c r="J103" s="82"/>
      <c r="K103" s="10" t="str">
        <f t="shared" si="8"/>
        <v>-</v>
      </c>
      <c r="L103" s="141">
        <f t="shared" si="3"/>
        <v>0</v>
      </c>
      <c r="M103" s="129" t="str">
        <f t="shared" si="7"/>
        <v>-</v>
      </c>
      <c r="N103" s="255"/>
      <c r="O103" s="256"/>
      <c r="P103" s="256"/>
      <c r="Q103" s="257"/>
      <c r="R103" s="7"/>
      <c r="S103" s="180">
        <v>1</v>
      </c>
      <c r="T103" s="180">
        <v>1</v>
      </c>
      <c r="U103" s="180">
        <v>1</v>
      </c>
      <c r="V103" s="180">
        <v>1</v>
      </c>
      <c r="W103" s="180">
        <v>1</v>
      </c>
      <c r="X103" s="180">
        <v>1</v>
      </c>
      <c r="Y103" s="180">
        <v>1</v>
      </c>
      <c r="Z103" s="180">
        <v>1</v>
      </c>
      <c r="AA103" s="180"/>
      <c r="AB103" s="180"/>
      <c r="AC103" s="180"/>
      <c r="AD103" s="180"/>
      <c r="AE103" s="180"/>
      <c r="AF103" s="180"/>
      <c r="AG103" s="180"/>
      <c r="AH103" s="180"/>
    </row>
    <row r="104" spans="1:34" s="175" customFormat="1" ht="23.25" customHeight="1" x14ac:dyDescent="0.15">
      <c r="A104" s="27"/>
      <c r="B104" s="37"/>
      <c r="C104" s="62"/>
      <c r="D104" s="278" t="s">
        <v>158</v>
      </c>
      <c r="E104" s="237"/>
      <c r="F104" s="237"/>
      <c r="G104" s="238"/>
      <c r="H104" s="43" t="s">
        <v>20</v>
      </c>
      <c r="I104" s="8"/>
      <c r="J104" s="82"/>
      <c r="K104" s="10" t="str">
        <f t="shared" si="8"/>
        <v>-</v>
      </c>
      <c r="L104" s="141">
        <f t="shared" si="3"/>
        <v>0</v>
      </c>
      <c r="M104" s="129" t="str">
        <f t="shared" si="7"/>
        <v>-</v>
      </c>
      <c r="N104" s="255"/>
      <c r="O104" s="256"/>
      <c r="P104" s="256"/>
      <c r="Q104" s="257"/>
      <c r="R104" s="7"/>
      <c r="S104" s="180">
        <v>1</v>
      </c>
      <c r="T104" s="180">
        <v>1</v>
      </c>
      <c r="U104" s="180">
        <v>1</v>
      </c>
      <c r="V104" s="180">
        <v>1</v>
      </c>
      <c r="W104" s="180">
        <v>1</v>
      </c>
      <c r="X104" s="180">
        <v>1</v>
      </c>
      <c r="Y104" s="180">
        <v>1</v>
      </c>
      <c r="Z104" s="180">
        <v>1</v>
      </c>
      <c r="AA104" s="180">
        <v>1</v>
      </c>
      <c r="AB104" s="180">
        <v>1</v>
      </c>
      <c r="AC104" s="180">
        <v>1</v>
      </c>
      <c r="AD104" s="180">
        <v>1</v>
      </c>
      <c r="AE104" s="180">
        <v>1</v>
      </c>
      <c r="AF104" s="180">
        <v>1</v>
      </c>
      <c r="AG104" s="180"/>
      <c r="AH104" s="180"/>
    </row>
    <row r="105" spans="1:34" s="175" customFormat="1" ht="23.25" customHeight="1" x14ac:dyDescent="0.15">
      <c r="A105" s="27"/>
      <c r="B105" s="37"/>
      <c r="C105" s="62"/>
      <c r="D105" s="278" t="s">
        <v>159</v>
      </c>
      <c r="E105" s="237"/>
      <c r="F105" s="237"/>
      <c r="G105" s="238"/>
      <c r="H105" s="43" t="s">
        <v>20</v>
      </c>
      <c r="I105" s="8"/>
      <c r="J105" s="82"/>
      <c r="K105" s="10" t="str">
        <f t="shared" si="8"/>
        <v>-</v>
      </c>
      <c r="L105" s="141">
        <f t="shared" si="3"/>
        <v>0</v>
      </c>
      <c r="M105" s="129" t="str">
        <f t="shared" si="7"/>
        <v>-</v>
      </c>
      <c r="N105" s="255"/>
      <c r="O105" s="256"/>
      <c r="P105" s="256"/>
      <c r="Q105" s="257"/>
      <c r="R105" s="7"/>
      <c r="S105" s="180">
        <v>1</v>
      </c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80"/>
      <c r="AH105" s="180"/>
    </row>
    <row r="106" spans="1:34" s="175" customFormat="1" ht="23.25" customHeight="1" x14ac:dyDescent="0.15">
      <c r="A106" s="27"/>
      <c r="B106" s="37"/>
      <c r="C106" s="41"/>
      <c r="D106" s="337" t="s">
        <v>68</v>
      </c>
      <c r="E106" s="338"/>
      <c r="F106" s="338"/>
      <c r="G106" s="339"/>
      <c r="H106" s="43" t="s">
        <v>20</v>
      </c>
      <c r="I106" s="8"/>
      <c r="J106" s="9"/>
      <c r="K106" s="10" t="str">
        <f t="shared" si="8"/>
        <v>-</v>
      </c>
      <c r="L106" s="141">
        <f t="shared" si="3"/>
        <v>0</v>
      </c>
      <c r="M106" s="129" t="str">
        <f t="shared" si="7"/>
        <v>-</v>
      </c>
      <c r="N106" s="190"/>
      <c r="O106" s="191"/>
      <c r="P106" s="191"/>
      <c r="Q106" s="192"/>
      <c r="R106" s="7"/>
      <c r="S106" s="180">
        <v>1</v>
      </c>
      <c r="T106" s="180">
        <v>1</v>
      </c>
      <c r="U106" s="180">
        <v>1</v>
      </c>
      <c r="V106" s="180">
        <v>1</v>
      </c>
      <c r="W106" s="180">
        <v>1</v>
      </c>
      <c r="X106" s="180">
        <v>1</v>
      </c>
      <c r="Y106" s="180">
        <v>1</v>
      </c>
      <c r="Z106" s="180">
        <v>1</v>
      </c>
      <c r="AA106" s="180">
        <v>1</v>
      </c>
      <c r="AB106" s="180">
        <v>1</v>
      </c>
      <c r="AC106" s="180">
        <v>1</v>
      </c>
      <c r="AD106" s="180">
        <v>1</v>
      </c>
      <c r="AE106" s="180">
        <v>1</v>
      </c>
      <c r="AF106" s="180">
        <v>1</v>
      </c>
      <c r="AG106" s="180"/>
      <c r="AH106" s="180"/>
    </row>
    <row r="107" spans="1:34" s="175" customFormat="1" ht="23.25" customHeight="1" x14ac:dyDescent="0.15">
      <c r="A107" s="27"/>
      <c r="B107" s="37"/>
      <c r="C107" s="62"/>
      <c r="D107" s="336" t="s">
        <v>160</v>
      </c>
      <c r="E107" s="237"/>
      <c r="F107" s="237"/>
      <c r="G107" s="238"/>
      <c r="H107" s="43" t="s">
        <v>20</v>
      </c>
      <c r="I107" s="8"/>
      <c r="J107" s="82"/>
      <c r="K107" s="10" t="str">
        <f>IFERROR(J107/I107*100-100,"-")</f>
        <v>-</v>
      </c>
      <c r="L107" s="141">
        <f t="shared" si="3"/>
        <v>0</v>
      </c>
      <c r="M107" s="129" t="str">
        <f t="shared" si="7"/>
        <v>-</v>
      </c>
      <c r="N107" s="255"/>
      <c r="O107" s="256"/>
      <c r="P107" s="256"/>
      <c r="Q107" s="257"/>
      <c r="R107" s="7"/>
      <c r="S107" s="180">
        <v>1</v>
      </c>
      <c r="T107" s="180">
        <v>1</v>
      </c>
      <c r="U107" s="180">
        <v>1</v>
      </c>
      <c r="V107" s="180">
        <v>1</v>
      </c>
      <c r="W107" s="180">
        <v>1</v>
      </c>
      <c r="X107" s="180">
        <v>1</v>
      </c>
      <c r="Y107" s="180">
        <v>1</v>
      </c>
      <c r="Z107" s="180">
        <v>1</v>
      </c>
      <c r="AA107" s="180">
        <v>1</v>
      </c>
      <c r="AB107" s="180">
        <v>1</v>
      </c>
      <c r="AC107" s="180">
        <v>1</v>
      </c>
      <c r="AD107" s="180">
        <v>1</v>
      </c>
      <c r="AE107" s="180">
        <v>1</v>
      </c>
      <c r="AF107" s="180">
        <v>1</v>
      </c>
      <c r="AG107" s="180"/>
      <c r="AH107" s="180"/>
    </row>
    <row r="108" spans="1:34" s="175" customFormat="1" ht="23.25" customHeight="1" x14ac:dyDescent="0.15">
      <c r="A108" s="27"/>
      <c r="B108" s="37"/>
      <c r="C108" s="62"/>
      <c r="D108" s="46"/>
      <c r="E108" s="237" t="s">
        <v>161</v>
      </c>
      <c r="F108" s="237"/>
      <c r="G108" s="238"/>
      <c r="H108" s="43" t="s">
        <v>20</v>
      </c>
      <c r="I108" s="8"/>
      <c r="J108" s="82"/>
      <c r="K108" s="10" t="str">
        <f t="shared" ref="K108:K113" si="9">IFERROR(J108/I108*100-100,"-")</f>
        <v>-</v>
      </c>
      <c r="L108" s="141">
        <f t="shared" si="3"/>
        <v>0</v>
      </c>
      <c r="M108" s="129" t="str">
        <f t="shared" si="7"/>
        <v>-</v>
      </c>
      <c r="N108" s="255"/>
      <c r="O108" s="256"/>
      <c r="P108" s="256"/>
      <c r="Q108" s="257"/>
      <c r="R108" s="7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80"/>
    </row>
    <row r="109" spans="1:34" s="175" customFormat="1" ht="23.25" customHeight="1" x14ac:dyDescent="0.15">
      <c r="A109" s="27"/>
      <c r="B109" s="37"/>
      <c r="C109" s="62"/>
      <c r="D109" s="47"/>
      <c r="E109" s="237" t="s">
        <v>162</v>
      </c>
      <c r="F109" s="237"/>
      <c r="G109" s="238"/>
      <c r="H109" s="43" t="s">
        <v>20</v>
      </c>
      <c r="I109" s="8"/>
      <c r="J109" s="82"/>
      <c r="K109" s="10" t="str">
        <f t="shared" si="9"/>
        <v>-</v>
      </c>
      <c r="L109" s="141">
        <f t="shared" si="3"/>
        <v>0</v>
      </c>
      <c r="M109" s="129" t="str">
        <f t="shared" si="7"/>
        <v>-</v>
      </c>
      <c r="N109" s="255"/>
      <c r="O109" s="256"/>
      <c r="P109" s="256"/>
      <c r="Q109" s="257"/>
      <c r="R109" s="7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80"/>
      <c r="AH109" s="180"/>
    </row>
    <row r="110" spans="1:34" s="175" customFormat="1" ht="23.25" customHeight="1" x14ac:dyDescent="0.15">
      <c r="A110" s="27"/>
      <c r="B110" s="37"/>
      <c r="C110" s="62"/>
      <c r="D110" s="278" t="s">
        <v>69</v>
      </c>
      <c r="E110" s="237"/>
      <c r="F110" s="237"/>
      <c r="G110" s="238"/>
      <c r="H110" s="43" t="s">
        <v>20</v>
      </c>
      <c r="I110" s="8"/>
      <c r="J110" s="82"/>
      <c r="K110" s="10" t="str">
        <f t="shared" si="9"/>
        <v>-</v>
      </c>
      <c r="L110" s="141">
        <f t="shared" si="3"/>
        <v>0</v>
      </c>
      <c r="M110" s="129" t="str">
        <f t="shared" si="7"/>
        <v>-</v>
      </c>
      <c r="N110" s="255"/>
      <c r="O110" s="256"/>
      <c r="P110" s="256"/>
      <c r="Q110" s="257"/>
      <c r="R110" s="7"/>
      <c r="S110" s="180">
        <v>1</v>
      </c>
      <c r="T110" s="180">
        <v>1</v>
      </c>
      <c r="U110" s="180">
        <v>1</v>
      </c>
      <c r="V110" s="180">
        <v>1</v>
      </c>
      <c r="W110" s="180">
        <v>1</v>
      </c>
      <c r="X110" s="180">
        <v>1</v>
      </c>
      <c r="Y110" s="180">
        <v>1</v>
      </c>
      <c r="Z110" s="180">
        <v>1</v>
      </c>
      <c r="AA110" s="180">
        <v>1</v>
      </c>
      <c r="AB110" s="180">
        <v>1</v>
      </c>
      <c r="AC110" s="180">
        <v>1</v>
      </c>
      <c r="AD110" s="180">
        <v>1</v>
      </c>
      <c r="AE110" s="180">
        <v>1</v>
      </c>
      <c r="AF110" s="180">
        <v>1</v>
      </c>
      <c r="AG110" s="180"/>
      <c r="AH110" s="180"/>
    </row>
    <row r="111" spans="1:34" s="175" customFormat="1" ht="23.25" customHeight="1" x14ac:dyDescent="0.15">
      <c r="A111" s="27"/>
      <c r="B111" s="37"/>
      <c r="C111" s="62"/>
      <c r="D111" s="336" t="s">
        <v>163</v>
      </c>
      <c r="E111" s="237"/>
      <c r="F111" s="237"/>
      <c r="G111" s="238"/>
      <c r="H111" s="43" t="s">
        <v>20</v>
      </c>
      <c r="I111" s="8"/>
      <c r="J111" s="82"/>
      <c r="K111" s="10" t="str">
        <f>IFERROR(J111/I111*100-100,"-")</f>
        <v>-</v>
      </c>
      <c r="L111" s="141">
        <f t="shared" si="3"/>
        <v>0</v>
      </c>
      <c r="M111" s="129" t="str">
        <f>IFERROR(ROUND((J111-I111)/($J$90-$I$90)*100,1),"-")</f>
        <v>-</v>
      </c>
      <c r="N111" s="255"/>
      <c r="O111" s="256"/>
      <c r="P111" s="256"/>
      <c r="Q111" s="257"/>
      <c r="R111" s="7"/>
      <c r="S111" s="180">
        <v>1</v>
      </c>
      <c r="T111" s="180">
        <v>1</v>
      </c>
      <c r="U111" s="180">
        <v>1</v>
      </c>
      <c r="V111" s="180">
        <v>1</v>
      </c>
      <c r="W111" s="180">
        <v>1</v>
      </c>
      <c r="X111" s="180">
        <v>1</v>
      </c>
      <c r="Y111" s="180">
        <v>1</v>
      </c>
      <c r="Z111" s="180">
        <v>1</v>
      </c>
      <c r="AA111" s="180">
        <v>1</v>
      </c>
      <c r="AB111" s="180">
        <v>1</v>
      </c>
      <c r="AC111" s="180">
        <v>1</v>
      </c>
      <c r="AD111" s="180">
        <v>1</v>
      </c>
      <c r="AE111" s="180">
        <v>1</v>
      </c>
      <c r="AF111" s="180">
        <v>1</v>
      </c>
      <c r="AG111" s="180"/>
      <c r="AH111" s="180"/>
    </row>
    <row r="112" spans="1:34" s="175" customFormat="1" ht="23.25" customHeight="1" x14ac:dyDescent="0.15">
      <c r="A112" s="27"/>
      <c r="B112" s="37"/>
      <c r="C112" s="62"/>
      <c r="D112" s="46"/>
      <c r="E112" s="237" t="s">
        <v>164</v>
      </c>
      <c r="F112" s="237"/>
      <c r="G112" s="238"/>
      <c r="H112" s="43" t="s">
        <v>20</v>
      </c>
      <c r="I112" s="8"/>
      <c r="J112" s="82"/>
      <c r="K112" s="10" t="str">
        <f t="shared" si="9"/>
        <v>-</v>
      </c>
      <c r="L112" s="141">
        <f t="shared" si="3"/>
        <v>0</v>
      </c>
      <c r="M112" s="129" t="str">
        <f t="shared" ref="M112:M113" si="10">IFERROR(ROUND((J112-I112)/($J$90-$I$90)*100,1),"-")</f>
        <v>-</v>
      </c>
      <c r="N112" s="255"/>
      <c r="O112" s="256"/>
      <c r="P112" s="256"/>
      <c r="Q112" s="257"/>
      <c r="R112" s="7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80"/>
      <c r="AH112" s="180"/>
    </row>
    <row r="113" spans="1:34" s="175" customFormat="1" ht="23.25" customHeight="1" x14ac:dyDescent="0.15">
      <c r="A113" s="27"/>
      <c r="B113" s="37"/>
      <c r="C113" s="62"/>
      <c r="D113" s="47"/>
      <c r="E113" s="237" t="s">
        <v>165</v>
      </c>
      <c r="F113" s="237"/>
      <c r="G113" s="238"/>
      <c r="H113" s="43" t="s">
        <v>20</v>
      </c>
      <c r="I113" s="8"/>
      <c r="J113" s="82"/>
      <c r="K113" s="10" t="str">
        <f t="shared" si="9"/>
        <v>-</v>
      </c>
      <c r="L113" s="141">
        <f t="shared" si="3"/>
        <v>0</v>
      </c>
      <c r="M113" s="129" t="str">
        <f t="shared" si="10"/>
        <v>-</v>
      </c>
      <c r="N113" s="255"/>
      <c r="O113" s="256"/>
      <c r="P113" s="256"/>
      <c r="Q113" s="257"/>
      <c r="R113" s="7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80"/>
      <c r="AH113" s="180"/>
    </row>
    <row r="114" spans="1:34" s="175" customFormat="1" ht="23.25" customHeight="1" x14ac:dyDescent="0.15">
      <c r="A114" s="27"/>
      <c r="B114" s="37"/>
      <c r="C114" s="60"/>
      <c r="D114" s="324" t="s">
        <v>166</v>
      </c>
      <c r="E114" s="325"/>
      <c r="F114" s="325"/>
      <c r="G114" s="326"/>
      <c r="H114" s="83" t="s">
        <v>20</v>
      </c>
      <c r="I114" s="8"/>
      <c r="J114" s="84"/>
      <c r="K114" s="85" t="str">
        <f t="shared" si="8"/>
        <v>-</v>
      </c>
      <c r="L114" s="146">
        <f t="shared" si="3"/>
        <v>0</v>
      </c>
      <c r="M114" s="134" t="str">
        <f>IFERROR(ROUND((J114-I114)/($J$90-$I$90)*100,1),"-")</f>
        <v>-</v>
      </c>
      <c r="N114" s="327"/>
      <c r="O114" s="328"/>
      <c r="P114" s="328"/>
      <c r="Q114" s="329"/>
      <c r="R114" s="7"/>
      <c r="S114" s="180"/>
      <c r="T114" s="180"/>
      <c r="U114" s="180"/>
      <c r="V114" s="180"/>
      <c r="W114" s="180"/>
      <c r="X114" s="180"/>
      <c r="Y114" s="180"/>
      <c r="Z114" s="180"/>
      <c r="AA114" s="180">
        <v>1</v>
      </c>
      <c r="AB114" s="180">
        <v>1</v>
      </c>
      <c r="AC114" s="180"/>
      <c r="AD114" s="180"/>
      <c r="AE114" s="180"/>
      <c r="AF114" s="180"/>
      <c r="AG114" s="180"/>
      <c r="AH114" s="180"/>
    </row>
    <row r="115" spans="1:34" s="175" customFormat="1" ht="23.25" customHeight="1" thickBot="1" x14ac:dyDescent="0.2">
      <c r="A115" s="27"/>
      <c r="B115" s="37"/>
      <c r="C115" s="330" t="s">
        <v>167</v>
      </c>
      <c r="D115" s="331"/>
      <c r="E115" s="331"/>
      <c r="F115" s="331"/>
      <c r="G115" s="332"/>
      <c r="H115" s="63" t="s">
        <v>20</v>
      </c>
      <c r="I115" s="20"/>
      <c r="J115" s="21"/>
      <c r="K115" s="22" t="str">
        <f t="shared" si="8"/>
        <v>-</v>
      </c>
      <c r="L115" s="147">
        <f t="shared" si="3"/>
        <v>0</v>
      </c>
      <c r="M115" s="135"/>
      <c r="N115" s="333"/>
      <c r="O115" s="334"/>
      <c r="P115" s="334"/>
      <c r="Q115" s="335"/>
      <c r="R115" s="7"/>
      <c r="S115" s="180">
        <v>1</v>
      </c>
      <c r="T115" s="180">
        <v>1</v>
      </c>
      <c r="U115" s="180">
        <v>1</v>
      </c>
      <c r="V115" s="180">
        <v>1</v>
      </c>
      <c r="W115" s="180">
        <v>1</v>
      </c>
      <c r="X115" s="180">
        <v>1</v>
      </c>
      <c r="Y115" s="180">
        <v>1</v>
      </c>
      <c r="Z115" s="180">
        <v>1</v>
      </c>
      <c r="AA115" s="180">
        <v>1</v>
      </c>
      <c r="AB115" s="180">
        <v>1</v>
      </c>
      <c r="AC115" s="180">
        <v>1</v>
      </c>
      <c r="AD115" s="180">
        <v>1</v>
      </c>
      <c r="AE115" s="180">
        <v>1</v>
      </c>
      <c r="AF115" s="180">
        <v>1</v>
      </c>
      <c r="AG115" s="180"/>
      <c r="AH115" s="180"/>
    </row>
    <row r="116" spans="1:34" s="175" customFormat="1" ht="23.25" customHeight="1" x14ac:dyDescent="0.15">
      <c r="A116" s="27"/>
      <c r="B116" s="37"/>
      <c r="C116" s="323" t="s">
        <v>70</v>
      </c>
      <c r="D116" s="264"/>
      <c r="E116" s="264"/>
      <c r="F116" s="264"/>
      <c r="G116" s="265"/>
      <c r="H116" s="58" t="s">
        <v>20</v>
      </c>
      <c r="I116" s="14"/>
      <c r="J116" s="15"/>
      <c r="K116" s="16" t="str">
        <f t="shared" si="8"/>
        <v>-</v>
      </c>
      <c r="L116" s="143">
        <f t="shared" si="3"/>
        <v>0</v>
      </c>
      <c r="M116" s="131"/>
      <c r="N116" s="207"/>
      <c r="O116" s="208"/>
      <c r="P116" s="208"/>
      <c r="Q116" s="209"/>
      <c r="R116" s="7"/>
      <c r="S116" s="180">
        <v>1</v>
      </c>
      <c r="T116" s="180">
        <v>1</v>
      </c>
      <c r="U116" s="180">
        <v>1</v>
      </c>
      <c r="V116" s="180">
        <v>1</v>
      </c>
      <c r="W116" s="180">
        <v>1</v>
      </c>
      <c r="X116" s="180">
        <v>1</v>
      </c>
      <c r="Y116" s="180">
        <v>1</v>
      </c>
      <c r="Z116" s="180">
        <v>1</v>
      </c>
      <c r="AA116" s="180">
        <v>1</v>
      </c>
      <c r="AB116" s="180">
        <v>1</v>
      </c>
      <c r="AC116" s="180">
        <v>1</v>
      </c>
      <c r="AD116" s="180">
        <v>1</v>
      </c>
      <c r="AE116" s="180">
        <v>1</v>
      </c>
      <c r="AF116" s="180">
        <v>1</v>
      </c>
      <c r="AG116" s="180"/>
      <c r="AH116" s="180"/>
    </row>
    <row r="117" spans="1:34" s="175" customFormat="1" ht="23.25" customHeight="1" x14ac:dyDescent="0.15">
      <c r="A117" s="27"/>
      <c r="B117" s="37"/>
      <c r="C117" s="90"/>
      <c r="D117" s="278" t="s">
        <v>168</v>
      </c>
      <c r="E117" s="237"/>
      <c r="F117" s="237"/>
      <c r="G117" s="238"/>
      <c r="H117" s="43" t="s">
        <v>20</v>
      </c>
      <c r="I117" s="8"/>
      <c r="J117" s="9"/>
      <c r="K117" s="10" t="str">
        <f t="shared" si="8"/>
        <v>-</v>
      </c>
      <c r="L117" s="141">
        <f t="shared" si="3"/>
        <v>0</v>
      </c>
      <c r="M117" s="129"/>
      <c r="N117" s="190"/>
      <c r="O117" s="191"/>
      <c r="P117" s="191"/>
      <c r="Q117" s="192"/>
      <c r="R117" s="7"/>
      <c r="S117" s="180">
        <v>1</v>
      </c>
      <c r="T117" s="180">
        <v>1</v>
      </c>
      <c r="U117" s="180">
        <v>1</v>
      </c>
      <c r="V117" s="180">
        <v>1</v>
      </c>
      <c r="W117" s="180">
        <v>1</v>
      </c>
      <c r="X117" s="180">
        <v>1</v>
      </c>
      <c r="Y117" s="180">
        <v>1</v>
      </c>
      <c r="Z117" s="180">
        <v>1</v>
      </c>
      <c r="AA117" s="180">
        <v>1</v>
      </c>
      <c r="AB117" s="180">
        <v>1</v>
      </c>
      <c r="AC117" s="180">
        <v>1</v>
      </c>
      <c r="AD117" s="180">
        <v>1</v>
      </c>
      <c r="AE117" s="180">
        <v>1</v>
      </c>
      <c r="AF117" s="180">
        <v>1</v>
      </c>
      <c r="AG117" s="180"/>
      <c r="AH117" s="180"/>
    </row>
    <row r="118" spans="1:34" s="175" customFormat="1" ht="23.25" customHeight="1" x14ac:dyDescent="0.15">
      <c r="A118" s="27"/>
      <c r="B118" s="37"/>
      <c r="C118" s="62"/>
      <c r="D118" s="278" t="s">
        <v>169</v>
      </c>
      <c r="E118" s="237"/>
      <c r="F118" s="237"/>
      <c r="G118" s="238"/>
      <c r="H118" s="43" t="s">
        <v>20</v>
      </c>
      <c r="I118" s="8"/>
      <c r="J118" s="9"/>
      <c r="K118" s="10" t="str">
        <f t="shared" si="8"/>
        <v>-</v>
      </c>
      <c r="L118" s="141">
        <f t="shared" si="3"/>
        <v>0</v>
      </c>
      <c r="M118" s="129"/>
      <c r="N118" s="190"/>
      <c r="O118" s="191"/>
      <c r="P118" s="191"/>
      <c r="Q118" s="192"/>
      <c r="R118" s="7"/>
      <c r="S118" s="180">
        <v>1</v>
      </c>
      <c r="T118" s="180">
        <v>1</v>
      </c>
      <c r="U118" s="180">
        <v>1</v>
      </c>
      <c r="V118" s="180">
        <v>1</v>
      </c>
      <c r="W118" s="180">
        <v>1</v>
      </c>
      <c r="X118" s="180">
        <v>1</v>
      </c>
      <c r="Y118" s="180">
        <v>1</v>
      </c>
      <c r="Z118" s="180">
        <v>1</v>
      </c>
      <c r="AA118" s="180">
        <v>1</v>
      </c>
      <c r="AB118" s="180">
        <v>1</v>
      </c>
      <c r="AC118" s="180">
        <v>1</v>
      </c>
      <c r="AD118" s="180">
        <v>1</v>
      </c>
      <c r="AE118" s="180">
        <v>1</v>
      </c>
      <c r="AF118" s="180">
        <v>1</v>
      </c>
      <c r="AG118" s="180"/>
      <c r="AH118" s="180"/>
    </row>
    <row r="119" spans="1:34" s="175" customFormat="1" ht="23.25" customHeight="1" x14ac:dyDescent="0.15">
      <c r="A119" s="27"/>
      <c r="B119" s="37"/>
      <c r="C119" s="62"/>
      <c r="D119" s="278" t="s">
        <v>170</v>
      </c>
      <c r="E119" s="237"/>
      <c r="F119" s="237"/>
      <c r="G119" s="238"/>
      <c r="H119" s="43" t="s">
        <v>20</v>
      </c>
      <c r="I119" s="8"/>
      <c r="J119" s="9"/>
      <c r="K119" s="10" t="str">
        <f t="shared" si="8"/>
        <v>-</v>
      </c>
      <c r="L119" s="141">
        <f t="shared" si="3"/>
        <v>0</v>
      </c>
      <c r="M119" s="129"/>
      <c r="N119" s="190"/>
      <c r="O119" s="191"/>
      <c r="P119" s="191"/>
      <c r="Q119" s="192"/>
      <c r="R119" s="7"/>
      <c r="S119" s="180">
        <v>1</v>
      </c>
      <c r="T119" s="180">
        <v>1</v>
      </c>
      <c r="U119" s="180">
        <v>1</v>
      </c>
      <c r="V119" s="180">
        <v>1</v>
      </c>
      <c r="W119" s="180">
        <v>1</v>
      </c>
      <c r="X119" s="180">
        <v>1</v>
      </c>
      <c r="Y119" s="180">
        <v>1</v>
      </c>
      <c r="Z119" s="180">
        <v>1</v>
      </c>
      <c r="AA119" s="180">
        <v>1</v>
      </c>
      <c r="AB119" s="180">
        <v>1</v>
      </c>
      <c r="AC119" s="180">
        <v>1</v>
      </c>
      <c r="AD119" s="180">
        <v>1</v>
      </c>
      <c r="AE119" s="180">
        <v>1</v>
      </c>
      <c r="AF119" s="180">
        <v>1</v>
      </c>
      <c r="AG119" s="180"/>
      <c r="AH119" s="180"/>
    </row>
    <row r="120" spans="1:34" s="175" customFormat="1" ht="23.25" customHeight="1" x14ac:dyDescent="0.15">
      <c r="A120" s="27"/>
      <c r="B120" s="37"/>
      <c r="C120" s="322" t="s">
        <v>71</v>
      </c>
      <c r="D120" s="237"/>
      <c r="E120" s="237"/>
      <c r="F120" s="237"/>
      <c r="G120" s="238"/>
      <c r="H120" s="43" t="s">
        <v>20</v>
      </c>
      <c r="I120" s="8"/>
      <c r="J120" s="9"/>
      <c r="K120" s="10" t="str">
        <f t="shared" si="8"/>
        <v>-</v>
      </c>
      <c r="L120" s="141">
        <f t="shared" si="3"/>
        <v>0</v>
      </c>
      <c r="M120" s="129"/>
      <c r="N120" s="190"/>
      <c r="O120" s="191"/>
      <c r="P120" s="191"/>
      <c r="Q120" s="192"/>
      <c r="R120" s="7"/>
      <c r="S120" s="180">
        <v>1</v>
      </c>
      <c r="T120" s="180">
        <v>1</v>
      </c>
      <c r="U120" s="180">
        <v>1</v>
      </c>
      <c r="V120" s="180">
        <v>1</v>
      </c>
      <c r="W120" s="180">
        <v>1</v>
      </c>
      <c r="X120" s="180">
        <v>1</v>
      </c>
      <c r="Y120" s="180">
        <v>1</v>
      </c>
      <c r="Z120" s="180">
        <v>1</v>
      </c>
      <c r="AA120" s="180">
        <v>1</v>
      </c>
      <c r="AB120" s="180">
        <v>1</v>
      </c>
      <c r="AC120" s="180">
        <v>1</v>
      </c>
      <c r="AD120" s="180">
        <v>1</v>
      </c>
      <c r="AE120" s="180">
        <v>1</v>
      </c>
      <c r="AF120" s="180">
        <v>1</v>
      </c>
      <c r="AG120" s="180"/>
      <c r="AH120" s="180"/>
    </row>
    <row r="121" spans="1:34" s="175" customFormat="1" ht="23.25" customHeight="1" x14ac:dyDescent="0.15">
      <c r="A121" s="27"/>
      <c r="B121" s="37"/>
      <c r="C121" s="90"/>
      <c r="D121" s="278" t="s">
        <v>171</v>
      </c>
      <c r="E121" s="237"/>
      <c r="F121" s="237"/>
      <c r="G121" s="238"/>
      <c r="H121" s="43" t="s">
        <v>20</v>
      </c>
      <c r="I121" s="8"/>
      <c r="J121" s="9"/>
      <c r="K121" s="10" t="str">
        <f t="shared" si="8"/>
        <v>-</v>
      </c>
      <c r="L121" s="141">
        <f t="shared" si="3"/>
        <v>0</v>
      </c>
      <c r="M121" s="129"/>
      <c r="N121" s="190"/>
      <c r="O121" s="191"/>
      <c r="P121" s="191"/>
      <c r="Q121" s="192"/>
      <c r="R121" s="7"/>
      <c r="S121" s="180">
        <v>1</v>
      </c>
      <c r="T121" s="180">
        <v>1</v>
      </c>
      <c r="U121" s="180">
        <v>1</v>
      </c>
      <c r="V121" s="180">
        <v>1</v>
      </c>
      <c r="W121" s="180">
        <v>1</v>
      </c>
      <c r="X121" s="180">
        <v>1</v>
      </c>
      <c r="Y121" s="180">
        <v>1</v>
      </c>
      <c r="Z121" s="180">
        <v>1</v>
      </c>
      <c r="AA121" s="180">
        <v>1</v>
      </c>
      <c r="AB121" s="180">
        <v>1</v>
      </c>
      <c r="AC121" s="180">
        <v>1</v>
      </c>
      <c r="AD121" s="180">
        <v>1</v>
      </c>
      <c r="AE121" s="180">
        <v>1</v>
      </c>
      <c r="AF121" s="180">
        <v>1</v>
      </c>
      <c r="AG121" s="180"/>
      <c r="AH121" s="180"/>
    </row>
    <row r="122" spans="1:34" s="175" customFormat="1" ht="23.25" customHeight="1" x14ac:dyDescent="0.15">
      <c r="A122" s="27"/>
      <c r="B122" s="37"/>
      <c r="C122" s="62"/>
      <c r="D122" s="278" t="s">
        <v>172</v>
      </c>
      <c r="E122" s="237"/>
      <c r="F122" s="237"/>
      <c r="G122" s="238"/>
      <c r="H122" s="43" t="s">
        <v>20</v>
      </c>
      <c r="I122" s="8"/>
      <c r="J122" s="9"/>
      <c r="K122" s="10" t="str">
        <f t="shared" si="8"/>
        <v>-</v>
      </c>
      <c r="L122" s="141">
        <f t="shared" si="3"/>
        <v>0</v>
      </c>
      <c r="M122" s="129"/>
      <c r="N122" s="190"/>
      <c r="O122" s="191"/>
      <c r="P122" s="191"/>
      <c r="Q122" s="192"/>
      <c r="R122" s="7"/>
      <c r="S122" s="180">
        <v>1</v>
      </c>
      <c r="T122" s="180">
        <v>1</v>
      </c>
      <c r="U122" s="180">
        <v>1</v>
      </c>
      <c r="V122" s="180">
        <v>1</v>
      </c>
      <c r="W122" s="180">
        <v>1</v>
      </c>
      <c r="X122" s="180">
        <v>1</v>
      </c>
      <c r="Y122" s="180">
        <v>1</v>
      </c>
      <c r="Z122" s="180">
        <v>1</v>
      </c>
      <c r="AA122" s="180">
        <v>1</v>
      </c>
      <c r="AB122" s="180">
        <v>1</v>
      </c>
      <c r="AC122" s="180">
        <v>1</v>
      </c>
      <c r="AD122" s="180">
        <v>1</v>
      </c>
      <c r="AE122" s="180">
        <v>1</v>
      </c>
      <c r="AF122" s="180">
        <v>1</v>
      </c>
      <c r="AG122" s="180"/>
      <c r="AH122" s="180"/>
    </row>
    <row r="123" spans="1:34" s="175" customFormat="1" ht="23.25" customHeight="1" x14ac:dyDescent="0.15">
      <c r="A123" s="27"/>
      <c r="B123" s="37"/>
      <c r="C123" s="62"/>
      <c r="D123" s="278" t="s">
        <v>173</v>
      </c>
      <c r="E123" s="237"/>
      <c r="F123" s="237"/>
      <c r="G123" s="238"/>
      <c r="H123" s="43" t="s">
        <v>20</v>
      </c>
      <c r="I123" s="8"/>
      <c r="J123" s="9"/>
      <c r="K123" s="10" t="str">
        <f t="shared" si="8"/>
        <v>-</v>
      </c>
      <c r="L123" s="141">
        <f t="shared" si="3"/>
        <v>0</v>
      </c>
      <c r="M123" s="129"/>
      <c r="N123" s="190"/>
      <c r="O123" s="191"/>
      <c r="P123" s="191"/>
      <c r="Q123" s="192"/>
      <c r="R123" s="7"/>
      <c r="S123" s="180">
        <v>1</v>
      </c>
      <c r="T123" s="180">
        <v>1</v>
      </c>
      <c r="U123" s="180">
        <v>1</v>
      </c>
      <c r="V123" s="180">
        <v>1</v>
      </c>
      <c r="W123" s="180">
        <v>1</v>
      </c>
      <c r="X123" s="180">
        <v>1</v>
      </c>
      <c r="Y123" s="180">
        <v>1</v>
      </c>
      <c r="Z123" s="180">
        <v>1</v>
      </c>
      <c r="AA123" s="180">
        <v>1</v>
      </c>
      <c r="AB123" s="180">
        <v>1</v>
      </c>
      <c r="AC123" s="180">
        <v>1</v>
      </c>
      <c r="AD123" s="180">
        <v>1</v>
      </c>
      <c r="AE123" s="180">
        <v>1</v>
      </c>
      <c r="AF123" s="180">
        <v>1</v>
      </c>
      <c r="AG123" s="180"/>
      <c r="AH123" s="180"/>
    </row>
    <row r="124" spans="1:34" s="175" customFormat="1" ht="23.25" customHeight="1" x14ac:dyDescent="0.15">
      <c r="A124" s="27"/>
      <c r="B124" s="37"/>
      <c r="C124" s="322" t="s">
        <v>174</v>
      </c>
      <c r="D124" s="237"/>
      <c r="E124" s="237"/>
      <c r="F124" s="237"/>
      <c r="G124" s="238"/>
      <c r="H124" s="43" t="s">
        <v>20</v>
      </c>
      <c r="I124" s="8"/>
      <c r="J124" s="9"/>
      <c r="K124" s="10" t="str">
        <f t="shared" si="8"/>
        <v>-</v>
      </c>
      <c r="L124" s="141">
        <f t="shared" si="3"/>
        <v>0</v>
      </c>
      <c r="M124" s="129"/>
      <c r="N124" s="190"/>
      <c r="O124" s="191"/>
      <c r="P124" s="191"/>
      <c r="Q124" s="192"/>
      <c r="R124" s="7"/>
      <c r="S124" s="180">
        <v>1</v>
      </c>
      <c r="T124" s="180">
        <v>1</v>
      </c>
      <c r="U124" s="180">
        <v>1</v>
      </c>
      <c r="V124" s="180">
        <v>1</v>
      </c>
      <c r="W124" s="180">
        <v>1</v>
      </c>
      <c r="X124" s="180">
        <v>1</v>
      </c>
      <c r="Y124" s="180">
        <v>1</v>
      </c>
      <c r="Z124" s="180">
        <v>1</v>
      </c>
      <c r="AA124" s="180">
        <v>1</v>
      </c>
      <c r="AB124" s="180">
        <v>1</v>
      </c>
      <c r="AC124" s="180">
        <v>1</v>
      </c>
      <c r="AD124" s="180">
        <v>1</v>
      </c>
      <c r="AE124" s="180">
        <v>1</v>
      </c>
      <c r="AF124" s="180">
        <v>1</v>
      </c>
      <c r="AG124" s="180"/>
      <c r="AH124" s="180"/>
    </row>
    <row r="125" spans="1:34" s="175" customFormat="1" ht="23.25" customHeight="1" x14ac:dyDescent="0.15">
      <c r="A125" s="27"/>
      <c r="B125" s="37"/>
      <c r="C125" s="90"/>
      <c r="D125" s="278" t="s">
        <v>175</v>
      </c>
      <c r="E125" s="237"/>
      <c r="F125" s="237"/>
      <c r="G125" s="238"/>
      <c r="H125" s="43" t="s">
        <v>20</v>
      </c>
      <c r="I125" s="8"/>
      <c r="J125" s="9"/>
      <c r="K125" s="10" t="str">
        <f t="shared" si="8"/>
        <v>-</v>
      </c>
      <c r="L125" s="141">
        <f t="shared" si="3"/>
        <v>0</v>
      </c>
      <c r="M125" s="129"/>
      <c r="N125" s="190"/>
      <c r="O125" s="191"/>
      <c r="P125" s="191"/>
      <c r="Q125" s="192"/>
      <c r="R125" s="7"/>
      <c r="S125" s="180">
        <v>1</v>
      </c>
      <c r="T125" s="180">
        <v>1</v>
      </c>
      <c r="U125" s="180">
        <v>1</v>
      </c>
      <c r="V125" s="180">
        <v>1</v>
      </c>
      <c r="W125" s="180">
        <v>1</v>
      </c>
      <c r="X125" s="180">
        <v>1</v>
      </c>
      <c r="Y125" s="180">
        <v>1</v>
      </c>
      <c r="Z125" s="180">
        <v>1</v>
      </c>
      <c r="AA125" s="180">
        <v>1</v>
      </c>
      <c r="AB125" s="180">
        <v>1</v>
      </c>
      <c r="AC125" s="180">
        <v>1</v>
      </c>
      <c r="AD125" s="180">
        <v>1</v>
      </c>
      <c r="AE125" s="180">
        <v>1</v>
      </c>
      <c r="AF125" s="180">
        <v>1</v>
      </c>
      <c r="AG125" s="180"/>
      <c r="AH125" s="180"/>
    </row>
    <row r="126" spans="1:34" s="175" customFormat="1" ht="23.25" customHeight="1" x14ac:dyDescent="0.15">
      <c r="A126" s="27"/>
      <c r="B126" s="37"/>
      <c r="C126" s="62"/>
      <c r="D126" s="278" t="s">
        <v>176</v>
      </c>
      <c r="E126" s="237"/>
      <c r="F126" s="237"/>
      <c r="G126" s="238"/>
      <c r="H126" s="43" t="s">
        <v>20</v>
      </c>
      <c r="I126" s="8"/>
      <c r="J126" s="9"/>
      <c r="K126" s="10" t="str">
        <f t="shared" si="8"/>
        <v>-</v>
      </c>
      <c r="L126" s="141">
        <f t="shared" si="3"/>
        <v>0</v>
      </c>
      <c r="M126" s="129"/>
      <c r="N126" s="190"/>
      <c r="O126" s="191"/>
      <c r="P126" s="191"/>
      <c r="Q126" s="192"/>
      <c r="R126" s="7"/>
      <c r="S126" s="180">
        <v>1</v>
      </c>
      <c r="T126" s="180">
        <v>1</v>
      </c>
      <c r="U126" s="180">
        <v>1</v>
      </c>
      <c r="V126" s="180">
        <v>1</v>
      </c>
      <c r="W126" s="180">
        <v>1</v>
      </c>
      <c r="X126" s="180">
        <v>1</v>
      </c>
      <c r="Y126" s="180">
        <v>1</v>
      </c>
      <c r="Z126" s="180">
        <v>1</v>
      </c>
      <c r="AA126" s="180">
        <v>1</v>
      </c>
      <c r="AB126" s="180">
        <v>1</v>
      </c>
      <c r="AC126" s="180">
        <v>1</v>
      </c>
      <c r="AD126" s="180">
        <v>1</v>
      </c>
      <c r="AE126" s="180">
        <v>1</v>
      </c>
      <c r="AF126" s="180">
        <v>1</v>
      </c>
      <c r="AG126" s="180"/>
      <c r="AH126" s="180"/>
    </row>
    <row r="127" spans="1:34" s="175" customFormat="1" ht="23.25" customHeight="1" x14ac:dyDescent="0.15">
      <c r="A127" s="27"/>
      <c r="B127" s="37"/>
      <c r="C127" s="62"/>
      <c r="D127" s="278" t="s">
        <v>177</v>
      </c>
      <c r="E127" s="237"/>
      <c r="F127" s="237"/>
      <c r="G127" s="238"/>
      <c r="H127" s="43" t="s">
        <v>20</v>
      </c>
      <c r="I127" s="8"/>
      <c r="J127" s="9"/>
      <c r="K127" s="10" t="str">
        <f t="shared" si="8"/>
        <v>-</v>
      </c>
      <c r="L127" s="141">
        <f t="shared" si="3"/>
        <v>0</v>
      </c>
      <c r="M127" s="129"/>
      <c r="N127" s="190"/>
      <c r="O127" s="191"/>
      <c r="P127" s="191"/>
      <c r="Q127" s="192"/>
      <c r="R127" s="7"/>
      <c r="S127" s="180">
        <v>1</v>
      </c>
      <c r="T127" s="180">
        <v>1</v>
      </c>
      <c r="U127" s="180">
        <v>1</v>
      </c>
      <c r="V127" s="180">
        <v>1</v>
      </c>
      <c r="W127" s="180">
        <v>1</v>
      </c>
      <c r="X127" s="180">
        <v>1</v>
      </c>
      <c r="Y127" s="180">
        <v>1</v>
      </c>
      <c r="Z127" s="180">
        <v>1</v>
      </c>
      <c r="AA127" s="180">
        <v>1</v>
      </c>
      <c r="AB127" s="180">
        <v>1</v>
      </c>
      <c r="AC127" s="180">
        <v>1</v>
      </c>
      <c r="AD127" s="180">
        <v>1</v>
      </c>
      <c r="AE127" s="180">
        <v>1</v>
      </c>
      <c r="AF127" s="180">
        <v>1</v>
      </c>
      <c r="AG127" s="180"/>
      <c r="AH127" s="180"/>
    </row>
    <row r="128" spans="1:34" s="175" customFormat="1" ht="23.25" customHeight="1" x14ac:dyDescent="0.15">
      <c r="A128" s="27"/>
      <c r="B128" s="37"/>
      <c r="C128" s="320" t="s">
        <v>178</v>
      </c>
      <c r="D128" s="237"/>
      <c r="E128" s="237"/>
      <c r="F128" s="237"/>
      <c r="G128" s="238"/>
      <c r="H128" s="43" t="s">
        <v>20</v>
      </c>
      <c r="I128" s="8"/>
      <c r="J128" s="9"/>
      <c r="K128" s="10" t="str">
        <f t="shared" si="8"/>
        <v>-</v>
      </c>
      <c r="L128" s="141">
        <f t="shared" si="3"/>
        <v>0</v>
      </c>
      <c r="M128" s="129"/>
      <c r="N128" s="190"/>
      <c r="O128" s="191"/>
      <c r="P128" s="191"/>
      <c r="Q128" s="192"/>
      <c r="R128" s="7"/>
      <c r="S128" s="180">
        <v>1</v>
      </c>
      <c r="T128" s="180">
        <v>1</v>
      </c>
      <c r="U128" s="180">
        <v>1</v>
      </c>
      <c r="V128" s="180">
        <v>1</v>
      </c>
      <c r="W128" s="180">
        <v>1</v>
      </c>
      <c r="X128" s="180">
        <v>1</v>
      </c>
      <c r="Y128" s="180">
        <v>1</v>
      </c>
      <c r="Z128" s="180">
        <v>1</v>
      </c>
      <c r="AA128" s="180">
        <v>1</v>
      </c>
      <c r="AB128" s="180">
        <v>1</v>
      </c>
      <c r="AC128" s="180">
        <v>1</v>
      </c>
      <c r="AD128" s="180">
        <v>1</v>
      </c>
      <c r="AE128" s="180">
        <v>1</v>
      </c>
      <c r="AF128" s="180">
        <v>1</v>
      </c>
      <c r="AG128" s="180"/>
      <c r="AH128" s="180"/>
    </row>
    <row r="129" spans="1:34" s="175" customFormat="1" ht="23.25" customHeight="1" x14ac:dyDescent="0.15">
      <c r="A129" s="27"/>
      <c r="B129" s="37"/>
      <c r="C129" s="320" t="s">
        <v>179</v>
      </c>
      <c r="D129" s="237"/>
      <c r="E129" s="237"/>
      <c r="F129" s="237"/>
      <c r="G129" s="238"/>
      <c r="H129" s="43" t="s">
        <v>20</v>
      </c>
      <c r="I129" s="8"/>
      <c r="J129" s="9"/>
      <c r="K129" s="10" t="str">
        <f t="shared" si="8"/>
        <v>-</v>
      </c>
      <c r="L129" s="141">
        <f t="shared" si="3"/>
        <v>0</v>
      </c>
      <c r="M129" s="129"/>
      <c r="N129" s="190"/>
      <c r="O129" s="191"/>
      <c r="P129" s="191"/>
      <c r="Q129" s="192"/>
      <c r="R129" s="7"/>
      <c r="S129" s="180">
        <v>1</v>
      </c>
      <c r="T129" s="180">
        <v>1</v>
      </c>
      <c r="U129" s="180">
        <v>1</v>
      </c>
      <c r="V129" s="180">
        <v>1</v>
      </c>
      <c r="W129" s="180">
        <v>1</v>
      </c>
      <c r="X129" s="180">
        <v>1</v>
      </c>
      <c r="Y129" s="180">
        <v>1</v>
      </c>
      <c r="Z129" s="180">
        <v>1</v>
      </c>
      <c r="AA129" s="180">
        <v>1</v>
      </c>
      <c r="AB129" s="180">
        <v>1</v>
      </c>
      <c r="AC129" s="180">
        <v>1</v>
      </c>
      <c r="AD129" s="180">
        <v>1</v>
      </c>
      <c r="AE129" s="180">
        <v>1</v>
      </c>
      <c r="AF129" s="180">
        <v>1</v>
      </c>
      <c r="AG129" s="180"/>
      <c r="AH129" s="180"/>
    </row>
    <row r="130" spans="1:34" s="175" customFormat="1" ht="23.25" customHeight="1" thickBot="1" x14ac:dyDescent="0.2">
      <c r="A130" s="27"/>
      <c r="B130" s="37"/>
      <c r="C130" s="321" t="s">
        <v>180</v>
      </c>
      <c r="D130" s="239"/>
      <c r="E130" s="239"/>
      <c r="F130" s="239"/>
      <c r="G130" s="240"/>
      <c r="H130" s="91" t="s">
        <v>20</v>
      </c>
      <c r="I130" s="92"/>
      <c r="J130" s="93"/>
      <c r="K130" s="94" t="str">
        <f t="shared" si="8"/>
        <v>-</v>
      </c>
      <c r="L130" s="148">
        <f t="shared" si="3"/>
        <v>0</v>
      </c>
      <c r="M130" s="136"/>
      <c r="N130" s="200"/>
      <c r="O130" s="201"/>
      <c r="P130" s="201"/>
      <c r="Q130" s="202"/>
      <c r="R130" s="7"/>
      <c r="S130" s="180">
        <v>1</v>
      </c>
      <c r="T130" s="180">
        <v>1</v>
      </c>
      <c r="U130" s="180">
        <v>1</v>
      </c>
      <c r="V130" s="180">
        <v>1</v>
      </c>
      <c r="W130" s="180">
        <v>1</v>
      </c>
      <c r="X130" s="180">
        <v>1</v>
      </c>
      <c r="Y130" s="180">
        <v>1</v>
      </c>
      <c r="Z130" s="180">
        <v>1</v>
      </c>
      <c r="AA130" s="180">
        <v>1</v>
      </c>
      <c r="AB130" s="180">
        <v>1</v>
      </c>
      <c r="AC130" s="180">
        <v>1</v>
      </c>
      <c r="AD130" s="180">
        <v>1</v>
      </c>
      <c r="AE130" s="180">
        <v>1</v>
      </c>
      <c r="AF130" s="180">
        <v>1</v>
      </c>
      <c r="AG130" s="180"/>
      <c r="AH130" s="180"/>
    </row>
    <row r="131" spans="1:34" s="175" customFormat="1" ht="23.25" customHeight="1" x14ac:dyDescent="0.15">
      <c r="A131" s="27"/>
      <c r="B131" s="124"/>
      <c r="C131" s="316" t="s">
        <v>72</v>
      </c>
      <c r="D131" s="317" t="s">
        <v>73</v>
      </c>
      <c r="E131" s="318"/>
      <c r="F131" s="318"/>
      <c r="G131" s="319"/>
      <c r="H131" s="95" t="s">
        <v>74</v>
      </c>
      <c r="I131" s="96"/>
      <c r="J131" s="97"/>
      <c r="K131" s="98" t="str">
        <f t="shared" si="8"/>
        <v>-</v>
      </c>
      <c r="L131" s="150">
        <f t="shared" si="3"/>
        <v>0</v>
      </c>
      <c r="M131" s="137"/>
      <c r="N131" s="207"/>
      <c r="O131" s="208"/>
      <c r="P131" s="208"/>
      <c r="Q131" s="209"/>
      <c r="R131" s="7"/>
      <c r="S131" s="180">
        <v>1</v>
      </c>
      <c r="T131" s="180">
        <v>1</v>
      </c>
      <c r="U131" s="180">
        <v>1</v>
      </c>
      <c r="V131" s="180">
        <v>1</v>
      </c>
      <c r="W131" s="180">
        <v>1</v>
      </c>
      <c r="X131" s="180">
        <v>1</v>
      </c>
      <c r="Y131" s="180">
        <v>1</v>
      </c>
      <c r="Z131" s="180">
        <v>1</v>
      </c>
      <c r="AA131" s="180">
        <v>1</v>
      </c>
      <c r="AB131" s="180">
        <v>1</v>
      </c>
      <c r="AC131" s="180">
        <v>1</v>
      </c>
      <c r="AD131" s="180">
        <v>1</v>
      </c>
      <c r="AE131" s="180">
        <v>1</v>
      </c>
      <c r="AF131" s="180">
        <v>1</v>
      </c>
      <c r="AG131" s="180"/>
      <c r="AH131" s="180"/>
    </row>
    <row r="132" spans="1:34" s="175" customFormat="1" ht="23.25" customHeight="1" x14ac:dyDescent="0.15">
      <c r="A132" s="27"/>
      <c r="B132" s="124"/>
      <c r="C132" s="246"/>
      <c r="D132" s="100"/>
      <c r="E132" s="313" t="s">
        <v>181</v>
      </c>
      <c r="F132" s="314"/>
      <c r="G132" s="315"/>
      <c r="H132" s="43" t="s">
        <v>74</v>
      </c>
      <c r="I132" s="101"/>
      <c r="J132" s="102"/>
      <c r="K132" s="10" t="str">
        <f t="shared" si="8"/>
        <v>-</v>
      </c>
      <c r="L132" s="151">
        <f t="shared" si="3"/>
        <v>0</v>
      </c>
      <c r="M132" s="129"/>
      <c r="N132" s="190"/>
      <c r="O132" s="191"/>
      <c r="P132" s="191"/>
      <c r="Q132" s="192"/>
      <c r="R132" s="7"/>
      <c r="S132" s="180">
        <v>1</v>
      </c>
      <c r="T132" s="180">
        <v>1</v>
      </c>
      <c r="U132" s="180">
        <v>1</v>
      </c>
      <c r="V132" s="180">
        <v>1</v>
      </c>
      <c r="W132" s="180">
        <v>1</v>
      </c>
      <c r="X132" s="180">
        <v>1</v>
      </c>
      <c r="Y132" s="180">
        <v>1</v>
      </c>
      <c r="Z132" s="180">
        <v>1</v>
      </c>
      <c r="AA132" s="180">
        <v>1</v>
      </c>
      <c r="AB132" s="180">
        <v>1</v>
      </c>
      <c r="AC132" s="180">
        <v>1</v>
      </c>
      <c r="AD132" s="180">
        <v>1</v>
      </c>
      <c r="AE132" s="180">
        <v>1</v>
      </c>
      <c r="AF132" s="180">
        <v>1</v>
      </c>
      <c r="AG132" s="180"/>
      <c r="AH132" s="180"/>
    </row>
    <row r="133" spans="1:34" s="175" customFormat="1" ht="23.25" customHeight="1" x14ac:dyDescent="0.15">
      <c r="A133" s="27"/>
      <c r="B133" s="124"/>
      <c r="C133" s="246"/>
      <c r="D133" s="100"/>
      <c r="E133" s="187" t="s">
        <v>123</v>
      </c>
      <c r="F133" s="188"/>
      <c r="G133" s="189"/>
      <c r="H133" s="43" t="s">
        <v>74</v>
      </c>
      <c r="I133" s="101"/>
      <c r="J133" s="102"/>
      <c r="K133" s="10" t="str">
        <f t="shared" si="8"/>
        <v>-</v>
      </c>
      <c r="L133" s="151">
        <f t="shared" si="3"/>
        <v>0</v>
      </c>
      <c r="M133" s="129"/>
      <c r="N133" s="190"/>
      <c r="O133" s="191"/>
      <c r="P133" s="191"/>
      <c r="Q133" s="192"/>
      <c r="R133" s="7"/>
      <c r="S133" s="180">
        <v>1</v>
      </c>
      <c r="T133" s="180">
        <v>1</v>
      </c>
      <c r="U133" s="180">
        <v>1</v>
      </c>
      <c r="V133" s="180">
        <v>1</v>
      </c>
      <c r="W133" s="180">
        <v>1</v>
      </c>
      <c r="X133" s="180">
        <v>1</v>
      </c>
      <c r="Y133" s="180">
        <v>1</v>
      </c>
      <c r="Z133" s="180">
        <v>1</v>
      </c>
      <c r="AA133" s="180">
        <v>1</v>
      </c>
      <c r="AB133" s="180">
        <v>1</v>
      </c>
      <c r="AC133" s="180">
        <v>1</v>
      </c>
      <c r="AD133" s="180">
        <v>1</v>
      </c>
      <c r="AE133" s="180">
        <v>1</v>
      </c>
      <c r="AF133" s="180">
        <v>1</v>
      </c>
      <c r="AG133" s="180"/>
      <c r="AH133" s="180"/>
    </row>
    <row r="134" spans="1:34" s="175" customFormat="1" ht="23.25" customHeight="1" x14ac:dyDescent="0.15">
      <c r="A134" s="27"/>
      <c r="B134" s="124"/>
      <c r="C134" s="246"/>
      <c r="D134" s="285" t="s">
        <v>120</v>
      </c>
      <c r="E134" s="248"/>
      <c r="F134" s="248"/>
      <c r="G134" s="288"/>
      <c r="H134" s="43" t="s">
        <v>121</v>
      </c>
      <c r="I134" s="8"/>
      <c r="J134" s="9"/>
      <c r="K134" s="10" t="str">
        <f>IFERROR(J134/I134*100-100,"-")</f>
        <v>-</v>
      </c>
      <c r="L134" s="152">
        <f t="shared" si="3"/>
        <v>0</v>
      </c>
      <c r="M134" s="129"/>
      <c r="N134" s="190"/>
      <c r="O134" s="191"/>
      <c r="P134" s="191"/>
      <c r="Q134" s="192"/>
      <c r="R134" s="7"/>
      <c r="S134" s="180">
        <v>1</v>
      </c>
      <c r="T134" s="180">
        <v>1</v>
      </c>
      <c r="U134" s="180">
        <v>1</v>
      </c>
      <c r="V134" s="180">
        <v>1</v>
      </c>
      <c r="W134" s="180">
        <v>1</v>
      </c>
      <c r="X134" s="180">
        <v>1</v>
      </c>
      <c r="Y134" s="180">
        <v>1</v>
      </c>
      <c r="Z134" s="180">
        <v>1</v>
      </c>
      <c r="AA134" s="180">
        <v>1</v>
      </c>
      <c r="AB134" s="180">
        <v>1</v>
      </c>
      <c r="AC134" s="180">
        <v>1</v>
      </c>
      <c r="AD134" s="180">
        <v>1</v>
      </c>
      <c r="AE134" s="180">
        <v>1</v>
      </c>
      <c r="AF134" s="180">
        <v>1</v>
      </c>
      <c r="AG134" s="180"/>
      <c r="AH134" s="180"/>
    </row>
    <row r="135" spans="1:34" s="175" customFormat="1" ht="23.25" customHeight="1" x14ac:dyDescent="0.15">
      <c r="A135" s="27"/>
      <c r="B135" s="124"/>
      <c r="C135" s="246"/>
      <c r="D135" s="105"/>
      <c r="E135" s="233" t="s">
        <v>122</v>
      </c>
      <c r="F135" s="234"/>
      <c r="G135" s="235"/>
      <c r="H135" s="43" t="s">
        <v>121</v>
      </c>
      <c r="I135" s="8"/>
      <c r="J135" s="9"/>
      <c r="K135" s="10" t="str">
        <f>IFERROR(J135/I135*100-100,"-")</f>
        <v>-</v>
      </c>
      <c r="L135" s="152">
        <f t="shared" si="3"/>
        <v>0</v>
      </c>
      <c r="M135" s="129"/>
      <c r="N135" s="190"/>
      <c r="O135" s="191"/>
      <c r="P135" s="191"/>
      <c r="Q135" s="192"/>
      <c r="R135" s="7"/>
      <c r="S135" s="180">
        <v>1</v>
      </c>
      <c r="T135" s="180">
        <v>1</v>
      </c>
      <c r="U135" s="180">
        <v>1</v>
      </c>
      <c r="V135" s="180">
        <v>1</v>
      </c>
      <c r="W135" s="180">
        <v>1</v>
      </c>
      <c r="X135" s="180">
        <v>1</v>
      </c>
      <c r="Y135" s="180">
        <v>1</v>
      </c>
      <c r="Z135" s="180">
        <v>1</v>
      </c>
      <c r="AA135" s="180">
        <v>1</v>
      </c>
      <c r="AB135" s="180">
        <v>1</v>
      </c>
      <c r="AC135" s="180">
        <v>1</v>
      </c>
      <c r="AD135" s="180">
        <v>1</v>
      </c>
      <c r="AE135" s="180">
        <v>1</v>
      </c>
      <c r="AF135" s="180">
        <v>1</v>
      </c>
      <c r="AG135" s="180"/>
      <c r="AH135" s="180"/>
    </row>
    <row r="136" spans="1:34" s="175" customFormat="1" ht="23.25" customHeight="1" x14ac:dyDescent="0.15">
      <c r="A136" s="27"/>
      <c r="B136" s="124"/>
      <c r="C136" s="246"/>
      <c r="D136" s="106"/>
      <c r="E136" s="233" t="s">
        <v>123</v>
      </c>
      <c r="F136" s="234"/>
      <c r="G136" s="235"/>
      <c r="H136" s="43" t="s">
        <v>121</v>
      </c>
      <c r="I136" s="8"/>
      <c r="J136" s="9"/>
      <c r="K136" s="10" t="str">
        <f>IFERROR(J136/I136*100-100,"-")</f>
        <v>-</v>
      </c>
      <c r="L136" s="152">
        <f t="shared" si="3"/>
        <v>0</v>
      </c>
      <c r="M136" s="129"/>
      <c r="N136" s="190"/>
      <c r="O136" s="191"/>
      <c r="P136" s="191"/>
      <c r="Q136" s="192"/>
      <c r="R136" s="7"/>
      <c r="S136" s="180">
        <v>1</v>
      </c>
      <c r="T136" s="180">
        <v>1</v>
      </c>
      <c r="U136" s="180">
        <v>1</v>
      </c>
      <c r="V136" s="180">
        <v>1</v>
      </c>
      <c r="W136" s="180">
        <v>1</v>
      </c>
      <c r="X136" s="180">
        <v>1</v>
      </c>
      <c r="Y136" s="180">
        <v>1</v>
      </c>
      <c r="Z136" s="180">
        <v>1</v>
      </c>
      <c r="AA136" s="180">
        <v>1</v>
      </c>
      <c r="AB136" s="180">
        <v>1</v>
      </c>
      <c r="AC136" s="180">
        <v>1</v>
      </c>
      <c r="AD136" s="180">
        <v>1</v>
      </c>
      <c r="AE136" s="180">
        <v>1</v>
      </c>
      <c r="AF136" s="180">
        <v>1</v>
      </c>
      <c r="AG136" s="180"/>
      <c r="AH136" s="180"/>
    </row>
    <row r="137" spans="1:34" s="175" customFormat="1" ht="23.25" customHeight="1" x14ac:dyDescent="0.15">
      <c r="A137" s="27"/>
      <c r="B137" s="37"/>
      <c r="C137" s="246"/>
      <c r="D137" s="236" t="s">
        <v>182</v>
      </c>
      <c r="E137" s="237"/>
      <c r="F137" s="237"/>
      <c r="G137" s="238"/>
      <c r="H137" s="43" t="s">
        <v>183</v>
      </c>
      <c r="I137" s="8"/>
      <c r="J137" s="9"/>
      <c r="K137" s="10" t="str">
        <f t="shared" ref="K137" si="11">IFERROR(J137/I137*100-100,"-")</f>
        <v>-</v>
      </c>
      <c r="L137" s="141">
        <f t="shared" si="3"/>
        <v>0</v>
      </c>
      <c r="M137" s="129"/>
      <c r="N137" s="190"/>
      <c r="O137" s="191"/>
      <c r="P137" s="191"/>
      <c r="Q137" s="192"/>
      <c r="R137" s="7"/>
      <c r="S137" s="180">
        <v>1</v>
      </c>
      <c r="T137" s="180">
        <v>1</v>
      </c>
      <c r="U137" s="180">
        <v>1</v>
      </c>
      <c r="V137" s="180">
        <v>1</v>
      </c>
      <c r="W137" s="180">
        <v>1</v>
      </c>
      <c r="X137" s="180">
        <v>1</v>
      </c>
      <c r="Y137" s="180">
        <v>1</v>
      </c>
      <c r="Z137" s="180">
        <v>1</v>
      </c>
      <c r="AA137" s="180">
        <v>1</v>
      </c>
      <c r="AB137" s="180">
        <v>1</v>
      </c>
      <c r="AC137" s="180">
        <v>1</v>
      </c>
      <c r="AD137" s="180">
        <v>1</v>
      </c>
      <c r="AE137" s="180">
        <v>1</v>
      </c>
      <c r="AF137" s="180">
        <v>1</v>
      </c>
      <c r="AG137" s="180"/>
      <c r="AH137" s="180"/>
    </row>
    <row r="138" spans="1:34" s="175" customFormat="1" ht="23.25" customHeight="1" x14ac:dyDescent="0.15">
      <c r="A138" s="27"/>
      <c r="B138" s="124"/>
      <c r="C138" s="246"/>
      <c r="D138" s="236" t="s">
        <v>75</v>
      </c>
      <c r="E138" s="237"/>
      <c r="F138" s="237"/>
      <c r="G138" s="238"/>
      <c r="H138" s="58" t="s">
        <v>76</v>
      </c>
      <c r="I138" s="107"/>
      <c r="J138" s="108"/>
      <c r="K138" s="16" t="str">
        <f t="shared" si="8"/>
        <v>-</v>
      </c>
      <c r="L138" s="65">
        <f t="shared" ref="L138:L201" si="12">IFERROR(J138-I138,"-")</f>
        <v>0</v>
      </c>
      <c r="M138" s="131"/>
      <c r="N138" s="190"/>
      <c r="O138" s="191"/>
      <c r="P138" s="191"/>
      <c r="Q138" s="192"/>
      <c r="R138" s="7"/>
      <c r="S138" s="180">
        <v>1</v>
      </c>
      <c r="T138" s="180">
        <v>1</v>
      </c>
      <c r="U138" s="180">
        <v>1</v>
      </c>
      <c r="V138" s="180">
        <v>1</v>
      </c>
      <c r="W138" s="180">
        <v>1</v>
      </c>
      <c r="X138" s="180">
        <v>1</v>
      </c>
      <c r="Y138" s="180">
        <v>1</v>
      </c>
      <c r="Z138" s="180">
        <v>1</v>
      </c>
      <c r="AA138" s="180">
        <v>1</v>
      </c>
      <c r="AB138" s="180">
        <v>1</v>
      </c>
      <c r="AC138" s="180">
        <v>1</v>
      </c>
      <c r="AD138" s="180">
        <v>1</v>
      </c>
      <c r="AE138" s="180">
        <v>1</v>
      </c>
      <c r="AF138" s="180">
        <v>1</v>
      </c>
      <c r="AG138" s="180"/>
      <c r="AH138" s="180"/>
    </row>
    <row r="139" spans="1:34" s="175" customFormat="1" ht="23.25" customHeight="1" x14ac:dyDescent="0.15">
      <c r="A139" s="27"/>
      <c r="B139" s="124"/>
      <c r="C139" s="246"/>
      <c r="D139" s="236" t="s">
        <v>77</v>
      </c>
      <c r="E139" s="237"/>
      <c r="F139" s="237"/>
      <c r="G139" s="238"/>
      <c r="H139" s="43" t="s">
        <v>76</v>
      </c>
      <c r="I139" s="109"/>
      <c r="J139" s="110"/>
      <c r="K139" s="10" t="str">
        <f t="shared" si="8"/>
        <v>-</v>
      </c>
      <c r="L139" s="66">
        <f t="shared" si="12"/>
        <v>0</v>
      </c>
      <c r="M139" s="129"/>
      <c r="N139" s="190"/>
      <c r="O139" s="191"/>
      <c r="P139" s="191"/>
      <c r="Q139" s="192"/>
      <c r="R139" s="7"/>
      <c r="S139" s="180"/>
      <c r="T139" s="180">
        <v>1</v>
      </c>
      <c r="U139" s="180"/>
      <c r="V139" s="180"/>
      <c r="W139" s="180"/>
      <c r="X139" s="180"/>
      <c r="Y139" s="180"/>
      <c r="Z139" s="180"/>
      <c r="AA139" s="180"/>
      <c r="AB139" s="180"/>
      <c r="AC139" s="180"/>
      <c r="AD139" s="180"/>
      <c r="AE139" s="180"/>
      <c r="AF139" s="180"/>
      <c r="AG139" s="180"/>
      <c r="AH139" s="180"/>
    </row>
    <row r="140" spans="1:34" s="175" customFormat="1" ht="23.25" customHeight="1" x14ac:dyDescent="0.15">
      <c r="A140" s="27"/>
      <c r="B140" s="124"/>
      <c r="C140" s="246"/>
      <c r="D140" s="294" t="s">
        <v>184</v>
      </c>
      <c r="E140" s="310" t="s">
        <v>78</v>
      </c>
      <c r="F140" s="311"/>
      <c r="G140" s="312"/>
      <c r="H140" s="43" t="s">
        <v>79</v>
      </c>
      <c r="I140" s="109"/>
      <c r="J140" s="110"/>
      <c r="K140" s="10" t="str">
        <f t="shared" si="8"/>
        <v>-</v>
      </c>
      <c r="L140" s="66">
        <f t="shared" si="12"/>
        <v>0</v>
      </c>
      <c r="M140" s="129"/>
      <c r="N140" s="190"/>
      <c r="O140" s="191"/>
      <c r="P140" s="191"/>
      <c r="Q140" s="192"/>
      <c r="R140" s="7"/>
      <c r="S140" s="180"/>
      <c r="T140" s="180">
        <v>1</v>
      </c>
      <c r="U140" s="180"/>
      <c r="V140" s="180"/>
      <c r="W140" s="180"/>
      <c r="X140" s="180"/>
      <c r="Y140" s="180"/>
      <c r="Z140" s="180"/>
      <c r="AA140" s="180"/>
      <c r="AB140" s="180"/>
      <c r="AC140" s="180"/>
      <c r="AD140" s="180"/>
      <c r="AE140" s="180"/>
      <c r="AF140" s="180"/>
      <c r="AG140" s="180"/>
      <c r="AH140" s="180"/>
    </row>
    <row r="141" spans="1:34" s="175" customFormat="1" ht="23.25" customHeight="1" x14ac:dyDescent="0.15">
      <c r="A141" s="27"/>
      <c r="B141" s="124"/>
      <c r="C141" s="246"/>
      <c r="D141" s="294"/>
      <c r="E141" s="310" t="s">
        <v>80</v>
      </c>
      <c r="F141" s="311"/>
      <c r="G141" s="312"/>
      <c r="H141" s="43" t="s">
        <v>81</v>
      </c>
      <c r="I141" s="8"/>
      <c r="J141" s="9"/>
      <c r="K141" s="10" t="str">
        <f t="shared" si="8"/>
        <v>-</v>
      </c>
      <c r="L141" s="141">
        <f t="shared" si="12"/>
        <v>0</v>
      </c>
      <c r="M141" s="129"/>
      <c r="N141" s="269"/>
      <c r="O141" s="270"/>
      <c r="P141" s="270"/>
      <c r="Q141" s="271"/>
      <c r="R141" s="7"/>
      <c r="S141" s="180"/>
      <c r="T141" s="180">
        <v>1</v>
      </c>
      <c r="U141" s="180"/>
      <c r="V141" s="180"/>
      <c r="W141" s="180"/>
      <c r="X141" s="180"/>
      <c r="Y141" s="180"/>
      <c r="Z141" s="180"/>
      <c r="AA141" s="180"/>
      <c r="AB141" s="180"/>
      <c r="AC141" s="180"/>
      <c r="AD141" s="180"/>
      <c r="AE141" s="180"/>
      <c r="AF141" s="180"/>
      <c r="AG141" s="180"/>
      <c r="AH141" s="180"/>
    </row>
    <row r="142" spans="1:34" s="175" customFormat="1" ht="23.25" customHeight="1" x14ac:dyDescent="0.15">
      <c r="A142" s="27"/>
      <c r="B142" s="124"/>
      <c r="C142" s="246"/>
      <c r="D142" s="294"/>
      <c r="E142" s="310" t="s">
        <v>185</v>
      </c>
      <c r="F142" s="311"/>
      <c r="G142" s="312"/>
      <c r="H142" s="43" t="s">
        <v>82</v>
      </c>
      <c r="I142" s="8"/>
      <c r="J142" s="9"/>
      <c r="K142" s="10" t="str">
        <f t="shared" si="8"/>
        <v>-</v>
      </c>
      <c r="L142" s="141">
        <f t="shared" si="12"/>
        <v>0</v>
      </c>
      <c r="M142" s="129"/>
      <c r="N142" s="269"/>
      <c r="O142" s="270"/>
      <c r="P142" s="270"/>
      <c r="Q142" s="271"/>
      <c r="R142" s="7"/>
      <c r="S142" s="180"/>
      <c r="T142" s="180">
        <v>1</v>
      </c>
      <c r="U142" s="180"/>
      <c r="V142" s="180"/>
      <c r="W142" s="180"/>
      <c r="X142" s="180"/>
      <c r="Y142" s="180"/>
      <c r="Z142" s="180"/>
      <c r="AA142" s="180"/>
      <c r="AB142" s="180"/>
      <c r="AC142" s="180"/>
      <c r="AD142" s="180"/>
      <c r="AE142" s="180"/>
      <c r="AF142" s="180"/>
      <c r="AG142" s="180"/>
      <c r="AH142" s="180"/>
    </row>
    <row r="143" spans="1:34" s="175" customFormat="1" ht="23.25" customHeight="1" x14ac:dyDescent="0.15">
      <c r="A143" s="27"/>
      <c r="B143" s="125"/>
      <c r="C143" s="246"/>
      <c r="D143" s="193" t="s">
        <v>126</v>
      </c>
      <c r="E143" s="188"/>
      <c r="F143" s="188"/>
      <c r="G143" s="189"/>
      <c r="H143" s="43" t="s">
        <v>79</v>
      </c>
      <c r="I143" s="109"/>
      <c r="J143" s="110"/>
      <c r="K143" s="10" t="str">
        <f>IFERROR(J143/I143*100-100,"-")</f>
        <v>-</v>
      </c>
      <c r="L143" s="66">
        <f t="shared" si="12"/>
        <v>0</v>
      </c>
      <c r="M143" s="129"/>
      <c r="N143" s="190"/>
      <c r="O143" s="191"/>
      <c r="P143" s="191"/>
      <c r="Q143" s="192"/>
      <c r="R143" s="7"/>
      <c r="S143" s="180"/>
      <c r="T143" s="180">
        <v>1</v>
      </c>
      <c r="U143" s="180"/>
      <c r="V143" s="180"/>
      <c r="W143" s="180"/>
      <c r="X143" s="180"/>
      <c r="Y143" s="180"/>
      <c r="Z143" s="180"/>
      <c r="AA143" s="180"/>
      <c r="AB143" s="180"/>
      <c r="AC143" s="180"/>
      <c r="AD143" s="180"/>
      <c r="AE143" s="180"/>
      <c r="AF143" s="180"/>
      <c r="AG143" s="180"/>
      <c r="AH143" s="180"/>
    </row>
    <row r="144" spans="1:34" s="175" customFormat="1" ht="23.25" customHeight="1" x14ac:dyDescent="0.15">
      <c r="A144" s="27"/>
      <c r="B144" s="125"/>
      <c r="C144" s="246"/>
      <c r="D144" s="193" t="s">
        <v>136</v>
      </c>
      <c r="E144" s="188"/>
      <c r="F144" s="188"/>
      <c r="G144" s="189"/>
      <c r="H144" s="43" t="s">
        <v>79</v>
      </c>
      <c r="I144" s="109"/>
      <c r="J144" s="110"/>
      <c r="K144" s="10" t="str">
        <f t="shared" si="8"/>
        <v>-</v>
      </c>
      <c r="L144" s="66">
        <f t="shared" si="12"/>
        <v>0</v>
      </c>
      <c r="M144" s="129"/>
      <c r="N144" s="190"/>
      <c r="O144" s="191"/>
      <c r="P144" s="191"/>
      <c r="Q144" s="192"/>
      <c r="R144" s="7"/>
      <c r="S144" s="180"/>
      <c r="T144" s="180">
        <v>1</v>
      </c>
      <c r="U144" s="180"/>
      <c r="V144" s="180"/>
      <c r="W144" s="180"/>
      <c r="X144" s="180"/>
      <c r="Y144" s="180"/>
      <c r="Z144" s="180"/>
      <c r="AA144" s="180"/>
      <c r="AB144" s="180"/>
      <c r="AC144" s="180"/>
      <c r="AD144" s="180"/>
      <c r="AE144" s="180"/>
      <c r="AF144" s="180"/>
      <c r="AG144" s="180"/>
      <c r="AH144" s="180"/>
    </row>
    <row r="145" spans="1:34" s="175" customFormat="1" ht="23.25" customHeight="1" x14ac:dyDescent="0.15">
      <c r="A145" s="27"/>
      <c r="B145" s="125"/>
      <c r="C145" s="246"/>
      <c r="D145" s="193" t="s">
        <v>285</v>
      </c>
      <c r="E145" s="188"/>
      <c r="F145" s="188"/>
      <c r="G145" s="189"/>
      <c r="H145" s="43" t="s">
        <v>79</v>
      </c>
      <c r="I145" s="109"/>
      <c r="J145" s="110"/>
      <c r="K145" s="10" t="str">
        <f t="shared" si="8"/>
        <v>-</v>
      </c>
      <c r="L145" s="66">
        <f t="shared" si="12"/>
        <v>0</v>
      </c>
      <c r="M145" s="129"/>
      <c r="N145" s="190"/>
      <c r="O145" s="191"/>
      <c r="P145" s="191"/>
      <c r="Q145" s="192"/>
      <c r="R145" s="7"/>
      <c r="S145" s="180"/>
      <c r="T145" s="180">
        <v>1</v>
      </c>
      <c r="U145" s="180"/>
      <c r="V145" s="180"/>
      <c r="W145" s="180"/>
      <c r="X145" s="180"/>
      <c r="Y145" s="180"/>
      <c r="Z145" s="180"/>
      <c r="AA145" s="180"/>
      <c r="AB145" s="180"/>
      <c r="AC145" s="180"/>
      <c r="AD145" s="180"/>
      <c r="AE145" s="180"/>
      <c r="AF145" s="180"/>
      <c r="AG145" s="180"/>
      <c r="AH145" s="180"/>
    </row>
    <row r="146" spans="1:34" s="175" customFormat="1" ht="23.25" customHeight="1" x14ac:dyDescent="0.15">
      <c r="A146" s="27"/>
      <c r="B146" s="125"/>
      <c r="C146" s="246"/>
      <c r="D146" s="193" t="s">
        <v>286</v>
      </c>
      <c r="E146" s="188"/>
      <c r="F146" s="188"/>
      <c r="G146" s="189"/>
      <c r="H146" s="43" t="s">
        <v>79</v>
      </c>
      <c r="I146" s="109"/>
      <c r="J146" s="110"/>
      <c r="K146" s="10" t="str">
        <f t="shared" si="8"/>
        <v>-</v>
      </c>
      <c r="L146" s="66">
        <f t="shared" si="12"/>
        <v>0</v>
      </c>
      <c r="M146" s="129"/>
      <c r="N146" s="190"/>
      <c r="O146" s="191"/>
      <c r="P146" s="191"/>
      <c r="Q146" s="192"/>
      <c r="R146" s="7"/>
      <c r="S146" s="180"/>
      <c r="T146" s="180">
        <v>1</v>
      </c>
      <c r="U146" s="180"/>
      <c r="V146" s="180"/>
      <c r="W146" s="180"/>
      <c r="X146" s="180"/>
      <c r="Y146" s="180"/>
      <c r="Z146" s="180"/>
      <c r="AA146" s="180"/>
      <c r="AB146" s="180"/>
      <c r="AC146" s="180"/>
      <c r="AD146" s="180"/>
      <c r="AE146" s="180"/>
      <c r="AF146" s="180"/>
      <c r="AG146" s="180"/>
      <c r="AH146" s="180"/>
    </row>
    <row r="147" spans="1:34" s="175" customFormat="1" ht="23.25" customHeight="1" x14ac:dyDescent="0.15">
      <c r="A147" s="27"/>
      <c r="B147" s="125"/>
      <c r="C147" s="246"/>
      <c r="D147" s="193" t="s">
        <v>137</v>
      </c>
      <c r="E147" s="188"/>
      <c r="F147" s="188"/>
      <c r="G147" s="189"/>
      <c r="H147" s="43" t="s">
        <v>79</v>
      </c>
      <c r="I147" s="109"/>
      <c r="J147" s="110"/>
      <c r="K147" s="10" t="str">
        <f t="shared" si="8"/>
        <v>-</v>
      </c>
      <c r="L147" s="66">
        <f t="shared" si="12"/>
        <v>0</v>
      </c>
      <c r="M147" s="129"/>
      <c r="N147" s="190"/>
      <c r="O147" s="191"/>
      <c r="P147" s="191"/>
      <c r="Q147" s="192"/>
      <c r="R147" s="7"/>
      <c r="S147" s="180"/>
      <c r="T147" s="180">
        <v>1</v>
      </c>
      <c r="U147" s="180"/>
      <c r="V147" s="180"/>
      <c r="W147" s="180"/>
      <c r="X147" s="180"/>
      <c r="Y147" s="180"/>
      <c r="Z147" s="180"/>
      <c r="AA147" s="180"/>
      <c r="AB147" s="180"/>
      <c r="AC147" s="180"/>
      <c r="AD147" s="180"/>
      <c r="AE147" s="180"/>
      <c r="AF147" s="180"/>
      <c r="AG147" s="180"/>
      <c r="AH147" s="180"/>
    </row>
    <row r="148" spans="1:34" s="175" customFormat="1" ht="23.25" customHeight="1" x14ac:dyDescent="0.15">
      <c r="A148" s="27"/>
      <c r="B148" s="125"/>
      <c r="C148" s="246"/>
      <c r="D148" s="193" t="s">
        <v>138</v>
      </c>
      <c r="E148" s="188"/>
      <c r="F148" s="188"/>
      <c r="G148" s="189"/>
      <c r="H148" s="43" t="s">
        <v>79</v>
      </c>
      <c r="I148" s="109"/>
      <c r="J148" s="110"/>
      <c r="K148" s="10" t="str">
        <f t="shared" si="8"/>
        <v>-</v>
      </c>
      <c r="L148" s="66">
        <f t="shared" si="12"/>
        <v>0</v>
      </c>
      <c r="M148" s="129"/>
      <c r="N148" s="190"/>
      <c r="O148" s="191"/>
      <c r="P148" s="191"/>
      <c r="Q148" s="192"/>
      <c r="R148" s="7"/>
      <c r="S148" s="180"/>
      <c r="T148" s="180">
        <v>1</v>
      </c>
      <c r="U148" s="180"/>
      <c r="V148" s="180"/>
      <c r="W148" s="180"/>
      <c r="X148" s="180"/>
      <c r="Y148" s="180"/>
      <c r="Z148" s="180"/>
      <c r="AA148" s="180"/>
      <c r="AB148" s="180"/>
      <c r="AC148" s="180"/>
      <c r="AD148" s="180"/>
      <c r="AE148" s="180"/>
      <c r="AF148" s="180"/>
      <c r="AG148" s="180"/>
      <c r="AH148" s="180"/>
    </row>
    <row r="149" spans="1:34" s="175" customFormat="1" ht="23.25" customHeight="1" x14ac:dyDescent="0.15">
      <c r="A149" s="27"/>
      <c r="B149" s="124"/>
      <c r="C149" s="246"/>
      <c r="D149" s="285" t="s">
        <v>83</v>
      </c>
      <c r="E149" s="248"/>
      <c r="F149" s="248"/>
      <c r="G149" s="288"/>
      <c r="H149" s="43" t="s">
        <v>76</v>
      </c>
      <c r="I149" s="109"/>
      <c r="J149" s="110"/>
      <c r="K149" s="10" t="str">
        <f t="shared" si="8"/>
        <v>-</v>
      </c>
      <c r="L149" s="66">
        <f t="shared" si="12"/>
        <v>0</v>
      </c>
      <c r="M149" s="129"/>
      <c r="N149" s="190"/>
      <c r="O149" s="191"/>
      <c r="P149" s="191"/>
      <c r="Q149" s="192"/>
      <c r="R149" s="7"/>
      <c r="S149" s="180"/>
      <c r="T149" s="180"/>
      <c r="U149" s="180">
        <v>1</v>
      </c>
      <c r="V149" s="180"/>
      <c r="W149" s="180"/>
      <c r="X149" s="180"/>
      <c r="Y149" s="180"/>
      <c r="Z149" s="180"/>
      <c r="AA149" s="180"/>
      <c r="AB149" s="180"/>
      <c r="AC149" s="180"/>
      <c r="AD149" s="180"/>
      <c r="AE149" s="180"/>
      <c r="AF149" s="180"/>
      <c r="AG149" s="180"/>
      <c r="AH149" s="180"/>
    </row>
    <row r="150" spans="1:34" s="175" customFormat="1" ht="23.25" customHeight="1" x14ac:dyDescent="0.15">
      <c r="A150" s="27"/>
      <c r="B150" s="125"/>
      <c r="C150" s="246"/>
      <c r="D150" s="100"/>
      <c r="E150" s="313" t="s">
        <v>186</v>
      </c>
      <c r="F150" s="314"/>
      <c r="G150" s="315"/>
      <c r="H150" s="43" t="s">
        <v>79</v>
      </c>
      <c r="I150" s="109"/>
      <c r="J150" s="110"/>
      <c r="K150" s="10" t="str">
        <f t="shared" si="8"/>
        <v>-</v>
      </c>
      <c r="L150" s="66">
        <f t="shared" si="12"/>
        <v>0</v>
      </c>
      <c r="M150" s="129"/>
      <c r="N150" s="190"/>
      <c r="O150" s="191"/>
      <c r="P150" s="191"/>
      <c r="Q150" s="192"/>
      <c r="R150" s="7"/>
      <c r="S150" s="180"/>
      <c r="T150" s="180"/>
      <c r="U150" s="180">
        <v>1</v>
      </c>
      <c r="V150" s="180"/>
      <c r="W150" s="180"/>
      <c r="X150" s="180"/>
      <c r="Y150" s="180"/>
      <c r="Z150" s="180"/>
      <c r="AA150" s="180"/>
      <c r="AB150" s="180"/>
      <c r="AC150" s="180"/>
      <c r="AD150" s="180"/>
      <c r="AE150" s="180"/>
      <c r="AF150" s="180"/>
      <c r="AG150" s="180"/>
      <c r="AH150" s="180"/>
    </row>
    <row r="151" spans="1:34" s="175" customFormat="1" ht="23.25" customHeight="1" x14ac:dyDescent="0.15">
      <c r="A151" s="27"/>
      <c r="B151" s="125"/>
      <c r="C151" s="246"/>
      <c r="D151" s="100"/>
      <c r="E151" s="313" t="s">
        <v>187</v>
      </c>
      <c r="F151" s="314"/>
      <c r="G151" s="315"/>
      <c r="H151" s="43" t="s">
        <v>79</v>
      </c>
      <c r="I151" s="109"/>
      <c r="J151" s="110"/>
      <c r="K151" s="10" t="str">
        <f t="shared" si="8"/>
        <v>-</v>
      </c>
      <c r="L151" s="66">
        <f t="shared" si="12"/>
        <v>0</v>
      </c>
      <c r="M151" s="129"/>
      <c r="N151" s="182"/>
      <c r="O151" s="183"/>
      <c r="P151" s="183"/>
      <c r="Q151" s="184"/>
      <c r="R151" s="7"/>
      <c r="S151" s="180"/>
      <c r="T151" s="180"/>
      <c r="U151" s="180">
        <v>1</v>
      </c>
      <c r="V151" s="180"/>
      <c r="W151" s="180"/>
      <c r="X151" s="180"/>
      <c r="Y151" s="180"/>
      <c r="Z151" s="180"/>
      <c r="AA151" s="180"/>
      <c r="AB151" s="180"/>
      <c r="AC151" s="180"/>
      <c r="AD151" s="180"/>
      <c r="AE151" s="180"/>
      <c r="AF151" s="180"/>
      <c r="AG151" s="180"/>
      <c r="AH151" s="180"/>
    </row>
    <row r="152" spans="1:34" s="175" customFormat="1" ht="23.25" customHeight="1" x14ac:dyDescent="0.15">
      <c r="A152" s="27"/>
      <c r="B152" s="125"/>
      <c r="C152" s="246"/>
      <c r="D152" s="100"/>
      <c r="E152" s="187" t="s">
        <v>188</v>
      </c>
      <c r="F152" s="188"/>
      <c r="G152" s="189"/>
      <c r="H152" s="43" t="s">
        <v>79</v>
      </c>
      <c r="I152" s="109"/>
      <c r="J152" s="110"/>
      <c r="K152" s="10" t="str">
        <f t="shared" si="8"/>
        <v>-</v>
      </c>
      <c r="L152" s="66">
        <f t="shared" si="12"/>
        <v>0</v>
      </c>
      <c r="M152" s="129"/>
      <c r="N152" s="190"/>
      <c r="O152" s="191"/>
      <c r="P152" s="191"/>
      <c r="Q152" s="192"/>
      <c r="R152" s="7"/>
      <c r="S152" s="180"/>
      <c r="T152" s="180"/>
      <c r="U152" s="180">
        <v>1</v>
      </c>
      <c r="V152" s="180"/>
      <c r="W152" s="180"/>
      <c r="X152" s="180"/>
      <c r="Y152" s="180"/>
      <c r="Z152" s="180"/>
      <c r="AA152" s="180"/>
      <c r="AB152" s="180"/>
      <c r="AC152" s="180"/>
      <c r="AD152" s="180"/>
      <c r="AE152" s="180"/>
      <c r="AF152" s="180"/>
      <c r="AG152" s="180"/>
      <c r="AH152" s="180"/>
    </row>
    <row r="153" spans="1:34" s="175" customFormat="1" ht="23.25" customHeight="1" x14ac:dyDescent="0.15">
      <c r="A153" s="27"/>
      <c r="B153" s="125"/>
      <c r="C153" s="246"/>
      <c r="D153" s="100"/>
      <c r="E153" s="187" t="s">
        <v>287</v>
      </c>
      <c r="F153" s="188"/>
      <c r="G153" s="189"/>
      <c r="H153" s="43" t="s">
        <v>79</v>
      </c>
      <c r="I153" s="109"/>
      <c r="J153" s="110"/>
      <c r="K153" s="10" t="str">
        <f t="shared" si="8"/>
        <v>-</v>
      </c>
      <c r="L153" s="66">
        <f t="shared" si="12"/>
        <v>0</v>
      </c>
      <c r="M153" s="129"/>
      <c r="N153" s="190"/>
      <c r="O153" s="191"/>
      <c r="P153" s="191"/>
      <c r="Q153" s="192"/>
      <c r="R153" s="7"/>
      <c r="S153" s="180"/>
      <c r="T153" s="180"/>
      <c r="U153" s="180">
        <v>1</v>
      </c>
      <c r="V153" s="180"/>
      <c r="W153" s="180"/>
      <c r="X153" s="180"/>
      <c r="Y153" s="180"/>
      <c r="Z153" s="180"/>
      <c r="AA153" s="180"/>
      <c r="AB153" s="180"/>
      <c r="AC153" s="180"/>
      <c r="AD153" s="180"/>
      <c r="AE153" s="180"/>
      <c r="AF153" s="180"/>
      <c r="AG153" s="180"/>
      <c r="AH153" s="180"/>
    </row>
    <row r="154" spans="1:34" s="175" customFormat="1" ht="23.25" customHeight="1" x14ac:dyDescent="0.15">
      <c r="A154" s="27"/>
      <c r="B154" s="125"/>
      <c r="C154" s="246"/>
      <c r="D154" s="100"/>
      <c r="E154" s="187" t="s">
        <v>288</v>
      </c>
      <c r="F154" s="188"/>
      <c r="G154" s="189"/>
      <c r="H154" s="43" t="s">
        <v>79</v>
      </c>
      <c r="I154" s="109"/>
      <c r="J154" s="110"/>
      <c r="K154" s="10" t="str">
        <f t="shared" si="8"/>
        <v>-</v>
      </c>
      <c r="L154" s="66">
        <f t="shared" si="12"/>
        <v>0</v>
      </c>
      <c r="M154" s="129"/>
      <c r="N154" s="190"/>
      <c r="O154" s="191"/>
      <c r="P154" s="191"/>
      <c r="Q154" s="192"/>
      <c r="R154" s="7"/>
      <c r="S154" s="180"/>
      <c r="T154" s="180"/>
      <c r="U154" s="180">
        <v>1</v>
      </c>
      <c r="V154" s="180"/>
      <c r="W154" s="180"/>
      <c r="X154" s="180"/>
      <c r="Y154" s="180"/>
      <c r="Z154" s="180"/>
      <c r="AA154" s="180"/>
      <c r="AB154" s="180"/>
      <c r="AC154" s="180"/>
      <c r="AD154" s="180"/>
      <c r="AE154" s="180"/>
      <c r="AF154" s="180"/>
      <c r="AG154" s="180"/>
      <c r="AH154" s="180"/>
    </row>
    <row r="155" spans="1:34" s="175" customFormat="1" ht="23.25" customHeight="1" x14ac:dyDescent="0.15">
      <c r="A155" s="27"/>
      <c r="B155" s="125"/>
      <c r="C155" s="246"/>
      <c r="D155" s="100"/>
      <c r="E155" s="187" t="s">
        <v>189</v>
      </c>
      <c r="F155" s="188"/>
      <c r="G155" s="189"/>
      <c r="H155" s="43" t="s">
        <v>79</v>
      </c>
      <c r="I155" s="109"/>
      <c r="J155" s="110"/>
      <c r="K155" s="10" t="str">
        <f t="shared" si="8"/>
        <v>-</v>
      </c>
      <c r="L155" s="66">
        <f t="shared" si="12"/>
        <v>0</v>
      </c>
      <c r="M155" s="129"/>
      <c r="N155" s="190"/>
      <c r="O155" s="191"/>
      <c r="P155" s="191"/>
      <c r="Q155" s="192"/>
      <c r="R155" s="7"/>
      <c r="S155" s="180"/>
      <c r="T155" s="180"/>
      <c r="U155" s="180">
        <v>1</v>
      </c>
      <c r="V155" s="180"/>
      <c r="W155" s="180"/>
      <c r="X155" s="180"/>
      <c r="Y155" s="180"/>
      <c r="Z155" s="180"/>
      <c r="AA155" s="180"/>
      <c r="AB155" s="180"/>
      <c r="AC155" s="180"/>
      <c r="AD155" s="180"/>
      <c r="AE155" s="180"/>
      <c r="AF155" s="180"/>
      <c r="AG155" s="180"/>
      <c r="AH155" s="180"/>
    </row>
    <row r="156" spans="1:34" s="175" customFormat="1" ht="23.25" customHeight="1" x14ac:dyDescent="0.15">
      <c r="A156" s="27"/>
      <c r="B156" s="125"/>
      <c r="C156" s="246"/>
      <c r="D156" s="100"/>
      <c r="E156" s="187" t="s">
        <v>190</v>
      </c>
      <c r="F156" s="188"/>
      <c r="G156" s="189"/>
      <c r="H156" s="43" t="s">
        <v>79</v>
      </c>
      <c r="I156" s="109"/>
      <c r="J156" s="110"/>
      <c r="K156" s="10" t="str">
        <f t="shared" si="8"/>
        <v>-</v>
      </c>
      <c r="L156" s="66">
        <f t="shared" si="12"/>
        <v>0</v>
      </c>
      <c r="M156" s="129"/>
      <c r="N156" s="190"/>
      <c r="O156" s="191"/>
      <c r="P156" s="191"/>
      <c r="Q156" s="192"/>
      <c r="R156" s="7"/>
      <c r="S156" s="180"/>
      <c r="T156" s="180"/>
      <c r="U156" s="180">
        <v>1</v>
      </c>
      <c r="V156" s="180"/>
      <c r="W156" s="180"/>
      <c r="X156" s="180"/>
      <c r="Y156" s="180"/>
      <c r="Z156" s="180"/>
      <c r="AA156" s="180"/>
      <c r="AB156" s="180"/>
      <c r="AC156" s="180"/>
      <c r="AD156" s="180"/>
      <c r="AE156" s="180"/>
      <c r="AF156" s="180"/>
      <c r="AG156" s="180"/>
      <c r="AH156" s="180"/>
    </row>
    <row r="157" spans="1:34" s="175" customFormat="1" ht="23.25" customHeight="1" x14ac:dyDescent="0.15">
      <c r="A157" s="27"/>
      <c r="B157" s="125"/>
      <c r="C157" s="246"/>
      <c r="D157" s="111"/>
      <c r="E157" s="187" t="s">
        <v>191</v>
      </c>
      <c r="F157" s="188"/>
      <c r="G157" s="189"/>
      <c r="H157" s="43" t="s">
        <v>79</v>
      </c>
      <c r="I157" s="109"/>
      <c r="J157" s="110"/>
      <c r="K157" s="10" t="str">
        <f t="shared" si="8"/>
        <v>-</v>
      </c>
      <c r="L157" s="66">
        <f t="shared" si="12"/>
        <v>0</v>
      </c>
      <c r="M157" s="129"/>
      <c r="N157" s="190"/>
      <c r="O157" s="191"/>
      <c r="P157" s="191"/>
      <c r="Q157" s="192"/>
      <c r="R157" s="7"/>
      <c r="S157" s="180"/>
      <c r="T157" s="180"/>
      <c r="U157" s="180">
        <v>1</v>
      </c>
      <c r="V157" s="180"/>
      <c r="W157" s="180"/>
      <c r="X157" s="180"/>
      <c r="Y157" s="180"/>
      <c r="Z157" s="180"/>
      <c r="AA157" s="180"/>
      <c r="AB157" s="180"/>
      <c r="AC157" s="180"/>
      <c r="AD157" s="180"/>
      <c r="AE157" s="180"/>
      <c r="AF157" s="180"/>
      <c r="AG157" s="180"/>
      <c r="AH157" s="180"/>
    </row>
    <row r="158" spans="1:34" s="175" customFormat="1" ht="23.25" customHeight="1" x14ac:dyDescent="0.15">
      <c r="A158" s="27"/>
      <c r="B158" s="124"/>
      <c r="C158" s="246"/>
      <c r="D158" s="307" t="s">
        <v>192</v>
      </c>
      <c r="E158" s="310" t="s">
        <v>78</v>
      </c>
      <c r="F158" s="311"/>
      <c r="G158" s="312"/>
      <c r="H158" s="43" t="s">
        <v>79</v>
      </c>
      <c r="I158" s="109"/>
      <c r="J158" s="110"/>
      <c r="K158" s="10" t="str">
        <f t="shared" si="8"/>
        <v>-</v>
      </c>
      <c r="L158" s="66">
        <f t="shared" si="12"/>
        <v>0</v>
      </c>
      <c r="M158" s="129"/>
      <c r="N158" s="190"/>
      <c r="O158" s="191"/>
      <c r="P158" s="191"/>
      <c r="Q158" s="192"/>
      <c r="R158" s="7"/>
      <c r="S158" s="180"/>
      <c r="T158" s="180">
        <v>1</v>
      </c>
      <c r="U158" s="180">
        <v>1</v>
      </c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0"/>
      <c r="AG158" s="180"/>
      <c r="AH158" s="180"/>
    </row>
    <row r="159" spans="1:34" s="175" customFormat="1" ht="23.25" customHeight="1" x14ac:dyDescent="0.15">
      <c r="A159" s="27"/>
      <c r="B159" s="124"/>
      <c r="C159" s="246"/>
      <c r="D159" s="308"/>
      <c r="E159" s="310" t="s">
        <v>80</v>
      </c>
      <c r="F159" s="311"/>
      <c r="G159" s="312"/>
      <c r="H159" s="43" t="s">
        <v>81</v>
      </c>
      <c r="I159" s="8"/>
      <c r="J159" s="9"/>
      <c r="K159" s="10" t="str">
        <f t="shared" si="8"/>
        <v>-</v>
      </c>
      <c r="L159" s="141">
        <f t="shared" si="12"/>
        <v>0</v>
      </c>
      <c r="M159" s="129"/>
      <c r="N159" s="269"/>
      <c r="O159" s="270"/>
      <c r="P159" s="270"/>
      <c r="Q159" s="271"/>
      <c r="R159" s="7"/>
      <c r="S159" s="180"/>
      <c r="T159" s="180">
        <v>1</v>
      </c>
      <c r="U159" s="180">
        <v>1</v>
      </c>
      <c r="V159" s="180"/>
      <c r="W159" s="180"/>
      <c r="X159" s="180"/>
      <c r="Y159" s="180"/>
      <c r="Z159" s="180"/>
      <c r="AA159" s="180"/>
      <c r="AB159" s="180"/>
      <c r="AC159" s="180"/>
      <c r="AD159" s="180"/>
      <c r="AE159" s="180"/>
      <c r="AF159" s="180"/>
      <c r="AG159" s="180"/>
      <c r="AH159" s="180"/>
    </row>
    <row r="160" spans="1:34" s="175" customFormat="1" ht="23.25" customHeight="1" x14ac:dyDescent="0.15">
      <c r="A160" s="27"/>
      <c r="B160" s="124"/>
      <c r="C160" s="246"/>
      <c r="D160" s="309"/>
      <c r="E160" s="310" t="s">
        <v>193</v>
      </c>
      <c r="F160" s="311"/>
      <c r="G160" s="312"/>
      <c r="H160" s="43" t="s">
        <v>82</v>
      </c>
      <c r="I160" s="8"/>
      <c r="J160" s="9"/>
      <c r="K160" s="10" t="str">
        <f t="shared" si="8"/>
        <v>-</v>
      </c>
      <c r="L160" s="141">
        <f t="shared" si="12"/>
        <v>0</v>
      </c>
      <c r="M160" s="129"/>
      <c r="N160" s="269"/>
      <c r="O160" s="270"/>
      <c r="P160" s="270"/>
      <c r="Q160" s="271"/>
      <c r="R160" s="7"/>
      <c r="S160" s="180"/>
      <c r="T160" s="180">
        <v>1</v>
      </c>
      <c r="U160" s="180">
        <v>1</v>
      </c>
      <c r="V160" s="180"/>
      <c r="W160" s="180"/>
      <c r="X160" s="180"/>
      <c r="Y160" s="180"/>
      <c r="Z160" s="180"/>
      <c r="AA160" s="180"/>
      <c r="AB160" s="180"/>
      <c r="AC160" s="180"/>
      <c r="AD160" s="180"/>
      <c r="AE160" s="180"/>
      <c r="AF160" s="180"/>
      <c r="AG160" s="180"/>
      <c r="AH160" s="180"/>
    </row>
    <row r="161" spans="1:34" s="175" customFormat="1" ht="23.25" customHeight="1" x14ac:dyDescent="0.15">
      <c r="A161" s="27"/>
      <c r="B161" s="124"/>
      <c r="C161" s="246"/>
      <c r="D161" s="307" t="s">
        <v>194</v>
      </c>
      <c r="E161" s="310" t="s">
        <v>78</v>
      </c>
      <c r="F161" s="311"/>
      <c r="G161" s="312"/>
      <c r="H161" s="43" t="s">
        <v>79</v>
      </c>
      <c r="I161" s="109"/>
      <c r="J161" s="110"/>
      <c r="K161" s="10" t="str">
        <f t="shared" si="8"/>
        <v>-</v>
      </c>
      <c r="L161" s="66">
        <f t="shared" si="12"/>
        <v>0</v>
      </c>
      <c r="M161" s="129"/>
      <c r="N161" s="190"/>
      <c r="O161" s="191"/>
      <c r="P161" s="191"/>
      <c r="Q161" s="192"/>
      <c r="R161" s="7"/>
      <c r="S161" s="180"/>
      <c r="T161" s="180">
        <v>1</v>
      </c>
      <c r="U161" s="180">
        <v>1</v>
      </c>
      <c r="V161" s="180"/>
      <c r="W161" s="180"/>
      <c r="X161" s="180"/>
      <c r="Y161" s="180"/>
      <c r="Z161" s="180"/>
      <c r="AA161" s="180"/>
      <c r="AB161" s="180"/>
      <c r="AC161" s="180"/>
      <c r="AD161" s="180"/>
      <c r="AE161" s="180"/>
      <c r="AF161" s="180"/>
      <c r="AG161" s="180"/>
      <c r="AH161" s="180"/>
    </row>
    <row r="162" spans="1:34" s="175" customFormat="1" ht="23.25" customHeight="1" x14ac:dyDescent="0.15">
      <c r="A162" s="27"/>
      <c r="B162" s="124"/>
      <c r="C162" s="246"/>
      <c r="D162" s="308"/>
      <c r="E162" s="310" t="s">
        <v>80</v>
      </c>
      <c r="F162" s="311"/>
      <c r="G162" s="312"/>
      <c r="H162" s="43" t="s">
        <v>81</v>
      </c>
      <c r="I162" s="8"/>
      <c r="J162" s="9"/>
      <c r="K162" s="10" t="str">
        <f t="shared" si="8"/>
        <v>-</v>
      </c>
      <c r="L162" s="141">
        <f t="shared" si="12"/>
        <v>0</v>
      </c>
      <c r="M162" s="129"/>
      <c r="N162" s="269"/>
      <c r="O162" s="270"/>
      <c r="P162" s="270"/>
      <c r="Q162" s="271"/>
      <c r="R162" s="7"/>
      <c r="S162" s="180"/>
      <c r="T162" s="180">
        <v>1</v>
      </c>
      <c r="U162" s="180">
        <v>1</v>
      </c>
      <c r="V162" s="180"/>
      <c r="W162" s="180"/>
      <c r="X162" s="180"/>
      <c r="Y162" s="180"/>
      <c r="Z162" s="180"/>
      <c r="AA162" s="180"/>
      <c r="AB162" s="180"/>
      <c r="AC162" s="180"/>
      <c r="AD162" s="180"/>
      <c r="AE162" s="180"/>
      <c r="AF162" s="180"/>
      <c r="AG162" s="180"/>
      <c r="AH162" s="180"/>
    </row>
    <row r="163" spans="1:34" s="175" customFormat="1" ht="23.25" customHeight="1" x14ac:dyDescent="0.15">
      <c r="A163" s="27"/>
      <c r="B163" s="124"/>
      <c r="C163" s="246"/>
      <c r="D163" s="309"/>
      <c r="E163" s="310" t="s">
        <v>193</v>
      </c>
      <c r="F163" s="311"/>
      <c r="G163" s="312"/>
      <c r="H163" s="43" t="s">
        <v>82</v>
      </c>
      <c r="I163" s="8"/>
      <c r="J163" s="9"/>
      <c r="K163" s="10" t="str">
        <f t="shared" si="8"/>
        <v>-</v>
      </c>
      <c r="L163" s="141">
        <f t="shared" si="12"/>
        <v>0</v>
      </c>
      <c r="M163" s="129"/>
      <c r="N163" s="269"/>
      <c r="O163" s="270"/>
      <c r="P163" s="270"/>
      <c r="Q163" s="271"/>
      <c r="R163" s="7"/>
      <c r="S163" s="180"/>
      <c r="T163" s="180">
        <v>1</v>
      </c>
      <c r="U163" s="180">
        <v>1</v>
      </c>
      <c r="V163" s="180"/>
      <c r="W163" s="180"/>
      <c r="X163" s="180"/>
      <c r="Y163" s="180"/>
      <c r="Z163" s="180"/>
      <c r="AA163" s="180"/>
      <c r="AB163" s="180"/>
      <c r="AC163" s="180"/>
      <c r="AD163" s="180"/>
      <c r="AE163" s="180"/>
      <c r="AF163" s="180"/>
      <c r="AG163" s="180"/>
      <c r="AH163" s="180"/>
    </row>
    <row r="164" spans="1:34" s="175" customFormat="1" ht="23.25" customHeight="1" x14ac:dyDescent="0.15">
      <c r="A164" s="27"/>
      <c r="B164" s="124"/>
      <c r="C164" s="246"/>
      <c r="D164" s="307" t="s">
        <v>195</v>
      </c>
      <c r="E164" s="310" t="s">
        <v>78</v>
      </c>
      <c r="F164" s="311"/>
      <c r="G164" s="312"/>
      <c r="H164" s="43" t="s">
        <v>79</v>
      </c>
      <c r="I164" s="109"/>
      <c r="J164" s="110"/>
      <c r="K164" s="10" t="str">
        <f t="shared" si="8"/>
        <v>-</v>
      </c>
      <c r="L164" s="66">
        <f t="shared" si="12"/>
        <v>0</v>
      </c>
      <c r="M164" s="129"/>
      <c r="N164" s="190"/>
      <c r="O164" s="191"/>
      <c r="P164" s="191"/>
      <c r="Q164" s="192"/>
      <c r="R164" s="7"/>
      <c r="S164" s="180"/>
      <c r="T164" s="180"/>
      <c r="U164" s="180">
        <v>1</v>
      </c>
      <c r="V164" s="180"/>
      <c r="W164" s="180"/>
      <c r="X164" s="180"/>
      <c r="Y164" s="180"/>
      <c r="Z164" s="180"/>
      <c r="AA164" s="180"/>
      <c r="AB164" s="180"/>
      <c r="AC164" s="180"/>
      <c r="AD164" s="180"/>
      <c r="AE164" s="180"/>
      <c r="AF164" s="180"/>
      <c r="AG164" s="180"/>
      <c r="AH164" s="180">
        <v>1</v>
      </c>
    </row>
    <row r="165" spans="1:34" s="175" customFormat="1" ht="23.25" customHeight="1" x14ac:dyDescent="0.15">
      <c r="A165" s="27"/>
      <c r="B165" s="124"/>
      <c r="C165" s="246"/>
      <c r="D165" s="308"/>
      <c r="E165" s="310" t="s">
        <v>80</v>
      </c>
      <c r="F165" s="311"/>
      <c r="G165" s="312"/>
      <c r="H165" s="43" t="s">
        <v>81</v>
      </c>
      <c r="I165" s="8"/>
      <c r="J165" s="9"/>
      <c r="K165" s="10" t="str">
        <f t="shared" si="8"/>
        <v>-</v>
      </c>
      <c r="L165" s="141">
        <f t="shared" si="12"/>
        <v>0</v>
      </c>
      <c r="M165" s="129"/>
      <c r="N165" s="269"/>
      <c r="O165" s="270"/>
      <c r="P165" s="270"/>
      <c r="Q165" s="271"/>
      <c r="R165" s="7"/>
      <c r="S165" s="180"/>
      <c r="T165" s="180"/>
      <c r="U165" s="180">
        <v>1</v>
      </c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  <c r="AF165" s="180"/>
      <c r="AG165" s="180"/>
      <c r="AH165" s="180"/>
    </row>
    <row r="166" spans="1:34" s="175" customFormat="1" ht="23.25" customHeight="1" x14ac:dyDescent="0.15">
      <c r="A166" s="27"/>
      <c r="B166" s="124"/>
      <c r="C166" s="246"/>
      <c r="D166" s="309"/>
      <c r="E166" s="310" t="s">
        <v>196</v>
      </c>
      <c r="F166" s="311"/>
      <c r="G166" s="312"/>
      <c r="H166" s="43" t="s">
        <v>82</v>
      </c>
      <c r="I166" s="8"/>
      <c r="J166" s="9"/>
      <c r="K166" s="10" t="str">
        <f t="shared" si="8"/>
        <v>-</v>
      </c>
      <c r="L166" s="141">
        <f t="shared" si="12"/>
        <v>0</v>
      </c>
      <c r="M166" s="129"/>
      <c r="N166" s="269"/>
      <c r="O166" s="270"/>
      <c r="P166" s="270"/>
      <c r="Q166" s="271"/>
      <c r="R166" s="7"/>
      <c r="S166" s="180"/>
      <c r="T166" s="180"/>
      <c r="U166" s="180">
        <v>1</v>
      </c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  <c r="AF166" s="180"/>
      <c r="AG166" s="180"/>
      <c r="AH166" s="180"/>
    </row>
    <row r="167" spans="1:34" s="175" customFormat="1" ht="23.25" customHeight="1" x14ac:dyDescent="0.15">
      <c r="A167" s="27"/>
      <c r="B167" s="124"/>
      <c r="C167" s="246"/>
      <c r="D167" s="307" t="s">
        <v>197</v>
      </c>
      <c r="E167" s="310" t="s">
        <v>78</v>
      </c>
      <c r="F167" s="311"/>
      <c r="G167" s="312"/>
      <c r="H167" s="43" t="s">
        <v>79</v>
      </c>
      <c r="I167" s="109"/>
      <c r="J167" s="110"/>
      <c r="K167" s="10" t="str">
        <f t="shared" si="8"/>
        <v>-</v>
      </c>
      <c r="L167" s="66">
        <f t="shared" si="12"/>
        <v>0</v>
      </c>
      <c r="M167" s="129"/>
      <c r="N167" s="190"/>
      <c r="O167" s="191"/>
      <c r="P167" s="191"/>
      <c r="Q167" s="192"/>
      <c r="R167" s="7"/>
      <c r="S167" s="180"/>
      <c r="T167" s="180"/>
      <c r="U167" s="180">
        <v>1</v>
      </c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180"/>
      <c r="AF167" s="180"/>
      <c r="AG167" s="180"/>
      <c r="AH167" s="180">
        <v>1</v>
      </c>
    </row>
    <row r="168" spans="1:34" s="175" customFormat="1" ht="23.25" customHeight="1" x14ac:dyDescent="0.15">
      <c r="A168" s="27"/>
      <c r="B168" s="124"/>
      <c r="C168" s="246"/>
      <c r="D168" s="308"/>
      <c r="E168" s="310" t="s">
        <v>80</v>
      </c>
      <c r="F168" s="311"/>
      <c r="G168" s="312"/>
      <c r="H168" s="43" t="s">
        <v>81</v>
      </c>
      <c r="I168" s="8"/>
      <c r="J168" s="9"/>
      <c r="K168" s="10" t="str">
        <f t="shared" si="8"/>
        <v>-</v>
      </c>
      <c r="L168" s="141">
        <f t="shared" si="12"/>
        <v>0</v>
      </c>
      <c r="M168" s="129"/>
      <c r="N168" s="269"/>
      <c r="O168" s="270"/>
      <c r="P168" s="270"/>
      <c r="Q168" s="271"/>
      <c r="R168" s="7"/>
      <c r="S168" s="180"/>
      <c r="T168" s="180"/>
      <c r="U168" s="180">
        <v>1</v>
      </c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80"/>
    </row>
    <row r="169" spans="1:34" s="175" customFormat="1" ht="23.25" customHeight="1" x14ac:dyDescent="0.15">
      <c r="A169" s="27"/>
      <c r="B169" s="124"/>
      <c r="C169" s="246"/>
      <c r="D169" s="309"/>
      <c r="E169" s="310" t="s">
        <v>196</v>
      </c>
      <c r="F169" s="311"/>
      <c r="G169" s="312"/>
      <c r="H169" s="43" t="s">
        <v>82</v>
      </c>
      <c r="I169" s="8"/>
      <c r="J169" s="9"/>
      <c r="K169" s="10" t="str">
        <f t="shared" si="8"/>
        <v>-</v>
      </c>
      <c r="L169" s="141">
        <f t="shared" si="12"/>
        <v>0</v>
      </c>
      <c r="M169" s="129"/>
      <c r="N169" s="269"/>
      <c r="O169" s="270"/>
      <c r="P169" s="270"/>
      <c r="Q169" s="271"/>
      <c r="R169" s="7"/>
      <c r="S169" s="180"/>
      <c r="T169" s="180"/>
      <c r="U169" s="180">
        <v>1</v>
      </c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  <c r="AF169" s="180"/>
      <c r="AG169" s="180"/>
      <c r="AH169" s="180"/>
    </row>
    <row r="170" spans="1:34" s="175" customFormat="1" ht="23.25" customHeight="1" x14ac:dyDescent="0.15">
      <c r="A170" s="27"/>
      <c r="B170" s="124"/>
      <c r="C170" s="246"/>
      <c r="D170" s="307" t="s">
        <v>28</v>
      </c>
      <c r="E170" s="310" t="s">
        <v>78</v>
      </c>
      <c r="F170" s="311"/>
      <c r="G170" s="312"/>
      <c r="H170" s="43" t="s">
        <v>79</v>
      </c>
      <c r="I170" s="109"/>
      <c r="J170" s="110"/>
      <c r="K170" s="10" t="str">
        <f t="shared" si="8"/>
        <v>-</v>
      </c>
      <c r="L170" s="66">
        <f t="shared" si="12"/>
        <v>0</v>
      </c>
      <c r="M170" s="129"/>
      <c r="N170" s="190"/>
      <c r="O170" s="191"/>
      <c r="P170" s="191"/>
      <c r="Q170" s="192"/>
      <c r="R170" s="7"/>
      <c r="S170" s="180"/>
      <c r="T170" s="180"/>
      <c r="U170" s="180">
        <v>1</v>
      </c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80"/>
    </row>
    <row r="171" spans="1:34" s="175" customFormat="1" ht="23.25" customHeight="1" x14ac:dyDescent="0.15">
      <c r="A171" s="27"/>
      <c r="B171" s="124"/>
      <c r="C171" s="246"/>
      <c r="D171" s="308"/>
      <c r="E171" s="310" t="s">
        <v>80</v>
      </c>
      <c r="F171" s="311"/>
      <c r="G171" s="312"/>
      <c r="H171" s="43" t="s">
        <v>81</v>
      </c>
      <c r="I171" s="8"/>
      <c r="J171" s="9"/>
      <c r="K171" s="10" t="str">
        <f t="shared" si="8"/>
        <v>-</v>
      </c>
      <c r="L171" s="141">
        <f t="shared" si="12"/>
        <v>0</v>
      </c>
      <c r="M171" s="129"/>
      <c r="N171" s="269"/>
      <c r="O171" s="270"/>
      <c r="P171" s="270"/>
      <c r="Q171" s="271"/>
      <c r="R171" s="7"/>
      <c r="S171" s="180"/>
      <c r="T171" s="180"/>
      <c r="U171" s="180">
        <v>1</v>
      </c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  <c r="AF171" s="180"/>
      <c r="AG171" s="180"/>
      <c r="AH171" s="180"/>
    </row>
    <row r="172" spans="1:34" s="175" customFormat="1" ht="23.25" customHeight="1" x14ac:dyDescent="0.15">
      <c r="A172" s="27"/>
      <c r="B172" s="124"/>
      <c r="C172" s="246"/>
      <c r="D172" s="309"/>
      <c r="E172" s="310" t="s">
        <v>198</v>
      </c>
      <c r="F172" s="311"/>
      <c r="G172" s="312"/>
      <c r="H172" s="43" t="s">
        <v>82</v>
      </c>
      <c r="I172" s="8"/>
      <c r="J172" s="9"/>
      <c r="K172" s="10" t="str">
        <f t="shared" si="8"/>
        <v>-</v>
      </c>
      <c r="L172" s="141">
        <f t="shared" si="12"/>
        <v>0</v>
      </c>
      <c r="M172" s="129"/>
      <c r="N172" s="269"/>
      <c r="O172" s="270"/>
      <c r="P172" s="270"/>
      <c r="Q172" s="271"/>
      <c r="R172" s="7"/>
      <c r="S172" s="180"/>
      <c r="T172" s="180"/>
      <c r="U172" s="180">
        <v>1</v>
      </c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  <c r="AF172" s="180"/>
      <c r="AG172" s="180"/>
      <c r="AH172" s="180"/>
    </row>
    <row r="173" spans="1:34" s="175" customFormat="1" ht="23.25" customHeight="1" x14ac:dyDescent="0.15">
      <c r="A173" s="27"/>
      <c r="B173" s="124"/>
      <c r="C173" s="246"/>
      <c r="D173" s="307" t="s">
        <v>29</v>
      </c>
      <c r="E173" s="310" t="s">
        <v>78</v>
      </c>
      <c r="F173" s="311"/>
      <c r="G173" s="312"/>
      <c r="H173" s="43" t="s">
        <v>79</v>
      </c>
      <c r="I173" s="109"/>
      <c r="J173" s="110"/>
      <c r="K173" s="10" t="str">
        <f t="shared" si="8"/>
        <v>-</v>
      </c>
      <c r="L173" s="66">
        <f t="shared" si="12"/>
        <v>0</v>
      </c>
      <c r="M173" s="129"/>
      <c r="N173" s="190"/>
      <c r="O173" s="191"/>
      <c r="P173" s="191"/>
      <c r="Q173" s="192"/>
      <c r="R173" s="7"/>
      <c r="S173" s="180"/>
      <c r="T173" s="180"/>
      <c r="U173" s="180">
        <v>1</v>
      </c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  <c r="AG173" s="180"/>
      <c r="AH173" s="180"/>
    </row>
    <row r="174" spans="1:34" s="175" customFormat="1" ht="23.25" customHeight="1" x14ac:dyDescent="0.15">
      <c r="A174" s="27"/>
      <c r="B174" s="124"/>
      <c r="C174" s="246"/>
      <c r="D174" s="308"/>
      <c r="E174" s="310" t="s">
        <v>80</v>
      </c>
      <c r="F174" s="311"/>
      <c r="G174" s="312"/>
      <c r="H174" s="43" t="s">
        <v>81</v>
      </c>
      <c r="I174" s="8"/>
      <c r="J174" s="9"/>
      <c r="K174" s="10" t="str">
        <f t="shared" si="8"/>
        <v>-</v>
      </c>
      <c r="L174" s="141">
        <f t="shared" si="12"/>
        <v>0</v>
      </c>
      <c r="M174" s="129"/>
      <c r="N174" s="269"/>
      <c r="O174" s="270"/>
      <c r="P174" s="270"/>
      <c r="Q174" s="271"/>
      <c r="R174" s="7"/>
      <c r="S174" s="180"/>
      <c r="T174" s="180"/>
      <c r="U174" s="180">
        <v>1</v>
      </c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80"/>
    </row>
    <row r="175" spans="1:34" s="175" customFormat="1" ht="23.25" customHeight="1" x14ac:dyDescent="0.15">
      <c r="A175" s="27"/>
      <c r="B175" s="124"/>
      <c r="C175" s="246"/>
      <c r="D175" s="309"/>
      <c r="E175" s="310" t="s">
        <v>198</v>
      </c>
      <c r="F175" s="311"/>
      <c r="G175" s="312"/>
      <c r="H175" s="43" t="s">
        <v>82</v>
      </c>
      <c r="I175" s="8"/>
      <c r="J175" s="9"/>
      <c r="K175" s="10" t="str">
        <f t="shared" si="8"/>
        <v>-</v>
      </c>
      <c r="L175" s="141">
        <f t="shared" si="12"/>
        <v>0</v>
      </c>
      <c r="M175" s="129"/>
      <c r="N175" s="269"/>
      <c r="O175" s="270"/>
      <c r="P175" s="270"/>
      <c r="Q175" s="271"/>
      <c r="R175" s="7"/>
      <c r="S175" s="180"/>
      <c r="T175" s="180"/>
      <c r="U175" s="180">
        <v>1</v>
      </c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  <c r="AG175" s="180"/>
      <c r="AH175" s="180"/>
    </row>
    <row r="176" spans="1:34" s="175" customFormat="1" ht="23.25" customHeight="1" x14ac:dyDescent="0.15">
      <c r="A176" s="27"/>
      <c r="B176" s="124"/>
      <c r="C176" s="246"/>
      <c r="D176" s="307" t="s">
        <v>30</v>
      </c>
      <c r="E176" s="310" t="s">
        <v>199</v>
      </c>
      <c r="F176" s="311"/>
      <c r="G176" s="312"/>
      <c r="H176" s="43" t="s">
        <v>79</v>
      </c>
      <c r="I176" s="109"/>
      <c r="J176" s="110"/>
      <c r="K176" s="10" t="str">
        <f t="shared" si="8"/>
        <v>-</v>
      </c>
      <c r="L176" s="66">
        <f t="shared" si="12"/>
        <v>0</v>
      </c>
      <c r="M176" s="129"/>
      <c r="N176" s="190"/>
      <c r="O176" s="191"/>
      <c r="P176" s="191"/>
      <c r="Q176" s="192"/>
      <c r="R176" s="7"/>
      <c r="S176" s="180"/>
      <c r="T176" s="180"/>
      <c r="U176" s="180">
        <v>1</v>
      </c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  <c r="AF176" s="180"/>
      <c r="AG176" s="180"/>
      <c r="AH176" s="180">
        <v>1</v>
      </c>
    </row>
    <row r="177" spans="1:34" s="175" customFormat="1" ht="23.25" customHeight="1" x14ac:dyDescent="0.15">
      <c r="A177" s="27"/>
      <c r="B177" s="124"/>
      <c r="C177" s="246"/>
      <c r="D177" s="308"/>
      <c r="E177" s="310" t="s">
        <v>80</v>
      </c>
      <c r="F177" s="311"/>
      <c r="G177" s="312"/>
      <c r="H177" s="43" t="s">
        <v>81</v>
      </c>
      <c r="I177" s="8"/>
      <c r="J177" s="9"/>
      <c r="K177" s="10" t="str">
        <f t="shared" si="8"/>
        <v>-</v>
      </c>
      <c r="L177" s="141">
        <f t="shared" si="12"/>
        <v>0</v>
      </c>
      <c r="M177" s="129"/>
      <c r="N177" s="269"/>
      <c r="O177" s="270"/>
      <c r="P177" s="270"/>
      <c r="Q177" s="271"/>
      <c r="R177" s="7"/>
      <c r="S177" s="180"/>
      <c r="T177" s="180"/>
      <c r="U177" s="180">
        <v>1</v>
      </c>
      <c r="V177" s="180"/>
      <c r="W177" s="180"/>
      <c r="X177" s="180"/>
      <c r="Y177" s="180"/>
      <c r="Z177" s="180"/>
      <c r="AA177" s="180"/>
      <c r="AB177" s="180"/>
      <c r="AC177" s="180"/>
      <c r="AD177" s="180"/>
      <c r="AE177" s="180"/>
      <c r="AF177" s="180"/>
      <c r="AG177" s="180"/>
      <c r="AH177" s="180"/>
    </row>
    <row r="178" spans="1:34" s="175" customFormat="1" ht="23.25" customHeight="1" x14ac:dyDescent="0.15">
      <c r="A178" s="27"/>
      <c r="B178" s="124"/>
      <c r="C178" s="246"/>
      <c r="D178" s="309"/>
      <c r="E178" s="310" t="s">
        <v>289</v>
      </c>
      <c r="F178" s="311"/>
      <c r="G178" s="312"/>
      <c r="H178" s="43" t="s">
        <v>82</v>
      </c>
      <c r="I178" s="8"/>
      <c r="J178" s="9"/>
      <c r="K178" s="10" t="str">
        <f t="shared" si="8"/>
        <v>-</v>
      </c>
      <c r="L178" s="141">
        <f t="shared" si="12"/>
        <v>0</v>
      </c>
      <c r="M178" s="129"/>
      <c r="N178" s="269"/>
      <c r="O178" s="270"/>
      <c r="P178" s="270"/>
      <c r="Q178" s="271"/>
      <c r="R178" s="7"/>
      <c r="S178" s="180"/>
      <c r="T178" s="180"/>
      <c r="U178" s="180">
        <v>1</v>
      </c>
      <c r="V178" s="180"/>
      <c r="W178" s="180"/>
      <c r="X178" s="180"/>
      <c r="Y178" s="180"/>
      <c r="Z178" s="180"/>
      <c r="AA178" s="180"/>
      <c r="AB178" s="180"/>
      <c r="AC178" s="180"/>
      <c r="AD178" s="180"/>
      <c r="AE178" s="180"/>
      <c r="AF178" s="180"/>
      <c r="AG178" s="180"/>
      <c r="AH178" s="180"/>
    </row>
    <row r="179" spans="1:34" s="175" customFormat="1" ht="23.25" customHeight="1" x14ac:dyDescent="0.15">
      <c r="A179" s="27"/>
      <c r="B179" s="124"/>
      <c r="C179" s="246"/>
      <c r="D179" s="281" t="s">
        <v>84</v>
      </c>
      <c r="E179" s="282"/>
      <c r="F179" s="282"/>
      <c r="G179" s="280"/>
      <c r="H179" s="58" t="s">
        <v>76</v>
      </c>
      <c r="I179" s="107"/>
      <c r="J179" s="108"/>
      <c r="K179" s="16" t="str">
        <f t="shared" si="8"/>
        <v>-</v>
      </c>
      <c r="L179" s="65">
        <f t="shared" si="12"/>
        <v>0</v>
      </c>
      <c r="M179" s="131"/>
      <c r="N179" s="190"/>
      <c r="O179" s="191"/>
      <c r="P179" s="191"/>
      <c r="Q179" s="192"/>
      <c r="R179" s="7"/>
      <c r="S179" s="180"/>
      <c r="T179" s="180">
        <v>1</v>
      </c>
      <c r="U179" s="180"/>
      <c r="V179" s="180">
        <v>1</v>
      </c>
      <c r="W179" s="180">
        <v>1</v>
      </c>
      <c r="X179" s="180"/>
      <c r="Y179" s="180"/>
      <c r="Z179" s="180"/>
      <c r="AA179" s="180"/>
      <c r="AB179" s="180"/>
      <c r="AC179" s="180"/>
      <c r="AD179" s="180"/>
      <c r="AE179" s="180"/>
      <c r="AF179" s="180"/>
      <c r="AG179" s="180"/>
      <c r="AH179" s="180">
        <v>1</v>
      </c>
    </row>
    <row r="180" spans="1:34" s="175" customFormat="1" ht="23.25" customHeight="1" x14ac:dyDescent="0.15">
      <c r="A180" s="27"/>
      <c r="B180" s="124"/>
      <c r="C180" s="246"/>
      <c r="D180" s="281" t="s">
        <v>85</v>
      </c>
      <c r="E180" s="282"/>
      <c r="F180" s="282"/>
      <c r="G180" s="280"/>
      <c r="H180" s="43" t="s">
        <v>86</v>
      </c>
      <c r="I180" s="109"/>
      <c r="J180" s="110"/>
      <c r="K180" s="10" t="str">
        <f t="shared" si="8"/>
        <v>-</v>
      </c>
      <c r="L180" s="66">
        <f t="shared" si="12"/>
        <v>0</v>
      </c>
      <c r="M180" s="129"/>
      <c r="N180" s="190"/>
      <c r="O180" s="191"/>
      <c r="P180" s="191"/>
      <c r="Q180" s="192"/>
      <c r="R180" s="7"/>
      <c r="S180" s="180"/>
      <c r="T180" s="180"/>
      <c r="U180" s="180"/>
      <c r="V180" s="180">
        <v>1</v>
      </c>
      <c r="W180" s="180">
        <v>1</v>
      </c>
      <c r="X180" s="180"/>
      <c r="Y180" s="180"/>
      <c r="Z180" s="180"/>
      <c r="AA180" s="180"/>
      <c r="AB180" s="180"/>
      <c r="AC180" s="180"/>
      <c r="AD180" s="180"/>
      <c r="AE180" s="180"/>
      <c r="AF180" s="180"/>
      <c r="AG180" s="180"/>
      <c r="AH180" s="180">
        <v>1</v>
      </c>
    </row>
    <row r="181" spans="1:34" s="175" customFormat="1" ht="23.25" customHeight="1" x14ac:dyDescent="0.15">
      <c r="A181" s="27"/>
      <c r="B181" s="124"/>
      <c r="C181" s="246"/>
      <c r="D181" s="281" t="s">
        <v>87</v>
      </c>
      <c r="E181" s="282"/>
      <c r="F181" s="282"/>
      <c r="G181" s="280"/>
      <c r="H181" s="43" t="s">
        <v>76</v>
      </c>
      <c r="I181" s="109"/>
      <c r="J181" s="110"/>
      <c r="K181" s="10" t="str">
        <f t="shared" si="8"/>
        <v>-</v>
      </c>
      <c r="L181" s="66">
        <f t="shared" si="12"/>
        <v>0</v>
      </c>
      <c r="M181" s="129"/>
      <c r="N181" s="190"/>
      <c r="O181" s="191"/>
      <c r="P181" s="191"/>
      <c r="Q181" s="192"/>
      <c r="R181" s="7"/>
      <c r="S181" s="180"/>
      <c r="T181" s="180"/>
      <c r="U181" s="180"/>
      <c r="V181" s="180"/>
      <c r="W181" s="180"/>
      <c r="X181" s="180">
        <v>1</v>
      </c>
      <c r="Y181" s="180"/>
      <c r="Z181" s="180"/>
      <c r="AA181" s="180"/>
      <c r="AB181" s="180"/>
      <c r="AC181" s="180"/>
      <c r="AD181" s="180"/>
      <c r="AE181" s="180"/>
      <c r="AF181" s="180"/>
      <c r="AG181" s="180"/>
      <c r="AH181" s="180">
        <v>1</v>
      </c>
    </row>
    <row r="182" spans="1:34" s="175" customFormat="1" ht="23.25" customHeight="1" x14ac:dyDescent="0.15">
      <c r="A182" s="27"/>
      <c r="B182" s="124"/>
      <c r="C182" s="246"/>
      <c r="D182" s="289" t="s">
        <v>88</v>
      </c>
      <c r="E182" s="290"/>
      <c r="F182" s="290"/>
      <c r="G182" s="291"/>
      <c r="H182" s="43" t="s">
        <v>76</v>
      </c>
      <c r="I182" s="109"/>
      <c r="J182" s="110"/>
      <c r="K182" s="10" t="str">
        <f t="shared" si="8"/>
        <v>-</v>
      </c>
      <c r="L182" s="66">
        <f t="shared" si="12"/>
        <v>0</v>
      </c>
      <c r="M182" s="129"/>
      <c r="N182" s="255"/>
      <c r="O182" s="256"/>
      <c r="P182" s="256"/>
      <c r="Q182" s="257"/>
      <c r="R182" s="7"/>
      <c r="S182" s="180"/>
      <c r="T182" s="180"/>
      <c r="U182" s="180"/>
      <c r="V182" s="180"/>
      <c r="W182" s="180"/>
      <c r="X182" s="180"/>
      <c r="Y182" s="180">
        <v>1</v>
      </c>
      <c r="Z182" s="180">
        <v>1</v>
      </c>
      <c r="AA182" s="180"/>
      <c r="AB182" s="180"/>
      <c r="AC182" s="180"/>
      <c r="AD182" s="180"/>
      <c r="AE182" s="180"/>
      <c r="AF182" s="180"/>
      <c r="AG182" s="180"/>
      <c r="AH182" s="180"/>
    </row>
    <row r="183" spans="1:34" s="175" customFormat="1" ht="23.25" customHeight="1" x14ac:dyDescent="0.15">
      <c r="A183" s="27"/>
      <c r="B183" s="124"/>
      <c r="C183" s="246"/>
      <c r="D183" s="112"/>
      <c r="E183" s="299" t="s">
        <v>200</v>
      </c>
      <c r="F183" s="300"/>
      <c r="G183" s="301"/>
      <c r="H183" s="43" t="s">
        <v>76</v>
      </c>
      <c r="I183" s="109"/>
      <c r="J183" s="110"/>
      <c r="K183" s="10" t="str">
        <f t="shared" si="8"/>
        <v>-</v>
      </c>
      <c r="L183" s="66">
        <f t="shared" si="12"/>
        <v>0</v>
      </c>
      <c r="M183" s="129"/>
      <c r="N183" s="302"/>
      <c r="O183" s="305"/>
      <c r="P183" s="305"/>
      <c r="Q183" s="306"/>
      <c r="R183" s="7"/>
      <c r="S183" s="180"/>
      <c r="T183" s="180"/>
      <c r="U183" s="180"/>
      <c r="V183" s="180"/>
      <c r="W183" s="180"/>
      <c r="X183" s="180"/>
      <c r="Y183" s="180">
        <v>1</v>
      </c>
      <c r="Z183" s="180"/>
      <c r="AA183" s="180"/>
      <c r="AB183" s="180"/>
      <c r="AC183" s="180"/>
      <c r="AD183" s="180"/>
      <c r="AE183" s="180"/>
      <c r="AF183" s="180"/>
      <c r="AG183" s="180"/>
      <c r="AH183" s="180"/>
    </row>
    <row r="184" spans="1:34" s="175" customFormat="1" ht="23.25" customHeight="1" x14ac:dyDescent="0.15">
      <c r="A184" s="27"/>
      <c r="B184" s="124"/>
      <c r="C184" s="246"/>
      <c r="D184" s="112"/>
      <c r="E184" s="299" t="s">
        <v>201</v>
      </c>
      <c r="F184" s="300"/>
      <c r="G184" s="301"/>
      <c r="H184" s="43" t="s">
        <v>76</v>
      </c>
      <c r="I184" s="109"/>
      <c r="J184" s="110"/>
      <c r="K184" s="10" t="str">
        <f t="shared" si="8"/>
        <v>-</v>
      </c>
      <c r="L184" s="66">
        <f t="shared" si="12"/>
        <v>0</v>
      </c>
      <c r="M184" s="129"/>
      <c r="N184" s="302"/>
      <c r="O184" s="305"/>
      <c r="P184" s="305"/>
      <c r="Q184" s="306"/>
      <c r="R184" s="7"/>
      <c r="S184" s="180"/>
      <c r="T184" s="180"/>
      <c r="U184" s="180"/>
      <c r="V184" s="180"/>
      <c r="W184" s="180"/>
      <c r="X184" s="180"/>
      <c r="Y184" s="180">
        <v>1</v>
      </c>
      <c r="Z184" s="180"/>
      <c r="AA184" s="180"/>
      <c r="AB184" s="180"/>
      <c r="AC184" s="180"/>
      <c r="AD184" s="180"/>
      <c r="AE184" s="180"/>
      <c r="AF184" s="180"/>
      <c r="AG184" s="180"/>
      <c r="AH184" s="180"/>
    </row>
    <row r="185" spans="1:34" s="175" customFormat="1" ht="23.25" customHeight="1" x14ac:dyDescent="0.15">
      <c r="A185" s="27"/>
      <c r="B185" s="124"/>
      <c r="C185" s="246"/>
      <c r="D185" s="289" t="s">
        <v>89</v>
      </c>
      <c r="E185" s="290"/>
      <c r="F185" s="290"/>
      <c r="G185" s="291"/>
      <c r="H185" s="43" t="s">
        <v>86</v>
      </c>
      <c r="I185" s="109"/>
      <c r="J185" s="110"/>
      <c r="K185" s="10" t="str">
        <f t="shared" si="8"/>
        <v>-</v>
      </c>
      <c r="L185" s="66">
        <f t="shared" si="12"/>
        <v>0</v>
      </c>
      <c r="M185" s="129"/>
      <c r="N185" s="255"/>
      <c r="O185" s="256"/>
      <c r="P185" s="256"/>
      <c r="Q185" s="257"/>
      <c r="R185" s="7"/>
      <c r="S185" s="180"/>
      <c r="T185" s="180"/>
      <c r="U185" s="180"/>
      <c r="V185" s="180"/>
      <c r="W185" s="180"/>
      <c r="X185" s="180"/>
      <c r="Y185" s="180">
        <v>1</v>
      </c>
      <c r="Z185" s="180">
        <v>1</v>
      </c>
      <c r="AA185" s="180"/>
      <c r="AB185" s="180"/>
      <c r="AC185" s="180"/>
      <c r="AD185" s="180"/>
      <c r="AE185" s="180"/>
      <c r="AF185" s="180"/>
      <c r="AG185" s="180"/>
      <c r="AH185" s="180">
        <v>1</v>
      </c>
    </row>
    <row r="186" spans="1:34" s="175" customFormat="1" ht="23.25" customHeight="1" x14ac:dyDescent="0.15">
      <c r="A186" s="27"/>
      <c r="B186" s="124"/>
      <c r="C186" s="246"/>
      <c r="D186" s="112"/>
      <c r="E186" s="299" t="s">
        <v>202</v>
      </c>
      <c r="F186" s="300"/>
      <c r="G186" s="301"/>
      <c r="H186" s="43" t="s">
        <v>86</v>
      </c>
      <c r="I186" s="109"/>
      <c r="J186" s="110"/>
      <c r="K186" s="10" t="str">
        <f t="shared" si="8"/>
        <v>-</v>
      </c>
      <c r="L186" s="66">
        <f t="shared" si="12"/>
        <v>0</v>
      </c>
      <c r="M186" s="129"/>
      <c r="N186" s="302"/>
      <c r="O186" s="303"/>
      <c r="P186" s="303"/>
      <c r="Q186" s="304"/>
      <c r="R186" s="7"/>
      <c r="S186" s="180"/>
      <c r="T186" s="180"/>
      <c r="U186" s="180"/>
      <c r="V186" s="180"/>
      <c r="W186" s="180"/>
      <c r="X186" s="180"/>
      <c r="Y186" s="180"/>
      <c r="Z186" s="180">
        <v>1</v>
      </c>
      <c r="AA186" s="180"/>
      <c r="AB186" s="180"/>
      <c r="AC186" s="180"/>
      <c r="AD186" s="180"/>
      <c r="AE186" s="180"/>
      <c r="AF186" s="180"/>
      <c r="AG186" s="180"/>
      <c r="AH186" s="180"/>
    </row>
    <row r="187" spans="1:34" s="175" customFormat="1" ht="23.25" customHeight="1" x14ac:dyDescent="0.15">
      <c r="A187" s="27"/>
      <c r="B187" s="124"/>
      <c r="C187" s="246"/>
      <c r="D187" s="112"/>
      <c r="E187" s="299" t="s">
        <v>203</v>
      </c>
      <c r="F187" s="300"/>
      <c r="G187" s="301"/>
      <c r="H187" s="43" t="s">
        <v>86</v>
      </c>
      <c r="I187" s="109"/>
      <c r="J187" s="110"/>
      <c r="K187" s="10" t="str">
        <f t="shared" si="8"/>
        <v>-</v>
      </c>
      <c r="L187" s="66">
        <f t="shared" si="12"/>
        <v>0</v>
      </c>
      <c r="M187" s="129"/>
      <c r="N187" s="302"/>
      <c r="O187" s="303"/>
      <c r="P187" s="303"/>
      <c r="Q187" s="304"/>
      <c r="R187" s="7"/>
      <c r="S187" s="180"/>
      <c r="T187" s="180"/>
      <c r="U187" s="180"/>
      <c r="V187" s="180"/>
      <c r="W187" s="180"/>
      <c r="X187" s="180"/>
      <c r="Y187" s="180"/>
      <c r="Z187" s="180">
        <v>1</v>
      </c>
      <c r="AA187" s="180"/>
      <c r="AB187" s="180"/>
      <c r="AC187" s="180"/>
      <c r="AD187" s="180"/>
      <c r="AE187" s="180"/>
      <c r="AF187" s="180"/>
      <c r="AG187" s="180"/>
      <c r="AH187" s="180"/>
    </row>
    <row r="188" spans="1:34" s="175" customFormat="1" ht="23.25" customHeight="1" x14ac:dyDescent="0.15">
      <c r="A188" s="27"/>
      <c r="B188" s="124"/>
      <c r="C188" s="246"/>
      <c r="D188" s="281" t="s">
        <v>204</v>
      </c>
      <c r="E188" s="282"/>
      <c r="F188" s="282"/>
      <c r="G188" s="280"/>
      <c r="H188" s="43" t="s">
        <v>76</v>
      </c>
      <c r="I188" s="109"/>
      <c r="J188" s="110"/>
      <c r="K188" s="10" t="str">
        <f t="shared" si="8"/>
        <v>-</v>
      </c>
      <c r="L188" s="66">
        <f t="shared" si="12"/>
        <v>0</v>
      </c>
      <c r="M188" s="129"/>
      <c r="N188" s="255"/>
      <c r="O188" s="256"/>
      <c r="P188" s="256"/>
      <c r="Q188" s="257"/>
      <c r="R188" s="7"/>
      <c r="S188" s="180"/>
      <c r="T188" s="180">
        <v>1</v>
      </c>
      <c r="U188" s="180"/>
      <c r="V188" s="180"/>
      <c r="W188" s="180"/>
      <c r="X188" s="180"/>
      <c r="Y188" s="180"/>
      <c r="Z188" s="180"/>
      <c r="AA188" s="180">
        <v>1</v>
      </c>
      <c r="AB188" s="180">
        <v>1</v>
      </c>
      <c r="AC188" s="180">
        <v>1</v>
      </c>
      <c r="AD188" s="180"/>
      <c r="AE188" s="180"/>
      <c r="AF188" s="180"/>
      <c r="AG188" s="180"/>
      <c r="AH188" s="180"/>
    </row>
    <row r="189" spans="1:34" s="175" customFormat="1" ht="23.25" customHeight="1" x14ac:dyDescent="0.15">
      <c r="A189" s="27"/>
      <c r="B189" s="124"/>
      <c r="C189" s="246"/>
      <c r="D189" s="281" t="s">
        <v>205</v>
      </c>
      <c r="E189" s="282"/>
      <c r="F189" s="282"/>
      <c r="G189" s="280"/>
      <c r="H189" s="43" t="s">
        <v>76</v>
      </c>
      <c r="I189" s="109"/>
      <c r="J189" s="110"/>
      <c r="K189" s="10" t="str">
        <f t="shared" si="8"/>
        <v>-</v>
      </c>
      <c r="L189" s="66">
        <f t="shared" si="12"/>
        <v>0</v>
      </c>
      <c r="M189" s="129"/>
      <c r="N189" s="255"/>
      <c r="O189" s="256"/>
      <c r="P189" s="256"/>
      <c r="Q189" s="257"/>
      <c r="R189" s="7"/>
      <c r="S189" s="180"/>
      <c r="T189" s="180">
        <v>1</v>
      </c>
      <c r="U189" s="180"/>
      <c r="V189" s="180"/>
      <c r="W189" s="180"/>
      <c r="X189" s="180"/>
      <c r="Y189" s="180"/>
      <c r="Z189" s="180"/>
      <c r="AA189" s="180">
        <v>1</v>
      </c>
      <c r="AB189" s="180">
        <v>1</v>
      </c>
      <c r="AC189" s="180">
        <v>1</v>
      </c>
      <c r="AD189" s="180"/>
      <c r="AE189" s="180"/>
      <c r="AF189" s="180"/>
      <c r="AG189" s="180"/>
      <c r="AH189" s="180"/>
    </row>
    <row r="190" spans="1:34" s="175" customFormat="1" ht="23.25" customHeight="1" x14ac:dyDescent="0.15">
      <c r="A190" s="27"/>
      <c r="B190" s="124"/>
      <c r="C190" s="246"/>
      <c r="D190" s="281" t="s">
        <v>206</v>
      </c>
      <c r="E190" s="282"/>
      <c r="F190" s="282"/>
      <c r="G190" s="280"/>
      <c r="H190" s="43" t="s">
        <v>207</v>
      </c>
      <c r="I190" s="8"/>
      <c r="J190" s="9"/>
      <c r="K190" s="10" t="str">
        <f t="shared" si="8"/>
        <v>-</v>
      </c>
      <c r="L190" s="141">
        <f t="shared" si="12"/>
        <v>0</v>
      </c>
      <c r="M190" s="129"/>
      <c r="N190" s="255"/>
      <c r="O190" s="256"/>
      <c r="P190" s="256"/>
      <c r="Q190" s="257"/>
      <c r="R190" s="7"/>
      <c r="S190" s="180"/>
      <c r="T190" s="180">
        <v>1</v>
      </c>
      <c r="U190" s="180"/>
      <c r="V190" s="180"/>
      <c r="W190" s="180"/>
      <c r="X190" s="180"/>
      <c r="Y190" s="180"/>
      <c r="Z190" s="180"/>
      <c r="AA190" s="180">
        <v>1</v>
      </c>
      <c r="AB190" s="180">
        <v>1</v>
      </c>
      <c r="AC190" s="180">
        <v>1</v>
      </c>
      <c r="AD190" s="180"/>
      <c r="AE190" s="180"/>
      <c r="AF190" s="180"/>
      <c r="AG190" s="180"/>
      <c r="AH190" s="180"/>
    </row>
    <row r="191" spans="1:34" s="175" customFormat="1" ht="23.25" customHeight="1" x14ac:dyDescent="0.15">
      <c r="A191" s="27"/>
      <c r="B191" s="124"/>
      <c r="C191" s="246"/>
      <c r="D191" s="281" t="s">
        <v>293</v>
      </c>
      <c r="E191" s="282"/>
      <c r="F191" s="282"/>
      <c r="G191" s="280"/>
      <c r="H191" s="43" t="s">
        <v>76</v>
      </c>
      <c r="I191" s="109"/>
      <c r="J191" s="110"/>
      <c r="K191" s="10" t="str">
        <f t="shared" si="8"/>
        <v>-</v>
      </c>
      <c r="L191" s="66">
        <f t="shared" si="12"/>
        <v>0</v>
      </c>
      <c r="M191" s="129"/>
      <c r="N191" s="255"/>
      <c r="O191" s="256"/>
      <c r="P191" s="256"/>
      <c r="Q191" s="257"/>
      <c r="R191" s="7"/>
      <c r="S191" s="180"/>
      <c r="T191" s="180">
        <v>1</v>
      </c>
      <c r="U191" s="180"/>
      <c r="V191" s="180"/>
      <c r="W191" s="180"/>
      <c r="X191" s="180"/>
      <c r="Y191" s="180"/>
      <c r="Z191" s="180"/>
      <c r="AA191" s="180">
        <v>1</v>
      </c>
      <c r="AB191" s="180">
        <v>1</v>
      </c>
      <c r="AC191" s="180">
        <v>1</v>
      </c>
      <c r="AD191" s="180"/>
      <c r="AE191" s="180"/>
      <c r="AF191" s="180"/>
      <c r="AG191" s="180"/>
      <c r="AH191" s="180"/>
    </row>
    <row r="192" spans="1:34" s="175" customFormat="1" ht="23.25" customHeight="1" x14ac:dyDescent="0.15">
      <c r="A192" s="27"/>
      <c r="B192" s="124"/>
      <c r="C192" s="246"/>
      <c r="D192" s="281" t="s">
        <v>294</v>
      </c>
      <c r="E192" s="282"/>
      <c r="F192" s="282"/>
      <c r="G192" s="280"/>
      <c r="H192" s="43" t="s">
        <v>76</v>
      </c>
      <c r="I192" s="109"/>
      <c r="J192" s="110"/>
      <c r="K192" s="10" t="str">
        <f t="shared" si="8"/>
        <v>-</v>
      </c>
      <c r="L192" s="66">
        <f t="shared" si="12"/>
        <v>0</v>
      </c>
      <c r="M192" s="129"/>
      <c r="N192" s="255"/>
      <c r="O192" s="256"/>
      <c r="P192" s="256"/>
      <c r="Q192" s="257"/>
      <c r="R192" s="7"/>
      <c r="S192" s="180"/>
      <c r="T192" s="180">
        <v>1</v>
      </c>
      <c r="U192" s="180"/>
      <c r="V192" s="180"/>
      <c r="W192" s="180"/>
      <c r="X192" s="180"/>
      <c r="Y192" s="180"/>
      <c r="Z192" s="180"/>
      <c r="AA192" s="180">
        <v>1</v>
      </c>
      <c r="AB192" s="180">
        <v>1</v>
      </c>
      <c r="AC192" s="180">
        <v>1</v>
      </c>
      <c r="AD192" s="180"/>
      <c r="AE192" s="180"/>
      <c r="AF192" s="180"/>
      <c r="AG192" s="180"/>
      <c r="AH192" s="180"/>
    </row>
    <row r="193" spans="1:34" s="175" customFormat="1" ht="23.25" customHeight="1" x14ac:dyDescent="0.15">
      <c r="A193" s="27"/>
      <c r="B193" s="124"/>
      <c r="C193" s="246"/>
      <c r="D193" s="281" t="s">
        <v>90</v>
      </c>
      <c r="E193" s="282"/>
      <c r="F193" s="282"/>
      <c r="G193" s="280"/>
      <c r="H193" s="43" t="s">
        <v>91</v>
      </c>
      <c r="I193" s="109"/>
      <c r="J193" s="110"/>
      <c r="K193" s="10" t="str">
        <f t="shared" si="8"/>
        <v>-</v>
      </c>
      <c r="L193" s="66">
        <f t="shared" si="12"/>
        <v>0</v>
      </c>
      <c r="M193" s="129"/>
      <c r="N193" s="255"/>
      <c r="O193" s="256"/>
      <c r="P193" s="256"/>
      <c r="Q193" s="257"/>
      <c r="R193" s="7"/>
      <c r="S193" s="180"/>
      <c r="T193" s="180"/>
      <c r="U193" s="180"/>
      <c r="V193" s="180"/>
      <c r="W193" s="180"/>
      <c r="X193" s="180"/>
      <c r="Y193" s="180"/>
      <c r="Z193" s="180"/>
      <c r="AA193" s="180">
        <v>1</v>
      </c>
      <c r="AB193" s="180"/>
      <c r="AC193" s="180"/>
      <c r="AD193" s="180"/>
      <c r="AE193" s="180"/>
      <c r="AF193" s="180"/>
      <c r="AG193" s="180"/>
      <c r="AH193" s="180"/>
    </row>
    <row r="194" spans="1:34" s="175" customFormat="1" ht="23.25" customHeight="1" x14ac:dyDescent="0.15">
      <c r="A194" s="27"/>
      <c r="B194" s="124"/>
      <c r="C194" s="246"/>
      <c r="D194" s="294" t="s">
        <v>92</v>
      </c>
      <c r="E194" s="295" t="s">
        <v>93</v>
      </c>
      <c r="F194" s="295"/>
      <c r="G194" s="296"/>
      <c r="H194" s="43" t="s">
        <v>94</v>
      </c>
      <c r="I194" s="8"/>
      <c r="J194" s="9"/>
      <c r="K194" s="10" t="str">
        <f t="shared" si="8"/>
        <v>-</v>
      </c>
      <c r="L194" s="141">
        <f t="shared" si="12"/>
        <v>0</v>
      </c>
      <c r="M194" s="129"/>
      <c r="N194" s="255"/>
      <c r="O194" s="256"/>
      <c r="P194" s="256"/>
      <c r="Q194" s="257"/>
      <c r="R194" s="7"/>
      <c r="S194" s="180"/>
      <c r="T194" s="180"/>
      <c r="U194" s="180"/>
      <c r="V194" s="180"/>
      <c r="W194" s="180"/>
      <c r="X194" s="180"/>
      <c r="Y194" s="180"/>
      <c r="Z194" s="180"/>
      <c r="AA194" s="180">
        <v>1</v>
      </c>
      <c r="AB194" s="180"/>
      <c r="AC194" s="180"/>
      <c r="AD194" s="180"/>
      <c r="AE194" s="180"/>
      <c r="AF194" s="180"/>
      <c r="AG194" s="180"/>
      <c r="AH194" s="180"/>
    </row>
    <row r="195" spans="1:34" s="175" customFormat="1" ht="23.25" customHeight="1" x14ac:dyDescent="0.15">
      <c r="A195" s="27"/>
      <c r="B195" s="124"/>
      <c r="C195" s="246"/>
      <c r="D195" s="294"/>
      <c r="E195" s="297" t="s">
        <v>95</v>
      </c>
      <c r="F195" s="297"/>
      <c r="G195" s="298"/>
      <c r="H195" s="43" t="s">
        <v>81</v>
      </c>
      <c r="I195" s="8"/>
      <c r="J195" s="9"/>
      <c r="K195" s="10" t="str">
        <f t="shared" si="8"/>
        <v>-</v>
      </c>
      <c r="L195" s="141">
        <f t="shared" si="12"/>
        <v>0</v>
      </c>
      <c r="M195" s="129"/>
      <c r="N195" s="269"/>
      <c r="O195" s="270"/>
      <c r="P195" s="270"/>
      <c r="Q195" s="271"/>
      <c r="R195" s="7"/>
      <c r="S195" s="180"/>
      <c r="T195" s="180"/>
      <c r="U195" s="180"/>
      <c r="V195" s="180"/>
      <c r="W195" s="180"/>
      <c r="X195" s="180"/>
      <c r="Y195" s="180"/>
      <c r="Z195" s="180"/>
      <c r="AA195" s="180">
        <v>1</v>
      </c>
      <c r="AB195" s="180"/>
      <c r="AC195" s="180"/>
      <c r="AD195" s="180"/>
      <c r="AE195" s="180"/>
      <c r="AF195" s="180"/>
      <c r="AG195" s="180"/>
      <c r="AH195" s="180"/>
    </row>
    <row r="196" spans="1:34" s="175" customFormat="1" ht="23.25" customHeight="1" x14ac:dyDescent="0.15">
      <c r="A196" s="27"/>
      <c r="B196" s="124"/>
      <c r="C196" s="246"/>
      <c r="D196" s="294"/>
      <c r="E196" s="297" t="s">
        <v>96</v>
      </c>
      <c r="F196" s="297"/>
      <c r="G196" s="298"/>
      <c r="H196" s="43" t="s">
        <v>82</v>
      </c>
      <c r="I196" s="8"/>
      <c r="J196" s="9"/>
      <c r="K196" s="10" t="str">
        <f t="shared" si="8"/>
        <v>-</v>
      </c>
      <c r="L196" s="141">
        <f t="shared" si="12"/>
        <v>0</v>
      </c>
      <c r="M196" s="129"/>
      <c r="N196" s="269"/>
      <c r="O196" s="270"/>
      <c r="P196" s="270"/>
      <c r="Q196" s="271"/>
      <c r="R196" s="7"/>
      <c r="S196" s="180"/>
      <c r="T196" s="180"/>
      <c r="U196" s="180"/>
      <c r="V196" s="180"/>
      <c r="W196" s="180"/>
      <c r="X196" s="180"/>
      <c r="Y196" s="180"/>
      <c r="Z196" s="180"/>
      <c r="AA196" s="180">
        <v>1</v>
      </c>
      <c r="AB196" s="180"/>
      <c r="AC196" s="180"/>
      <c r="AD196" s="180"/>
      <c r="AE196" s="180"/>
      <c r="AF196" s="180"/>
      <c r="AG196" s="180"/>
      <c r="AH196" s="180"/>
    </row>
    <row r="197" spans="1:34" s="175" customFormat="1" ht="23.25" customHeight="1" x14ac:dyDescent="0.15">
      <c r="A197" s="27"/>
      <c r="B197" s="124"/>
      <c r="C197" s="246"/>
      <c r="D197" s="281" t="s">
        <v>290</v>
      </c>
      <c r="E197" s="282"/>
      <c r="F197" s="282"/>
      <c r="G197" s="280"/>
      <c r="H197" s="43" t="s">
        <v>91</v>
      </c>
      <c r="I197" s="109"/>
      <c r="J197" s="110"/>
      <c r="K197" s="10" t="str">
        <f t="shared" si="8"/>
        <v>-</v>
      </c>
      <c r="L197" s="66">
        <f t="shared" si="12"/>
        <v>0</v>
      </c>
      <c r="M197" s="129"/>
      <c r="N197" s="255"/>
      <c r="O197" s="256"/>
      <c r="P197" s="256"/>
      <c r="Q197" s="257"/>
      <c r="R197" s="7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>
        <v>1</v>
      </c>
      <c r="AC197" s="180">
        <v>1</v>
      </c>
      <c r="AD197" s="180"/>
      <c r="AE197" s="180"/>
      <c r="AF197" s="180"/>
      <c r="AG197" s="180"/>
      <c r="AH197" s="180"/>
    </row>
    <row r="198" spans="1:34" s="175" customFormat="1" ht="23.25" customHeight="1" x14ac:dyDescent="0.15">
      <c r="A198" s="27"/>
      <c r="B198" s="124"/>
      <c r="C198" s="246"/>
      <c r="D198" s="281" t="s">
        <v>97</v>
      </c>
      <c r="E198" s="282"/>
      <c r="F198" s="282"/>
      <c r="G198" s="280"/>
      <c r="H198" s="43" t="s">
        <v>91</v>
      </c>
      <c r="I198" s="109"/>
      <c r="J198" s="110"/>
      <c r="K198" s="10" t="str">
        <f t="shared" si="8"/>
        <v>-</v>
      </c>
      <c r="L198" s="66">
        <f t="shared" si="12"/>
        <v>0</v>
      </c>
      <c r="M198" s="129"/>
      <c r="N198" s="190"/>
      <c r="O198" s="191"/>
      <c r="P198" s="191"/>
      <c r="Q198" s="192"/>
      <c r="R198" s="7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>
        <v>1</v>
      </c>
      <c r="AC198" s="180">
        <v>1</v>
      </c>
      <c r="AD198" s="180"/>
      <c r="AE198" s="180"/>
      <c r="AF198" s="180"/>
      <c r="AG198" s="180"/>
      <c r="AH198" s="180"/>
    </row>
    <row r="199" spans="1:34" s="175" customFormat="1" ht="23.25" customHeight="1" x14ac:dyDescent="0.15">
      <c r="A199" s="27"/>
      <c r="B199" s="124"/>
      <c r="C199" s="246"/>
      <c r="D199" s="236" t="s">
        <v>98</v>
      </c>
      <c r="E199" s="237"/>
      <c r="F199" s="237"/>
      <c r="G199" s="238"/>
      <c r="H199" s="43" t="s">
        <v>82</v>
      </c>
      <c r="I199" s="8"/>
      <c r="J199" s="9"/>
      <c r="K199" s="10" t="str">
        <f t="shared" si="8"/>
        <v>-</v>
      </c>
      <c r="L199" s="141">
        <f t="shared" si="12"/>
        <v>0</v>
      </c>
      <c r="M199" s="129"/>
      <c r="N199" s="190"/>
      <c r="O199" s="191"/>
      <c r="P199" s="191"/>
      <c r="Q199" s="192"/>
      <c r="R199" s="7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>
        <v>1</v>
      </c>
      <c r="AC199" s="180">
        <v>1</v>
      </c>
      <c r="AD199" s="180"/>
      <c r="AE199" s="180"/>
      <c r="AF199" s="180"/>
      <c r="AG199" s="180"/>
      <c r="AH199" s="180"/>
    </row>
    <row r="200" spans="1:34" s="175" customFormat="1" ht="23.25" customHeight="1" x14ac:dyDescent="0.15">
      <c r="A200" s="27"/>
      <c r="B200" s="124"/>
      <c r="C200" s="246"/>
      <c r="D200" s="289" t="s">
        <v>99</v>
      </c>
      <c r="E200" s="290"/>
      <c r="F200" s="290"/>
      <c r="G200" s="291"/>
      <c r="H200" s="43" t="s">
        <v>91</v>
      </c>
      <c r="I200" s="109"/>
      <c r="J200" s="110"/>
      <c r="K200" s="10" t="str">
        <f t="shared" si="8"/>
        <v>-</v>
      </c>
      <c r="L200" s="66">
        <f t="shared" si="12"/>
        <v>0</v>
      </c>
      <c r="M200" s="129"/>
      <c r="N200" s="255"/>
      <c r="O200" s="256"/>
      <c r="P200" s="256"/>
      <c r="Q200" s="257"/>
      <c r="R200" s="7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>
        <v>1</v>
      </c>
      <c r="AC200" s="180">
        <v>1</v>
      </c>
      <c r="AD200" s="180"/>
      <c r="AE200" s="180"/>
      <c r="AF200" s="180"/>
      <c r="AG200" s="180"/>
      <c r="AH200" s="180"/>
    </row>
    <row r="201" spans="1:34" s="175" customFormat="1" ht="23.25" customHeight="1" x14ac:dyDescent="0.15">
      <c r="A201" s="27"/>
      <c r="B201" s="124"/>
      <c r="C201" s="246"/>
      <c r="D201" s="112"/>
      <c r="E201" s="286" t="s">
        <v>46</v>
      </c>
      <c r="F201" s="283"/>
      <c r="G201" s="284"/>
      <c r="H201" s="43" t="s">
        <v>91</v>
      </c>
      <c r="I201" s="109"/>
      <c r="J201" s="110"/>
      <c r="K201" s="10" t="str">
        <f t="shared" si="8"/>
        <v>-</v>
      </c>
      <c r="L201" s="66">
        <f t="shared" si="12"/>
        <v>0</v>
      </c>
      <c r="M201" s="129"/>
      <c r="N201" s="255"/>
      <c r="O201" s="256"/>
      <c r="P201" s="256"/>
      <c r="Q201" s="257"/>
      <c r="R201" s="7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  <c r="AC201" s="180">
        <v>1</v>
      </c>
      <c r="AD201" s="180"/>
      <c r="AE201" s="180"/>
      <c r="AF201" s="180"/>
      <c r="AG201" s="180"/>
      <c r="AH201" s="180"/>
    </row>
    <row r="202" spans="1:34" s="175" customFormat="1" ht="23.25" customHeight="1" x14ac:dyDescent="0.15">
      <c r="A202" s="27"/>
      <c r="B202" s="124"/>
      <c r="C202" s="246"/>
      <c r="D202" s="112"/>
      <c r="E202" s="287" t="s">
        <v>100</v>
      </c>
      <c r="F202" s="292"/>
      <c r="G202" s="293"/>
      <c r="H202" s="43" t="s">
        <v>91</v>
      </c>
      <c r="I202" s="109"/>
      <c r="J202" s="110"/>
      <c r="K202" s="10" t="str">
        <f t="shared" si="8"/>
        <v>-</v>
      </c>
      <c r="L202" s="66">
        <f t="shared" ref="L202:L268" si="13">IFERROR(J202-I202,"-")</f>
        <v>0</v>
      </c>
      <c r="M202" s="129"/>
      <c r="N202" s="190"/>
      <c r="O202" s="191"/>
      <c r="P202" s="191"/>
      <c r="Q202" s="192"/>
      <c r="R202" s="7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  <c r="AC202" s="181"/>
      <c r="AD202" s="180"/>
      <c r="AE202" s="180"/>
      <c r="AF202" s="180"/>
      <c r="AG202" s="180"/>
      <c r="AH202" s="180"/>
    </row>
    <row r="203" spans="1:34" s="175" customFormat="1" ht="23.25" customHeight="1" x14ac:dyDescent="0.15">
      <c r="A203" s="27"/>
      <c r="B203" s="124"/>
      <c r="C203" s="246"/>
      <c r="D203" s="112"/>
      <c r="E203" s="170"/>
      <c r="F203" s="286" t="s">
        <v>101</v>
      </c>
      <c r="G203" s="284"/>
      <c r="H203" s="43" t="s">
        <v>91</v>
      </c>
      <c r="I203" s="109"/>
      <c r="J203" s="110"/>
      <c r="K203" s="10" t="str">
        <f t="shared" si="8"/>
        <v>-</v>
      </c>
      <c r="L203" s="66">
        <f t="shared" si="13"/>
        <v>0</v>
      </c>
      <c r="M203" s="129"/>
      <c r="N203" s="255"/>
      <c r="O203" s="256"/>
      <c r="P203" s="256"/>
      <c r="Q203" s="257"/>
      <c r="R203" s="7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  <c r="AC203" s="180">
        <v>1</v>
      </c>
      <c r="AD203" s="180"/>
      <c r="AE203" s="180"/>
      <c r="AF203" s="180"/>
      <c r="AG203" s="180"/>
      <c r="AH203" s="180"/>
    </row>
    <row r="204" spans="1:34" s="175" customFormat="1" ht="23.25" customHeight="1" x14ac:dyDescent="0.15">
      <c r="A204" s="27"/>
      <c r="B204" s="124"/>
      <c r="C204" s="246"/>
      <c r="D204" s="113"/>
      <c r="E204" s="171"/>
      <c r="F204" s="286" t="s">
        <v>102</v>
      </c>
      <c r="G204" s="284"/>
      <c r="H204" s="43" t="s">
        <v>91</v>
      </c>
      <c r="I204" s="109"/>
      <c r="J204" s="110"/>
      <c r="K204" s="10" t="str">
        <f t="shared" si="8"/>
        <v>-</v>
      </c>
      <c r="L204" s="66">
        <f t="shared" si="13"/>
        <v>0</v>
      </c>
      <c r="M204" s="129"/>
      <c r="N204" s="190"/>
      <c r="O204" s="191"/>
      <c r="P204" s="191"/>
      <c r="Q204" s="192"/>
      <c r="R204" s="7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  <c r="AC204" s="180">
        <v>1</v>
      </c>
      <c r="AD204" s="180"/>
      <c r="AE204" s="180"/>
      <c r="AF204" s="180"/>
      <c r="AG204" s="180"/>
      <c r="AH204" s="180"/>
    </row>
    <row r="205" spans="1:34" s="175" customFormat="1" ht="23.25" customHeight="1" x14ac:dyDescent="0.15">
      <c r="A205" s="27"/>
      <c r="B205" s="124"/>
      <c r="C205" s="246"/>
      <c r="D205" s="285" t="s">
        <v>103</v>
      </c>
      <c r="E205" s="248"/>
      <c r="F205" s="248"/>
      <c r="G205" s="288"/>
      <c r="H205" s="43" t="s">
        <v>91</v>
      </c>
      <c r="I205" s="109"/>
      <c r="J205" s="110"/>
      <c r="K205" s="10" t="str">
        <f t="shared" si="8"/>
        <v>-</v>
      </c>
      <c r="L205" s="66">
        <f t="shared" si="13"/>
        <v>0</v>
      </c>
      <c r="M205" s="129"/>
      <c r="N205" s="255"/>
      <c r="O205" s="256"/>
      <c r="P205" s="256"/>
      <c r="Q205" s="257"/>
      <c r="R205" s="7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  <c r="AC205" s="180">
        <v>1</v>
      </c>
      <c r="AD205" s="180"/>
      <c r="AE205" s="180"/>
      <c r="AF205" s="180"/>
      <c r="AG205" s="180"/>
      <c r="AH205" s="180"/>
    </row>
    <row r="206" spans="1:34" s="175" customFormat="1" ht="23.25" customHeight="1" x14ac:dyDescent="0.15">
      <c r="A206" s="27"/>
      <c r="B206" s="124"/>
      <c r="C206" s="246"/>
      <c r="D206" s="112"/>
      <c r="E206" s="286" t="s">
        <v>46</v>
      </c>
      <c r="F206" s="283"/>
      <c r="G206" s="284"/>
      <c r="H206" s="43" t="s">
        <v>91</v>
      </c>
      <c r="I206" s="109"/>
      <c r="J206" s="110"/>
      <c r="K206" s="10" t="str">
        <f t="shared" si="8"/>
        <v>-</v>
      </c>
      <c r="L206" s="66">
        <f t="shared" si="13"/>
        <v>0</v>
      </c>
      <c r="M206" s="129"/>
      <c r="N206" s="190"/>
      <c r="O206" s="191"/>
      <c r="P206" s="191"/>
      <c r="Q206" s="192"/>
      <c r="R206" s="7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  <c r="AC206" s="180">
        <v>1</v>
      </c>
      <c r="AD206" s="180"/>
      <c r="AE206" s="180"/>
      <c r="AF206" s="180"/>
      <c r="AG206" s="180"/>
      <c r="AH206" s="180"/>
    </row>
    <row r="207" spans="1:34" s="175" customFormat="1" ht="23.25" customHeight="1" x14ac:dyDescent="0.15">
      <c r="A207" s="27"/>
      <c r="B207" s="124"/>
      <c r="C207" s="246"/>
      <c r="D207" s="112"/>
      <c r="E207" s="287" t="s">
        <v>104</v>
      </c>
      <c r="F207" s="283"/>
      <c r="G207" s="284"/>
      <c r="H207" s="58" t="s">
        <v>91</v>
      </c>
      <c r="I207" s="109"/>
      <c r="J207" s="108"/>
      <c r="K207" s="16" t="str">
        <f t="shared" si="8"/>
        <v>-</v>
      </c>
      <c r="L207" s="65">
        <f t="shared" si="13"/>
        <v>0</v>
      </c>
      <c r="M207" s="131"/>
      <c r="N207" s="190"/>
      <c r="O207" s="191"/>
      <c r="P207" s="191"/>
      <c r="Q207" s="192"/>
      <c r="R207" s="7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  <c r="AC207" s="181"/>
      <c r="AD207" s="180"/>
      <c r="AE207" s="180"/>
      <c r="AF207" s="180"/>
      <c r="AG207" s="180"/>
      <c r="AH207" s="180"/>
    </row>
    <row r="208" spans="1:34" s="175" customFormat="1" ht="23.25" customHeight="1" x14ac:dyDescent="0.15">
      <c r="A208" s="27"/>
      <c r="B208" s="124"/>
      <c r="C208" s="246"/>
      <c r="D208" s="112"/>
      <c r="E208" s="172"/>
      <c r="F208" s="283" t="s">
        <v>105</v>
      </c>
      <c r="G208" s="284"/>
      <c r="H208" s="58" t="s">
        <v>91</v>
      </c>
      <c r="I208" s="107"/>
      <c r="J208" s="108"/>
      <c r="K208" s="16" t="str">
        <f t="shared" si="8"/>
        <v>-</v>
      </c>
      <c r="L208" s="65">
        <f t="shared" si="13"/>
        <v>0</v>
      </c>
      <c r="M208" s="131"/>
      <c r="N208" s="190"/>
      <c r="O208" s="191"/>
      <c r="P208" s="191"/>
      <c r="Q208" s="192"/>
      <c r="R208" s="7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  <c r="AC208" s="180">
        <v>1</v>
      </c>
      <c r="AD208" s="180"/>
      <c r="AE208" s="180"/>
      <c r="AF208" s="180"/>
      <c r="AG208" s="180"/>
      <c r="AH208" s="180"/>
    </row>
    <row r="209" spans="1:34" s="175" customFormat="1" ht="23.25" customHeight="1" x14ac:dyDescent="0.15">
      <c r="A209" s="27"/>
      <c r="B209" s="124"/>
      <c r="C209" s="246"/>
      <c r="D209" s="113"/>
      <c r="E209" s="171"/>
      <c r="F209" s="283" t="s">
        <v>106</v>
      </c>
      <c r="G209" s="284"/>
      <c r="H209" s="54" t="s">
        <v>91</v>
      </c>
      <c r="I209" s="114"/>
      <c r="J209" s="115"/>
      <c r="K209" s="12" t="str">
        <f t="shared" si="8"/>
        <v>-</v>
      </c>
      <c r="L209" s="67">
        <f t="shared" si="13"/>
        <v>0</v>
      </c>
      <c r="M209" s="130"/>
      <c r="N209" s="190"/>
      <c r="O209" s="191"/>
      <c r="P209" s="191"/>
      <c r="Q209" s="192"/>
      <c r="R209" s="7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  <c r="AC209" s="180">
        <v>1</v>
      </c>
      <c r="AD209" s="180"/>
      <c r="AE209" s="180"/>
      <c r="AF209" s="180"/>
      <c r="AG209" s="180"/>
      <c r="AH209" s="180"/>
    </row>
    <row r="210" spans="1:34" s="175" customFormat="1" ht="23.25" customHeight="1" x14ac:dyDescent="0.15">
      <c r="A210" s="27"/>
      <c r="B210" s="124"/>
      <c r="C210" s="246"/>
      <c r="D210" s="285" t="s">
        <v>107</v>
      </c>
      <c r="E210" s="237"/>
      <c r="F210" s="237"/>
      <c r="G210" s="238"/>
      <c r="H210" s="43" t="s">
        <v>82</v>
      </c>
      <c r="I210" s="8"/>
      <c r="J210" s="9"/>
      <c r="K210" s="10" t="str">
        <f t="shared" si="8"/>
        <v>-</v>
      </c>
      <c r="L210" s="141">
        <f t="shared" si="13"/>
        <v>0</v>
      </c>
      <c r="M210" s="129"/>
      <c r="N210" s="269"/>
      <c r="O210" s="270"/>
      <c r="P210" s="270"/>
      <c r="Q210" s="271"/>
      <c r="R210" s="7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  <c r="AC210" s="180">
        <v>1</v>
      </c>
      <c r="AD210" s="180"/>
      <c r="AE210" s="180"/>
      <c r="AF210" s="180"/>
      <c r="AG210" s="180"/>
      <c r="AH210" s="180"/>
    </row>
    <row r="211" spans="1:34" s="175" customFormat="1" ht="23.25" customHeight="1" x14ac:dyDescent="0.15">
      <c r="A211" s="27"/>
      <c r="B211" s="124"/>
      <c r="C211" s="246"/>
      <c r="D211" s="168"/>
      <c r="E211" s="278" t="s">
        <v>46</v>
      </c>
      <c r="F211" s="237"/>
      <c r="G211" s="238"/>
      <c r="H211" s="43" t="s">
        <v>82</v>
      </c>
      <c r="I211" s="8"/>
      <c r="J211" s="9"/>
      <c r="K211" s="10" t="str">
        <f t="shared" ref="K211:K213" si="14">IFERROR(J211/I211*100-100,"-")</f>
        <v>-</v>
      </c>
      <c r="L211" s="141">
        <f t="shared" ref="L211:L213" si="15">IFERROR(J211-I211,"-")</f>
        <v>0</v>
      </c>
      <c r="M211" s="129"/>
      <c r="N211" s="269"/>
      <c r="O211" s="270"/>
      <c r="P211" s="270"/>
      <c r="Q211" s="271"/>
      <c r="R211" s="7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  <c r="AC211" s="180">
        <v>1</v>
      </c>
      <c r="AD211" s="180"/>
      <c r="AE211" s="180"/>
      <c r="AF211" s="180"/>
      <c r="AG211" s="180"/>
      <c r="AH211" s="180"/>
    </row>
    <row r="212" spans="1:34" s="175" customFormat="1" ht="23.25" customHeight="1" x14ac:dyDescent="0.15">
      <c r="A212" s="27"/>
      <c r="B212" s="124"/>
      <c r="C212" s="246"/>
      <c r="D212" s="168"/>
      <c r="E212" s="278" t="s">
        <v>101</v>
      </c>
      <c r="F212" s="237"/>
      <c r="G212" s="238"/>
      <c r="H212" s="43" t="s">
        <v>82</v>
      </c>
      <c r="I212" s="8"/>
      <c r="J212" s="9"/>
      <c r="K212" s="10" t="str">
        <f t="shared" si="14"/>
        <v>-</v>
      </c>
      <c r="L212" s="141">
        <f t="shared" si="15"/>
        <v>0</v>
      </c>
      <c r="M212" s="129"/>
      <c r="N212" s="269"/>
      <c r="O212" s="270"/>
      <c r="P212" s="270"/>
      <c r="Q212" s="271"/>
      <c r="R212" s="7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  <c r="AC212" s="180">
        <v>1</v>
      </c>
      <c r="AD212" s="180"/>
      <c r="AE212" s="180"/>
      <c r="AF212" s="180"/>
      <c r="AG212" s="180"/>
      <c r="AH212" s="180"/>
    </row>
    <row r="213" spans="1:34" s="175" customFormat="1" ht="23.25" customHeight="1" x14ac:dyDescent="0.15">
      <c r="A213" s="27"/>
      <c r="B213" s="124"/>
      <c r="C213" s="246"/>
      <c r="D213" s="169"/>
      <c r="E213" s="278" t="s">
        <v>282</v>
      </c>
      <c r="F213" s="237"/>
      <c r="G213" s="238"/>
      <c r="H213" s="43" t="s">
        <v>82</v>
      </c>
      <c r="I213" s="8"/>
      <c r="J213" s="9"/>
      <c r="K213" s="10" t="str">
        <f t="shared" si="14"/>
        <v>-</v>
      </c>
      <c r="L213" s="141">
        <f t="shared" si="15"/>
        <v>0</v>
      </c>
      <c r="M213" s="129"/>
      <c r="N213" s="269"/>
      <c r="O213" s="270"/>
      <c r="P213" s="270"/>
      <c r="Q213" s="271"/>
      <c r="R213" s="7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  <c r="AC213" s="180">
        <v>1</v>
      </c>
      <c r="AD213" s="180"/>
      <c r="AE213" s="180"/>
      <c r="AF213" s="180"/>
      <c r="AG213" s="180"/>
      <c r="AH213" s="180"/>
    </row>
    <row r="214" spans="1:34" s="175" customFormat="1" ht="23.25" customHeight="1" x14ac:dyDescent="0.15">
      <c r="A214" s="27"/>
      <c r="B214" s="124"/>
      <c r="C214" s="246"/>
      <c r="D214" s="281" t="s">
        <v>291</v>
      </c>
      <c r="E214" s="282"/>
      <c r="F214" s="282"/>
      <c r="G214" s="280"/>
      <c r="H214" s="43" t="s">
        <v>91</v>
      </c>
      <c r="I214" s="109"/>
      <c r="J214" s="110"/>
      <c r="K214" s="10" t="str">
        <f t="shared" si="8"/>
        <v>-</v>
      </c>
      <c r="L214" s="66">
        <f t="shared" si="13"/>
        <v>0</v>
      </c>
      <c r="M214" s="129"/>
      <c r="N214" s="190"/>
      <c r="O214" s="191"/>
      <c r="P214" s="191"/>
      <c r="Q214" s="192"/>
      <c r="R214" s="7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  <c r="AC214" s="180"/>
      <c r="AD214" s="180">
        <v>1</v>
      </c>
      <c r="AE214" s="180"/>
      <c r="AF214" s="180"/>
      <c r="AG214" s="180"/>
      <c r="AH214" s="180"/>
    </row>
    <row r="215" spans="1:34" s="175" customFormat="1" ht="23.25" customHeight="1" x14ac:dyDescent="0.15">
      <c r="A215" s="27"/>
      <c r="B215" s="124"/>
      <c r="C215" s="246"/>
      <c r="D215" s="281" t="s">
        <v>108</v>
      </c>
      <c r="E215" s="282"/>
      <c r="F215" s="282"/>
      <c r="G215" s="280"/>
      <c r="H215" s="43" t="s">
        <v>91</v>
      </c>
      <c r="I215" s="109"/>
      <c r="J215" s="110"/>
      <c r="K215" s="10" t="str">
        <f t="shared" si="8"/>
        <v>-</v>
      </c>
      <c r="L215" s="66">
        <f t="shared" si="13"/>
        <v>0</v>
      </c>
      <c r="M215" s="129"/>
      <c r="N215" s="255"/>
      <c r="O215" s="256"/>
      <c r="P215" s="256"/>
      <c r="Q215" s="257"/>
      <c r="R215" s="7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  <c r="AC215" s="180"/>
      <c r="AD215" s="180">
        <v>1</v>
      </c>
      <c r="AE215" s="180"/>
      <c r="AF215" s="180"/>
      <c r="AG215" s="180"/>
      <c r="AH215" s="180"/>
    </row>
    <row r="216" spans="1:34" s="175" customFormat="1" ht="23.25" customHeight="1" x14ac:dyDescent="0.15">
      <c r="A216" s="27"/>
      <c r="B216" s="124"/>
      <c r="C216" s="246"/>
      <c r="D216" s="236" t="s">
        <v>109</v>
      </c>
      <c r="E216" s="237"/>
      <c r="F216" s="237"/>
      <c r="G216" s="238"/>
      <c r="H216" s="43" t="s">
        <v>91</v>
      </c>
      <c r="I216" s="109"/>
      <c r="J216" s="110"/>
      <c r="K216" s="10" t="str">
        <f t="shared" si="8"/>
        <v>-</v>
      </c>
      <c r="L216" s="66">
        <f t="shared" si="13"/>
        <v>0</v>
      </c>
      <c r="M216" s="129"/>
      <c r="N216" s="255"/>
      <c r="O216" s="256"/>
      <c r="P216" s="256"/>
      <c r="Q216" s="257"/>
      <c r="R216" s="7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  <c r="AC216" s="180"/>
      <c r="AD216" s="180">
        <v>1</v>
      </c>
      <c r="AE216" s="180"/>
      <c r="AF216" s="180"/>
      <c r="AG216" s="180"/>
      <c r="AH216" s="180"/>
    </row>
    <row r="217" spans="1:34" s="175" customFormat="1" ht="23.25" customHeight="1" x14ac:dyDescent="0.15">
      <c r="A217" s="27"/>
      <c r="B217" s="124"/>
      <c r="C217" s="246"/>
      <c r="D217" s="236" t="s">
        <v>110</v>
      </c>
      <c r="E217" s="237"/>
      <c r="F217" s="237"/>
      <c r="G217" s="238"/>
      <c r="H217" s="43" t="s">
        <v>91</v>
      </c>
      <c r="I217" s="107"/>
      <c r="J217" s="108"/>
      <c r="K217" s="10" t="str">
        <f t="shared" si="8"/>
        <v>-</v>
      </c>
      <c r="L217" s="66">
        <f t="shared" si="13"/>
        <v>0</v>
      </c>
      <c r="M217" s="129"/>
      <c r="N217" s="190"/>
      <c r="O217" s="191"/>
      <c r="P217" s="191"/>
      <c r="Q217" s="192"/>
      <c r="R217" s="7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  <c r="AC217" s="180"/>
      <c r="AD217" s="180">
        <v>1</v>
      </c>
      <c r="AE217" s="180"/>
      <c r="AF217" s="180"/>
      <c r="AG217" s="180"/>
      <c r="AH217" s="180"/>
    </row>
    <row r="218" spans="1:34" s="175" customFormat="1" ht="23.25" customHeight="1" x14ac:dyDescent="0.15">
      <c r="A218" s="27"/>
      <c r="B218" s="124"/>
      <c r="C218" s="246"/>
      <c r="D218" s="236" t="s">
        <v>111</v>
      </c>
      <c r="E218" s="237"/>
      <c r="F218" s="237"/>
      <c r="G218" s="238"/>
      <c r="H218" s="43" t="s">
        <v>82</v>
      </c>
      <c r="I218" s="8"/>
      <c r="J218" s="9"/>
      <c r="K218" s="10" t="str">
        <f t="shared" si="8"/>
        <v>-</v>
      </c>
      <c r="L218" s="141">
        <f t="shared" si="13"/>
        <v>0</v>
      </c>
      <c r="M218" s="129"/>
      <c r="N218" s="269"/>
      <c r="O218" s="270"/>
      <c r="P218" s="270"/>
      <c r="Q218" s="271"/>
      <c r="R218" s="7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  <c r="AC218" s="180"/>
      <c r="AD218" s="180">
        <v>1</v>
      </c>
      <c r="AE218" s="180"/>
      <c r="AF218" s="180"/>
      <c r="AG218" s="180"/>
      <c r="AH218" s="180"/>
    </row>
    <row r="219" spans="1:34" s="175" customFormat="1" ht="23.25" customHeight="1" x14ac:dyDescent="0.15">
      <c r="A219" s="27"/>
      <c r="B219" s="124"/>
      <c r="C219" s="246"/>
      <c r="D219" s="272" t="s">
        <v>112</v>
      </c>
      <c r="E219" s="273"/>
      <c r="F219" s="253" t="s">
        <v>113</v>
      </c>
      <c r="G219" s="254"/>
      <c r="H219" s="43" t="s">
        <v>114</v>
      </c>
      <c r="I219" s="8"/>
      <c r="J219" s="9"/>
      <c r="K219" s="10" t="str">
        <f t="shared" si="8"/>
        <v>-</v>
      </c>
      <c r="L219" s="141">
        <f t="shared" si="13"/>
        <v>0</v>
      </c>
      <c r="M219" s="129"/>
      <c r="N219" s="255"/>
      <c r="O219" s="256"/>
      <c r="P219" s="256"/>
      <c r="Q219" s="257"/>
      <c r="R219" s="7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180">
        <v>1</v>
      </c>
      <c r="AF219" s="180"/>
      <c r="AG219" s="180"/>
      <c r="AH219" s="180"/>
    </row>
    <row r="220" spans="1:34" s="175" customFormat="1" ht="23.25" customHeight="1" x14ac:dyDescent="0.15">
      <c r="A220" s="27"/>
      <c r="B220" s="124"/>
      <c r="C220" s="246"/>
      <c r="D220" s="274"/>
      <c r="E220" s="275"/>
      <c r="F220" s="278" t="s">
        <v>115</v>
      </c>
      <c r="G220" s="238"/>
      <c r="H220" s="43" t="s">
        <v>81</v>
      </c>
      <c r="I220" s="8"/>
      <c r="J220" s="9"/>
      <c r="K220" s="10" t="str">
        <f t="shared" si="8"/>
        <v>-</v>
      </c>
      <c r="L220" s="141">
        <f t="shared" si="13"/>
        <v>0</v>
      </c>
      <c r="M220" s="129"/>
      <c r="N220" s="255"/>
      <c r="O220" s="256"/>
      <c r="P220" s="256"/>
      <c r="Q220" s="257"/>
      <c r="R220" s="7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180"/>
      <c r="AD220" s="180"/>
      <c r="AE220" s="180">
        <v>1</v>
      </c>
      <c r="AF220" s="180"/>
      <c r="AG220" s="180"/>
      <c r="AH220" s="180"/>
    </row>
    <row r="221" spans="1:34" s="175" customFormat="1" ht="23.25" customHeight="1" x14ac:dyDescent="0.15">
      <c r="A221" s="27"/>
      <c r="B221" s="124"/>
      <c r="C221" s="246"/>
      <c r="D221" s="276"/>
      <c r="E221" s="277"/>
      <c r="F221" s="279" t="s">
        <v>116</v>
      </c>
      <c r="G221" s="280"/>
      <c r="H221" s="43" t="s">
        <v>82</v>
      </c>
      <c r="I221" s="8"/>
      <c r="J221" s="9"/>
      <c r="K221" s="10" t="str">
        <f t="shared" si="8"/>
        <v>-</v>
      </c>
      <c r="L221" s="141">
        <f t="shared" si="13"/>
        <v>0</v>
      </c>
      <c r="M221" s="129"/>
      <c r="N221" s="269"/>
      <c r="O221" s="270"/>
      <c r="P221" s="270"/>
      <c r="Q221" s="271"/>
      <c r="R221" s="7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  <c r="AC221" s="180"/>
      <c r="AD221" s="180"/>
      <c r="AE221" s="180">
        <v>1</v>
      </c>
      <c r="AF221" s="180"/>
      <c r="AG221" s="180"/>
      <c r="AH221" s="180"/>
    </row>
    <row r="222" spans="1:34" s="175" customFormat="1" ht="23.25" customHeight="1" x14ac:dyDescent="0.15">
      <c r="A222" s="27"/>
      <c r="B222" s="124"/>
      <c r="C222" s="246"/>
      <c r="D222" s="249" t="s">
        <v>117</v>
      </c>
      <c r="E222" s="250"/>
      <c r="F222" s="253" t="s">
        <v>118</v>
      </c>
      <c r="G222" s="254"/>
      <c r="H222" s="43" t="s">
        <v>114</v>
      </c>
      <c r="I222" s="8"/>
      <c r="J222" s="9"/>
      <c r="K222" s="10" t="str">
        <f t="shared" si="8"/>
        <v>-</v>
      </c>
      <c r="L222" s="141">
        <f t="shared" si="13"/>
        <v>0</v>
      </c>
      <c r="M222" s="129"/>
      <c r="N222" s="255"/>
      <c r="O222" s="256"/>
      <c r="P222" s="256"/>
      <c r="Q222" s="257"/>
      <c r="R222" s="7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  <c r="AC222" s="180"/>
      <c r="AD222" s="180"/>
      <c r="AE222" s="180"/>
      <c r="AF222" s="180">
        <v>1</v>
      </c>
      <c r="AG222" s="180"/>
      <c r="AH222" s="180"/>
    </row>
    <row r="223" spans="1:34" s="175" customFormat="1" ht="23.25" customHeight="1" thickBot="1" x14ac:dyDescent="0.2">
      <c r="A223" s="27"/>
      <c r="B223" s="124"/>
      <c r="C223" s="247"/>
      <c r="D223" s="251"/>
      <c r="E223" s="252"/>
      <c r="F223" s="258" t="s">
        <v>119</v>
      </c>
      <c r="G223" s="259"/>
      <c r="H223" s="91" t="s">
        <v>82</v>
      </c>
      <c r="I223" s="92"/>
      <c r="J223" s="93"/>
      <c r="K223" s="94" t="str">
        <f t="shared" si="8"/>
        <v>-</v>
      </c>
      <c r="L223" s="148">
        <f t="shared" si="13"/>
        <v>0</v>
      </c>
      <c r="M223" s="136"/>
      <c r="N223" s="260"/>
      <c r="O223" s="261"/>
      <c r="P223" s="261"/>
      <c r="Q223" s="262"/>
      <c r="R223" s="7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  <c r="AC223" s="180"/>
      <c r="AD223" s="180"/>
      <c r="AE223" s="180"/>
      <c r="AF223" s="180">
        <v>1</v>
      </c>
      <c r="AG223" s="180"/>
      <c r="AH223" s="180"/>
    </row>
    <row r="224" spans="1:34" s="175" customFormat="1" ht="23.25" customHeight="1" x14ac:dyDescent="0.15">
      <c r="A224" s="27"/>
      <c r="B224" s="37"/>
      <c r="C224" s="246" t="s">
        <v>209</v>
      </c>
      <c r="D224" s="263" t="s">
        <v>210</v>
      </c>
      <c r="E224" s="264"/>
      <c r="F224" s="264"/>
      <c r="G224" s="265"/>
      <c r="H224" s="58" t="s">
        <v>20</v>
      </c>
      <c r="I224" s="14"/>
      <c r="J224" s="15"/>
      <c r="K224" s="16" t="str">
        <f t="shared" si="8"/>
        <v>-</v>
      </c>
      <c r="L224" s="143">
        <f t="shared" si="13"/>
        <v>0</v>
      </c>
      <c r="M224" s="131"/>
      <c r="N224" s="266"/>
      <c r="O224" s="267"/>
      <c r="P224" s="267"/>
      <c r="Q224" s="268"/>
      <c r="R224" s="7"/>
      <c r="S224" s="180">
        <v>1</v>
      </c>
      <c r="T224" s="180">
        <v>1</v>
      </c>
      <c r="U224" s="180">
        <v>1</v>
      </c>
      <c r="V224" s="180">
        <v>1</v>
      </c>
      <c r="W224" s="180">
        <v>1</v>
      </c>
      <c r="X224" s="180">
        <v>1</v>
      </c>
      <c r="Y224" s="180">
        <v>1</v>
      </c>
      <c r="Z224" s="180">
        <v>1</v>
      </c>
      <c r="AA224" s="180">
        <v>1</v>
      </c>
      <c r="AB224" s="180">
        <v>1</v>
      </c>
      <c r="AC224" s="180">
        <v>1</v>
      </c>
      <c r="AD224" s="180">
        <v>1</v>
      </c>
      <c r="AE224" s="180">
        <v>1</v>
      </c>
      <c r="AF224" s="180">
        <v>1</v>
      </c>
      <c r="AG224" s="180"/>
      <c r="AH224" s="180"/>
    </row>
    <row r="225" spans="1:34" s="175" customFormat="1" ht="23.25" customHeight="1" x14ac:dyDescent="0.15">
      <c r="A225" s="27"/>
      <c r="B225" s="37"/>
      <c r="C225" s="246"/>
      <c r="D225" s="105"/>
      <c r="E225" s="233" t="s">
        <v>211</v>
      </c>
      <c r="F225" s="234"/>
      <c r="G225" s="235"/>
      <c r="H225" s="43" t="s">
        <v>20</v>
      </c>
      <c r="I225" s="8"/>
      <c r="J225" s="9"/>
      <c r="K225" s="10" t="str">
        <f t="shared" si="8"/>
        <v>-</v>
      </c>
      <c r="L225" s="141">
        <f t="shared" si="13"/>
        <v>0</v>
      </c>
      <c r="M225" s="129"/>
      <c r="N225" s="190"/>
      <c r="O225" s="191"/>
      <c r="P225" s="191"/>
      <c r="Q225" s="192"/>
      <c r="R225" s="7"/>
      <c r="S225" s="180">
        <v>1</v>
      </c>
      <c r="T225" s="180">
        <v>1</v>
      </c>
      <c r="U225" s="180">
        <v>1</v>
      </c>
      <c r="V225" s="180">
        <v>1</v>
      </c>
      <c r="W225" s="180">
        <v>1</v>
      </c>
      <c r="X225" s="180">
        <v>1</v>
      </c>
      <c r="Y225" s="180">
        <v>1</v>
      </c>
      <c r="Z225" s="180">
        <v>1</v>
      </c>
      <c r="AA225" s="180">
        <v>1</v>
      </c>
      <c r="AB225" s="180">
        <v>1</v>
      </c>
      <c r="AC225" s="180">
        <v>1</v>
      </c>
      <c r="AD225" s="180">
        <v>1</v>
      </c>
      <c r="AE225" s="180">
        <v>1</v>
      </c>
      <c r="AF225" s="180">
        <v>1</v>
      </c>
      <c r="AG225" s="180"/>
      <c r="AH225" s="180"/>
    </row>
    <row r="226" spans="1:34" s="175" customFormat="1" ht="23.25" customHeight="1" x14ac:dyDescent="0.15">
      <c r="A226" s="27"/>
      <c r="B226" s="37"/>
      <c r="C226" s="246"/>
      <c r="D226" s="106"/>
      <c r="E226" s="233" t="s">
        <v>212</v>
      </c>
      <c r="F226" s="234"/>
      <c r="G226" s="235"/>
      <c r="H226" s="43" t="s">
        <v>20</v>
      </c>
      <c r="I226" s="8"/>
      <c r="J226" s="9"/>
      <c r="K226" s="10" t="str">
        <f t="shared" si="8"/>
        <v>-</v>
      </c>
      <c r="L226" s="141">
        <f t="shared" si="13"/>
        <v>0</v>
      </c>
      <c r="M226" s="129"/>
      <c r="N226" s="190"/>
      <c r="O226" s="191"/>
      <c r="P226" s="191"/>
      <c r="Q226" s="192"/>
      <c r="R226" s="7"/>
      <c r="S226" s="180">
        <v>1</v>
      </c>
      <c r="T226" s="180">
        <v>1</v>
      </c>
      <c r="U226" s="180">
        <v>1</v>
      </c>
      <c r="V226" s="180">
        <v>1</v>
      </c>
      <c r="W226" s="180">
        <v>1</v>
      </c>
      <c r="X226" s="180">
        <v>1</v>
      </c>
      <c r="Y226" s="180">
        <v>1</v>
      </c>
      <c r="Z226" s="180">
        <v>1</v>
      </c>
      <c r="AA226" s="180">
        <v>1</v>
      </c>
      <c r="AB226" s="180">
        <v>1</v>
      </c>
      <c r="AC226" s="180">
        <v>1</v>
      </c>
      <c r="AD226" s="180">
        <v>1</v>
      </c>
      <c r="AE226" s="180">
        <v>1</v>
      </c>
      <c r="AF226" s="180">
        <v>1</v>
      </c>
      <c r="AG226" s="180"/>
      <c r="AH226" s="180"/>
    </row>
    <row r="227" spans="1:34" ht="23.25" customHeight="1" x14ac:dyDescent="0.15">
      <c r="B227" s="37"/>
      <c r="C227" s="246"/>
      <c r="D227" s="248" t="s">
        <v>213</v>
      </c>
      <c r="E227" s="237"/>
      <c r="F227" s="237"/>
      <c r="G227" s="238"/>
      <c r="H227" s="43" t="s">
        <v>20</v>
      </c>
      <c r="I227" s="8"/>
      <c r="J227" s="9"/>
      <c r="K227" s="10" t="str">
        <f t="shared" si="8"/>
        <v>-</v>
      </c>
      <c r="L227" s="141">
        <f t="shared" si="13"/>
        <v>0</v>
      </c>
      <c r="M227" s="129"/>
      <c r="N227" s="190"/>
      <c r="O227" s="191"/>
      <c r="P227" s="191"/>
      <c r="Q227" s="192"/>
      <c r="R227" s="7"/>
      <c r="S227" s="180">
        <v>1</v>
      </c>
      <c r="T227" s="180">
        <v>1</v>
      </c>
      <c r="U227" s="180">
        <v>1</v>
      </c>
      <c r="V227" s="180">
        <v>1</v>
      </c>
      <c r="W227" s="180">
        <v>1</v>
      </c>
      <c r="X227" s="180">
        <v>1</v>
      </c>
      <c r="Y227" s="180">
        <v>1</v>
      </c>
      <c r="Z227" s="180">
        <v>1</v>
      </c>
      <c r="AA227" s="180">
        <v>1</v>
      </c>
      <c r="AB227" s="180">
        <v>1</v>
      </c>
      <c r="AC227" s="180">
        <v>1</v>
      </c>
      <c r="AD227" s="180">
        <v>1</v>
      </c>
      <c r="AE227" s="180">
        <v>1</v>
      </c>
      <c r="AF227" s="180">
        <v>1</v>
      </c>
      <c r="AG227" s="180"/>
      <c r="AH227" s="180"/>
    </row>
    <row r="228" spans="1:34" ht="23.25" customHeight="1" x14ac:dyDescent="0.15">
      <c r="B228" s="37"/>
      <c r="C228" s="246"/>
      <c r="D228" s="105"/>
      <c r="E228" s="233" t="s">
        <v>214</v>
      </c>
      <c r="F228" s="234"/>
      <c r="G228" s="235"/>
      <c r="H228" s="43" t="s">
        <v>20</v>
      </c>
      <c r="I228" s="8"/>
      <c r="J228" s="9"/>
      <c r="K228" s="10" t="str">
        <f t="shared" si="8"/>
        <v>-</v>
      </c>
      <c r="L228" s="141">
        <f t="shared" si="13"/>
        <v>0</v>
      </c>
      <c r="M228" s="129"/>
      <c r="N228" s="190"/>
      <c r="O228" s="191"/>
      <c r="P228" s="191"/>
      <c r="Q228" s="192"/>
      <c r="R228" s="7"/>
      <c r="S228" s="180">
        <v>1</v>
      </c>
      <c r="T228" s="180">
        <v>1</v>
      </c>
      <c r="U228" s="180">
        <v>1</v>
      </c>
      <c r="V228" s="180">
        <v>1</v>
      </c>
      <c r="W228" s="180">
        <v>1</v>
      </c>
      <c r="X228" s="180">
        <v>1</v>
      </c>
      <c r="Y228" s="180">
        <v>1</v>
      </c>
      <c r="Z228" s="180">
        <v>1</v>
      </c>
      <c r="AA228" s="180">
        <v>1</v>
      </c>
      <c r="AB228" s="180">
        <v>1</v>
      </c>
      <c r="AC228" s="180">
        <v>1</v>
      </c>
      <c r="AD228" s="180">
        <v>1</v>
      </c>
      <c r="AE228" s="180">
        <v>1</v>
      </c>
      <c r="AF228" s="180">
        <v>1</v>
      </c>
      <c r="AG228" s="180"/>
      <c r="AH228" s="180"/>
    </row>
    <row r="229" spans="1:34" ht="23.25" customHeight="1" x14ac:dyDescent="0.15">
      <c r="B229" s="37"/>
      <c r="C229" s="246"/>
      <c r="D229" s="106"/>
      <c r="E229" s="233" t="s">
        <v>215</v>
      </c>
      <c r="F229" s="234"/>
      <c r="G229" s="235"/>
      <c r="H229" s="43" t="s">
        <v>20</v>
      </c>
      <c r="I229" s="8"/>
      <c r="J229" s="9"/>
      <c r="K229" s="10" t="str">
        <f t="shared" si="8"/>
        <v>-</v>
      </c>
      <c r="L229" s="141">
        <f t="shared" si="13"/>
        <v>0</v>
      </c>
      <c r="M229" s="129"/>
      <c r="N229" s="190"/>
      <c r="O229" s="191"/>
      <c r="P229" s="191"/>
      <c r="Q229" s="192"/>
      <c r="R229" s="7"/>
      <c r="S229" s="180">
        <v>1</v>
      </c>
      <c r="T229" s="180">
        <v>1</v>
      </c>
      <c r="U229" s="180">
        <v>1</v>
      </c>
      <c r="V229" s="180">
        <v>1</v>
      </c>
      <c r="W229" s="180">
        <v>1</v>
      </c>
      <c r="X229" s="180">
        <v>1</v>
      </c>
      <c r="Y229" s="180">
        <v>1</v>
      </c>
      <c r="Z229" s="180">
        <v>1</v>
      </c>
      <c r="AA229" s="180">
        <v>1</v>
      </c>
      <c r="AB229" s="180">
        <v>1</v>
      </c>
      <c r="AC229" s="180">
        <v>1</v>
      </c>
      <c r="AD229" s="180">
        <v>1</v>
      </c>
      <c r="AE229" s="180">
        <v>1</v>
      </c>
      <c r="AF229" s="180">
        <v>1</v>
      </c>
      <c r="AG229" s="180"/>
      <c r="AH229" s="180"/>
    </row>
    <row r="230" spans="1:34" ht="23.25" customHeight="1" x14ac:dyDescent="0.15">
      <c r="B230" s="37"/>
      <c r="C230" s="246"/>
      <c r="D230" s="236" t="s">
        <v>216</v>
      </c>
      <c r="E230" s="237"/>
      <c r="F230" s="237"/>
      <c r="G230" s="238"/>
      <c r="H230" s="43" t="s">
        <v>20</v>
      </c>
      <c r="I230" s="8"/>
      <c r="J230" s="9"/>
      <c r="K230" s="10" t="str">
        <f t="shared" si="8"/>
        <v>-</v>
      </c>
      <c r="L230" s="141">
        <f t="shared" si="13"/>
        <v>0</v>
      </c>
      <c r="M230" s="129"/>
      <c r="N230" s="182"/>
      <c r="O230" s="183"/>
      <c r="P230" s="183"/>
      <c r="Q230" s="184"/>
      <c r="R230" s="7"/>
      <c r="S230" s="180">
        <v>1</v>
      </c>
      <c r="T230" s="180">
        <v>1</v>
      </c>
      <c r="U230" s="180">
        <v>1</v>
      </c>
      <c r="V230" s="180">
        <v>1</v>
      </c>
      <c r="W230" s="180">
        <v>1</v>
      </c>
      <c r="X230" s="180">
        <v>1</v>
      </c>
      <c r="Y230" s="180">
        <v>1</v>
      </c>
      <c r="Z230" s="180">
        <v>1</v>
      </c>
      <c r="AA230" s="180">
        <v>1</v>
      </c>
      <c r="AB230" s="180">
        <v>1</v>
      </c>
      <c r="AC230" s="180">
        <v>1</v>
      </c>
      <c r="AD230" s="180">
        <v>1</v>
      </c>
      <c r="AE230" s="180">
        <v>1</v>
      </c>
      <c r="AF230" s="180">
        <v>1</v>
      </c>
      <c r="AG230" s="180"/>
      <c r="AH230" s="180"/>
    </row>
    <row r="231" spans="1:34" ht="23.25" customHeight="1" thickBot="1" x14ac:dyDescent="0.2">
      <c r="B231" s="37"/>
      <c r="C231" s="247"/>
      <c r="D231" s="239" t="s">
        <v>217</v>
      </c>
      <c r="E231" s="239"/>
      <c r="F231" s="239"/>
      <c r="G231" s="240"/>
      <c r="H231" s="91" t="s">
        <v>20</v>
      </c>
      <c r="I231" s="92"/>
      <c r="J231" s="93"/>
      <c r="K231" s="94" t="str">
        <f t="shared" si="8"/>
        <v>-</v>
      </c>
      <c r="L231" s="148">
        <f t="shared" si="13"/>
        <v>0</v>
      </c>
      <c r="M231" s="136"/>
      <c r="N231" s="200"/>
      <c r="O231" s="201"/>
      <c r="P231" s="201"/>
      <c r="Q231" s="202"/>
      <c r="R231" s="7"/>
      <c r="S231" s="180">
        <v>1</v>
      </c>
      <c r="T231" s="180">
        <v>1</v>
      </c>
      <c r="U231" s="180">
        <v>1</v>
      </c>
      <c r="V231" s="180">
        <v>1</v>
      </c>
      <c r="W231" s="180">
        <v>1</v>
      </c>
      <c r="X231" s="180">
        <v>1</v>
      </c>
      <c r="Y231" s="180">
        <v>1</v>
      </c>
      <c r="Z231" s="180">
        <v>1</v>
      </c>
      <c r="AA231" s="180">
        <v>1</v>
      </c>
      <c r="AB231" s="180">
        <v>1</v>
      </c>
      <c r="AC231" s="180">
        <v>1</v>
      </c>
      <c r="AD231" s="180">
        <v>1</v>
      </c>
      <c r="AE231" s="180">
        <v>1</v>
      </c>
      <c r="AF231" s="180">
        <v>1</v>
      </c>
      <c r="AG231" s="180"/>
      <c r="AH231" s="180"/>
    </row>
    <row r="232" spans="1:34" ht="23.25" customHeight="1" x14ac:dyDescent="0.15">
      <c r="B232" s="125"/>
      <c r="C232" s="213" t="s">
        <v>218</v>
      </c>
      <c r="D232" s="241" t="s">
        <v>144</v>
      </c>
      <c r="E232" s="242"/>
      <c r="F232" s="242"/>
      <c r="G232" s="243"/>
      <c r="H232" s="95" t="s">
        <v>20</v>
      </c>
      <c r="I232" s="116"/>
      <c r="J232" s="117"/>
      <c r="K232" s="98" t="str">
        <f>IFERROR(J232/I232*100-100,"-")</f>
        <v>-</v>
      </c>
      <c r="L232" s="149">
        <f t="shared" si="13"/>
        <v>0</v>
      </c>
      <c r="M232" s="137"/>
      <c r="N232" s="207"/>
      <c r="O232" s="208"/>
      <c r="P232" s="208"/>
      <c r="Q232" s="209"/>
      <c r="R232" s="7"/>
      <c r="S232" s="180">
        <v>1</v>
      </c>
      <c r="T232" s="180">
        <v>1</v>
      </c>
      <c r="U232" s="180">
        <v>1</v>
      </c>
      <c r="V232" s="180">
        <v>1</v>
      </c>
      <c r="W232" s="180">
        <v>1</v>
      </c>
      <c r="X232" s="180">
        <v>1</v>
      </c>
      <c r="Y232" s="180">
        <v>1</v>
      </c>
      <c r="Z232" s="180">
        <v>1</v>
      </c>
      <c r="AA232" s="180">
        <v>1</v>
      </c>
      <c r="AB232" s="180">
        <v>1</v>
      </c>
      <c r="AC232" s="180">
        <v>1</v>
      </c>
      <c r="AD232" s="180">
        <v>1</v>
      </c>
      <c r="AE232" s="180">
        <v>1</v>
      </c>
      <c r="AF232" s="180">
        <v>1</v>
      </c>
      <c r="AG232" s="180"/>
      <c r="AH232" s="180"/>
    </row>
    <row r="233" spans="1:34" ht="23.25" customHeight="1" x14ac:dyDescent="0.15">
      <c r="B233" s="124"/>
      <c r="C233" s="214"/>
      <c r="D233" s="193" t="s">
        <v>124</v>
      </c>
      <c r="E233" s="244"/>
      <c r="F233" s="244"/>
      <c r="G233" s="245"/>
      <c r="H233" s="43" t="s">
        <v>82</v>
      </c>
      <c r="I233" s="8"/>
      <c r="J233" s="9"/>
      <c r="K233" s="10" t="str">
        <f>IFERROR(J233/I233*100-100,"-")</f>
        <v>-</v>
      </c>
      <c r="L233" s="141">
        <f t="shared" si="13"/>
        <v>0</v>
      </c>
      <c r="M233" s="129"/>
      <c r="N233" s="190"/>
      <c r="O233" s="191"/>
      <c r="P233" s="191"/>
      <c r="Q233" s="192"/>
      <c r="R233" s="7"/>
      <c r="S233" s="180">
        <v>1</v>
      </c>
      <c r="T233" s="180">
        <v>1</v>
      </c>
      <c r="U233" s="180">
        <v>1</v>
      </c>
      <c r="V233" s="180">
        <v>1</v>
      </c>
      <c r="W233" s="180">
        <v>1</v>
      </c>
      <c r="X233" s="180">
        <v>1</v>
      </c>
      <c r="Y233" s="180">
        <v>1</v>
      </c>
      <c r="Z233" s="180">
        <v>1</v>
      </c>
      <c r="AA233" s="180">
        <v>1</v>
      </c>
      <c r="AB233" s="180">
        <v>1</v>
      </c>
      <c r="AC233" s="180">
        <v>1</v>
      </c>
      <c r="AD233" s="180">
        <v>1</v>
      </c>
      <c r="AE233" s="180">
        <v>1</v>
      </c>
      <c r="AF233" s="180">
        <v>1</v>
      </c>
      <c r="AG233" s="180"/>
      <c r="AH233" s="180"/>
    </row>
    <row r="234" spans="1:34" ht="23.25" customHeight="1" thickBot="1" x14ac:dyDescent="0.2">
      <c r="B234" s="126"/>
      <c r="C234" s="215"/>
      <c r="D234" s="227" t="s">
        <v>145</v>
      </c>
      <c r="E234" s="228"/>
      <c r="F234" s="228"/>
      <c r="G234" s="229"/>
      <c r="H234" s="91" t="s">
        <v>292</v>
      </c>
      <c r="I234" s="92"/>
      <c r="J234" s="93"/>
      <c r="K234" s="94" t="str">
        <f>IFERROR(J234/I234*100-100,"-")</f>
        <v>-</v>
      </c>
      <c r="L234" s="148">
        <f t="shared" si="13"/>
        <v>0</v>
      </c>
      <c r="M234" s="136"/>
      <c r="N234" s="200"/>
      <c r="O234" s="201"/>
      <c r="P234" s="201"/>
      <c r="Q234" s="202"/>
      <c r="R234" s="7"/>
      <c r="S234" s="180">
        <v>1</v>
      </c>
      <c r="T234" s="180">
        <v>1</v>
      </c>
      <c r="U234" s="180">
        <v>1</v>
      </c>
      <c r="V234" s="180">
        <v>1</v>
      </c>
      <c r="W234" s="180">
        <v>1</v>
      </c>
      <c r="X234" s="180">
        <v>1</v>
      </c>
      <c r="Y234" s="180">
        <v>1</v>
      </c>
      <c r="Z234" s="180">
        <v>1</v>
      </c>
      <c r="AA234" s="180">
        <v>1</v>
      </c>
      <c r="AB234" s="180">
        <v>1</v>
      </c>
      <c r="AC234" s="180">
        <v>1</v>
      </c>
      <c r="AD234" s="180">
        <v>1</v>
      </c>
      <c r="AE234" s="180">
        <v>1</v>
      </c>
      <c r="AF234" s="180">
        <v>1</v>
      </c>
      <c r="AG234" s="180"/>
      <c r="AH234" s="180"/>
    </row>
    <row r="235" spans="1:34" ht="23.25" customHeight="1" x14ac:dyDescent="0.15">
      <c r="B235" s="125"/>
      <c r="C235" s="213" t="s">
        <v>125</v>
      </c>
      <c r="D235" s="216" t="s">
        <v>127</v>
      </c>
      <c r="E235" s="217"/>
      <c r="F235" s="217"/>
      <c r="G235" s="218"/>
      <c r="H235" s="95" t="s">
        <v>79</v>
      </c>
      <c r="I235" s="118"/>
      <c r="J235" s="119"/>
      <c r="K235" s="98" t="str">
        <f t="shared" ref="K235:K274" si="16">IFERROR(J235/I235*100-100,"-")</f>
        <v>-</v>
      </c>
      <c r="L235" s="99">
        <f t="shared" si="13"/>
        <v>0</v>
      </c>
      <c r="M235" s="137"/>
      <c r="N235" s="207"/>
      <c r="O235" s="208"/>
      <c r="P235" s="208"/>
      <c r="Q235" s="209"/>
      <c r="R235" s="7"/>
      <c r="S235" s="180"/>
      <c r="T235" s="180">
        <v>1</v>
      </c>
      <c r="U235" s="180"/>
      <c r="V235" s="180"/>
      <c r="W235" s="180"/>
      <c r="X235" s="180"/>
      <c r="Y235" s="180"/>
      <c r="Z235" s="180"/>
      <c r="AA235" s="180"/>
      <c r="AB235" s="180"/>
      <c r="AC235" s="180"/>
      <c r="AD235" s="180"/>
      <c r="AE235" s="180"/>
      <c r="AF235" s="180"/>
      <c r="AG235" s="180"/>
      <c r="AH235" s="180"/>
    </row>
    <row r="236" spans="1:34" ht="23.25" customHeight="1" x14ac:dyDescent="0.15">
      <c r="B236" s="125"/>
      <c r="C236" s="214"/>
      <c r="D236" s="193" t="s">
        <v>128</v>
      </c>
      <c r="E236" s="188"/>
      <c r="F236" s="188"/>
      <c r="G236" s="189"/>
      <c r="H236" s="43" t="s">
        <v>79</v>
      </c>
      <c r="I236" s="109"/>
      <c r="J236" s="110"/>
      <c r="K236" s="10" t="str">
        <f>IFERROR(J236/I236*100-100,"-")</f>
        <v>-</v>
      </c>
      <c r="L236" s="66">
        <f t="shared" si="13"/>
        <v>0</v>
      </c>
      <c r="M236" s="129"/>
      <c r="N236" s="190"/>
      <c r="O236" s="191"/>
      <c r="P236" s="191"/>
      <c r="Q236" s="192"/>
      <c r="R236" s="7"/>
      <c r="S236" s="180"/>
      <c r="T236" s="180">
        <v>1</v>
      </c>
      <c r="U236" s="180"/>
      <c r="V236" s="180"/>
      <c r="W236" s="180"/>
      <c r="X236" s="180"/>
      <c r="Y236" s="180"/>
      <c r="Z236" s="180"/>
      <c r="AA236" s="180"/>
      <c r="AB236" s="180"/>
      <c r="AC236" s="180"/>
      <c r="AD236" s="180"/>
      <c r="AE236" s="180"/>
      <c r="AF236" s="180"/>
      <c r="AG236" s="180"/>
      <c r="AH236" s="180"/>
    </row>
    <row r="237" spans="1:34" ht="23.25" customHeight="1" x14ac:dyDescent="0.15">
      <c r="B237" s="125"/>
      <c r="C237" s="214"/>
      <c r="D237" s="193" t="s">
        <v>129</v>
      </c>
      <c r="E237" s="188"/>
      <c r="F237" s="188"/>
      <c r="G237" s="189"/>
      <c r="H237" s="43" t="s">
        <v>79</v>
      </c>
      <c r="I237" s="109"/>
      <c r="J237" s="110"/>
      <c r="K237" s="10" t="str">
        <f t="shared" si="16"/>
        <v>-</v>
      </c>
      <c r="L237" s="66">
        <f t="shared" si="13"/>
        <v>0</v>
      </c>
      <c r="M237" s="129"/>
      <c r="N237" s="190"/>
      <c r="O237" s="191"/>
      <c r="P237" s="191"/>
      <c r="Q237" s="192"/>
      <c r="R237" s="7"/>
      <c r="S237" s="180"/>
      <c r="T237" s="180">
        <v>1</v>
      </c>
      <c r="U237" s="180"/>
      <c r="V237" s="180"/>
      <c r="W237" s="180"/>
      <c r="X237" s="180"/>
      <c r="Y237" s="180"/>
      <c r="Z237" s="180"/>
      <c r="AA237" s="180"/>
      <c r="AB237" s="180"/>
      <c r="AC237" s="180"/>
      <c r="AD237" s="180"/>
      <c r="AE237" s="180"/>
      <c r="AF237" s="180"/>
      <c r="AG237" s="180"/>
      <c r="AH237" s="180"/>
    </row>
    <row r="238" spans="1:34" ht="23.25" customHeight="1" x14ac:dyDescent="0.15">
      <c r="B238" s="125"/>
      <c r="C238" s="214"/>
      <c r="D238" s="193" t="s">
        <v>130</v>
      </c>
      <c r="E238" s="188"/>
      <c r="F238" s="188"/>
      <c r="G238" s="189"/>
      <c r="H238" s="43" t="s">
        <v>79</v>
      </c>
      <c r="I238" s="109"/>
      <c r="J238" s="110"/>
      <c r="K238" s="10" t="str">
        <f>IFERROR(J238/I238*100-100,"-")</f>
        <v>-</v>
      </c>
      <c r="L238" s="66">
        <f t="shared" si="13"/>
        <v>0</v>
      </c>
      <c r="M238" s="129"/>
      <c r="N238" s="182"/>
      <c r="O238" s="183"/>
      <c r="P238" s="183"/>
      <c r="Q238" s="184"/>
      <c r="R238" s="7"/>
      <c r="S238" s="180"/>
      <c r="T238" s="180">
        <v>1</v>
      </c>
      <c r="U238" s="180"/>
      <c r="V238" s="180"/>
      <c r="W238" s="180"/>
      <c r="X238" s="180"/>
      <c r="Y238" s="180"/>
      <c r="Z238" s="180"/>
      <c r="AA238" s="180"/>
      <c r="AB238" s="180"/>
      <c r="AC238" s="180"/>
      <c r="AD238" s="180"/>
      <c r="AE238" s="180"/>
      <c r="AF238" s="180"/>
      <c r="AG238" s="180"/>
      <c r="AH238" s="180"/>
    </row>
    <row r="239" spans="1:34" ht="23.25" customHeight="1" x14ac:dyDescent="0.15">
      <c r="B239" s="125"/>
      <c r="C239" s="214"/>
      <c r="D239" s="193" t="s">
        <v>219</v>
      </c>
      <c r="E239" s="188"/>
      <c r="F239" s="188"/>
      <c r="G239" s="189"/>
      <c r="H239" s="43" t="s">
        <v>79</v>
      </c>
      <c r="I239" s="109"/>
      <c r="J239" s="110"/>
      <c r="K239" s="10" t="str">
        <f>IFERROR(J239/I239*100-100,"-")</f>
        <v>-</v>
      </c>
      <c r="L239" s="66">
        <f t="shared" si="13"/>
        <v>0</v>
      </c>
      <c r="M239" s="129"/>
      <c r="N239" s="182"/>
      <c r="O239" s="183"/>
      <c r="P239" s="183"/>
      <c r="Q239" s="184"/>
      <c r="R239" s="7"/>
      <c r="S239" s="180"/>
      <c r="T239" s="180">
        <v>1</v>
      </c>
      <c r="U239" s="180"/>
      <c r="V239" s="180"/>
      <c r="W239" s="180"/>
      <c r="X239" s="180"/>
      <c r="Y239" s="180"/>
      <c r="Z239" s="180"/>
      <c r="AA239" s="180"/>
      <c r="AB239" s="180"/>
      <c r="AC239" s="180"/>
      <c r="AD239" s="180"/>
      <c r="AE239" s="180"/>
      <c r="AF239" s="180"/>
      <c r="AG239" s="180"/>
      <c r="AH239" s="180"/>
    </row>
    <row r="240" spans="1:34" ht="23.25" customHeight="1" x14ac:dyDescent="0.15">
      <c r="B240" s="125"/>
      <c r="C240" s="214"/>
      <c r="D240" s="193" t="s">
        <v>131</v>
      </c>
      <c r="E240" s="188"/>
      <c r="F240" s="188"/>
      <c r="G240" s="189"/>
      <c r="H240" s="43" t="s">
        <v>79</v>
      </c>
      <c r="I240" s="109"/>
      <c r="J240" s="110"/>
      <c r="K240" s="10" t="str">
        <f t="shared" si="16"/>
        <v>-</v>
      </c>
      <c r="L240" s="66">
        <f t="shared" si="13"/>
        <v>0</v>
      </c>
      <c r="M240" s="129"/>
      <c r="N240" s="190"/>
      <c r="O240" s="191"/>
      <c r="P240" s="191"/>
      <c r="Q240" s="192"/>
      <c r="R240" s="7"/>
      <c r="S240" s="180"/>
      <c r="T240" s="180"/>
      <c r="U240" s="180">
        <v>1</v>
      </c>
      <c r="V240" s="180"/>
      <c r="W240" s="180"/>
      <c r="X240" s="180"/>
      <c r="Y240" s="180"/>
      <c r="Z240" s="180"/>
      <c r="AA240" s="180"/>
      <c r="AB240" s="180"/>
      <c r="AC240" s="180"/>
      <c r="AD240" s="180"/>
      <c r="AE240" s="180"/>
      <c r="AF240" s="180"/>
      <c r="AG240" s="180"/>
      <c r="AH240" s="180"/>
    </row>
    <row r="241" spans="1:34" ht="23.25" customHeight="1" x14ac:dyDescent="0.15">
      <c r="B241" s="125"/>
      <c r="C241" s="214"/>
      <c r="D241" s="193" t="s">
        <v>133</v>
      </c>
      <c r="E241" s="188"/>
      <c r="F241" s="188"/>
      <c r="G241" s="189"/>
      <c r="H241" s="43" t="s">
        <v>79</v>
      </c>
      <c r="I241" s="109"/>
      <c r="J241" s="110"/>
      <c r="K241" s="10" t="str">
        <f t="shared" si="16"/>
        <v>-</v>
      </c>
      <c r="L241" s="66">
        <f t="shared" si="13"/>
        <v>0</v>
      </c>
      <c r="M241" s="129"/>
      <c r="N241" s="190"/>
      <c r="O241" s="191"/>
      <c r="P241" s="191"/>
      <c r="Q241" s="192"/>
      <c r="R241" s="7"/>
      <c r="S241" s="180"/>
      <c r="T241" s="180"/>
      <c r="U241" s="180">
        <v>1</v>
      </c>
      <c r="V241" s="180"/>
      <c r="W241" s="180"/>
      <c r="X241" s="180"/>
      <c r="Y241" s="180"/>
      <c r="Z241" s="180"/>
      <c r="AA241" s="180"/>
      <c r="AB241" s="180"/>
      <c r="AC241" s="180"/>
      <c r="AD241" s="180"/>
      <c r="AE241" s="180"/>
      <c r="AF241" s="180"/>
      <c r="AG241" s="180"/>
      <c r="AH241" s="180"/>
    </row>
    <row r="242" spans="1:34" ht="23.25" customHeight="1" x14ac:dyDescent="0.15">
      <c r="B242" s="125"/>
      <c r="C242" s="214"/>
      <c r="D242" s="193" t="s">
        <v>132</v>
      </c>
      <c r="E242" s="188"/>
      <c r="F242" s="188"/>
      <c r="G242" s="189"/>
      <c r="H242" s="43" t="s">
        <v>79</v>
      </c>
      <c r="I242" s="109"/>
      <c r="J242" s="110"/>
      <c r="K242" s="10" t="str">
        <f t="shared" si="16"/>
        <v>-</v>
      </c>
      <c r="L242" s="66">
        <f t="shared" si="13"/>
        <v>0</v>
      </c>
      <c r="M242" s="129"/>
      <c r="N242" s="190"/>
      <c r="O242" s="191"/>
      <c r="P242" s="191"/>
      <c r="Q242" s="192"/>
      <c r="R242" s="7"/>
      <c r="S242" s="180"/>
      <c r="T242" s="180"/>
      <c r="U242" s="180">
        <v>1</v>
      </c>
      <c r="V242" s="180"/>
      <c r="W242" s="180"/>
      <c r="X242" s="180"/>
      <c r="Y242" s="180"/>
      <c r="Z242" s="180"/>
      <c r="AA242" s="180"/>
      <c r="AB242" s="180"/>
      <c r="AC242" s="180"/>
      <c r="AD242" s="180"/>
      <c r="AE242" s="180"/>
      <c r="AF242" s="180"/>
      <c r="AG242" s="180"/>
      <c r="AH242" s="180"/>
    </row>
    <row r="243" spans="1:34" ht="23.25" customHeight="1" x14ac:dyDescent="0.15">
      <c r="B243" s="125"/>
      <c r="C243" s="214"/>
      <c r="D243" s="193" t="s">
        <v>134</v>
      </c>
      <c r="E243" s="188"/>
      <c r="F243" s="188"/>
      <c r="G243" s="189"/>
      <c r="H243" s="43" t="s">
        <v>79</v>
      </c>
      <c r="I243" s="109"/>
      <c r="J243" s="110"/>
      <c r="K243" s="10" t="str">
        <f t="shared" si="16"/>
        <v>-</v>
      </c>
      <c r="L243" s="66">
        <f t="shared" si="13"/>
        <v>0</v>
      </c>
      <c r="M243" s="129"/>
      <c r="N243" s="190"/>
      <c r="O243" s="191"/>
      <c r="P243" s="191"/>
      <c r="Q243" s="192"/>
      <c r="R243" s="7"/>
      <c r="S243" s="180"/>
      <c r="T243" s="180"/>
      <c r="U243" s="180">
        <v>1</v>
      </c>
      <c r="V243" s="180"/>
      <c r="W243" s="180"/>
      <c r="X243" s="180"/>
      <c r="Y243" s="180"/>
      <c r="Z243" s="180"/>
      <c r="AA243" s="180"/>
      <c r="AB243" s="180"/>
      <c r="AC243" s="180"/>
      <c r="AD243" s="180"/>
      <c r="AE243" s="180"/>
      <c r="AF243" s="180"/>
      <c r="AG243" s="180"/>
      <c r="AH243" s="180"/>
    </row>
    <row r="244" spans="1:34" ht="23.25" customHeight="1" x14ac:dyDescent="0.15">
      <c r="B244" s="125"/>
      <c r="C244" s="214"/>
      <c r="D244" s="193" t="s">
        <v>135</v>
      </c>
      <c r="E244" s="188"/>
      <c r="F244" s="188"/>
      <c r="G244" s="189"/>
      <c r="H244" s="43" t="s">
        <v>79</v>
      </c>
      <c r="I244" s="109"/>
      <c r="J244" s="110"/>
      <c r="K244" s="10" t="str">
        <f t="shared" si="16"/>
        <v>-</v>
      </c>
      <c r="L244" s="66">
        <f t="shared" si="13"/>
        <v>0</v>
      </c>
      <c r="M244" s="129"/>
      <c r="N244" s="190"/>
      <c r="O244" s="191"/>
      <c r="P244" s="191"/>
      <c r="Q244" s="192"/>
      <c r="R244" s="7"/>
      <c r="S244" s="180"/>
      <c r="T244" s="180"/>
      <c r="U244" s="180">
        <v>1</v>
      </c>
      <c r="V244" s="180"/>
      <c r="W244" s="180"/>
      <c r="X244" s="180"/>
      <c r="Y244" s="180"/>
      <c r="Z244" s="180"/>
      <c r="AA244" s="180"/>
      <c r="AB244" s="180"/>
      <c r="AC244" s="180"/>
      <c r="AD244" s="180"/>
      <c r="AE244" s="180"/>
      <c r="AF244" s="180"/>
      <c r="AG244" s="180"/>
      <c r="AH244" s="180"/>
    </row>
    <row r="245" spans="1:34" ht="23.25" customHeight="1" x14ac:dyDescent="0.15">
      <c r="B245" s="125"/>
      <c r="C245" s="214"/>
      <c r="D245" s="222" t="s">
        <v>139</v>
      </c>
      <c r="E245" s="223"/>
      <c r="F245" s="223"/>
      <c r="G245" s="224"/>
      <c r="H245" s="43" t="s">
        <v>94</v>
      </c>
      <c r="I245" s="8"/>
      <c r="J245" s="9"/>
      <c r="K245" s="10" t="str">
        <f t="shared" si="16"/>
        <v>-</v>
      </c>
      <c r="L245" s="141">
        <f t="shared" si="13"/>
        <v>0</v>
      </c>
      <c r="M245" s="129"/>
      <c r="N245" s="190"/>
      <c r="O245" s="191"/>
      <c r="P245" s="191"/>
      <c r="Q245" s="192"/>
      <c r="R245" s="7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  <c r="AC245" s="180"/>
      <c r="AD245" s="180"/>
      <c r="AE245" s="180"/>
      <c r="AF245" s="180"/>
      <c r="AG245" s="180"/>
      <c r="AH245" s="180"/>
    </row>
    <row r="246" spans="1:34" ht="23.25" customHeight="1" x14ac:dyDescent="0.15">
      <c r="B246" s="125"/>
      <c r="C246" s="214"/>
      <c r="D246" s="222" t="s">
        <v>140</v>
      </c>
      <c r="E246" s="225"/>
      <c r="F246" s="225"/>
      <c r="G246" s="226"/>
      <c r="H246" s="43" t="s">
        <v>94</v>
      </c>
      <c r="I246" s="8"/>
      <c r="J246" s="9"/>
      <c r="K246" s="10" t="str">
        <f t="shared" si="16"/>
        <v>-</v>
      </c>
      <c r="L246" s="141">
        <f t="shared" si="13"/>
        <v>0</v>
      </c>
      <c r="M246" s="129"/>
      <c r="N246" s="190"/>
      <c r="O246" s="191"/>
      <c r="P246" s="191"/>
      <c r="Q246" s="192"/>
      <c r="R246" s="7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  <c r="AC246" s="180"/>
      <c r="AD246" s="180"/>
      <c r="AE246" s="180"/>
      <c r="AF246" s="180"/>
      <c r="AG246" s="180"/>
      <c r="AH246" s="180"/>
    </row>
    <row r="247" spans="1:34" ht="23.25" customHeight="1" x14ac:dyDescent="0.15">
      <c r="B247" s="125"/>
      <c r="C247" s="214"/>
      <c r="D247" s="222" t="s">
        <v>141</v>
      </c>
      <c r="E247" s="225"/>
      <c r="F247" s="225"/>
      <c r="G247" s="226"/>
      <c r="H247" s="43" t="s">
        <v>94</v>
      </c>
      <c r="I247" s="8"/>
      <c r="J247" s="9"/>
      <c r="K247" s="10" t="str">
        <f t="shared" si="16"/>
        <v>-</v>
      </c>
      <c r="L247" s="141">
        <f t="shared" si="13"/>
        <v>0</v>
      </c>
      <c r="M247" s="129"/>
      <c r="N247" s="190"/>
      <c r="O247" s="191"/>
      <c r="P247" s="191"/>
      <c r="Q247" s="192"/>
      <c r="R247" s="7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  <c r="AC247" s="180"/>
      <c r="AD247" s="180"/>
      <c r="AE247" s="180"/>
      <c r="AF247" s="180"/>
      <c r="AG247" s="180"/>
      <c r="AH247" s="180"/>
    </row>
    <row r="248" spans="1:34" ht="23.25" customHeight="1" x14ac:dyDescent="0.15">
      <c r="B248" s="125"/>
      <c r="C248" s="214"/>
      <c r="D248" s="222" t="s">
        <v>142</v>
      </c>
      <c r="E248" s="223"/>
      <c r="F248" s="223"/>
      <c r="G248" s="224"/>
      <c r="H248" s="43" t="s">
        <v>94</v>
      </c>
      <c r="I248" s="8"/>
      <c r="J248" s="9"/>
      <c r="K248" s="10" t="str">
        <f t="shared" si="16"/>
        <v>-</v>
      </c>
      <c r="L248" s="141">
        <f t="shared" si="13"/>
        <v>0</v>
      </c>
      <c r="M248" s="129"/>
      <c r="N248" s="190"/>
      <c r="O248" s="191"/>
      <c r="P248" s="191"/>
      <c r="Q248" s="192"/>
      <c r="R248" s="7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  <c r="AC248" s="180"/>
      <c r="AD248" s="180"/>
      <c r="AE248" s="180"/>
      <c r="AF248" s="180"/>
      <c r="AG248" s="180"/>
      <c r="AH248" s="180"/>
    </row>
    <row r="249" spans="1:34" ht="23.25" customHeight="1" x14ac:dyDescent="0.15">
      <c r="B249" s="125"/>
      <c r="C249" s="214"/>
      <c r="D249" s="222" t="s">
        <v>143</v>
      </c>
      <c r="E249" s="223"/>
      <c r="F249" s="223"/>
      <c r="G249" s="224"/>
      <c r="H249" s="43" t="s">
        <v>20</v>
      </c>
      <c r="I249" s="8"/>
      <c r="J249" s="9"/>
      <c r="K249" s="10" t="str">
        <f t="shared" si="16"/>
        <v>-</v>
      </c>
      <c r="L249" s="141">
        <f t="shared" si="13"/>
        <v>0</v>
      </c>
      <c r="M249" s="129"/>
      <c r="N249" s="190"/>
      <c r="O249" s="191"/>
      <c r="P249" s="191"/>
      <c r="Q249" s="192"/>
      <c r="R249" s="7"/>
      <c r="S249" s="180"/>
      <c r="T249" s="180">
        <v>1</v>
      </c>
      <c r="U249" s="180"/>
      <c r="V249" s="180"/>
      <c r="W249" s="180"/>
      <c r="X249" s="180"/>
      <c r="Y249" s="180"/>
      <c r="Z249" s="180"/>
      <c r="AA249" s="180"/>
      <c r="AB249" s="180"/>
      <c r="AC249" s="180"/>
      <c r="AD249" s="180"/>
      <c r="AE249" s="180"/>
      <c r="AF249" s="180"/>
      <c r="AG249" s="180"/>
      <c r="AH249" s="180"/>
    </row>
    <row r="250" spans="1:34" s="175" customFormat="1" ht="23.25" customHeight="1" x14ac:dyDescent="0.15">
      <c r="A250" s="27"/>
      <c r="B250" s="125"/>
      <c r="C250" s="214"/>
      <c r="D250" s="222" t="s">
        <v>220</v>
      </c>
      <c r="E250" s="223"/>
      <c r="F250" s="223"/>
      <c r="G250" s="224"/>
      <c r="H250" s="43" t="s">
        <v>94</v>
      </c>
      <c r="I250" s="8"/>
      <c r="J250" s="9"/>
      <c r="K250" s="10" t="str">
        <f t="shared" si="16"/>
        <v>-</v>
      </c>
      <c r="L250" s="141">
        <f t="shared" si="13"/>
        <v>0</v>
      </c>
      <c r="M250" s="129"/>
      <c r="N250" s="182"/>
      <c r="O250" s="183"/>
      <c r="P250" s="183"/>
      <c r="Q250" s="184"/>
      <c r="R250" s="7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  <c r="AC250" s="180"/>
      <c r="AD250" s="180"/>
      <c r="AE250" s="180"/>
      <c r="AF250" s="180"/>
      <c r="AG250" s="180"/>
      <c r="AH250" s="180"/>
    </row>
    <row r="251" spans="1:34" s="175" customFormat="1" ht="23.25" customHeight="1" x14ac:dyDescent="0.15">
      <c r="A251" s="27"/>
      <c r="B251" s="125"/>
      <c r="C251" s="214"/>
      <c r="D251" s="222" t="s">
        <v>221</v>
      </c>
      <c r="E251" s="223"/>
      <c r="F251" s="223"/>
      <c r="G251" s="224"/>
      <c r="H251" s="43" t="s">
        <v>94</v>
      </c>
      <c r="I251" s="8"/>
      <c r="J251" s="9"/>
      <c r="K251" s="10" t="str">
        <f t="shared" si="16"/>
        <v>-</v>
      </c>
      <c r="L251" s="141">
        <f t="shared" si="13"/>
        <v>0</v>
      </c>
      <c r="M251" s="129"/>
      <c r="N251" s="182"/>
      <c r="O251" s="185"/>
      <c r="P251" s="185"/>
      <c r="Q251" s="186"/>
      <c r="R251" s="7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  <c r="AC251" s="180"/>
      <c r="AD251" s="180"/>
      <c r="AE251" s="180"/>
      <c r="AF251" s="180"/>
      <c r="AG251" s="180"/>
      <c r="AH251" s="180"/>
    </row>
    <row r="252" spans="1:34" s="175" customFormat="1" ht="23.25" customHeight="1" x14ac:dyDescent="0.15">
      <c r="A252" s="27"/>
      <c r="B252" s="125"/>
      <c r="C252" s="214"/>
      <c r="D252" s="222" t="s">
        <v>222</v>
      </c>
      <c r="E252" s="223"/>
      <c r="F252" s="223"/>
      <c r="G252" s="224"/>
      <c r="H252" s="43" t="s">
        <v>20</v>
      </c>
      <c r="I252" s="8"/>
      <c r="J252" s="9"/>
      <c r="K252" s="10" t="str">
        <f t="shared" si="16"/>
        <v>-</v>
      </c>
      <c r="L252" s="141">
        <f t="shared" si="13"/>
        <v>0</v>
      </c>
      <c r="M252" s="129"/>
      <c r="N252" s="182"/>
      <c r="O252" s="185"/>
      <c r="P252" s="185"/>
      <c r="Q252" s="186"/>
      <c r="R252" s="7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  <c r="AC252" s="180"/>
      <c r="AD252" s="180"/>
      <c r="AE252" s="180"/>
      <c r="AF252" s="180"/>
      <c r="AG252" s="180"/>
      <c r="AH252" s="180"/>
    </row>
    <row r="253" spans="1:34" s="175" customFormat="1" ht="23.25" customHeight="1" x14ac:dyDescent="0.15">
      <c r="A253" s="27"/>
      <c r="B253" s="125"/>
      <c r="C253" s="214"/>
      <c r="D253" s="222" t="s">
        <v>223</v>
      </c>
      <c r="E253" s="223"/>
      <c r="F253" s="223"/>
      <c r="G253" s="224"/>
      <c r="H253" s="43" t="s">
        <v>94</v>
      </c>
      <c r="I253" s="8"/>
      <c r="J253" s="9"/>
      <c r="K253" s="10" t="str">
        <f t="shared" si="16"/>
        <v>-</v>
      </c>
      <c r="L253" s="141">
        <f t="shared" si="13"/>
        <v>0</v>
      </c>
      <c r="M253" s="129"/>
      <c r="N253" s="182"/>
      <c r="O253" s="185"/>
      <c r="P253" s="185"/>
      <c r="Q253" s="186"/>
      <c r="R253" s="7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  <c r="AC253" s="180"/>
      <c r="AD253" s="180"/>
      <c r="AE253" s="180"/>
      <c r="AF253" s="180"/>
      <c r="AG253" s="180"/>
      <c r="AH253" s="180"/>
    </row>
    <row r="254" spans="1:34" s="175" customFormat="1" ht="23.25" customHeight="1" x14ac:dyDescent="0.15">
      <c r="A254" s="27"/>
      <c r="B254" s="125"/>
      <c r="C254" s="214"/>
      <c r="D254" s="222" t="s">
        <v>224</v>
      </c>
      <c r="E254" s="223"/>
      <c r="F254" s="223"/>
      <c r="G254" s="224"/>
      <c r="H254" s="43" t="s">
        <v>94</v>
      </c>
      <c r="I254" s="8"/>
      <c r="J254" s="9"/>
      <c r="K254" s="10" t="str">
        <f t="shared" si="16"/>
        <v>-</v>
      </c>
      <c r="L254" s="141">
        <f t="shared" si="13"/>
        <v>0</v>
      </c>
      <c r="M254" s="129"/>
      <c r="N254" s="182"/>
      <c r="O254" s="185"/>
      <c r="P254" s="185"/>
      <c r="Q254" s="186"/>
      <c r="R254" s="7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  <c r="AC254" s="180"/>
      <c r="AD254" s="180"/>
      <c r="AE254" s="180"/>
      <c r="AF254" s="180"/>
      <c r="AG254" s="180"/>
      <c r="AH254" s="180"/>
    </row>
    <row r="255" spans="1:34" s="175" customFormat="1" ht="23.25" customHeight="1" x14ac:dyDescent="0.15">
      <c r="A255" s="27"/>
      <c r="B255" s="125"/>
      <c r="C255" s="214"/>
      <c r="D255" s="222" t="s">
        <v>225</v>
      </c>
      <c r="E255" s="223"/>
      <c r="F255" s="223"/>
      <c r="G255" s="224"/>
      <c r="H255" s="43" t="s">
        <v>20</v>
      </c>
      <c r="I255" s="8"/>
      <c r="J255" s="9"/>
      <c r="K255" s="10" t="str">
        <f t="shared" si="16"/>
        <v>-</v>
      </c>
      <c r="L255" s="141">
        <f t="shared" si="13"/>
        <v>0</v>
      </c>
      <c r="M255" s="129"/>
      <c r="N255" s="182"/>
      <c r="O255" s="185"/>
      <c r="P255" s="185"/>
      <c r="Q255" s="186"/>
      <c r="R255" s="7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  <c r="AC255" s="180"/>
      <c r="AD255" s="180"/>
      <c r="AE255" s="180"/>
      <c r="AF255" s="180"/>
      <c r="AG255" s="180"/>
      <c r="AH255" s="180"/>
    </row>
    <row r="256" spans="1:34" s="175" customFormat="1" ht="23.25" customHeight="1" x14ac:dyDescent="0.15">
      <c r="A256" s="27"/>
      <c r="B256" s="125"/>
      <c r="C256" s="214"/>
      <c r="D256" s="222" t="s">
        <v>226</v>
      </c>
      <c r="E256" s="223"/>
      <c r="F256" s="223"/>
      <c r="G256" s="224"/>
      <c r="H256" s="43" t="s">
        <v>94</v>
      </c>
      <c r="I256" s="8"/>
      <c r="J256" s="9"/>
      <c r="K256" s="10" t="str">
        <f t="shared" si="16"/>
        <v>-</v>
      </c>
      <c r="L256" s="141">
        <f t="shared" si="13"/>
        <v>0</v>
      </c>
      <c r="M256" s="129"/>
      <c r="N256" s="182"/>
      <c r="O256" s="185"/>
      <c r="P256" s="185"/>
      <c r="Q256" s="186"/>
      <c r="R256" s="7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  <c r="AC256" s="180"/>
      <c r="AD256" s="180"/>
      <c r="AE256" s="180"/>
      <c r="AF256" s="180"/>
      <c r="AG256" s="180"/>
      <c r="AH256" s="180"/>
    </row>
    <row r="257" spans="1:34" s="175" customFormat="1" ht="23.25" customHeight="1" x14ac:dyDescent="0.15">
      <c r="A257" s="27"/>
      <c r="B257" s="125"/>
      <c r="C257" s="214"/>
      <c r="D257" s="222" t="s">
        <v>227</v>
      </c>
      <c r="E257" s="223"/>
      <c r="F257" s="223"/>
      <c r="G257" s="224"/>
      <c r="H257" s="43" t="s">
        <v>94</v>
      </c>
      <c r="I257" s="8"/>
      <c r="J257" s="9"/>
      <c r="K257" s="10" t="str">
        <f t="shared" si="16"/>
        <v>-</v>
      </c>
      <c r="L257" s="141">
        <f t="shared" si="13"/>
        <v>0</v>
      </c>
      <c r="M257" s="129"/>
      <c r="N257" s="182"/>
      <c r="O257" s="185"/>
      <c r="P257" s="185"/>
      <c r="Q257" s="186"/>
      <c r="R257" s="7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  <c r="AC257" s="180"/>
      <c r="AD257" s="180"/>
      <c r="AE257" s="180"/>
      <c r="AF257" s="180"/>
      <c r="AG257" s="180"/>
      <c r="AH257" s="180"/>
    </row>
    <row r="258" spans="1:34" s="175" customFormat="1" ht="23.25" customHeight="1" x14ac:dyDescent="0.15">
      <c r="A258" s="27"/>
      <c r="B258" s="125"/>
      <c r="C258" s="214"/>
      <c r="D258" s="222" t="s">
        <v>228</v>
      </c>
      <c r="E258" s="223"/>
      <c r="F258" s="223"/>
      <c r="G258" s="224"/>
      <c r="H258" s="43" t="s">
        <v>20</v>
      </c>
      <c r="I258" s="8"/>
      <c r="J258" s="9"/>
      <c r="K258" s="10" t="str">
        <f t="shared" si="16"/>
        <v>-</v>
      </c>
      <c r="L258" s="141">
        <f t="shared" si="13"/>
        <v>0</v>
      </c>
      <c r="M258" s="129"/>
      <c r="N258" s="182"/>
      <c r="O258" s="185"/>
      <c r="P258" s="185"/>
      <c r="Q258" s="186"/>
      <c r="R258" s="7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  <c r="AC258" s="180"/>
      <c r="AD258" s="180"/>
      <c r="AE258" s="180"/>
      <c r="AF258" s="180"/>
      <c r="AG258" s="180"/>
      <c r="AH258" s="180"/>
    </row>
    <row r="259" spans="1:34" s="175" customFormat="1" ht="23.25" customHeight="1" x14ac:dyDescent="0.15">
      <c r="A259" s="27"/>
      <c r="B259" s="125"/>
      <c r="C259" s="214"/>
      <c r="D259" s="222" t="s">
        <v>229</v>
      </c>
      <c r="E259" s="223"/>
      <c r="F259" s="223"/>
      <c r="G259" s="224"/>
      <c r="H259" s="43" t="s">
        <v>94</v>
      </c>
      <c r="I259" s="8"/>
      <c r="J259" s="9"/>
      <c r="K259" s="10" t="str">
        <f t="shared" si="16"/>
        <v>-</v>
      </c>
      <c r="L259" s="141">
        <f t="shared" si="13"/>
        <v>0</v>
      </c>
      <c r="M259" s="129"/>
      <c r="N259" s="182"/>
      <c r="O259" s="185"/>
      <c r="P259" s="185"/>
      <c r="Q259" s="186"/>
      <c r="R259" s="7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  <c r="AC259" s="180"/>
      <c r="AD259" s="180"/>
      <c r="AE259" s="180"/>
      <c r="AF259" s="180"/>
      <c r="AG259" s="180"/>
      <c r="AH259" s="180"/>
    </row>
    <row r="260" spans="1:34" s="175" customFormat="1" ht="23.25" customHeight="1" x14ac:dyDescent="0.15">
      <c r="A260" s="27"/>
      <c r="B260" s="125"/>
      <c r="C260" s="214"/>
      <c r="D260" s="222" t="s">
        <v>230</v>
      </c>
      <c r="E260" s="223"/>
      <c r="F260" s="223"/>
      <c r="G260" s="224"/>
      <c r="H260" s="43" t="s">
        <v>94</v>
      </c>
      <c r="I260" s="8"/>
      <c r="J260" s="9"/>
      <c r="K260" s="10" t="str">
        <f t="shared" si="16"/>
        <v>-</v>
      </c>
      <c r="L260" s="141">
        <f t="shared" si="13"/>
        <v>0</v>
      </c>
      <c r="M260" s="129"/>
      <c r="N260" s="182"/>
      <c r="O260" s="185"/>
      <c r="P260" s="185"/>
      <c r="Q260" s="186"/>
      <c r="R260" s="7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  <c r="AC260" s="180"/>
      <c r="AD260" s="180"/>
      <c r="AE260" s="180"/>
      <c r="AF260" s="180"/>
      <c r="AG260" s="180"/>
      <c r="AH260" s="180"/>
    </row>
    <row r="261" spans="1:34" s="175" customFormat="1" ht="23.25" customHeight="1" x14ac:dyDescent="0.15">
      <c r="A261" s="27"/>
      <c r="B261" s="125"/>
      <c r="C261" s="214"/>
      <c r="D261" s="222" t="s">
        <v>231</v>
      </c>
      <c r="E261" s="223"/>
      <c r="F261" s="223"/>
      <c r="G261" s="224"/>
      <c r="H261" s="43" t="s">
        <v>20</v>
      </c>
      <c r="I261" s="8"/>
      <c r="J261" s="9"/>
      <c r="K261" s="10" t="str">
        <f t="shared" si="16"/>
        <v>-</v>
      </c>
      <c r="L261" s="141">
        <f t="shared" si="13"/>
        <v>0</v>
      </c>
      <c r="M261" s="129"/>
      <c r="N261" s="182"/>
      <c r="O261" s="185"/>
      <c r="P261" s="185"/>
      <c r="Q261" s="186"/>
      <c r="R261" s="7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  <c r="AC261" s="180"/>
      <c r="AD261" s="180"/>
      <c r="AE261" s="180"/>
      <c r="AF261" s="180"/>
      <c r="AG261" s="180"/>
      <c r="AH261" s="180"/>
    </row>
    <row r="262" spans="1:34" s="175" customFormat="1" ht="23.25" customHeight="1" x14ac:dyDescent="0.15">
      <c r="A262" s="27"/>
      <c r="B262" s="125"/>
      <c r="C262" s="214"/>
      <c r="D262" s="222" t="s">
        <v>232</v>
      </c>
      <c r="E262" s="223"/>
      <c r="F262" s="223"/>
      <c r="G262" s="224"/>
      <c r="H262" s="43" t="s">
        <v>94</v>
      </c>
      <c r="I262" s="8"/>
      <c r="J262" s="9"/>
      <c r="K262" s="10" t="str">
        <f t="shared" si="16"/>
        <v>-</v>
      </c>
      <c r="L262" s="141">
        <f t="shared" si="13"/>
        <v>0</v>
      </c>
      <c r="M262" s="129"/>
      <c r="N262" s="182"/>
      <c r="O262" s="185"/>
      <c r="P262" s="185"/>
      <c r="Q262" s="186"/>
      <c r="R262" s="7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  <c r="AC262" s="180"/>
      <c r="AD262" s="180"/>
      <c r="AE262" s="180"/>
      <c r="AF262" s="180"/>
      <c r="AG262" s="180"/>
      <c r="AH262" s="180"/>
    </row>
    <row r="263" spans="1:34" s="175" customFormat="1" ht="23.25" customHeight="1" x14ac:dyDescent="0.15">
      <c r="A263" s="27"/>
      <c r="B263" s="125"/>
      <c r="C263" s="214"/>
      <c r="D263" s="222" t="s">
        <v>233</v>
      </c>
      <c r="E263" s="223"/>
      <c r="F263" s="223"/>
      <c r="G263" s="224"/>
      <c r="H263" s="43" t="s">
        <v>94</v>
      </c>
      <c r="I263" s="8"/>
      <c r="J263" s="9"/>
      <c r="K263" s="10" t="str">
        <f t="shared" si="16"/>
        <v>-</v>
      </c>
      <c r="L263" s="141">
        <f t="shared" si="13"/>
        <v>0</v>
      </c>
      <c r="M263" s="129"/>
      <c r="N263" s="182"/>
      <c r="O263" s="185"/>
      <c r="P263" s="185"/>
      <c r="Q263" s="186"/>
      <c r="R263" s="7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  <c r="AC263" s="180"/>
      <c r="AD263" s="180"/>
      <c r="AE263" s="180"/>
      <c r="AF263" s="180"/>
      <c r="AG263" s="180"/>
      <c r="AH263" s="180"/>
    </row>
    <row r="264" spans="1:34" s="175" customFormat="1" ht="23.25" customHeight="1" x14ac:dyDescent="0.15">
      <c r="A264" s="27"/>
      <c r="B264" s="125"/>
      <c r="C264" s="214"/>
      <c r="D264" s="222" t="s">
        <v>234</v>
      </c>
      <c r="E264" s="223"/>
      <c r="F264" s="223"/>
      <c r="G264" s="224"/>
      <c r="H264" s="43" t="s">
        <v>20</v>
      </c>
      <c r="I264" s="8"/>
      <c r="J264" s="9"/>
      <c r="K264" s="10" t="str">
        <f t="shared" si="16"/>
        <v>-</v>
      </c>
      <c r="L264" s="141">
        <f t="shared" si="13"/>
        <v>0</v>
      </c>
      <c r="M264" s="129"/>
      <c r="N264" s="182"/>
      <c r="O264" s="185"/>
      <c r="P264" s="185"/>
      <c r="Q264" s="186"/>
      <c r="R264" s="7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  <c r="AC264" s="180"/>
      <c r="AD264" s="180"/>
      <c r="AE264" s="180"/>
      <c r="AF264" s="180"/>
      <c r="AG264" s="180"/>
      <c r="AH264" s="180"/>
    </row>
    <row r="265" spans="1:34" s="175" customFormat="1" ht="23.25" customHeight="1" x14ac:dyDescent="0.15">
      <c r="A265" s="27"/>
      <c r="B265" s="125"/>
      <c r="C265" s="214"/>
      <c r="D265" s="222" t="s">
        <v>235</v>
      </c>
      <c r="E265" s="223"/>
      <c r="F265" s="223"/>
      <c r="G265" s="224"/>
      <c r="H265" s="43" t="s">
        <v>94</v>
      </c>
      <c r="I265" s="8"/>
      <c r="J265" s="9"/>
      <c r="K265" s="10" t="str">
        <f t="shared" si="16"/>
        <v>-</v>
      </c>
      <c r="L265" s="141">
        <f t="shared" si="13"/>
        <v>0</v>
      </c>
      <c r="M265" s="129"/>
      <c r="N265" s="182"/>
      <c r="O265" s="185"/>
      <c r="P265" s="185"/>
      <c r="Q265" s="186"/>
      <c r="R265" s="7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  <c r="AC265" s="180"/>
      <c r="AD265" s="180"/>
      <c r="AE265" s="180"/>
      <c r="AF265" s="180"/>
      <c r="AG265" s="180"/>
      <c r="AH265" s="180"/>
    </row>
    <row r="266" spans="1:34" ht="23.25" customHeight="1" x14ac:dyDescent="0.15">
      <c r="B266" s="125"/>
      <c r="C266" s="214"/>
      <c r="D266" s="222" t="s">
        <v>236</v>
      </c>
      <c r="E266" s="223"/>
      <c r="F266" s="223"/>
      <c r="G266" s="224"/>
      <c r="H266" s="43" t="s">
        <v>94</v>
      </c>
      <c r="I266" s="8"/>
      <c r="J266" s="9"/>
      <c r="K266" s="10" t="str">
        <f t="shared" si="16"/>
        <v>-</v>
      </c>
      <c r="L266" s="141">
        <f t="shared" si="13"/>
        <v>0</v>
      </c>
      <c r="M266" s="129"/>
      <c r="N266" s="182"/>
      <c r="O266" s="185"/>
      <c r="P266" s="185"/>
      <c r="Q266" s="186"/>
      <c r="R266" s="7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  <c r="AC266" s="180"/>
      <c r="AD266" s="180"/>
      <c r="AE266" s="180"/>
      <c r="AF266" s="180"/>
      <c r="AG266" s="180"/>
      <c r="AH266" s="180"/>
    </row>
    <row r="267" spans="1:34" ht="23.25" customHeight="1" x14ac:dyDescent="0.15">
      <c r="B267" s="125"/>
      <c r="C267" s="214"/>
      <c r="D267" s="222" t="s">
        <v>237</v>
      </c>
      <c r="E267" s="223"/>
      <c r="F267" s="223"/>
      <c r="G267" s="224"/>
      <c r="H267" s="43" t="s">
        <v>20</v>
      </c>
      <c r="I267" s="8"/>
      <c r="J267" s="9"/>
      <c r="K267" s="10" t="str">
        <f t="shared" si="16"/>
        <v>-</v>
      </c>
      <c r="L267" s="141">
        <f t="shared" si="13"/>
        <v>0</v>
      </c>
      <c r="M267" s="129"/>
      <c r="N267" s="182"/>
      <c r="O267" s="185"/>
      <c r="P267" s="185"/>
      <c r="Q267" s="186"/>
      <c r="R267" s="7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  <c r="AC267" s="180"/>
      <c r="AD267" s="180"/>
      <c r="AE267" s="180"/>
      <c r="AF267" s="180"/>
      <c r="AG267" s="180"/>
      <c r="AH267" s="180"/>
    </row>
    <row r="268" spans="1:34" ht="23.25" customHeight="1" x14ac:dyDescent="0.15">
      <c r="B268" s="125"/>
      <c r="C268" s="214"/>
      <c r="D268" s="222" t="s">
        <v>238</v>
      </c>
      <c r="E268" s="223"/>
      <c r="F268" s="223"/>
      <c r="G268" s="224"/>
      <c r="H268" s="43" t="s">
        <v>94</v>
      </c>
      <c r="I268" s="8"/>
      <c r="J268" s="9"/>
      <c r="K268" s="10" t="str">
        <f t="shared" si="16"/>
        <v>-</v>
      </c>
      <c r="L268" s="141">
        <f t="shared" si="13"/>
        <v>0</v>
      </c>
      <c r="M268" s="129"/>
      <c r="N268" s="182"/>
      <c r="O268" s="185"/>
      <c r="P268" s="185"/>
      <c r="Q268" s="186"/>
      <c r="R268" s="7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  <c r="AC268" s="180"/>
      <c r="AD268" s="180"/>
      <c r="AE268" s="180"/>
      <c r="AF268" s="180"/>
      <c r="AG268" s="180"/>
      <c r="AH268" s="180"/>
    </row>
    <row r="269" spans="1:34" ht="23.25" customHeight="1" x14ac:dyDescent="0.15">
      <c r="B269" s="125"/>
      <c r="C269" s="214"/>
      <c r="D269" s="222" t="s">
        <v>239</v>
      </c>
      <c r="E269" s="223"/>
      <c r="F269" s="223"/>
      <c r="G269" s="224"/>
      <c r="H269" s="43" t="s">
        <v>94</v>
      </c>
      <c r="I269" s="8"/>
      <c r="J269" s="9"/>
      <c r="K269" s="10" t="str">
        <f t="shared" si="16"/>
        <v>-</v>
      </c>
      <c r="L269" s="141">
        <f t="shared" ref="L269:L332" si="17">IFERROR(J269-I269,"-")</f>
        <v>0</v>
      </c>
      <c r="M269" s="129"/>
      <c r="N269" s="182"/>
      <c r="O269" s="185"/>
      <c r="P269" s="185"/>
      <c r="Q269" s="186"/>
      <c r="R269" s="7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  <c r="AC269" s="180"/>
      <c r="AD269" s="180"/>
      <c r="AE269" s="180"/>
      <c r="AF269" s="180"/>
      <c r="AG269" s="180"/>
      <c r="AH269" s="180"/>
    </row>
    <row r="270" spans="1:34" ht="23.25" customHeight="1" thickBot="1" x14ac:dyDescent="0.2">
      <c r="B270" s="125"/>
      <c r="C270" s="214"/>
      <c r="D270" s="219" t="s">
        <v>240</v>
      </c>
      <c r="E270" s="220"/>
      <c r="F270" s="220"/>
      <c r="G270" s="221"/>
      <c r="H270" s="91" t="s">
        <v>20</v>
      </c>
      <c r="I270" s="92"/>
      <c r="J270" s="93"/>
      <c r="K270" s="94" t="str">
        <f t="shared" si="16"/>
        <v>-</v>
      </c>
      <c r="L270" s="148">
        <f t="shared" si="17"/>
        <v>0</v>
      </c>
      <c r="M270" s="136"/>
      <c r="N270" s="230"/>
      <c r="O270" s="231"/>
      <c r="P270" s="231"/>
      <c r="Q270" s="232"/>
      <c r="R270" s="7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  <c r="AC270" s="180"/>
      <c r="AD270" s="180"/>
      <c r="AE270" s="180"/>
      <c r="AF270" s="180"/>
      <c r="AG270" s="180"/>
      <c r="AH270" s="180"/>
    </row>
    <row r="271" spans="1:34" ht="23.25" customHeight="1" x14ac:dyDescent="0.15">
      <c r="B271" s="125"/>
      <c r="C271" s="213" t="s">
        <v>241</v>
      </c>
      <c r="D271" s="216" t="s">
        <v>242</v>
      </c>
      <c r="E271" s="217"/>
      <c r="F271" s="217"/>
      <c r="G271" s="218"/>
      <c r="H271" s="95" t="s">
        <v>283</v>
      </c>
      <c r="I271" s="118"/>
      <c r="J271" s="119"/>
      <c r="K271" s="98" t="str">
        <f t="shared" si="16"/>
        <v>-</v>
      </c>
      <c r="L271" s="99">
        <f t="shared" si="17"/>
        <v>0</v>
      </c>
      <c r="M271" s="137"/>
      <c r="N271" s="207"/>
      <c r="O271" s="208"/>
      <c r="P271" s="208"/>
      <c r="Q271" s="209"/>
      <c r="R271" s="7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180"/>
      <c r="AF271" s="180"/>
      <c r="AG271" s="180"/>
      <c r="AH271" s="180">
        <v>1</v>
      </c>
    </row>
    <row r="272" spans="1:34" ht="23.25" customHeight="1" x14ac:dyDescent="0.15">
      <c r="B272" s="125"/>
      <c r="C272" s="214"/>
      <c r="D272" s="193" t="s">
        <v>243</v>
      </c>
      <c r="E272" s="188"/>
      <c r="F272" s="188"/>
      <c r="G272" s="189"/>
      <c r="H272" s="43" t="s">
        <v>244</v>
      </c>
      <c r="I272" s="8"/>
      <c r="J272" s="9"/>
      <c r="K272" s="10" t="str">
        <f t="shared" si="16"/>
        <v>-</v>
      </c>
      <c r="L272" s="141">
        <f t="shared" si="17"/>
        <v>0</v>
      </c>
      <c r="M272" s="129"/>
      <c r="N272" s="190"/>
      <c r="O272" s="191"/>
      <c r="P272" s="191"/>
      <c r="Q272" s="192"/>
      <c r="R272" s="7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  <c r="AC272" s="180"/>
      <c r="AD272" s="180"/>
      <c r="AE272" s="180"/>
      <c r="AF272" s="180"/>
      <c r="AG272" s="180"/>
      <c r="AH272" s="180">
        <v>1</v>
      </c>
    </row>
    <row r="273" spans="2:34" ht="23.25" customHeight="1" x14ac:dyDescent="0.15">
      <c r="B273" s="125"/>
      <c r="C273" s="214"/>
      <c r="D273" s="193" t="s">
        <v>245</v>
      </c>
      <c r="E273" s="188"/>
      <c r="F273" s="188"/>
      <c r="G273" s="189"/>
      <c r="H273" s="43" t="s">
        <v>244</v>
      </c>
      <c r="I273" s="8"/>
      <c r="J273" s="9"/>
      <c r="K273" s="10" t="str">
        <f t="shared" si="16"/>
        <v>-</v>
      </c>
      <c r="L273" s="141">
        <f t="shared" si="17"/>
        <v>0</v>
      </c>
      <c r="M273" s="129"/>
      <c r="N273" s="190"/>
      <c r="O273" s="191"/>
      <c r="P273" s="191"/>
      <c r="Q273" s="192"/>
      <c r="R273" s="7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  <c r="AC273" s="180"/>
      <c r="AD273" s="180"/>
      <c r="AE273" s="180"/>
      <c r="AF273" s="180"/>
      <c r="AG273" s="180"/>
      <c r="AH273" s="180">
        <v>1</v>
      </c>
    </row>
    <row r="274" spans="2:34" ht="23.25" customHeight="1" x14ac:dyDescent="0.15">
      <c r="B274" s="125"/>
      <c r="C274" s="214"/>
      <c r="D274" s="193" t="s">
        <v>246</v>
      </c>
      <c r="E274" s="188"/>
      <c r="F274" s="188"/>
      <c r="G274" s="189"/>
      <c r="H274" s="43" t="s">
        <v>20</v>
      </c>
      <c r="I274" s="8"/>
      <c r="J274" s="9"/>
      <c r="K274" s="10" t="str">
        <f t="shared" si="16"/>
        <v>-</v>
      </c>
      <c r="L274" s="141">
        <f t="shared" si="17"/>
        <v>0</v>
      </c>
      <c r="M274" s="129"/>
      <c r="N274" s="190"/>
      <c r="O274" s="191"/>
      <c r="P274" s="191"/>
      <c r="Q274" s="192"/>
      <c r="R274" s="7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  <c r="AC274" s="180"/>
      <c r="AD274" s="180"/>
      <c r="AE274" s="180"/>
      <c r="AF274" s="180"/>
      <c r="AG274" s="180"/>
      <c r="AH274" s="180">
        <v>1</v>
      </c>
    </row>
    <row r="275" spans="2:34" ht="23.25" customHeight="1" x14ac:dyDescent="0.15">
      <c r="B275" s="125"/>
      <c r="C275" s="214"/>
      <c r="D275" s="193" t="s">
        <v>247</v>
      </c>
      <c r="E275" s="188"/>
      <c r="F275" s="188"/>
      <c r="G275" s="189"/>
      <c r="H275" s="43" t="s">
        <v>20</v>
      </c>
      <c r="I275" s="8"/>
      <c r="J275" s="9"/>
      <c r="K275" s="10" t="str">
        <f t="shared" ref="K275:K338" si="18">IFERROR(J275/I275*100-100,"-")</f>
        <v>-</v>
      </c>
      <c r="L275" s="141">
        <f t="shared" si="17"/>
        <v>0</v>
      </c>
      <c r="M275" s="129"/>
      <c r="N275" s="190"/>
      <c r="O275" s="191"/>
      <c r="P275" s="191"/>
      <c r="Q275" s="192"/>
      <c r="R275" s="7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  <c r="AC275" s="180"/>
      <c r="AD275" s="180"/>
      <c r="AE275" s="180"/>
      <c r="AF275" s="180"/>
      <c r="AG275" s="180"/>
      <c r="AH275" s="180">
        <v>1</v>
      </c>
    </row>
    <row r="276" spans="2:34" ht="23.25" customHeight="1" x14ac:dyDescent="0.15">
      <c r="B276" s="125"/>
      <c r="C276" s="214"/>
      <c r="D276" s="194" t="s">
        <v>248</v>
      </c>
      <c r="E276" s="188"/>
      <c r="F276" s="188"/>
      <c r="G276" s="189"/>
      <c r="H276" s="43" t="s">
        <v>20</v>
      </c>
      <c r="I276" s="8"/>
      <c r="J276" s="9"/>
      <c r="K276" s="10" t="str">
        <f t="shared" si="18"/>
        <v>-</v>
      </c>
      <c r="L276" s="141">
        <f t="shared" si="17"/>
        <v>0</v>
      </c>
      <c r="M276" s="129"/>
      <c r="N276" s="190"/>
      <c r="O276" s="191"/>
      <c r="P276" s="191"/>
      <c r="Q276" s="192"/>
      <c r="R276" s="7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  <c r="AC276" s="180"/>
      <c r="AD276" s="180"/>
      <c r="AE276" s="180"/>
      <c r="AF276" s="180"/>
      <c r="AG276" s="180"/>
      <c r="AH276" s="180">
        <v>1</v>
      </c>
    </row>
    <row r="277" spans="2:34" ht="23.25" customHeight="1" x14ac:dyDescent="0.15">
      <c r="B277" s="125"/>
      <c r="C277" s="214"/>
      <c r="D277" s="100"/>
      <c r="E277" s="187" t="s">
        <v>249</v>
      </c>
      <c r="F277" s="188"/>
      <c r="G277" s="189"/>
      <c r="H277" s="43" t="s">
        <v>20</v>
      </c>
      <c r="I277" s="8"/>
      <c r="J277" s="9"/>
      <c r="K277" s="10" t="str">
        <f t="shared" si="18"/>
        <v>-</v>
      </c>
      <c r="L277" s="141">
        <f t="shared" si="17"/>
        <v>0</v>
      </c>
      <c r="M277" s="129"/>
      <c r="N277" s="190"/>
      <c r="O277" s="191"/>
      <c r="P277" s="191"/>
      <c r="Q277" s="192"/>
      <c r="R277" s="7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  <c r="AC277" s="180"/>
      <c r="AD277" s="180"/>
      <c r="AE277" s="180"/>
      <c r="AF277" s="180"/>
      <c r="AG277" s="180"/>
      <c r="AH277" s="180">
        <v>1</v>
      </c>
    </row>
    <row r="278" spans="2:34" ht="23.25" customHeight="1" x14ac:dyDescent="0.15">
      <c r="B278" s="125"/>
      <c r="C278" s="214"/>
      <c r="D278" s="100"/>
      <c r="E278" s="187" t="s">
        <v>250</v>
      </c>
      <c r="F278" s="188"/>
      <c r="G278" s="189"/>
      <c r="H278" s="43" t="s">
        <v>20</v>
      </c>
      <c r="I278" s="8"/>
      <c r="J278" s="9"/>
      <c r="K278" s="10" t="str">
        <f t="shared" si="18"/>
        <v>-</v>
      </c>
      <c r="L278" s="141">
        <f t="shared" si="17"/>
        <v>0</v>
      </c>
      <c r="M278" s="129"/>
      <c r="N278" s="190"/>
      <c r="O278" s="191"/>
      <c r="P278" s="191"/>
      <c r="Q278" s="192"/>
      <c r="R278" s="7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  <c r="AC278" s="180"/>
      <c r="AD278" s="180"/>
      <c r="AE278" s="180"/>
      <c r="AF278" s="180"/>
      <c r="AG278" s="180"/>
      <c r="AH278" s="180">
        <v>1</v>
      </c>
    </row>
    <row r="279" spans="2:34" ht="23.25" customHeight="1" x14ac:dyDescent="0.15">
      <c r="B279" s="125"/>
      <c r="C279" s="214"/>
      <c r="D279" s="100"/>
      <c r="E279" s="187" t="s">
        <v>251</v>
      </c>
      <c r="F279" s="188"/>
      <c r="G279" s="189"/>
      <c r="H279" s="43" t="s">
        <v>20</v>
      </c>
      <c r="I279" s="8"/>
      <c r="J279" s="9"/>
      <c r="K279" s="10" t="str">
        <f t="shared" si="18"/>
        <v>-</v>
      </c>
      <c r="L279" s="141">
        <f t="shared" si="17"/>
        <v>0</v>
      </c>
      <c r="M279" s="129"/>
      <c r="N279" s="190"/>
      <c r="O279" s="191"/>
      <c r="P279" s="191"/>
      <c r="Q279" s="192"/>
      <c r="R279" s="7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  <c r="AC279" s="180"/>
      <c r="AD279" s="180"/>
      <c r="AE279" s="180"/>
      <c r="AF279" s="180"/>
      <c r="AG279" s="180"/>
      <c r="AH279" s="180">
        <v>1</v>
      </c>
    </row>
    <row r="280" spans="2:34" ht="23.25" customHeight="1" x14ac:dyDescent="0.15">
      <c r="B280" s="125"/>
      <c r="C280" s="214"/>
      <c r="D280" s="100"/>
      <c r="E280" s="195" t="s">
        <v>252</v>
      </c>
      <c r="F280" s="188"/>
      <c r="G280" s="189"/>
      <c r="H280" s="43" t="s">
        <v>20</v>
      </c>
      <c r="I280" s="8"/>
      <c r="J280" s="9"/>
      <c r="K280" s="10" t="str">
        <f t="shared" si="18"/>
        <v>-</v>
      </c>
      <c r="L280" s="141">
        <f t="shared" si="17"/>
        <v>0</v>
      </c>
      <c r="M280" s="129"/>
      <c r="N280" s="190"/>
      <c r="O280" s="191"/>
      <c r="P280" s="191"/>
      <c r="Q280" s="192"/>
      <c r="R280" s="7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  <c r="AC280" s="180"/>
      <c r="AD280" s="180"/>
      <c r="AE280" s="180"/>
      <c r="AF280" s="180"/>
      <c r="AG280" s="180"/>
      <c r="AH280" s="180">
        <v>1</v>
      </c>
    </row>
    <row r="281" spans="2:34" ht="23.25" customHeight="1" x14ac:dyDescent="0.15">
      <c r="B281" s="125"/>
      <c r="C281" s="214"/>
      <c r="D281" s="111"/>
      <c r="E281" s="164"/>
      <c r="F281" s="187" t="s">
        <v>253</v>
      </c>
      <c r="G281" s="189"/>
      <c r="H281" s="43" t="s">
        <v>20</v>
      </c>
      <c r="I281" s="8"/>
      <c r="J281" s="9"/>
      <c r="K281" s="10" t="str">
        <f t="shared" si="18"/>
        <v>-</v>
      </c>
      <c r="L281" s="141">
        <f t="shared" si="17"/>
        <v>0</v>
      </c>
      <c r="M281" s="129"/>
      <c r="N281" s="190"/>
      <c r="O281" s="191"/>
      <c r="P281" s="191"/>
      <c r="Q281" s="192"/>
      <c r="R281" s="7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  <c r="AC281" s="180"/>
      <c r="AD281" s="180"/>
      <c r="AE281" s="180"/>
      <c r="AF281" s="180"/>
      <c r="AG281" s="180"/>
      <c r="AH281" s="180">
        <v>1</v>
      </c>
    </row>
    <row r="282" spans="2:34" ht="23.25" customHeight="1" x14ac:dyDescent="0.15">
      <c r="B282" s="125"/>
      <c r="C282" s="214"/>
      <c r="D282" s="194" t="s">
        <v>254</v>
      </c>
      <c r="E282" s="188"/>
      <c r="F282" s="188"/>
      <c r="G282" s="189"/>
      <c r="H282" s="43" t="s">
        <v>20</v>
      </c>
      <c r="I282" s="8"/>
      <c r="J282" s="9"/>
      <c r="K282" s="10" t="str">
        <f t="shared" si="18"/>
        <v>-</v>
      </c>
      <c r="L282" s="141">
        <f t="shared" si="17"/>
        <v>0</v>
      </c>
      <c r="M282" s="129"/>
      <c r="N282" s="190"/>
      <c r="O282" s="191"/>
      <c r="P282" s="191"/>
      <c r="Q282" s="192"/>
      <c r="R282" s="7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  <c r="AC282" s="180"/>
      <c r="AD282" s="180"/>
      <c r="AE282" s="180"/>
      <c r="AF282" s="180"/>
      <c r="AG282" s="180"/>
      <c r="AH282" s="180">
        <v>1</v>
      </c>
    </row>
    <row r="283" spans="2:34" ht="23.25" customHeight="1" x14ac:dyDescent="0.15">
      <c r="B283" s="125"/>
      <c r="C283" s="214"/>
      <c r="D283" s="100"/>
      <c r="E283" s="187" t="s">
        <v>255</v>
      </c>
      <c r="F283" s="188"/>
      <c r="G283" s="189"/>
      <c r="H283" s="43" t="s">
        <v>20</v>
      </c>
      <c r="I283" s="8"/>
      <c r="J283" s="9"/>
      <c r="K283" s="10" t="str">
        <f t="shared" si="18"/>
        <v>-</v>
      </c>
      <c r="L283" s="141">
        <f t="shared" si="17"/>
        <v>0</v>
      </c>
      <c r="M283" s="129"/>
      <c r="N283" s="190"/>
      <c r="O283" s="191"/>
      <c r="P283" s="191"/>
      <c r="Q283" s="192"/>
      <c r="R283" s="7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  <c r="AC283" s="180"/>
      <c r="AD283" s="180"/>
      <c r="AE283" s="180"/>
      <c r="AF283" s="180"/>
      <c r="AG283" s="180"/>
      <c r="AH283" s="180">
        <v>1</v>
      </c>
    </row>
    <row r="284" spans="2:34" ht="23.25" customHeight="1" x14ac:dyDescent="0.15">
      <c r="B284" s="125"/>
      <c r="C284" s="214"/>
      <c r="D284" s="100"/>
      <c r="E284" s="187" t="s">
        <v>58</v>
      </c>
      <c r="F284" s="188"/>
      <c r="G284" s="189"/>
      <c r="H284" s="43" t="s">
        <v>20</v>
      </c>
      <c r="I284" s="8"/>
      <c r="J284" s="9"/>
      <c r="K284" s="10" t="str">
        <f t="shared" si="18"/>
        <v>-</v>
      </c>
      <c r="L284" s="141">
        <f t="shared" si="17"/>
        <v>0</v>
      </c>
      <c r="M284" s="129"/>
      <c r="N284" s="190"/>
      <c r="O284" s="191"/>
      <c r="P284" s="191"/>
      <c r="Q284" s="192"/>
      <c r="R284" s="7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  <c r="AC284" s="180"/>
      <c r="AD284" s="180"/>
      <c r="AE284" s="180"/>
      <c r="AF284" s="180"/>
      <c r="AG284" s="180"/>
      <c r="AH284" s="180">
        <v>1</v>
      </c>
    </row>
    <row r="285" spans="2:34" ht="23.25" customHeight="1" x14ac:dyDescent="0.15">
      <c r="B285" s="125"/>
      <c r="C285" s="214"/>
      <c r="D285" s="100"/>
      <c r="E285" s="187" t="s">
        <v>60</v>
      </c>
      <c r="F285" s="188"/>
      <c r="G285" s="189"/>
      <c r="H285" s="43" t="s">
        <v>20</v>
      </c>
      <c r="I285" s="8"/>
      <c r="J285" s="9"/>
      <c r="K285" s="10" t="str">
        <f t="shared" si="18"/>
        <v>-</v>
      </c>
      <c r="L285" s="141">
        <f t="shared" si="17"/>
        <v>0</v>
      </c>
      <c r="M285" s="129"/>
      <c r="N285" s="190"/>
      <c r="O285" s="191"/>
      <c r="P285" s="191"/>
      <c r="Q285" s="192"/>
      <c r="R285" s="7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  <c r="AC285" s="180"/>
      <c r="AD285" s="180"/>
      <c r="AE285" s="180"/>
      <c r="AF285" s="180"/>
      <c r="AG285" s="180"/>
      <c r="AH285" s="180">
        <v>1</v>
      </c>
    </row>
    <row r="286" spans="2:34" ht="23.25" customHeight="1" x14ac:dyDescent="0.15">
      <c r="B286" s="125"/>
      <c r="C286" s="214"/>
      <c r="D286" s="100"/>
      <c r="E286" s="187" t="s">
        <v>256</v>
      </c>
      <c r="F286" s="188"/>
      <c r="G286" s="189"/>
      <c r="H286" s="43" t="s">
        <v>20</v>
      </c>
      <c r="I286" s="8"/>
      <c r="J286" s="9"/>
      <c r="K286" s="10" t="str">
        <f t="shared" si="18"/>
        <v>-</v>
      </c>
      <c r="L286" s="141">
        <f t="shared" si="17"/>
        <v>0</v>
      </c>
      <c r="M286" s="129"/>
      <c r="N286" s="190"/>
      <c r="O286" s="191"/>
      <c r="P286" s="191"/>
      <c r="Q286" s="192"/>
      <c r="R286" s="7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  <c r="AC286" s="180"/>
      <c r="AD286" s="180"/>
      <c r="AE286" s="180"/>
      <c r="AF286" s="180"/>
      <c r="AG286" s="180"/>
      <c r="AH286" s="180">
        <v>1</v>
      </c>
    </row>
    <row r="287" spans="2:34" ht="23.25" customHeight="1" x14ac:dyDescent="0.15">
      <c r="B287" s="125"/>
      <c r="C287" s="214"/>
      <c r="D287" s="100"/>
      <c r="E287" s="187" t="s">
        <v>257</v>
      </c>
      <c r="F287" s="188"/>
      <c r="G287" s="189"/>
      <c r="H287" s="43" t="s">
        <v>20</v>
      </c>
      <c r="I287" s="8"/>
      <c r="J287" s="9"/>
      <c r="K287" s="10" t="str">
        <f t="shared" si="18"/>
        <v>-</v>
      </c>
      <c r="L287" s="141">
        <f t="shared" si="17"/>
        <v>0</v>
      </c>
      <c r="M287" s="129"/>
      <c r="N287" s="190"/>
      <c r="O287" s="191"/>
      <c r="P287" s="191"/>
      <c r="Q287" s="192"/>
      <c r="R287" s="7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  <c r="AC287" s="180"/>
      <c r="AD287" s="180"/>
      <c r="AE287" s="180"/>
      <c r="AF287" s="180"/>
      <c r="AG287" s="180"/>
      <c r="AH287" s="180">
        <v>1</v>
      </c>
    </row>
    <row r="288" spans="2:34" ht="23.25" customHeight="1" x14ac:dyDescent="0.15">
      <c r="B288" s="125"/>
      <c r="C288" s="214"/>
      <c r="D288" s="100"/>
      <c r="E288" s="187" t="s">
        <v>258</v>
      </c>
      <c r="F288" s="188"/>
      <c r="G288" s="189"/>
      <c r="H288" s="43" t="s">
        <v>20</v>
      </c>
      <c r="I288" s="8"/>
      <c r="J288" s="9"/>
      <c r="K288" s="10" t="str">
        <f t="shared" si="18"/>
        <v>-</v>
      </c>
      <c r="L288" s="141">
        <f t="shared" si="17"/>
        <v>0</v>
      </c>
      <c r="M288" s="129"/>
      <c r="N288" s="190"/>
      <c r="O288" s="191"/>
      <c r="P288" s="191"/>
      <c r="Q288" s="192"/>
      <c r="R288" s="7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  <c r="AC288" s="180"/>
      <c r="AD288" s="180"/>
      <c r="AE288" s="180"/>
      <c r="AF288" s="180"/>
      <c r="AG288" s="180"/>
      <c r="AH288" s="180">
        <v>1</v>
      </c>
    </row>
    <row r="289" spans="2:34" ht="23.25" customHeight="1" x14ac:dyDescent="0.15">
      <c r="B289" s="125"/>
      <c r="C289" s="214"/>
      <c r="D289" s="100"/>
      <c r="E289" s="187" t="s">
        <v>259</v>
      </c>
      <c r="F289" s="188"/>
      <c r="G289" s="189"/>
      <c r="H289" s="43" t="s">
        <v>20</v>
      </c>
      <c r="I289" s="8"/>
      <c r="J289" s="9"/>
      <c r="K289" s="10" t="str">
        <f t="shared" si="18"/>
        <v>-</v>
      </c>
      <c r="L289" s="141">
        <f t="shared" si="17"/>
        <v>0</v>
      </c>
      <c r="M289" s="129"/>
      <c r="N289" s="190"/>
      <c r="O289" s="191"/>
      <c r="P289" s="191"/>
      <c r="Q289" s="192"/>
      <c r="R289" s="7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  <c r="AC289" s="180"/>
      <c r="AD289" s="180"/>
      <c r="AE289" s="180"/>
      <c r="AF289" s="180"/>
      <c r="AG289" s="180"/>
      <c r="AH289" s="180">
        <v>1</v>
      </c>
    </row>
    <row r="290" spans="2:34" ht="23.25" customHeight="1" x14ac:dyDescent="0.15">
      <c r="B290" s="125"/>
      <c r="C290" s="214"/>
      <c r="D290" s="100"/>
      <c r="E290" s="187" t="s">
        <v>260</v>
      </c>
      <c r="F290" s="188"/>
      <c r="G290" s="189"/>
      <c r="H290" s="43" t="s">
        <v>20</v>
      </c>
      <c r="I290" s="8"/>
      <c r="J290" s="9"/>
      <c r="K290" s="10" t="str">
        <f t="shared" si="18"/>
        <v>-</v>
      </c>
      <c r="L290" s="141">
        <f t="shared" si="17"/>
        <v>0</v>
      </c>
      <c r="M290" s="129"/>
      <c r="N290" s="190"/>
      <c r="O290" s="191"/>
      <c r="P290" s="191"/>
      <c r="Q290" s="192"/>
      <c r="R290" s="7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  <c r="AC290" s="180"/>
      <c r="AD290" s="180"/>
      <c r="AE290" s="180"/>
      <c r="AF290" s="180"/>
      <c r="AG290" s="180"/>
      <c r="AH290" s="180">
        <v>1</v>
      </c>
    </row>
    <row r="291" spans="2:34" ht="23.25" customHeight="1" x14ac:dyDescent="0.15">
      <c r="B291" s="125"/>
      <c r="C291" s="214"/>
      <c r="D291" s="100"/>
      <c r="E291" s="187" t="s">
        <v>261</v>
      </c>
      <c r="F291" s="188"/>
      <c r="G291" s="189"/>
      <c r="H291" s="43" t="s">
        <v>20</v>
      </c>
      <c r="I291" s="8"/>
      <c r="J291" s="9"/>
      <c r="K291" s="10" t="str">
        <f t="shared" si="18"/>
        <v>-</v>
      </c>
      <c r="L291" s="141">
        <f t="shared" si="17"/>
        <v>0</v>
      </c>
      <c r="M291" s="129"/>
      <c r="N291" s="190"/>
      <c r="O291" s="191"/>
      <c r="P291" s="191"/>
      <c r="Q291" s="192"/>
      <c r="R291" s="7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  <c r="AC291" s="180"/>
      <c r="AD291" s="180"/>
      <c r="AE291" s="180"/>
      <c r="AF291" s="180"/>
      <c r="AG291" s="180"/>
      <c r="AH291" s="180">
        <v>1</v>
      </c>
    </row>
    <row r="292" spans="2:34" ht="23.25" customHeight="1" x14ac:dyDescent="0.15">
      <c r="B292" s="125"/>
      <c r="C292" s="214"/>
      <c r="D292" s="100"/>
      <c r="E292" s="187" t="s">
        <v>262</v>
      </c>
      <c r="F292" s="188"/>
      <c r="G292" s="189"/>
      <c r="H292" s="43" t="s">
        <v>20</v>
      </c>
      <c r="I292" s="8"/>
      <c r="J292" s="9"/>
      <c r="K292" s="10" t="str">
        <f t="shared" si="18"/>
        <v>-</v>
      </c>
      <c r="L292" s="141">
        <f t="shared" si="17"/>
        <v>0</v>
      </c>
      <c r="M292" s="129"/>
      <c r="N292" s="190"/>
      <c r="O292" s="191"/>
      <c r="P292" s="191"/>
      <c r="Q292" s="192"/>
      <c r="R292" s="7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  <c r="AC292" s="180"/>
      <c r="AD292" s="180"/>
      <c r="AE292" s="180"/>
      <c r="AF292" s="180"/>
      <c r="AG292" s="180"/>
      <c r="AH292" s="180">
        <v>1</v>
      </c>
    </row>
    <row r="293" spans="2:34" ht="23.25" customHeight="1" x14ac:dyDescent="0.15">
      <c r="B293" s="125"/>
      <c r="C293" s="214"/>
      <c r="D293" s="100"/>
      <c r="E293" s="195" t="s">
        <v>208</v>
      </c>
      <c r="F293" s="188"/>
      <c r="G293" s="189"/>
      <c r="H293" s="43" t="s">
        <v>20</v>
      </c>
      <c r="I293" s="8"/>
      <c r="J293" s="9"/>
      <c r="K293" s="10" t="str">
        <f t="shared" si="18"/>
        <v>-</v>
      </c>
      <c r="L293" s="141">
        <f t="shared" si="17"/>
        <v>0</v>
      </c>
      <c r="M293" s="129"/>
      <c r="N293" s="190"/>
      <c r="O293" s="191"/>
      <c r="P293" s="191"/>
      <c r="Q293" s="192"/>
      <c r="R293" s="7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  <c r="AC293" s="180"/>
      <c r="AD293" s="180"/>
      <c r="AE293" s="180"/>
      <c r="AF293" s="180"/>
      <c r="AG293" s="180"/>
      <c r="AH293" s="180">
        <v>1</v>
      </c>
    </row>
    <row r="294" spans="2:34" ht="23.25" customHeight="1" x14ac:dyDescent="0.15">
      <c r="B294" s="125"/>
      <c r="C294" s="214"/>
      <c r="D294" s="100"/>
      <c r="E294" s="163"/>
      <c r="F294" s="187" t="s">
        <v>263</v>
      </c>
      <c r="G294" s="189"/>
      <c r="H294" s="43" t="s">
        <v>20</v>
      </c>
      <c r="I294" s="8"/>
      <c r="J294" s="9"/>
      <c r="K294" s="10" t="str">
        <f t="shared" si="18"/>
        <v>-</v>
      </c>
      <c r="L294" s="141">
        <f t="shared" si="17"/>
        <v>0</v>
      </c>
      <c r="M294" s="129"/>
      <c r="N294" s="190"/>
      <c r="O294" s="191"/>
      <c r="P294" s="191"/>
      <c r="Q294" s="192"/>
      <c r="R294" s="7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  <c r="AC294" s="180"/>
      <c r="AD294" s="180"/>
      <c r="AE294" s="180"/>
      <c r="AF294" s="180"/>
      <c r="AG294" s="180"/>
      <c r="AH294" s="180">
        <v>1</v>
      </c>
    </row>
    <row r="295" spans="2:34" ht="23.25" customHeight="1" x14ac:dyDescent="0.15">
      <c r="B295" s="125"/>
      <c r="C295" s="214"/>
      <c r="D295" s="100"/>
      <c r="E295" s="163"/>
      <c r="F295" s="187" t="s">
        <v>264</v>
      </c>
      <c r="G295" s="189"/>
      <c r="H295" s="43" t="s">
        <v>20</v>
      </c>
      <c r="I295" s="8"/>
      <c r="J295" s="9"/>
      <c r="K295" s="10" t="str">
        <f t="shared" si="18"/>
        <v>-</v>
      </c>
      <c r="L295" s="141">
        <f t="shared" si="17"/>
        <v>0</v>
      </c>
      <c r="M295" s="129"/>
      <c r="N295" s="190"/>
      <c r="O295" s="191"/>
      <c r="P295" s="191"/>
      <c r="Q295" s="192"/>
      <c r="R295" s="7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  <c r="AC295" s="180"/>
      <c r="AD295" s="180"/>
      <c r="AE295" s="180"/>
      <c r="AF295" s="180"/>
      <c r="AG295" s="180"/>
      <c r="AH295" s="180">
        <v>1</v>
      </c>
    </row>
    <row r="296" spans="2:34" ht="23.25" customHeight="1" x14ac:dyDescent="0.15">
      <c r="B296" s="125"/>
      <c r="C296" s="214"/>
      <c r="D296" s="100"/>
      <c r="E296" s="163"/>
      <c r="F296" s="187" t="s">
        <v>265</v>
      </c>
      <c r="G296" s="189"/>
      <c r="H296" s="43" t="s">
        <v>20</v>
      </c>
      <c r="I296" s="8"/>
      <c r="J296" s="9"/>
      <c r="K296" s="10" t="str">
        <f t="shared" si="18"/>
        <v>-</v>
      </c>
      <c r="L296" s="141">
        <f t="shared" si="17"/>
        <v>0</v>
      </c>
      <c r="M296" s="129"/>
      <c r="N296" s="190"/>
      <c r="O296" s="191"/>
      <c r="P296" s="191"/>
      <c r="Q296" s="192"/>
      <c r="R296" s="7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  <c r="AC296" s="180"/>
      <c r="AD296" s="180"/>
      <c r="AE296" s="180"/>
      <c r="AF296" s="180"/>
      <c r="AG296" s="180"/>
      <c r="AH296" s="180">
        <v>1</v>
      </c>
    </row>
    <row r="297" spans="2:34" ht="23.25" customHeight="1" x14ac:dyDescent="0.15">
      <c r="B297" s="125"/>
      <c r="C297" s="214"/>
      <c r="D297" s="100"/>
      <c r="E297" s="163"/>
      <c r="F297" s="187" t="s">
        <v>67</v>
      </c>
      <c r="G297" s="189"/>
      <c r="H297" s="43" t="s">
        <v>20</v>
      </c>
      <c r="I297" s="8"/>
      <c r="J297" s="9"/>
      <c r="K297" s="10" t="str">
        <f t="shared" si="18"/>
        <v>-</v>
      </c>
      <c r="L297" s="141">
        <f t="shared" si="17"/>
        <v>0</v>
      </c>
      <c r="M297" s="129"/>
      <c r="N297" s="190"/>
      <c r="O297" s="191"/>
      <c r="P297" s="191"/>
      <c r="Q297" s="192"/>
      <c r="R297" s="7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  <c r="AC297" s="180"/>
      <c r="AD297" s="180"/>
      <c r="AE297" s="180"/>
      <c r="AF297" s="180"/>
      <c r="AG297" s="180"/>
      <c r="AH297" s="180">
        <v>1</v>
      </c>
    </row>
    <row r="298" spans="2:34" ht="23.25" customHeight="1" x14ac:dyDescent="0.15">
      <c r="B298" s="125"/>
      <c r="C298" s="214"/>
      <c r="D298" s="111"/>
      <c r="E298" s="164"/>
      <c r="F298" s="187" t="s">
        <v>266</v>
      </c>
      <c r="G298" s="189"/>
      <c r="H298" s="43" t="s">
        <v>20</v>
      </c>
      <c r="I298" s="8"/>
      <c r="J298" s="9"/>
      <c r="K298" s="10" t="str">
        <f t="shared" si="18"/>
        <v>-</v>
      </c>
      <c r="L298" s="141">
        <f t="shared" si="17"/>
        <v>0</v>
      </c>
      <c r="M298" s="129"/>
      <c r="N298" s="190"/>
      <c r="O298" s="191"/>
      <c r="P298" s="191"/>
      <c r="Q298" s="192"/>
      <c r="R298" s="7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  <c r="AC298" s="180"/>
      <c r="AD298" s="180"/>
      <c r="AE298" s="180"/>
      <c r="AF298" s="180"/>
      <c r="AG298" s="180"/>
      <c r="AH298" s="180">
        <v>1</v>
      </c>
    </row>
    <row r="299" spans="2:34" ht="23.25" customHeight="1" x14ac:dyDescent="0.15">
      <c r="B299" s="125"/>
      <c r="C299" s="214"/>
      <c r="D299" s="193" t="s">
        <v>267</v>
      </c>
      <c r="E299" s="188"/>
      <c r="F299" s="188"/>
      <c r="G299" s="189"/>
      <c r="H299" s="43" t="s">
        <v>20</v>
      </c>
      <c r="I299" s="8"/>
      <c r="J299" s="9"/>
      <c r="K299" s="10" t="str">
        <f t="shared" si="18"/>
        <v>-</v>
      </c>
      <c r="L299" s="141">
        <f t="shared" si="17"/>
        <v>0</v>
      </c>
      <c r="M299" s="129"/>
      <c r="N299" s="190"/>
      <c r="O299" s="191"/>
      <c r="P299" s="191"/>
      <c r="Q299" s="192"/>
      <c r="R299" s="7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  <c r="AC299" s="180"/>
      <c r="AD299" s="180"/>
      <c r="AE299" s="180"/>
      <c r="AF299" s="180"/>
      <c r="AG299" s="180"/>
      <c r="AH299" s="180">
        <v>1</v>
      </c>
    </row>
    <row r="300" spans="2:34" ht="23.25" customHeight="1" x14ac:dyDescent="0.15">
      <c r="B300" s="125"/>
      <c r="C300" s="214"/>
      <c r="D300" s="194" t="s">
        <v>268</v>
      </c>
      <c r="E300" s="188"/>
      <c r="F300" s="188"/>
      <c r="G300" s="189"/>
      <c r="H300" s="43" t="s">
        <v>121</v>
      </c>
      <c r="I300" s="103"/>
      <c r="J300" s="104"/>
      <c r="K300" s="10" t="str">
        <f t="shared" si="18"/>
        <v>-</v>
      </c>
      <c r="L300" s="152">
        <f t="shared" si="17"/>
        <v>0</v>
      </c>
      <c r="M300" s="129"/>
      <c r="N300" s="190"/>
      <c r="O300" s="191"/>
      <c r="P300" s="191"/>
      <c r="Q300" s="192"/>
      <c r="R300" s="7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  <c r="AC300" s="180"/>
      <c r="AD300" s="180"/>
      <c r="AE300" s="180"/>
      <c r="AF300" s="180"/>
      <c r="AG300" s="180"/>
      <c r="AH300" s="180">
        <v>1</v>
      </c>
    </row>
    <row r="301" spans="2:34" ht="23.25" customHeight="1" x14ac:dyDescent="0.15">
      <c r="B301" s="125"/>
      <c r="C301" s="214"/>
      <c r="D301" s="100"/>
      <c r="E301" s="187" t="s">
        <v>269</v>
      </c>
      <c r="F301" s="188"/>
      <c r="G301" s="189"/>
      <c r="H301" s="43" t="s">
        <v>121</v>
      </c>
      <c r="I301" s="103"/>
      <c r="J301" s="104"/>
      <c r="K301" s="10" t="str">
        <f t="shared" si="18"/>
        <v>-</v>
      </c>
      <c r="L301" s="152">
        <f t="shared" si="17"/>
        <v>0</v>
      </c>
      <c r="M301" s="129"/>
      <c r="N301" s="190"/>
      <c r="O301" s="191"/>
      <c r="P301" s="191"/>
      <c r="Q301" s="192"/>
      <c r="R301" s="7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  <c r="AC301" s="180"/>
      <c r="AD301" s="180"/>
      <c r="AE301" s="180"/>
      <c r="AF301" s="180"/>
      <c r="AG301" s="180"/>
      <c r="AH301" s="180">
        <v>1</v>
      </c>
    </row>
    <row r="302" spans="2:34" ht="23.25" customHeight="1" x14ac:dyDescent="0.15">
      <c r="B302" s="125"/>
      <c r="C302" s="214"/>
      <c r="D302" s="111"/>
      <c r="E302" s="187" t="s">
        <v>270</v>
      </c>
      <c r="F302" s="188"/>
      <c r="G302" s="189"/>
      <c r="H302" s="43" t="s">
        <v>121</v>
      </c>
      <c r="I302" s="103"/>
      <c r="J302" s="104"/>
      <c r="K302" s="10" t="str">
        <f t="shared" si="18"/>
        <v>-</v>
      </c>
      <c r="L302" s="152">
        <f t="shared" si="17"/>
        <v>0</v>
      </c>
      <c r="M302" s="129"/>
      <c r="N302" s="190"/>
      <c r="O302" s="191"/>
      <c r="P302" s="191"/>
      <c r="Q302" s="192"/>
      <c r="R302" s="7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  <c r="AC302" s="180"/>
      <c r="AD302" s="180"/>
      <c r="AE302" s="180"/>
      <c r="AF302" s="180"/>
      <c r="AG302" s="180"/>
      <c r="AH302" s="180">
        <v>1</v>
      </c>
    </row>
    <row r="303" spans="2:34" ht="23.25" customHeight="1" x14ac:dyDescent="0.15">
      <c r="B303" s="125"/>
      <c r="C303" s="214"/>
      <c r="D303" s="194" t="s">
        <v>182</v>
      </c>
      <c r="E303" s="188"/>
      <c r="F303" s="188"/>
      <c r="G303" s="189"/>
      <c r="H303" s="43" t="s">
        <v>183</v>
      </c>
      <c r="I303" s="8"/>
      <c r="J303" s="9"/>
      <c r="K303" s="10" t="str">
        <f t="shared" si="18"/>
        <v>-</v>
      </c>
      <c r="L303" s="141">
        <f t="shared" si="17"/>
        <v>0</v>
      </c>
      <c r="M303" s="129"/>
      <c r="N303" s="182"/>
      <c r="O303" s="183"/>
      <c r="P303" s="183"/>
      <c r="Q303" s="184"/>
      <c r="R303" s="7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  <c r="AC303" s="180"/>
      <c r="AD303" s="180"/>
      <c r="AE303" s="180"/>
      <c r="AF303" s="180"/>
      <c r="AG303" s="180"/>
      <c r="AH303" s="180"/>
    </row>
    <row r="304" spans="2:34" ht="23.25" customHeight="1" x14ac:dyDescent="0.15">
      <c r="B304" s="125"/>
      <c r="C304" s="214"/>
      <c r="D304" s="210" t="s">
        <v>271</v>
      </c>
      <c r="E304" s="187" t="s">
        <v>272</v>
      </c>
      <c r="F304" s="188"/>
      <c r="G304" s="189"/>
      <c r="H304" s="43" t="s">
        <v>121</v>
      </c>
      <c r="I304" s="103"/>
      <c r="J304" s="104"/>
      <c r="K304" s="10" t="str">
        <f t="shared" si="18"/>
        <v>-</v>
      </c>
      <c r="L304" s="152">
        <f t="shared" si="17"/>
        <v>0</v>
      </c>
      <c r="M304" s="129"/>
      <c r="N304" s="190"/>
      <c r="O304" s="191"/>
      <c r="P304" s="191"/>
      <c r="Q304" s="192"/>
      <c r="R304" s="7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  <c r="AC304" s="180"/>
      <c r="AD304" s="180"/>
      <c r="AE304" s="180"/>
      <c r="AF304" s="180"/>
      <c r="AG304" s="180"/>
      <c r="AH304" s="180">
        <v>1</v>
      </c>
    </row>
    <row r="305" spans="2:34" ht="23.25" customHeight="1" x14ac:dyDescent="0.15">
      <c r="B305" s="125"/>
      <c r="C305" s="214"/>
      <c r="D305" s="211"/>
      <c r="E305" s="187" t="s">
        <v>273</v>
      </c>
      <c r="F305" s="188"/>
      <c r="G305" s="189"/>
      <c r="H305" s="43" t="s">
        <v>121</v>
      </c>
      <c r="I305" s="103"/>
      <c r="J305" s="104"/>
      <c r="K305" s="10" t="str">
        <f t="shared" si="18"/>
        <v>-</v>
      </c>
      <c r="L305" s="152">
        <f t="shared" si="17"/>
        <v>0</v>
      </c>
      <c r="M305" s="129"/>
      <c r="N305" s="190"/>
      <c r="O305" s="191"/>
      <c r="P305" s="191"/>
      <c r="Q305" s="192"/>
      <c r="R305" s="7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  <c r="AC305" s="180"/>
      <c r="AD305" s="180"/>
      <c r="AE305" s="180"/>
      <c r="AF305" s="180"/>
      <c r="AG305" s="180"/>
      <c r="AH305" s="180">
        <v>1</v>
      </c>
    </row>
    <row r="306" spans="2:34" ht="23.25" customHeight="1" x14ac:dyDescent="0.15">
      <c r="B306" s="125"/>
      <c r="C306" s="214"/>
      <c r="D306" s="211"/>
      <c r="E306" s="187" t="s">
        <v>274</v>
      </c>
      <c r="F306" s="188"/>
      <c r="G306" s="189"/>
      <c r="H306" s="43" t="s">
        <v>121</v>
      </c>
      <c r="I306" s="103"/>
      <c r="J306" s="104"/>
      <c r="K306" s="10" t="str">
        <f t="shared" si="18"/>
        <v>-</v>
      </c>
      <c r="L306" s="152">
        <f t="shared" si="17"/>
        <v>0</v>
      </c>
      <c r="M306" s="129"/>
      <c r="N306" s="190"/>
      <c r="O306" s="191"/>
      <c r="P306" s="191"/>
      <c r="Q306" s="192"/>
      <c r="R306" s="7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  <c r="AC306" s="180"/>
      <c r="AD306" s="180"/>
      <c r="AE306" s="180"/>
      <c r="AF306" s="180"/>
      <c r="AG306" s="180"/>
      <c r="AH306" s="180">
        <v>1</v>
      </c>
    </row>
    <row r="307" spans="2:34" ht="23.25" customHeight="1" x14ac:dyDescent="0.15">
      <c r="B307" s="125"/>
      <c r="C307" s="214"/>
      <c r="D307" s="211"/>
      <c r="E307" s="187" t="s">
        <v>275</v>
      </c>
      <c r="F307" s="188"/>
      <c r="G307" s="189"/>
      <c r="H307" s="43" t="s">
        <v>121</v>
      </c>
      <c r="I307" s="103"/>
      <c r="J307" s="104"/>
      <c r="K307" s="10" t="str">
        <f t="shared" si="18"/>
        <v>-</v>
      </c>
      <c r="L307" s="152">
        <f t="shared" si="17"/>
        <v>0</v>
      </c>
      <c r="M307" s="129"/>
      <c r="N307" s="190"/>
      <c r="O307" s="191"/>
      <c r="P307" s="191"/>
      <c r="Q307" s="192"/>
      <c r="R307" s="7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  <c r="AC307" s="180"/>
      <c r="AD307" s="180"/>
      <c r="AE307" s="180"/>
      <c r="AF307" s="180"/>
      <c r="AG307" s="180"/>
      <c r="AH307" s="180">
        <v>1</v>
      </c>
    </row>
    <row r="308" spans="2:34" ht="23.25" customHeight="1" x14ac:dyDescent="0.15">
      <c r="B308" s="125"/>
      <c r="C308" s="214"/>
      <c r="D308" s="211"/>
      <c r="E308" s="187" t="s">
        <v>276</v>
      </c>
      <c r="F308" s="188"/>
      <c r="G308" s="189"/>
      <c r="H308" s="43" t="s">
        <v>121</v>
      </c>
      <c r="I308" s="103"/>
      <c r="J308" s="104"/>
      <c r="K308" s="10" t="str">
        <f t="shared" si="18"/>
        <v>-</v>
      </c>
      <c r="L308" s="152">
        <f t="shared" si="17"/>
        <v>0</v>
      </c>
      <c r="M308" s="129"/>
      <c r="N308" s="190"/>
      <c r="O308" s="191"/>
      <c r="P308" s="191"/>
      <c r="Q308" s="192"/>
      <c r="R308" s="7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  <c r="AC308" s="180"/>
      <c r="AD308" s="180"/>
      <c r="AE308" s="180"/>
      <c r="AF308" s="180"/>
      <c r="AG308" s="180"/>
      <c r="AH308" s="180">
        <v>1</v>
      </c>
    </row>
    <row r="309" spans="2:34" ht="23.25" customHeight="1" x14ac:dyDescent="0.15">
      <c r="B309" s="125"/>
      <c r="C309" s="214"/>
      <c r="D309" s="211"/>
      <c r="E309" s="187" t="s">
        <v>277</v>
      </c>
      <c r="F309" s="188"/>
      <c r="G309" s="189"/>
      <c r="H309" s="43" t="s">
        <v>121</v>
      </c>
      <c r="I309" s="103"/>
      <c r="J309" s="104"/>
      <c r="K309" s="10" t="str">
        <f t="shared" si="18"/>
        <v>-</v>
      </c>
      <c r="L309" s="152">
        <f t="shared" si="17"/>
        <v>0</v>
      </c>
      <c r="M309" s="129"/>
      <c r="N309" s="190"/>
      <c r="O309" s="191"/>
      <c r="P309" s="191"/>
      <c r="Q309" s="192"/>
      <c r="R309" s="7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  <c r="AC309" s="180"/>
      <c r="AD309" s="180"/>
      <c r="AE309" s="180"/>
      <c r="AF309" s="180"/>
      <c r="AG309" s="180"/>
      <c r="AH309" s="180">
        <v>1</v>
      </c>
    </row>
    <row r="310" spans="2:34" ht="23.25" customHeight="1" x14ac:dyDescent="0.15">
      <c r="B310" s="125"/>
      <c r="C310" s="214"/>
      <c r="D310" s="211"/>
      <c r="E310" s="187" t="s">
        <v>278</v>
      </c>
      <c r="F310" s="188"/>
      <c r="G310" s="189"/>
      <c r="H310" s="43" t="s">
        <v>121</v>
      </c>
      <c r="I310" s="103"/>
      <c r="J310" s="104"/>
      <c r="K310" s="10" t="str">
        <f t="shared" si="18"/>
        <v>-</v>
      </c>
      <c r="L310" s="152">
        <f t="shared" si="17"/>
        <v>0</v>
      </c>
      <c r="M310" s="129"/>
      <c r="N310" s="190"/>
      <c r="O310" s="191"/>
      <c r="P310" s="191"/>
      <c r="Q310" s="192"/>
      <c r="R310" s="7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  <c r="AC310" s="180"/>
      <c r="AD310" s="180"/>
      <c r="AE310" s="180"/>
      <c r="AF310" s="180"/>
      <c r="AG310" s="180"/>
      <c r="AH310" s="180">
        <v>1</v>
      </c>
    </row>
    <row r="311" spans="2:34" ht="23.25" customHeight="1" x14ac:dyDescent="0.15">
      <c r="B311" s="125"/>
      <c r="C311" s="214"/>
      <c r="D311" s="211"/>
      <c r="E311" s="187" t="s">
        <v>279</v>
      </c>
      <c r="F311" s="188"/>
      <c r="G311" s="189"/>
      <c r="H311" s="43" t="s">
        <v>121</v>
      </c>
      <c r="I311" s="103"/>
      <c r="J311" s="104"/>
      <c r="K311" s="10" t="str">
        <f t="shared" si="18"/>
        <v>-</v>
      </c>
      <c r="L311" s="152">
        <f t="shared" si="17"/>
        <v>0</v>
      </c>
      <c r="M311" s="129"/>
      <c r="N311" s="190"/>
      <c r="O311" s="191"/>
      <c r="P311" s="191"/>
      <c r="Q311" s="192"/>
      <c r="R311" s="7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  <c r="AC311" s="180"/>
      <c r="AD311" s="180"/>
      <c r="AE311" s="180"/>
      <c r="AF311" s="180"/>
      <c r="AG311" s="180"/>
      <c r="AH311" s="180">
        <v>1</v>
      </c>
    </row>
    <row r="312" spans="2:34" ht="23.25" customHeight="1" x14ac:dyDescent="0.15">
      <c r="B312" s="125"/>
      <c r="C312" s="214"/>
      <c r="D312" s="211"/>
      <c r="E312" s="187" t="s">
        <v>280</v>
      </c>
      <c r="F312" s="188"/>
      <c r="G312" s="189"/>
      <c r="H312" s="43" t="s">
        <v>121</v>
      </c>
      <c r="I312" s="103"/>
      <c r="J312" s="104"/>
      <c r="K312" s="10" t="str">
        <f t="shared" si="18"/>
        <v>-</v>
      </c>
      <c r="L312" s="152">
        <f t="shared" si="17"/>
        <v>0</v>
      </c>
      <c r="M312" s="129"/>
      <c r="N312" s="190"/>
      <c r="O312" s="191"/>
      <c r="P312" s="191"/>
      <c r="Q312" s="192"/>
      <c r="R312" s="7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  <c r="AC312" s="180"/>
      <c r="AD312" s="180"/>
      <c r="AE312" s="180"/>
      <c r="AF312" s="180"/>
      <c r="AG312" s="180"/>
      <c r="AH312" s="180">
        <v>1</v>
      </c>
    </row>
    <row r="313" spans="2:34" ht="23.25" customHeight="1" thickBot="1" x14ac:dyDescent="0.2">
      <c r="B313" s="125"/>
      <c r="C313" s="215"/>
      <c r="D313" s="212"/>
      <c r="E313" s="203" t="s">
        <v>281</v>
      </c>
      <c r="F313" s="198"/>
      <c r="G313" s="199"/>
      <c r="H313" s="91" t="s">
        <v>121</v>
      </c>
      <c r="I313" s="120"/>
      <c r="J313" s="121"/>
      <c r="K313" s="94" t="str">
        <f t="shared" si="18"/>
        <v>-</v>
      </c>
      <c r="L313" s="153">
        <f t="shared" si="17"/>
        <v>0</v>
      </c>
      <c r="M313" s="136"/>
      <c r="N313" s="200"/>
      <c r="O313" s="201"/>
      <c r="P313" s="201"/>
      <c r="Q313" s="202"/>
      <c r="R313" s="7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  <c r="AC313" s="180"/>
      <c r="AD313" s="180"/>
      <c r="AE313" s="180"/>
      <c r="AF313" s="180"/>
      <c r="AG313" s="180"/>
      <c r="AH313" s="180">
        <v>1</v>
      </c>
    </row>
    <row r="314" spans="2:34" ht="23.25" customHeight="1" x14ac:dyDescent="0.15">
      <c r="B314" s="125"/>
      <c r="C314" s="204"/>
      <c r="D314" s="205"/>
      <c r="E314" s="205"/>
      <c r="F314" s="205"/>
      <c r="G314" s="206"/>
      <c r="H314" s="95"/>
      <c r="I314" s="154"/>
      <c r="J314" s="155"/>
      <c r="K314" s="98" t="str">
        <f t="shared" si="18"/>
        <v>-</v>
      </c>
      <c r="L314" s="160">
        <f t="shared" si="17"/>
        <v>0</v>
      </c>
      <c r="M314" s="137"/>
      <c r="N314" s="207"/>
      <c r="O314" s="208"/>
      <c r="P314" s="208"/>
      <c r="Q314" s="209"/>
      <c r="R314" s="7"/>
      <c r="S314" s="180"/>
      <c r="T314" s="180">
        <v>1</v>
      </c>
      <c r="U314" s="180">
        <v>1</v>
      </c>
      <c r="V314" s="180">
        <v>1</v>
      </c>
      <c r="W314" s="180">
        <v>1</v>
      </c>
      <c r="X314" s="180">
        <v>1</v>
      </c>
      <c r="Y314" s="180">
        <v>1</v>
      </c>
      <c r="Z314" s="180">
        <v>1</v>
      </c>
      <c r="AA314" s="180">
        <v>1</v>
      </c>
      <c r="AB314" s="180">
        <v>1</v>
      </c>
      <c r="AC314" s="180">
        <v>1</v>
      </c>
      <c r="AD314" s="180">
        <v>1</v>
      </c>
      <c r="AE314" s="180">
        <v>1</v>
      </c>
      <c r="AF314" s="180">
        <v>1</v>
      </c>
      <c r="AG314" s="180">
        <v>1</v>
      </c>
      <c r="AH314" s="180"/>
    </row>
    <row r="315" spans="2:34" ht="23.25" customHeight="1" x14ac:dyDescent="0.15">
      <c r="B315" s="125"/>
      <c r="C315" s="196"/>
      <c r="D315" s="188"/>
      <c r="E315" s="188"/>
      <c r="F315" s="188"/>
      <c r="G315" s="189"/>
      <c r="H315" s="43"/>
      <c r="I315" s="156"/>
      <c r="J315" s="157"/>
      <c r="K315" s="10" t="str">
        <f t="shared" si="18"/>
        <v>-</v>
      </c>
      <c r="L315" s="161">
        <f t="shared" si="17"/>
        <v>0</v>
      </c>
      <c r="M315" s="129"/>
      <c r="N315" s="190"/>
      <c r="O315" s="191"/>
      <c r="P315" s="191"/>
      <c r="Q315" s="192"/>
      <c r="R315" s="7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  <c r="AC315" s="180"/>
      <c r="AD315" s="180"/>
      <c r="AE315" s="180"/>
      <c r="AF315" s="180"/>
      <c r="AG315" s="180"/>
      <c r="AH315" s="180"/>
    </row>
    <row r="316" spans="2:34" ht="23.25" customHeight="1" x14ac:dyDescent="0.15">
      <c r="B316" s="125"/>
      <c r="C316" s="196"/>
      <c r="D316" s="188"/>
      <c r="E316" s="188"/>
      <c r="F316" s="188"/>
      <c r="G316" s="189"/>
      <c r="H316" s="43"/>
      <c r="I316" s="156"/>
      <c r="J316" s="157"/>
      <c r="K316" s="10" t="str">
        <f t="shared" si="18"/>
        <v>-</v>
      </c>
      <c r="L316" s="161">
        <f t="shared" si="17"/>
        <v>0</v>
      </c>
      <c r="M316" s="129"/>
      <c r="N316" s="190"/>
      <c r="O316" s="191"/>
      <c r="P316" s="191"/>
      <c r="Q316" s="192"/>
      <c r="R316" s="7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  <c r="AC316" s="180"/>
      <c r="AD316" s="180"/>
      <c r="AE316" s="180"/>
      <c r="AF316" s="180"/>
      <c r="AG316" s="180"/>
      <c r="AH316" s="180"/>
    </row>
    <row r="317" spans="2:34" ht="23.25" customHeight="1" x14ac:dyDescent="0.15">
      <c r="B317" s="125"/>
      <c r="C317" s="196"/>
      <c r="D317" s="188"/>
      <c r="E317" s="188"/>
      <c r="F317" s="188"/>
      <c r="G317" s="189"/>
      <c r="H317" s="43"/>
      <c r="I317" s="156"/>
      <c r="J317" s="157"/>
      <c r="K317" s="10" t="str">
        <f t="shared" si="18"/>
        <v>-</v>
      </c>
      <c r="L317" s="161">
        <f t="shared" si="17"/>
        <v>0</v>
      </c>
      <c r="M317" s="129"/>
      <c r="N317" s="190"/>
      <c r="O317" s="191"/>
      <c r="P317" s="191"/>
      <c r="Q317" s="192"/>
      <c r="R317" s="7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  <c r="AC317" s="180"/>
      <c r="AD317" s="180"/>
      <c r="AE317" s="180"/>
      <c r="AF317" s="180"/>
      <c r="AG317" s="180"/>
      <c r="AH317" s="180"/>
    </row>
    <row r="318" spans="2:34" ht="23.25" customHeight="1" x14ac:dyDescent="0.15">
      <c r="B318" s="125"/>
      <c r="C318" s="196"/>
      <c r="D318" s="188"/>
      <c r="E318" s="188"/>
      <c r="F318" s="188"/>
      <c r="G318" s="189"/>
      <c r="H318" s="43"/>
      <c r="I318" s="156"/>
      <c r="J318" s="157"/>
      <c r="K318" s="10" t="str">
        <f t="shared" si="18"/>
        <v>-</v>
      </c>
      <c r="L318" s="161">
        <f t="shared" si="17"/>
        <v>0</v>
      </c>
      <c r="M318" s="129"/>
      <c r="N318" s="190"/>
      <c r="O318" s="191"/>
      <c r="P318" s="191"/>
      <c r="Q318" s="192"/>
      <c r="R318" s="7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  <c r="AC318" s="180"/>
      <c r="AD318" s="180"/>
      <c r="AE318" s="180"/>
      <c r="AF318" s="180"/>
      <c r="AG318" s="180"/>
      <c r="AH318" s="180"/>
    </row>
    <row r="319" spans="2:34" ht="23.25" customHeight="1" x14ac:dyDescent="0.15">
      <c r="B319" s="125"/>
      <c r="C319" s="196"/>
      <c r="D319" s="188"/>
      <c r="E319" s="188"/>
      <c r="F319" s="188"/>
      <c r="G319" s="189"/>
      <c r="H319" s="43"/>
      <c r="I319" s="156"/>
      <c r="J319" s="157"/>
      <c r="K319" s="10" t="str">
        <f t="shared" si="18"/>
        <v>-</v>
      </c>
      <c r="L319" s="161">
        <f t="shared" si="17"/>
        <v>0</v>
      </c>
      <c r="M319" s="129"/>
      <c r="N319" s="190"/>
      <c r="O319" s="191"/>
      <c r="P319" s="191"/>
      <c r="Q319" s="192"/>
      <c r="R319" s="7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  <c r="AC319" s="180"/>
      <c r="AD319" s="180"/>
      <c r="AE319" s="180"/>
      <c r="AF319" s="180"/>
      <c r="AG319" s="180"/>
      <c r="AH319" s="180"/>
    </row>
    <row r="320" spans="2:34" ht="23.25" customHeight="1" x14ac:dyDescent="0.15">
      <c r="B320" s="125"/>
      <c r="C320" s="196"/>
      <c r="D320" s="188"/>
      <c r="E320" s="188"/>
      <c r="F320" s="188"/>
      <c r="G320" s="189"/>
      <c r="H320" s="43"/>
      <c r="I320" s="156"/>
      <c r="J320" s="157"/>
      <c r="K320" s="10" t="str">
        <f t="shared" si="18"/>
        <v>-</v>
      </c>
      <c r="L320" s="161">
        <f t="shared" si="17"/>
        <v>0</v>
      </c>
      <c r="M320" s="129"/>
      <c r="N320" s="190"/>
      <c r="O320" s="191"/>
      <c r="P320" s="191"/>
      <c r="Q320" s="192"/>
      <c r="R320" s="7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  <c r="AC320" s="180"/>
      <c r="AD320" s="180"/>
      <c r="AE320" s="180"/>
      <c r="AF320" s="180"/>
      <c r="AG320" s="180"/>
      <c r="AH320" s="180"/>
    </row>
    <row r="321" spans="1:34" ht="23.25" customHeight="1" x14ac:dyDescent="0.15">
      <c r="B321" s="125"/>
      <c r="C321" s="196"/>
      <c r="D321" s="188"/>
      <c r="E321" s="188"/>
      <c r="F321" s="188"/>
      <c r="G321" s="189"/>
      <c r="H321" s="43"/>
      <c r="I321" s="156"/>
      <c r="J321" s="157"/>
      <c r="K321" s="10" t="str">
        <f t="shared" si="18"/>
        <v>-</v>
      </c>
      <c r="L321" s="161">
        <f t="shared" si="17"/>
        <v>0</v>
      </c>
      <c r="M321" s="129"/>
      <c r="N321" s="190"/>
      <c r="O321" s="191"/>
      <c r="P321" s="191"/>
      <c r="Q321" s="192"/>
      <c r="R321" s="7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  <c r="AC321" s="180"/>
      <c r="AD321" s="180"/>
      <c r="AE321" s="180"/>
      <c r="AF321" s="180"/>
      <c r="AG321" s="180"/>
      <c r="AH321" s="180"/>
    </row>
    <row r="322" spans="1:34" s="175" customFormat="1" ht="23.25" customHeight="1" x14ac:dyDescent="0.15">
      <c r="A322" s="27"/>
      <c r="B322" s="125"/>
      <c r="C322" s="196"/>
      <c r="D322" s="188"/>
      <c r="E322" s="188"/>
      <c r="F322" s="188"/>
      <c r="G322" s="189"/>
      <c r="H322" s="43"/>
      <c r="I322" s="156"/>
      <c r="J322" s="157"/>
      <c r="K322" s="10" t="str">
        <f t="shared" si="18"/>
        <v>-</v>
      </c>
      <c r="L322" s="161">
        <f t="shared" si="17"/>
        <v>0</v>
      </c>
      <c r="M322" s="129"/>
      <c r="N322" s="190"/>
      <c r="O322" s="191"/>
      <c r="P322" s="191"/>
      <c r="Q322" s="192"/>
      <c r="R322" s="7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  <c r="AC322" s="180"/>
      <c r="AD322" s="180"/>
      <c r="AE322" s="180"/>
      <c r="AF322" s="180"/>
      <c r="AG322" s="180"/>
      <c r="AH322" s="180"/>
    </row>
    <row r="323" spans="1:34" s="175" customFormat="1" ht="23.25" customHeight="1" x14ac:dyDescent="0.15">
      <c r="A323" s="27"/>
      <c r="B323" s="125"/>
      <c r="C323" s="196"/>
      <c r="D323" s="188"/>
      <c r="E323" s="188"/>
      <c r="F323" s="188"/>
      <c r="G323" s="189"/>
      <c r="H323" s="43"/>
      <c r="I323" s="156"/>
      <c r="J323" s="157"/>
      <c r="K323" s="10" t="str">
        <f t="shared" si="18"/>
        <v>-</v>
      </c>
      <c r="L323" s="161">
        <f t="shared" si="17"/>
        <v>0</v>
      </c>
      <c r="M323" s="129"/>
      <c r="N323" s="190"/>
      <c r="O323" s="191"/>
      <c r="P323" s="191"/>
      <c r="Q323" s="192"/>
      <c r="R323" s="7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180"/>
      <c r="AF323" s="180"/>
      <c r="AG323" s="180"/>
      <c r="AH323" s="180"/>
    </row>
    <row r="324" spans="1:34" s="175" customFormat="1" ht="23.25" customHeight="1" x14ac:dyDescent="0.15">
      <c r="A324" s="27"/>
      <c r="B324" s="125"/>
      <c r="C324" s="196"/>
      <c r="D324" s="188"/>
      <c r="E324" s="188"/>
      <c r="F324" s="188"/>
      <c r="G324" s="189"/>
      <c r="H324" s="43"/>
      <c r="I324" s="156"/>
      <c r="J324" s="157"/>
      <c r="K324" s="10" t="str">
        <f t="shared" si="18"/>
        <v>-</v>
      </c>
      <c r="L324" s="161">
        <f t="shared" si="17"/>
        <v>0</v>
      </c>
      <c r="M324" s="129"/>
      <c r="N324" s="190"/>
      <c r="O324" s="191"/>
      <c r="P324" s="191"/>
      <c r="Q324" s="192"/>
      <c r="R324" s="7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  <c r="AC324" s="180"/>
      <c r="AD324" s="180"/>
      <c r="AE324" s="180"/>
      <c r="AF324" s="180"/>
      <c r="AG324" s="180"/>
      <c r="AH324" s="180"/>
    </row>
    <row r="325" spans="1:34" s="175" customFormat="1" ht="23.25" customHeight="1" x14ac:dyDescent="0.15">
      <c r="A325" s="27"/>
      <c r="B325" s="125"/>
      <c r="C325" s="196"/>
      <c r="D325" s="188"/>
      <c r="E325" s="188"/>
      <c r="F325" s="188"/>
      <c r="G325" s="189"/>
      <c r="H325" s="43"/>
      <c r="I325" s="156"/>
      <c r="J325" s="157"/>
      <c r="K325" s="10" t="str">
        <f t="shared" si="18"/>
        <v>-</v>
      </c>
      <c r="L325" s="161">
        <f t="shared" si="17"/>
        <v>0</v>
      </c>
      <c r="M325" s="129"/>
      <c r="N325" s="190"/>
      <c r="O325" s="191"/>
      <c r="P325" s="191"/>
      <c r="Q325" s="192"/>
      <c r="R325" s="7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  <c r="AC325" s="180"/>
      <c r="AD325" s="180"/>
      <c r="AE325" s="180"/>
      <c r="AF325" s="180"/>
      <c r="AG325" s="180"/>
      <c r="AH325" s="180"/>
    </row>
    <row r="326" spans="1:34" s="175" customFormat="1" ht="23.25" customHeight="1" x14ac:dyDescent="0.15">
      <c r="A326" s="27"/>
      <c r="B326" s="125"/>
      <c r="C326" s="196"/>
      <c r="D326" s="188"/>
      <c r="E326" s="188"/>
      <c r="F326" s="188"/>
      <c r="G326" s="189"/>
      <c r="H326" s="43"/>
      <c r="I326" s="156"/>
      <c r="J326" s="157"/>
      <c r="K326" s="10" t="str">
        <f t="shared" si="18"/>
        <v>-</v>
      </c>
      <c r="L326" s="161">
        <f t="shared" si="17"/>
        <v>0</v>
      </c>
      <c r="M326" s="129"/>
      <c r="N326" s="190"/>
      <c r="O326" s="191"/>
      <c r="P326" s="191"/>
      <c r="Q326" s="192"/>
      <c r="R326" s="7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  <c r="AC326" s="180"/>
      <c r="AD326" s="180"/>
      <c r="AE326" s="180"/>
      <c r="AF326" s="180"/>
      <c r="AG326" s="180"/>
      <c r="AH326" s="180"/>
    </row>
    <row r="327" spans="1:34" s="175" customFormat="1" ht="23.25" customHeight="1" x14ac:dyDescent="0.15">
      <c r="A327" s="27"/>
      <c r="B327" s="125"/>
      <c r="C327" s="196"/>
      <c r="D327" s="188"/>
      <c r="E327" s="188"/>
      <c r="F327" s="188"/>
      <c r="G327" s="189"/>
      <c r="H327" s="43"/>
      <c r="I327" s="156"/>
      <c r="J327" s="157"/>
      <c r="K327" s="10" t="str">
        <f t="shared" si="18"/>
        <v>-</v>
      </c>
      <c r="L327" s="161">
        <f t="shared" si="17"/>
        <v>0</v>
      </c>
      <c r="M327" s="129"/>
      <c r="N327" s="190"/>
      <c r="O327" s="191"/>
      <c r="P327" s="191"/>
      <c r="Q327" s="192"/>
      <c r="R327" s="7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  <c r="AC327" s="180"/>
      <c r="AD327" s="180"/>
      <c r="AE327" s="180"/>
      <c r="AF327" s="180"/>
      <c r="AG327" s="180"/>
      <c r="AH327" s="180"/>
    </row>
    <row r="328" spans="1:34" s="175" customFormat="1" ht="23.25" customHeight="1" x14ac:dyDescent="0.15">
      <c r="A328" s="27"/>
      <c r="B328" s="125"/>
      <c r="C328" s="196"/>
      <c r="D328" s="188"/>
      <c r="E328" s="188"/>
      <c r="F328" s="188"/>
      <c r="G328" s="189"/>
      <c r="H328" s="43"/>
      <c r="I328" s="156"/>
      <c r="J328" s="157"/>
      <c r="K328" s="10" t="str">
        <f t="shared" si="18"/>
        <v>-</v>
      </c>
      <c r="L328" s="161">
        <f t="shared" si="17"/>
        <v>0</v>
      </c>
      <c r="M328" s="129"/>
      <c r="N328" s="190"/>
      <c r="O328" s="191"/>
      <c r="P328" s="191"/>
      <c r="Q328" s="192"/>
      <c r="R328" s="7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  <c r="AC328" s="180"/>
      <c r="AD328" s="180"/>
      <c r="AE328" s="180"/>
      <c r="AF328" s="180"/>
      <c r="AG328" s="180"/>
      <c r="AH328" s="180"/>
    </row>
    <row r="329" spans="1:34" s="175" customFormat="1" ht="23.25" customHeight="1" x14ac:dyDescent="0.15">
      <c r="A329" s="27"/>
      <c r="B329" s="125"/>
      <c r="C329" s="196"/>
      <c r="D329" s="188"/>
      <c r="E329" s="188"/>
      <c r="F329" s="188"/>
      <c r="G329" s="189"/>
      <c r="H329" s="43"/>
      <c r="I329" s="156"/>
      <c r="J329" s="157"/>
      <c r="K329" s="10" t="str">
        <f t="shared" si="18"/>
        <v>-</v>
      </c>
      <c r="L329" s="161">
        <f t="shared" si="17"/>
        <v>0</v>
      </c>
      <c r="M329" s="129"/>
      <c r="N329" s="190"/>
      <c r="O329" s="191"/>
      <c r="P329" s="191"/>
      <c r="Q329" s="192"/>
      <c r="R329" s="7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  <c r="AC329" s="180"/>
      <c r="AD329" s="180"/>
      <c r="AE329" s="180"/>
      <c r="AF329" s="180"/>
      <c r="AG329" s="180"/>
      <c r="AH329" s="180"/>
    </row>
    <row r="330" spans="1:34" s="175" customFormat="1" ht="23.25" customHeight="1" x14ac:dyDescent="0.15">
      <c r="A330" s="27"/>
      <c r="B330" s="125"/>
      <c r="C330" s="196"/>
      <c r="D330" s="188"/>
      <c r="E330" s="188"/>
      <c r="F330" s="188"/>
      <c r="G330" s="189"/>
      <c r="H330" s="43"/>
      <c r="I330" s="156"/>
      <c r="J330" s="157"/>
      <c r="K330" s="10" t="str">
        <f t="shared" si="18"/>
        <v>-</v>
      </c>
      <c r="L330" s="161">
        <f t="shared" si="17"/>
        <v>0</v>
      </c>
      <c r="M330" s="129"/>
      <c r="N330" s="190"/>
      <c r="O330" s="191"/>
      <c r="P330" s="191"/>
      <c r="Q330" s="192"/>
      <c r="R330" s="7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  <c r="AC330" s="180"/>
      <c r="AD330" s="180"/>
      <c r="AE330" s="180"/>
      <c r="AF330" s="180"/>
      <c r="AG330" s="180"/>
      <c r="AH330" s="180"/>
    </row>
    <row r="331" spans="1:34" s="175" customFormat="1" ht="23.25" customHeight="1" x14ac:dyDescent="0.15">
      <c r="A331" s="27"/>
      <c r="B331" s="125"/>
      <c r="C331" s="196"/>
      <c r="D331" s="188"/>
      <c r="E331" s="188"/>
      <c r="F331" s="188"/>
      <c r="G331" s="189"/>
      <c r="H331" s="43"/>
      <c r="I331" s="156"/>
      <c r="J331" s="157"/>
      <c r="K331" s="10" t="str">
        <f t="shared" si="18"/>
        <v>-</v>
      </c>
      <c r="L331" s="161">
        <f t="shared" si="17"/>
        <v>0</v>
      </c>
      <c r="M331" s="129"/>
      <c r="N331" s="190"/>
      <c r="O331" s="191"/>
      <c r="P331" s="191"/>
      <c r="Q331" s="192"/>
      <c r="R331" s="7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  <c r="AC331" s="180"/>
      <c r="AD331" s="180"/>
      <c r="AE331" s="180"/>
      <c r="AF331" s="180"/>
      <c r="AG331" s="180"/>
      <c r="AH331" s="180"/>
    </row>
    <row r="332" spans="1:34" s="175" customFormat="1" ht="23.25" customHeight="1" x14ac:dyDescent="0.15">
      <c r="A332" s="27"/>
      <c r="B332" s="125"/>
      <c r="C332" s="196"/>
      <c r="D332" s="188"/>
      <c r="E332" s="188"/>
      <c r="F332" s="188"/>
      <c r="G332" s="189"/>
      <c r="H332" s="43"/>
      <c r="I332" s="156"/>
      <c r="J332" s="157"/>
      <c r="K332" s="10" t="str">
        <f t="shared" si="18"/>
        <v>-</v>
      </c>
      <c r="L332" s="161">
        <f t="shared" si="17"/>
        <v>0</v>
      </c>
      <c r="M332" s="129"/>
      <c r="N332" s="190"/>
      <c r="O332" s="191"/>
      <c r="P332" s="191"/>
      <c r="Q332" s="192"/>
      <c r="R332" s="7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  <c r="AC332" s="180"/>
      <c r="AD332" s="180"/>
      <c r="AE332" s="180"/>
      <c r="AF332" s="180"/>
      <c r="AG332" s="180"/>
      <c r="AH332" s="180"/>
    </row>
    <row r="333" spans="1:34" s="175" customFormat="1" ht="23.25" customHeight="1" x14ac:dyDescent="0.15">
      <c r="A333" s="27"/>
      <c r="B333" s="125"/>
      <c r="C333" s="196"/>
      <c r="D333" s="188"/>
      <c r="E333" s="188"/>
      <c r="F333" s="188"/>
      <c r="G333" s="189"/>
      <c r="H333" s="43"/>
      <c r="I333" s="156"/>
      <c r="J333" s="157"/>
      <c r="K333" s="10" t="str">
        <f t="shared" si="18"/>
        <v>-</v>
      </c>
      <c r="L333" s="161">
        <f t="shared" ref="L333:L396" si="19">IFERROR(J333-I333,"-")</f>
        <v>0</v>
      </c>
      <c r="M333" s="129"/>
      <c r="N333" s="190"/>
      <c r="O333" s="191"/>
      <c r="P333" s="191"/>
      <c r="Q333" s="192"/>
      <c r="R333" s="7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  <c r="AC333" s="180"/>
      <c r="AD333" s="180"/>
      <c r="AE333" s="180"/>
      <c r="AF333" s="180"/>
      <c r="AG333" s="180"/>
      <c r="AH333" s="180"/>
    </row>
    <row r="334" spans="1:34" s="175" customFormat="1" ht="23.25" customHeight="1" x14ac:dyDescent="0.15">
      <c r="A334" s="27"/>
      <c r="B334" s="125"/>
      <c r="C334" s="196"/>
      <c r="D334" s="188"/>
      <c r="E334" s="188"/>
      <c r="F334" s="188"/>
      <c r="G334" s="189"/>
      <c r="H334" s="43"/>
      <c r="I334" s="156"/>
      <c r="J334" s="157"/>
      <c r="K334" s="10" t="str">
        <f t="shared" si="18"/>
        <v>-</v>
      </c>
      <c r="L334" s="161">
        <f t="shared" si="19"/>
        <v>0</v>
      </c>
      <c r="M334" s="129"/>
      <c r="N334" s="190"/>
      <c r="O334" s="191"/>
      <c r="P334" s="191"/>
      <c r="Q334" s="192"/>
      <c r="R334" s="7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  <c r="AC334" s="180"/>
      <c r="AD334" s="180"/>
      <c r="AE334" s="180"/>
      <c r="AF334" s="180"/>
      <c r="AG334" s="180"/>
      <c r="AH334" s="180"/>
    </row>
    <row r="335" spans="1:34" s="175" customFormat="1" ht="23.25" customHeight="1" x14ac:dyDescent="0.15">
      <c r="A335" s="27"/>
      <c r="B335" s="125"/>
      <c r="C335" s="196"/>
      <c r="D335" s="188"/>
      <c r="E335" s="188"/>
      <c r="F335" s="188"/>
      <c r="G335" s="189"/>
      <c r="H335" s="43"/>
      <c r="I335" s="156"/>
      <c r="J335" s="157"/>
      <c r="K335" s="10" t="str">
        <f t="shared" si="18"/>
        <v>-</v>
      </c>
      <c r="L335" s="161">
        <f t="shared" si="19"/>
        <v>0</v>
      </c>
      <c r="M335" s="129"/>
      <c r="N335" s="190"/>
      <c r="O335" s="191"/>
      <c r="P335" s="191"/>
      <c r="Q335" s="192"/>
      <c r="R335" s="7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  <c r="AC335" s="180"/>
      <c r="AD335" s="180"/>
      <c r="AE335" s="180"/>
      <c r="AF335" s="180"/>
      <c r="AG335" s="180"/>
      <c r="AH335" s="180"/>
    </row>
    <row r="336" spans="1:34" s="175" customFormat="1" ht="23.25" customHeight="1" x14ac:dyDescent="0.15">
      <c r="A336" s="27"/>
      <c r="B336" s="125"/>
      <c r="C336" s="196"/>
      <c r="D336" s="188"/>
      <c r="E336" s="188"/>
      <c r="F336" s="188"/>
      <c r="G336" s="189"/>
      <c r="H336" s="43"/>
      <c r="I336" s="156"/>
      <c r="J336" s="157"/>
      <c r="K336" s="10" t="str">
        <f t="shared" si="18"/>
        <v>-</v>
      </c>
      <c r="L336" s="161">
        <f t="shared" si="19"/>
        <v>0</v>
      </c>
      <c r="M336" s="129"/>
      <c r="N336" s="190"/>
      <c r="O336" s="191"/>
      <c r="P336" s="191"/>
      <c r="Q336" s="192"/>
      <c r="R336" s="7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  <c r="AC336" s="180"/>
      <c r="AD336" s="180"/>
      <c r="AE336" s="180"/>
      <c r="AF336" s="180"/>
      <c r="AG336" s="180"/>
      <c r="AH336" s="180"/>
    </row>
    <row r="337" spans="1:34" s="175" customFormat="1" ht="23.25" customHeight="1" x14ac:dyDescent="0.15">
      <c r="A337" s="27"/>
      <c r="B337" s="125"/>
      <c r="C337" s="196"/>
      <c r="D337" s="188"/>
      <c r="E337" s="188"/>
      <c r="F337" s="188"/>
      <c r="G337" s="189"/>
      <c r="H337" s="43"/>
      <c r="I337" s="156"/>
      <c r="J337" s="157"/>
      <c r="K337" s="10" t="str">
        <f t="shared" si="18"/>
        <v>-</v>
      </c>
      <c r="L337" s="161">
        <f t="shared" si="19"/>
        <v>0</v>
      </c>
      <c r="M337" s="129"/>
      <c r="N337" s="190"/>
      <c r="O337" s="191"/>
      <c r="P337" s="191"/>
      <c r="Q337" s="192"/>
      <c r="R337" s="7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  <c r="AC337" s="180"/>
      <c r="AD337" s="180"/>
      <c r="AE337" s="180"/>
      <c r="AF337" s="180"/>
      <c r="AG337" s="180"/>
      <c r="AH337" s="180"/>
    </row>
    <row r="338" spans="1:34" s="175" customFormat="1" ht="23.25" customHeight="1" x14ac:dyDescent="0.15">
      <c r="A338" s="27"/>
      <c r="B338" s="125"/>
      <c r="C338" s="196"/>
      <c r="D338" s="188"/>
      <c r="E338" s="188"/>
      <c r="F338" s="188"/>
      <c r="G338" s="189"/>
      <c r="H338" s="43"/>
      <c r="I338" s="156"/>
      <c r="J338" s="157"/>
      <c r="K338" s="10" t="str">
        <f t="shared" si="18"/>
        <v>-</v>
      </c>
      <c r="L338" s="161">
        <f t="shared" si="19"/>
        <v>0</v>
      </c>
      <c r="M338" s="129"/>
      <c r="N338" s="190"/>
      <c r="O338" s="191"/>
      <c r="P338" s="191"/>
      <c r="Q338" s="192"/>
      <c r="R338" s="7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  <c r="AC338" s="180"/>
      <c r="AD338" s="180"/>
      <c r="AE338" s="180"/>
      <c r="AF338" s="180"/>
      <c r="AG338" s="180"/>
      <c r="AH338" s="180"/>
    </row>
    <row r="339" spans="1:34" s="175" customFormat="1" ht="23.25" customHeight="1" x14ac:dyDescent="0.15">
      <c r="A339" s="27"/>
      <c r="B339" s="125"/>
      <c r="C339" s="196"/>
      <c r="D339" s="188"/>
      <c r="E339" s="188"/>
      <c r="F339" s="188"/>
      <c r="G339" s="189"/>
      <c r="H339" s="43"/>
      <c r="I339" s="156"/>
      <c r="J339" s="157"/>
      <c r="K339" s="10" t="str">
        <f t="shared" ref="K339:K402" si="20">IFERROR(J339/I339*100-100,"-")</f>
        <v>-</v>
      </c>
      <c r="L339" s="161">
        <f t="shared" si="19"/>
        <v>0</v>
      </c>
      <c r="M339" s="129"/>
      <c r="N339" s="190"/>
      <c r="O339" s="191"/>
      <c r="P339" s="191"/>
      <c r="Q339" s="192"/>
      <c r="R339" s="7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  <c r="AC339" s="180"/>
      <c r="AD339" s="180"/>
      <c r="AE339" s="180"/>
      <c r="AF339" s="180"/>
      <c r="AG339" s="180"/>
      <c r="AH339" s="180"/>
    </row>
    <row r="340" spans="1:34" s="175" customFormat="1" ht="23.25" customHeight="1" x14ac:dyDescent="0.15">
      <c r="A340" s="27"/>
      <c r="B340" s="125"/>
      <c r="C340" s="196"/>
      <c r="D340" s="188"/>
      <c r="E340" s="188"/>
      <c r="F340" s="188"/>
      <c r="G340" s="189"/>
      <c r="H340" s="43"/>
      <c r="I340" s="156"/>
      <c r="J340" s="157"/>
      <c r="K340" s="10" t="str">
        <f t="shared" si="20"/>
        <v>-</v>
      </c>
      <c r="L340" s="161">
        <f t="shared" si="19"/>
        <v>0</v>
      </c>
      <c r="M340" s="129"/>
      <c r="N340" s="190"/>
      <c r="O340" s="191"/>
      <c r="P340" s="191"/>
      <c r="Q340" s="192"/>
      <c r="R340" s="7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  <c r="AC340" s="180"/>
      <c r="AD340" s="180"/>
      <c r="AE340" s="180"/>
      <c r="AF340" s="180"/>
      <c r="AG340" s="180"/>
      <c r="AH340" s="180"/>
    </row>
    <row r="341" spans="1:34" s="175" customFormat="1" ht="23.25" customHeight="1" x14ac:dyDescent="0.15">
      <c r="A341" s="27"/>
      <c r="B341" s="125"/>
      <c r="C341" s="196"/>
      <c r="D341" s="188"/>
      <c r="E341" s="188"/>
      <c r="F341" s="188"/>
      <c r="G341" s="189"/>
      <c r="H341" s="43"/>
      <c r="I341" s="156"/>
      <c r="J341" s="157"/>
      <c r="K341" s="10" t="str">
        <f t="shared" si="20"/>
        <v>-</v>
      </c>
      <c r="L341" s="161">
        <f t="shared" si="19"/>
        <v>0</v>
      </c>
      <c r="M341" s="129"/>
      <c r="N341" s="190"/>
      <c r="O341" s="191"/>
      <c r="P341" s="191"/>
      <c r="Q341" s="192"/>
      <c r="R341" s="7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  <c r="AC341" s="180"/>
      <c r="AD341" s="180"/>
      <c r="AE341" s="180"/>
      <c r="AF341" s="180"/>
      <c r="AG341" s="180"/>
      <c r="AH341" s="180"/>
    </row>
    <row r="342" spans="1:34" s="175" customFormat="1" ht="23.25" customHeight="1" x14ac:dyDescent="0.15">
      <c r="A342" s="27"/>
      <c r="B342" s="125"/>
      <c r="C342" s="196"/>
      <c r="D342" s="188"/>
      <c r="E342" s="188"/>
      <c r="F342" s="188"/>
      <c r="G342" s="189"/>
      <c r="H342" s="43"/>
      <c r="I342" s="156"/>
      <c r="J342" s="157"/>
      <c r="K342" s="10" t="str">
        <f t="shared" si="20"/>
        <v>-</v>
      </c>
      <c r="L342" s="161">
        <f t="shared" si="19"/>
        <v>0</v>
      </c>
      <c r="M342" s="129"/>
      <c r="N342" s="190"/>
      <c r="O342" s="191"/>
      <c r="P342" s="191"/>
      <c r="Q342" s="192"/>
      <c r="R342" s="7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  <c r="AC342" s="180"/>
      <c r="AD342" s="180"/>
      <c r="AE342" s="180"/>
      <c r="AF342" s="180"/>
      <c r="AG342" s="180"/>
      <c r="AH342" s="180"/>
    </row>
    <row r="343" spans="1:34" s="175" customFormat="1" ht="23.25" customHeight="1" x14ac:dyDescent="0.15">
      <c r="A343" s="27"/>
      <c r="B343" s="125"/>
      <c r="C343" s="196"/>
      <c r="D343" s="188"/>
      <c r="E343" s="188"/>
      <c r="F343" s="188"/>
      <c r="G343" s="189"/>
      <c r="H343" s="43"/>
      <c r="I343" s="156"/>
      <c r="J343" s="157"/>
      <c r="K343" s="10" t="str">
        <f t="shared" si="20"/>
        <v>-</v>
      </c>
      <c r="L343" s="161">
        <f t="shared" si="19"/>
        <v>0</v>
      </c>
      <c r="M343" s="129"/>
      <c r="N343" s="190"/>
      <c r="O343" s="191"/>
      <c r="P343" s="191"/>
      <c r="Q343" s="192"/>
      <c r="R343" s="7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  <c r="AC343" s="180"/>
      <c r="AD343" s="180"/>
      <c r="AE343" s="180"/>
      <c r="AF343" s="180"/>
      <c r="AG343" s="180"/>
      <c r="AH343" s="180"/>
    </row>
    <row r="344" spans="1:34" s="175" customFormat="1" ht="23.25" customHeight="1" x14ac:dyDescent="0.15">
      <c r="A344" s="27"/>
      <c r="B344" s="125"/>
      <c r="C344" s="196"/>
      <c r="D344" s="188"/>
      <c r="E344" s="188"/>
      <c r="F344" s="188"/>
      <c r="G344" s="189"/>
      <c r="H344" s="43"/>
      <c r="I344" s="156"/>
      <c r="J344" s="157"/>
      <c r="K344" s="10" t="str">
        <f t="shared" si="20"/>
        <v>-</v>
      </c>
      <c r="L344" s="161">
        <f t="shared" si="19"/>
        <v>0</v>
      </c>
      <c r="M344" s="129"/>
      <c r="N344" s="190"/>
      <c r="O344" s="191"/>
      <c r="P344" s="191"/>
      <c r="Q344" s="192"/>
      <c r="R344" s="7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  <c r="AC344" s="180"/>
      <c r="AD344" s="180"/>
      <c r="AE344" s="180"/>
      <c r="AF344" s="180"/>
      <c r="AG344" s="180"/>
      <c r="AH344" s="180"/>
    </row>
    <row r="345" spans="1:34" s="175" customFormat="1" ht="23.25" customHeight="1" x14ac:dyDescent="0.15">
      <c r="A345" s="27"/>
      <c r="B345" s="125"/>
      <c r="C345" s="196"/>
      <c r="D345" s="188"/>
      <c r="E345" s="188"/>
      <c r="F345" s="188"/>
      <c r="G345" s="189"/>
      <c r="H345" s="43"/>
      <c r="I345" s="156"/>
      <c r="J345" s="157"/>
      <c r="K345" s="10" t="str">
        <f t="shared" si="20"/>
        <v>-</v>
      </c>
      <c r="L345" s="161">
        <f t="shared" si="19"/>
        <v>0</v>
      </c>
      <c r="M345" s="129"/>
      <c r="N345" s="190"/>
      <c r="O345" s="191"/>
      <c r="P345" s="191"/>
      <c r="Q345" s="192"/>
      <c r="R345" s="7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  <c r="AC345" s="180"/>
      <c r="AD345" s="180"/>
      <c r="AE345" s="180"/>
      <c r="AF345" s="180"/>
      <c r="AG345" s="180"/>
      <c r="AH345" s="180"/>
    </row>
    <row r="346" spans="1:34" s="175" customFormat="1" ht="23.25" customHeight="1" x14ac:dyDescent="0.15">
      <c r="A346" s="27"/>
      <c r="B346" s="125"/>
      <c r="C346" s="196"/>
      <c r="D346" s="188"/>
      <c r="E346" s="188"/>
      <c r="F346" s="188"/>
      <c r="G346" s="189"/>
      <c r="H346" s="43"/>
      <c r="I346" s="156"/>
      <c r="J346" s="157"/>
      <c r="K346" s="10" t="str">
        <f t="shared" si="20"/>
        <v>-</v>
      </c>
      <c r="L346" s="161">
        <f t="shared" si="19"/>
        <v>0</v>
      </c>
      <c r="M346" s="129"/>
      <c r="N346" s="190"/>
      <c r="O346" s="191"/>
      <c r="P346" s="191"/>
      <c r="Q346" s="192"/>
      <c r="R346" s="7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  <c r="AC346" s="180"/>
      <c r="AD346" s="180"/>
      <c r="AE346" s="180"/>
      <c r="AF346" s="180"/>
      <c r="AG346" s="180"/>
      <c r="AH346" s="180"/>
    </row>
    <row r="347" spans="1:34" s="175" customFormat="1" ht="23.25" customHeight="1" x14ac:dyDescent="0.15">
      <c r="A347" s="27"/>
      <c r="B347" s="125"/>
      <c r="C347" s="196"/>
      <c r="D347" s="188"/>
      <c r="E347" s="188"/>
      <c r="F347" s="188"/>
      <c r="G347" s="189"/>
      <c r="H347" s="43"/>
      <c r="I347" s="156"/>
      <c r="J347" s="157"/>
      <c r="K347" s="10" t="str">
        <f t="shared" si="20"/>
        <v>-</v>
      </c>
      <c r="L347" s="161">
        <f t="shared" si="19"/>
        <v>0</v>
      </c>
      <c r="M347" s="129"/>
      <c r="N347" s="190"/>
      <c r="O347" s="191"/>
      <c r="P347" s="191"/>
      <c r="Q347" s="192"/>
      <c r="R347" s="7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  <c r="AC347" s="180"/>
      <c r="AD347" s="180"/>
      <c r="AE347" s="180"/>
      <c r="AF347" s="180"/>
      <c r="AG347" s="180"/>
      <c r="AH347" s="180"/>
    </row>
    <row r="348" spans="1:34" s="175" customFormat="1" ht="23.25" customHeight="1" x14ac:dyDescent="0.15">
      <c r="A348" s="27"/>
      <c r="B348" s="125"/>
      <c r="C348" s="196"/>
      <c r="D348" s="188"/>
      <c r="E348" s="188"/>
      <c r="F348" s="188"/>
      <c r="G348" s="189"/>
      <c r="H348" s="43"/>
      <c r="I348" s="156"/>
      <c r="J348" s="157"/>
      <c r="K348" s="10" t="str">
        <f t="shared" si="20"/>
        <v>-</v>
      </c>
      <c r="L348" s="161">
        <f t="shared" si="19"/>
        <v>0</v>
      </c>
      <c r="M348" s="129"/>
      <c r="N348" s="190"/>
      <c r="O348" s="191"/>
      <c r="P348" s="191"/>
      <c r="Q348" s="192"/>
      <c r="R348" s="7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  <c r="AC348" s="180"/>
      <c r="AD348" s="180"/>
      <c r="AE348" s="180"/>
      <c r="AF348" s="180"/>
      <c r="AG348" s="180"/>
      <c r="AH348" s="180"/>
    </row>
    <row r="349" spans="1:34" s="175" customFormat="1" ht="23.25" customHeight="1" x14ac:dyDescent="0.15">
      <c r="A349" s="27"/>
      <c r="B349" s="125"/>
      <c r="C349" s="196"/>
      <c r="D349" s="188"/>
      <c r="E349" s="188"/>
      <c r="F349" s="188"/>
      <c r="G349" s="189"/>
      <c r="H349" s="43"/>
      <c r="I349" s="156"/>
      <c r="J349" s="157"/>
      <c r="K349" s="10" t="str">
        <f t="shared" si="20"/>
        <v>-</v>
      </c>
      <c r="L349" s="161">
        <f t="shared" si="19"/>
        <v>0</v>
      </c>
      <c r="M349" s="129"/>
      <c r="N349" s="190"/>
      <c r="O349" s="191"/>
      <c r="P349" s="191"/>
      <c r="Q349" s="192"/>
      <c r="R349" s="7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  <c r="AC349" s="180"/>
      <c r="AD349" s="180"/>
      <c r="AE349" s="180"/>
      <c r="AF349" s="180"/>
      <c r="AG349" s="180"/>
      <c r="AH349" s="180"/>
    </row>
    <row r="350" spans="1:34" s="175" customFormat="1" ht="23.25" customHeight="1" x14ac:dyDescent="0.15">
      <c r="A350" s="27"/>
      <c r="B350" s="125"/>
      <c r="C350" s="196"/>
      <c r="D350" s="188"/>
      <c r="E350" s="188"/>
      <c r="F350" s="188"/>
      <c r="G350" s="189"/>
      <c r="H350" s="43"/>
      <c r="I350" s="156"/>
      <c r="J350" s="157"/>
      <c r="K350" s="10" t="str">
        <f t="shared" si="20"/>
        <v>-</v>
      </c>
      <c r="L350" s="161">
        <f t="shared" si="19"/>
        <v>0</v>
      </c>
      <c r="M350" s="129"/>
      <c r="N350" s="190"/>
      <c r="O350" s="191"/>
      <c r="P350" s="191"/>
      <c r="Q350" s="192"/>
      <c r="R350" s="7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  <c r="AC350" s="180"/>
      <c r="AD350" s="180"/>
      <c r="AE350" s="180"/>
      <c r="AF350" s="180"/>
      <c r="AG350" s="180"/>
      <c r="AH350" s="180"/>
    </row>
    <row r="351" spans="1:34" s="175" customFormat="1" ht="23.25" customHeight="1" x14ac:dyDescent="0.15">
      <c r="A351" s="27"/>
      <c r="B351" s="125"/>
      <c r="C351" s="196"/>
      <c r="D351" s="188"/>
      <c r="E351" s="188"/>
      <c r="F351" s="188"/>
      <c r="G351" s="189"/>
      <c r="H351" s="43"/>
      <c r="I351" s="156"/>
      <c r="J351" s="157"/>
      <c r="K351" s="10" t="str">
        <f t="shared" si="20"/>
        <v>-</v>
      </c>
      <c r="L351" s="161">
        <f t="shared" si="19"/>
        <v>0</v>
      </c>
      <c r="M351" s="129"/>
      <c r="N351" s="190"/>
      <c r="O351" s="191"/>
      <c r="P351" s="191"/>
      <c r="Q351" s="192"/>
      <c r="R351" s="7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  <c r="AC351" s="180"/>
      <c r="AD351" s="180"/>
      <c r="AE351" s="180"/>
      <c r="AF351" s="180"/>
      <c r="AG351" s="180"/>
      <c r="AH351" s="180"/>
    </row>
    <row r="352" spans="1:34" s="175" customFormat="1" ht="23.25" customHeight="1" x14ac:dyDescent="0.15">
      <c r="A352" s="27"/>
      <c r="B352" s="125"/>
      <c r="C352" s="196"/>
      <c r="D352" s="188"/>
      <c r="E352" s="188"/>
      <c r="F352" s="188"/>
      <c r="G352" s="189"/>
      <c r="H352" s="43"/>
      <c r="I352" s="156"/>
      <c r="J352" s="157"/>
      <c r="K352" s="10" t="str">
        <f t="shared" si="20"/>
        <v>-</v>
      </c>
      <c r="L352" s="161">
        <f t="shared" si="19"/>
        <v>0</v>
      </c>
      <c r="M352" s="129"/>
      <c r="N352" s="190"/>
      <c r="O352" s="191"/>
      <c r="P352" s="191"/>
      <c r="Q352" s="192"/>
      <c r="R352" s="7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  <c r="AC352" s="180"/>
      <c r="AD352" s="180"/>
      <c r="AE352" s="180"/>
      <c r="AF352" s="180"/>
      <c r="AG352" s="180"/>
      <c r="AH352" s="180"/>
    </row>
    <row r="353" spans="1:34" s="175" customFormat="1" ht="23.25" customHeight="1" x14ac:dyDescent="0.15">
      <c r="A353" s="27"/>
      <c r="B353" s="125"/>
      <c r="C353" s="196"/>
      <c r="D353" s="188"/>
      <c r="E353" s="188"/>
      <c r="F353" s="188"/>
      <c r="G353" s="189"/>
      <c r="H353" s="43"/>
      <c r="I353" s="156"/>
      <c r="J353" s="157"/>
      <c r="K353" s="10" t="str">
        <f t="shared" si="20"/>
        <v>-</v>
      </c>
      <c r="L353" s="161">
        <f t="shared" si="19"/>
        <v>0</v>
      </c>
      <c r="M353" s="129"/>
      <c r="N353" s="190"/>
      <c r="O353" s="191"/>
      <c r="P353" s="191"/>
      <c r="Q353" s="192"/>
      <c r="R353" s="7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  <c r="AC353" s="180"/>
      <c r="AD353" s="180"/>
      <c r="AE353" s="180"/>
      <c r="AF353" s="180"/>
      <c r="AG353" s="180"/>
      <c r="AH353" s="180"/>
    </row>
    <row r="354" spans="1:34" s="175" customFormat="1" ht="23.25" customHeight="1" x14ac:dyDescent="0.15">
      <c r="A354" s="27"/>
      <c r="B354" s="125"/>
      <c r="C354" s="196"/>
      <c r="D354" s="188"/>
      <c r="E354" s="188"/>
      <c r="F354" s="188"/>
      <c r="G354" s="189"/>
      <c r="H354" s="43"/>
      <c r="I354" s="156"/>
      <c r="J354" s="157"/>
      <c r="K354" s="10" t="str">
        <f t="shared" si="20"/>
        <v>-</v>
      </c>
      <c r="L354" s="161">
        <f t="shared" si="19"/>
        <v>0</v>
      </c>
      <c r="M354" s="129"/>
      <c r="N354" s="190"/>
      <c r="O354" s="191"/>
      <c r="P354" s="191"/>
      <c r="Q354" s="192"/>
      <c r="R354" s="7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  <c r="AC354" s="180"/>
      <c r="AD354" s="180"/>
      <c r="AE354" s="180"/>
      <c r="AF354" s="180"/>
      <c r="AG354" s="180"/>
      <c r="AH354" s="180"/>
    </row>
    <row r="355" spans="1:34" s="175" customFormat="1" ht="23.25" customHeight="1" x14ac:dyDescent="0.15">
      <c r="A355" s="27"/>
      <c r="B355" s="125"/>
      <c r="C355" s="196"/>
      <c r="D355" s="188"/>
      <c r="E355" s="188"/>
      <c r="F355" s="188"/>
      <c r="G355" s="189"/>
      <c r="H355" s="43"/>
      <c r="I355" s="156"/>
      <c r="J355" s="157"/>
      <c r="K355" s="10" t="str">
        <f t="shared" si="20"/>
        <v>-</v>
      </c>
      <c r="L355" s="161">
        <f t="shared" si="19"/>
        <v>0</v>
      </c>
      <c r="M355" s="129"/>
      <c r="N355" s="190"/>
      <c r="O355" s="191"/>
      <c r="P355" s="191"/>
      <c r="Q355" s="192"/>
      <c r="R355" s="7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  <c r="AC355" s="180"/>
      <c r="AD355" s="180"/>
      <c r="AE355" s="180"/>
      <c r="AF355" s="180"/>
      <c r="AG355" s="180"/>
      <c r="AH355" s="180"/>
    </row>
    <row r="356" spans="1:34" s="175" customFormat="1" ht="23.25" customHeight="1" x14ac:dyDescent="0.15">
      <c r="A356" s="27"/>
      <c r="B356" s="125"/>
      <c r="C356" s="196"/>
      <c r="D356" s="188"/>
      <c r="E356" s="188"/>
      <c r="F356" s="188"/>
      <c r="G356" s="189"/>
      <c r="H356" s="43"/>
      <c r="I356" s="156"/>
      <c r="J356" s="157"/>
      <c r="K356" s="10" t="str">
        <f t="shared" si="20"/>
        <v>-</v>
      </c>
      <c r="L356" s="161">
        <f t="shared" si="19"/>
        <v>0</v>
      </c>
      <c r="M356" s="129"/>
      <c r="N356" s="190"/>
      <c r="O356" s="191"/>
      <c r="P356" s="191"/>
      <c r="Q356" s="192"/>
      <c r="R356" s="7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  <c r="AC356" s="180"/>
      <c r="AD356" s="180"/>
      <c r="AE356" s="180"/>
      <c r="AF356" s="180"/>
      <c r="AG356" s="180"/>
      <c r="AH356" s="180"/>
    </row>
    <row r="357" spans="1:34" s="175" customFormat="1" ht="23.25" customHeight="1" x14ac:dyDescent="0.15">
      <c r="A357" s="27"/>
      <c r="B357" s="125"/>
      <c r="C357" s="196"/>
      <c r="D357" s="188"/>
      <c r="E357" s="188"/>
      <c r="F357" s="188"/>
      <c r="G357" s="189"/>
      <c r="H357" s="43"/>
      <c r="I357" s="156"/>
      <c r="J357" s="157"/>
      <c r="K357" s="10" t="str">
        <f t="shared" si="20"/>
        <v>-</v>
      </c>
      <c r="L357" s="161">
        <f t="shared" si="19"/>
        <v>0</v>
      </c>
      <c r="M357" s="129"/>
      <c r="N357" s="190"/>
      <c r="O357" s="191"/>
      <c r="P357" s="191"/>
      <c r="Q357" s="192"/>
      <c r="R357" s="7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  <c r="AC357" s="180"/>
      <c r="AD357" s="180"/>
      <c r="AE357" s="180"/>
      <c r="AF357" s="180"/>
      <c r="AG357" s="180"/>
      <c r="AH357" s="180"/>
    </row>
    <row r="358" spans="1:34" s="175" customFormat="1" ht="23.25" customHeight="1" x14ac:dyDescent="0.15">
      <c r="A358" s="27"/>
      <c r="B358" s="125"/>
      <c r="C358" s="196"/>
      <c r="D358" s="188"/>
      <c r="E358" s="188"/>
      <c r="F358" s="188"/>
      <c r="G358" s="189"/>
      <c r="H358" s="43"/>
      <c r="I358" s="156"/>
      <c r="J358" s="157"/>
      <c r="K358" s="10" t="str">
        <f t="shared" si="20"/>
        <v>-</v>
      </c>
      <c r="L358" s="161">
        <f t="shared" si="19"/>
        <v>0</v>
      </c>
      <c r="M358" s="129"/>
      <c r="N358" s="190"/>
      <c r="O358" s="191"/>
      <c r="P358" s="191"/>
      <c r="Q358" s="192"/>
      <c r="R358" s="7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  <c r="AC358" s="180"/>
      <c r="AD358" s="180"/>
      <c r="AE358" s="180"/>
      <c r="AF358" s="180"/>
      <c r="AG358" s="180"/>
      <c r="AH358" s="180"/>
    </row>
    <row r="359" spans="1:34" s="175" customFormat="1" ht="23.25" customHeight="1" x14ac:dyDescent="0.15">
      <c r="A359" s="27"/>
      <c r="B359" s="125"/>
      <c r="C359" s="196"/>
      <c r="D359" s="188"/>
      <c r="E359" s="188"/>
      <c r="F359" s="188"/>
      <c r="G359" s="189"/>
      <c r="H359" s="43"/>
      <c r="I359" s="156"/>
      <c r="J359" s="157"/>
      <c r="K359" s="10" t="str">
        <f t="shared" si="20"/>
        <v>-</v>
      </c>
      <c r="L359" s="161">
        <f t="shared" si="19"/>
        <v>0</v>
      </c>
      <c r="M359" s="129"/>
      <c r="N359" s="190"/>
      <c r="O359" s="191"/>
      <c r="P359" s="191"/>
      <c r="Q359" s="192"/>
      <c r="R359" s="7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  <c r="AC359" s="180"/>
      <c r="AD359" s="180"/>
      <c r="AE359" s="180"/>
      <c r="AF359" s="180"/>
      <c r="AG359" s="180"/>
      <c r="AH359" s="180"/>
    </row>
    <row r="360" spans="1:34" s="175" customFormat="1" ht="23.25" customHeight="1" x14ac:dyDescent="0.15">
      <c r="A360" s="27"/>
      <c r="B360" s="125"/>
      <c r="C360" s="196"/>
      <c r="D360" s="188"/>
      <c r="E360" s="188"/>
      <c r="F360" s="188"/>
      <c r="G360" s="189"/>
      <c r="H360" s="43"/>
      <c r="I360" s="156"/>
      <c r="J360" s="157"/>
      <c r="K360" s="10" t="str">
        <f t="shared" si="20"/>
        <v>-</v>
      </c>
      <c r="L360" s="161">
        <f t="shared" si="19"/>
        <v>0</v>
      </c>
      <c r="M360" s="129"/>
      <c r="N360" s="190"/>
      <c r="O360" s="191"/>
      <c r="P360" s="191"/>
      <c r="Q360" s="192"/>
      <c r="R360" s="7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  <c r="AC360" s="180"/>
      <c r="AD360" s="180"/>
      <c r="AE360" s="180"/>
      <c r="AF360" s="180"/>
      <c r="AG360" s="180"/>
      <c r="AH360" s="180"/>
    </row>
    <row r="361" spans="1:34" s="175" customFormat="1" ht="23.25" customHeight="1" x14ac:dyDescent="0.15">
      <c r="A361" s="27"/>
      <c r="B361" s="125"/>
      <c r="C361" s="196"/>
      <c r="D361" s="188"/>
      <c r="E361" s="188"/>
      <c r="F361" s="188"/>
      <c r="G361" s="189"/>
      <c r="H361" s="43"/>
      <c r="I361" s="156"/>
      <c r="J361" s="157"/>
      <c r="K361" s="10" t="str">
        <f t="shared" si="20"/>
        <v>-</v>
      </c>
      <c r="L361" s="161">
        <f t="shared" si="19"/>
        <v>0</v>
      </c>
      <c r="M361" s="129"/>
      <c r="N361" s="190"/>
      <c r="O361" s="191"/>
      <c r="P361" s="191"/>
      <c r="Q361" s="192"/>
      <c r="R361" s="7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  <c r="AC361" s="180"/>
      <c r="AD361" s="180"/>
      <c r="AE361" s="180"/>
      <c r="AF361" s="180"/>
      <c r="AG361" s="180"/>
      <c r="AH361" s="180"/>
    </row>
    <row r="362" spans="1:34" s="175" customFormat="1" ht="23.25" customHeight="1" x14ac:dyDescent="0.15">
      <c r="A362" s="27"/>
      <c r="B362" s="125"/>
      <c r="C362" s="196"/>
      <c r="D362" s="188"/>
      <c r="E362" s="188"/>
      <c r="F362" s="188"/>
      <c r="G362" s="189"/>
      <c r="H362" s="43"/>
      <c r="I362" s="156"/>
      <c r="J362" s="157"/>
      <c r="K362" s="10" t="str">
        <f t="shared" si="20"/>
        <v>-</v>
      </c>
      <c r="L362" s="161">
        <f t="shared" si="19"/>
        <v>0</v>
      </c>
      <c r="M362" s="129"/>
      <c r="N362" s="190"/>
      <c r="O362" s="191"/>
      <c r="P362" s="191"/>
      <c r="Q362" s="192"/>
      <c r="R362" s="7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  <c r="AC362" s="180"/>
      <c r="AD362" s="180"/>
      <c r="AE362" s="180"/>
      <c r="AF362" s="180"/>
      <c r="AG362" s="180"/>
      <c r="AH362" s="180"/>
    </row>
    <row r="363" spans="1:34" s="175" customFormat="1" ht="23.25" customHeight="1" x14ac:dyDescent="0.15">
      <c r="A363" s="27"/>
      <c r="B363" s="125"/>
      <c r="C363" s="196"/>
      <c r="D363" s="188"/>
      <c r="E363" s="188"/>
      <c r="F363" s="188"/>
      <c r="G363" s="189"/>
      <c r="H363" s="43"/>
      <c r="I363" s="156"/>
      <c r="J363" s="157"/>
      <c r="K363" s="10" t="str">
        <f t="shared" si="20"/>
        <v>-</v>
      </c>
      <c r="L363" s="161">
        <f t="shared" si="19"/>
        <v>0</v>
      </c>
      <c r="M363" s="129"/>
      <c r="N363" s="190"/>
      <c r="O363" s="191"/>
      <c r="P363" s="191"/>
      <c r="Q363" s="192"/>
      <c r="R363" s="7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  <c r="AC363" s="180"/>
      <c r="AD363" s="180"/>
      <c r="AE363" s="180"/>
      <c r="AF363" s="180"/>
      <c r="AG363" s="180"/>
      <c r="AH363" s="180"/>
    </row>
    <row r="364" spans="1:34" s="175" customFormat="1" ht="23.25" customHeight="1" x14ac:dyDescent="0.15">
      <c r="A364" s="27"/>
      <c r="B364" s="125"/>
      <c r="C364" s="196"/>
      <c r="D364" s="188"/>
      <c r="E364" s="188"/>
      <c r="F364" s="188"/>
      <c r="G364" s="189"/>
      <c r="H364" s="43"/>
      <c r="I364" s="156"/>
      <c r="J364" s="157"/>
      <c r="K364" s="10" t="str">
        <f t="shared" si="20"/>
        <v>-</v>
      </c>
      <c r="L364" s="161">
        <f t="shared" si="19"/>
        <v>0</v>
      </c>
      <c r="M364" s="129"/>
      <c r="N364" s="190"/>
      <c r="O364" s="191"/>
      <c r="P364" s="191"/>
      <c r="Q364" s="192"/>
      <c r="R364" s="7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  <c r="AC364" s="180"/>
      <c r="AD364" s="180"/>
      <c r="AE364" s="180"/>
      <c r="AF364" s="180"/>
      <c r="AG364" s="180"/>
      <c r="AH364" s="180"/>
    </row>
    <row r="365" spans="1:34" s="175" customFormat="1" ht="23.25" customHeight="1" x14ac:dyDescent="0.15">
      <c r="A365" s="27"/>
      <c r="B365" s="125"/>
      <c r="C365" s="196"/>
      <c r="D365" s="188"/>
      <c r="E365" s="188"/>
      <c r="F365" s="188"/>
      <c r="G365" s="189"/>
      <c r="H365" s="43"/>
      <c r="I365" s="156"/>
      <c r="J365" s="157"/>
      <c r="K365" s="10" t="str">
        <f t="shared" si="20"/>
        <v>-</v>
      </c>
      <c r="L365" s="161">
        <f t="shared" si="19"/>
        <v>0</v>
      </c>
      <c r="M365" s="129"/>
      <c r="N365" s="190"/>
      <c r="O365" s="191"/>
      <c r="P365" s="191"/>
      <c r="Q365" s="192"/>
      <c r="R365" s="7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  <c r="AC365" s="180"/>
      <c r="AD365" s="180"/>
      <c r="AE365" s="180"/>
      <c r="AF365" s="180"/>
      <c r="AG365" s="180"/>
      <c r="AH365" s="180"/>
    </row>
    <row r="366" spans="1:34" s="175" customFormat="1" ht="23.25" customHeight="1" x14ac:dyDescent="0.15">
      <c r="A366" s="27"/>
      <c r="B366" s="125"/>
      <c r="C366" s="196"/>
      <c r="D366" s="188"/>
      <c r="E366" s="188"/>
      <c r="F366" s="188"/>
      <c r="G366" s="189"/>
      <c r="H366" s="43"/>
      <c r="I366" s="156"/>
      <c r="J366" s="157"/>
      <c r="K366" s="10" t="str">
        <f t="shared" si="20"/>
        <v>-</v>
      </c>
      <c r="L366" s="161">
        <f t="shared" si="19"/>
        <v>0</v>
      </c>
      <c r="M366" s="129"/>
      <c r="N366" s="190"/>
      <c r="O366" s="191"/>
      <c r="P366" s="191"/>
      <c r="Q366" s="192"/>
      <c r="R366" s="7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  <c r="AC366" s="180"/>
      <c r="AD366" s="180"/>
      <c r="AE366" s="180"/>
      <c r="AF366" s="180"/>
      <c r="AG366" s="180"/>
      <c r="AH366" s="180"/>
    </row>
    <row r="367" spans="1:34" s="175" customFormat="1" ht="23.25" customHeight="1" x14ac:dyDescent="0.15">
      <c r="A367" s="27"/>
      <c r="B367" s="125"/>
      <c r="C367" s="196"/>
      <c r="D367" s="188"/>
      <c r="E367" s="188"/>
      <c r="F367" s="188"/>
      <c r="G367" s="189"/>
      <c r="H367" s="43"/>
      <c r="I367" s="156"/>
      <c r="J367" s="157"/>
      <c r="K367" s="10" t="str">
        <f t="shared" si="20"/>
        <v>-</v>
      </c>
      <c r="L367" s="161">
        <f t="shared" si="19"/>
        <v>0</v>
      </c>
      <c r="M367" s="129"/>
      <c r="N367" s="190"/>
      <c r="O367" s="191"/>
      <c r="P367" s="191"/>
      <c r="Q367" s="192"/>
      <c r="R367" s="7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  <c r="AC367" s="180"/>
      <c r="AD367" s="180"/>
      <c r="AE367" s="180"/>
      <c r="AF367" s="180"/>
      <c r="AG367" s="180"/>
      <c r="AH367" s="180"/>
    </row>
    <row r="368" spans="1:34" s="175" customFormat="1" ht="23.25" customHeight="1" x14ac:dyDescent="0.15">
      <c r="A368" s="27"/>
      <c r="B368" s="125"/>
      <c r="C368" s="196"/>
      <c r="D368" s="188"/>
      <c r="E368" s="188"/>
      <c r="F368" s="188"/>
      <c r="G368" s="189"/>
      <c r="H368" s="43"/>
      <c r="I368" s="156"/>
      <c r="J368" s="157"/>
      <c r="K368" s="10" t="str">
        <f t="shared" si="20"/>
        <v>-</v>
      </c>
      <c r="L368" s="161">
        <f t="shared" si="19"/>
        <v>0</v>
      </c>
      <c r="M368" s="129"/>
      <c r="N368" s="190"/>
      <c r="O368" s="191"/>
      <c r="P368" s="191"/>
      <c r="Q368" s="192"/>
      <c r="R368" s="7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  <c r="AC368" s="180"/>
      <c r="AD368" s="180"/>
      <c r="AE368" s="180"/>
      <c r="AF368" s="180"/>
      <c r="AG368" s="180"/>
      <c r="AH368" s="180"/>
    </row>
    <row r="369" spans="1:34" s="175" customFormat="1" ht="23.25" customHeight="1" x14ac:dyDescent="0.15">
      <c r="A369" s="27"/>
      <c r="B369" s="125"/>
      <c r="C369" s="196"/>
      <c r="D369" s="188"/>
      <c r="E369" s="188"/>
      <c r="F369" s="188"/>
      <c r="G369" s="189"/>
      <c r="H369" s="43"/>
      <c r="I369" s="156"/>
      <c r="J369" s="157"/>
      <c r="K369" s="10" t="str">
        <f t="shared" si="20"/>
        <v>-</v>
      </c>
      <c r="L369" s="161">
        <f t="shared" si="19"/>
        <v>0</v>
      </c>
      <c r="M369" s="129"/>
      <c r="N369" s="190"/>
      <c r="O369" s="191"/>
      <c r="P369" s="191"/>
      <c r="Q369" s="192"/>
      <c r="R369" s="7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  <c r="AC369" s="180"/>
      <c r="AD369" s="180"/>
      <c r="AE369" s="180"/>
      <c r="AF369" s="180"/>
      <c r="AG369" s="180"/>
      <c r="AH369" s="180"/>
    </row>
    <row r="370" spans="1:34" s="175" customFormat="1" ht="23.25" customHeight="1" x14ac:dyDescent="0.15">
      <c r="A370" s="27"/>
      <c r="B370" s="125"/>
      <c r="C370" s="196"/>
      <c r="D370" s="188"/>
      <c r="E370" s="188"/>
      <c r="F370" s="188"/>
      <c r="G370" s="189"/>
      <c r="H370" s="43"/>
      <c r="I370" s="156"/>
      <c r="J370" s="157"/>
      <c r="K370" s="10" t="str">
        <f t="shared" si="20"/>
        <v>-</v>
      </c>
      <c r="L370" s="161">
        <f t="shared" si="19"/>
        <v>0</v>
      </c>
      <c r="M370" s="129"/>
      <c r="N370" s="190"/>
      <c r="O370" s="191"/>
      <c r="P370" s="191"/>
      <c r="Q370" s="192"/>
      <c r="R370" s="7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  <c r="AC370" s="180"/>
      <c r="AD370" s="180"/>
      <c r="AE370" s="180"/>
      <c r="AF370" s="180"/>
      <c r="AG370" s="180"/>
      <c r="AH370" s="180"/>
    </row>
    <row r="371" spans="1:34" s="175" customFormat="1" ht="23.25" customHeight="1" x14ac:dyDescent="0.15">
      <c r="A371" s="27"/>
      <c r="B371" s="125"/>
      <c r="C371" s="196"/>
      <c r="D371" s="188"/>
      <c r="E371" s="188"/>
      <c r="F371" s="188"/>
      <c r="G371" s="189"/>
      <c r="H371" s="43"/>
      <c r="I371" s="156"/>
      <c r="J371" s="157"/>
      <c r="K371" s="10" t="str">
        <f t="shared" si="20"/>
        <v>-</v>
      </c>
      <c r="L371" s="161">
        <f t="shared" si="19"/>
        <v>0</v>
      </c>
      <c r="M371" s="129"/>
      <c r="N371" s="190"/>
      <c r="O371" s="191"/>
      <c r="P371" s="191"/>
      <c r="Q371" s="192"/>
      <c r="R371" s="7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  <c r="AC371" s="180"/>
      <c r="AD371" s="180"/>
      <c r="AE371" s="180"/>
      <c r="AF371" s="180"/>
      <c r="AG371" s="180"/>
      <c r="AH371" s="180"/>
    </row>
    <row r="372" spans="1:34" s="175" customFormat="1" ht="23.25" customHeight="1" x14ac:dyDescent="0.15">
      <c r="A372" s="27"/>
      <c r="B372" s="125"/>
      <c r="C372" s="196"/>
      <c r="D372" s="188"/>
      <c r="E372" s="188"/>
      <c r="F372" s="188"/>
      <c r="G372" s="189"/>
      <c r="H372" s="43"/>
      <c r="I372" s="156"/>
      <c r="J372" s="157"/>
      <c r="K372" s="10" t="str">
        <f t="shared" si="20"/>
        <v>-</v>
      </c>
      <c r="L372" s="161">
        <f t="shared" si="19"/>
        <v>0</v>
      </c>
      <c r="M372" s="129"/>
      <c r="N372" s="190"/>
      <c r="O372" s="191"/>
      <c r="P372" s="191"/>
      <c r="Q372" s="192"/>
      <c r="R372" s="7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  <c r="AC372" s="180"/>
      <c r="AD372" s="180"/>
      <c r="AE372" s="180"/>
      <c r="AF372" s="180"/>
      <c r="AG372" s="180"/>
      <c r="AH372" s="180"/>
    </row>
    <row r="373" spans="1:34" s="175" customFormat="1" ht="23.25" customHeight="1" x14ac:dyDescent="0.15">
      <c r="A373" s="27"/>
      <c r="B373" s="125"/>
      <c r="C373" s="196"/>
      <c r="D373" s="188"/>
      <c r="E373" s="188"/>
      <c r="F373" s="188"/>
      <c r="G373" s="189"/>
      <c r="H373" s="43"/>
      <c r="I373" s="156"/>
      <c r="J373" s="157"/>
      <c r="K373" s="10" t="str">
        <f t="shared" si="20"/>
        <v>-</v>
      </c>
      <c r="L373" s="161">
        <f t="shared" si="19"/>
        <v>0</v>
      </c>
      <c r="M373" s="129"/>
      <c r="N373" s="190"/>
      <c r="O373" s="191"/>
      <c r="P373" s="191"/>
      <c r="Q373" s="192"/>
      <c r="R373" s="7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  <c r="AC373" s="180"/>
      <c r="AD373" s="180"/>
      <c r="AE373" s="180"/>
      <c r="AF373" s="180"/>
      <c r="AG373" s="180"/>
      <c r="AH373" s="180"/>
    </row>
    <row r="374" spans="1:34" s="175" customFormat="1" ht="23.25" customHeight="1" x14ac:dyDescent="0.15">
      <c r="A374" s="27"/>
      <c r="B374" s="125"/>
      <c r="C374" s="196"/>
      <c r="D374" s="188"/>
      <c r="E374" s="188"/>
      <c r="F374" s="188"/>
      <c r="G374" s="189"/>
      <c r="H374" s="43"/>
      <c r="I374" s="156"/>
      <c r="J374" s="157"/>
      <c r="K374" s="10" t="str">
        <f t="shared" si="20"/>
        <v>-</v>
      </c>
      <c r="L374" s="161">
        <f t="shared" si="19"/>
        <v>0</v>
      </c>
      <c r="M374" s="129"/>
      <c r="N374" s="190"/>
      <c r="O374" s="191"/>
      <c r="P374" s="191"/>
      <c r="Q374" s="192"/>
      <c r="R374" s="7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  <c r="AC374" s="180"/>
      <c r="AD374" s="180"/>
      <c r="AE374" s="180"/>
      <c r="AF374" s="180"/>
      <c r="AG374" s="180"/>
      <c r="AH374" s="180"/>
    </row>
    <row r="375" spans="1:34" s="175" customFormat="1" ht="23.25" customHeight="1" x14ac:dyDescent="0.15">
      <c r="A375" s="27"/>
      <c r="B375" s="125"/>
      <c r="C375" s="196"/>
      <c r="D375" s="188"/>
      <c r="E375" s="188"/>
      <c r="F375" s="188"/>
      <c r="G375" s="189"/>
      <c r="H375" s="43"/>
      <c r="I375" s="156"/>
      <c r="J375" s="157"/>
      <c r="K375" s="10" t="str">
        <f t="shared" si="20"/>
        <v>-</v>
      </c>
      <c r="L375" s="161">
        <f t="shared" si="19"/>
        <v>0</v>
      </c>
      <c r="M375" s="129"/>
      <c r="N375" s="190"/>
      <c r="O375" s="191"/>
      <c r="P375" s="191"/>
      <c r="Q375" s="192"/>
      <c r="R375" s="7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180"/>
      <c r="AF375" s="180"/>
      <c r="AG375" s="180"/>
      <c r="AH375" s="180"/>
    </row>
    <row r="376" spans="1:34" s="175" customFormat="1" ht="23.25" customHeight="1" x14ac:dyDescent="0.15">
      <c r="A376" s="27"/>
      <c r="B376" s="125"/>
      <c r="C376" s="196"/>
      <c r="D376" s="188"/>
      <c r="E376" s="188"/>
      <c r="F376" s="188"/>
      <c r="G376" s="189"/>
      <c r="H376" s="43"/>
      <c r="I376" s="156"/>
      <c r="J376" s="157"/>
      <c r="K376" s="10" t="str">
        <f t="shared" si="20"/>
        <v>-</v>
      </c>
      <c r="L376" s="161">
        <f t="shared" si="19"/>
        <v>0</v>
      </c>
      <c r="M376" s="129"/>
      <c r="N376" s="190"/>
      <c r="O376" s="191"/>
      <c r="P376" s="191"/>
      <c r="Q376" s="192"/>
      <c r="R376" s="7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  <c r="AC376" s="180"/>
      <c r="AD376" s="180"/>
      <c r="AE376" s="180"/>
      <c r="AF376" s="180"/>
      <c r="AG376" s="180"/>
      <c r="AH376" s="180"/>
    </row>
    <row r="377" spans="1:34" s="175" customFormat="1" ht="23.25" customHeight="1" x14ac:dyDescent="0.15">
      <c r="A377" s="27"/>
      <c r="B377" s="125"/>
      <c r="C377" s="196"/>
      <c r="D377" s="188"/>
      <c r="E377" s="188"/>
      <c r="F377" s="188"/>
      <c r="G377" s="189"/>
      <c r="H377" s="43"/>
      <c r="I377" s="156"/>
      <c r="J377" s="157"/>
      <c r="K377" s="10" t="str">
        <f t="shared" si="20"/>
        <v>-</v>
      </c>
      <c r="L377" s="161">
        <f t="shared" si="19"/>
        <v>0</v>
      </c>
      <c r="M377" s="129"/>
      <c r="N377" s="190"/>
      <c r="O377" s="191"/>
      <c r="P377" s="191"/>
      <c r="Q377" s="192"/>
      <c r="R377" s="7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  <c r="AC377" s="180"/>
      <c r="AD377" s="180"/>
      <c r="AE377" s="180"/>
      <c r="AF377" s="180"/>
      <c r="AG377" s="180"/>
      <c r="AH377" s="180"/>
    </row>
    <row r="378" spans="1:34" s="175" customFormat="1" ht="23.25" customHeight="1" x14ac:dyDescent="0.15">
      <c r="A378" s="27"/>
      <c r="B378" s="125"/>
      <c r="C378" s="196"/>
      <c r="D378" s="188"/>
      <c r="E378" s="188"/>
      <c r="F378" s="188"/>
      <c r="G378" s="189"/>
      <c r="H378" s="43"/>
      <c r="I378" s="156"/>
      <c r="J378" s="157"/>
      <c r="K378" s="10" t="str">
        <f t="shared" si="20"/>
        <v>-</v>
      </c>
      <c r="L378" s="161">
        <f t="shared" si="19"/>
        <v>0</v>
      </c>
      <c r="M378" s="129"/>
      <c r="N378" s="190"/>
      <c r="O378" s="191"/>
      <c r="P378" s="191"/>
      <c r="Q378" s="192"/>
      <c r="R378" s="7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  <c r="AC378" s="180"/>
      <c r="AD378" s="180"/>
      <c r="AE378" s="180"/>
      <c r="AF378" s="180"/>
      <c r="AG378" s="180"/>
      <c r="AH378" s="180"/>
    </row>
    <row r="379" spans="1:34" s="175" customFormat="1" ht="23.25" customHeight="1" x14ac:dyDescent="0.15">
      <c r="A379" s="27"/>
      <c r="B379" s="125"/>
      <c r="C379" s="196"/>
      <c r="D379" s="188"/>
      <c r="E379" s="188"/>
      <c r="F379" s="188"/>
      <c r="G379" s="189"/>
      <c r="H379" s="43"/>
      <c r="I379" s="156"/>
      <c r="J379" s="157"/>
      <c r="K379" s="10" t="str">
        <f t="shared" si="20"/>
        <v>-</v>
      </c>
      <c r="L379" s="161">
        <f t="shared" si="19"/>
        <v>0</v>
      </c>
      <c r="M379" s="129"/>
      <c r="N379" s="190"/>
      <c r="O379" s="191"/>
      <c r="P379" s="191"/>
      <c r="Q379" s="192"/>
      <c r="R379" s="7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  <c r="AC379" s="180"/>
      <c r="AD379" s="180"/>
      <c r="AE379" s="180"/>
      <c r="AF379" s="180"/>
      <c r="AG379" s="180"/>
      <c r="AH379" s="180"/>
    </row>
    <row r="380" spans="1:34" s="175" customFormat="1" ht="23.25" customHeight="1" x14ac:dyDescent="0.15">
      <c r="A380" s="27"/>
      <c r="B380" s="125"/>
      <c r="C380" s="196"/>
      <c r="D380" s="188"/>
      <c r="E380" s="188"/>
      <c r="F380" s="188"/>
      <c r="G380" s="189"/>
      <c r="H380" s="43"/>
      <c r="I380" s="156"/>
      <c r="J380" s="157"/>
      <c r="K380" s="10" t="str">
        <f t="shared" si="20"/>
        <v>-</v>
      </c>
      <c r="L380" s="161">
        <f t="shared" si="19"/>
        <v>0</v>
      </c>
      <c r="M380" s="129"/>
      <c r="N380" s="190"/>
      <c r="O380" s="191"/>
      <c r="P380" s="191"/>
      <c r="Q380" s="192"/>
      <c r="R380" s="7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  <c r="AC380" s="180"/>
      <c r="AD380" s="180"/>
      <c r="AE380" s="180"/>
      <c r="AF380" s="180"/>
      <c r="AG380" s="180"/>
      <c r="AH380" s="180"/>
    </row>
    <row r="381" spans="1:34" s="175" customFormat="1" ht="23.25" customHeight="1" x14ac:dyDescent="0.15">
      <c r="A381" s="27"/>
      <c r="B381" s="125"/>
      <c r="C381" s="196"/>
      <c r="D381" s="188"/>
      <c r="E381" s="188"/>
      <c r="F381" s="188"/>
      <c r="G381" s="189"/>
      <c r="H381" s="43"/>
      <c r="I381" s="156"/>
      <c r="J381" s="157"/>
      <c r="K381" s="10" t="str">
        <f t="shared" si="20"/>
        <v>-</v>
      </c>
      <c r="L381" s="161">
        <f t="shared" si="19"/>
        <v>0</v>
      </c>
      <c r="M381" s="129"/>
      <c r="N381" s="190"/>
      <c r="O381" s="191"/>
      <c r="P381" s="191"/>
      <c r="Q381" s="192"/>
      <c r="R381" s="7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  <c r="AC381" s="180"/>
      <c r="AD381" s="180"/>
      <c r="AE381" s="180"/>
      <c r="AF381" s="180"/>
      <c r="AG381" s="180"/>
      <c r="AH381" s="180"/>
    </row>
    <row r="382" spans="1:34" s="175" customFormat="1" ht="23.25" customHeight="1" x14ac:dyDescent="0.15">
      <c r="A382" s="27"/>
      <c r="B382" s="125"/>
      <c r="C382" s="196"/>
      <c r="D382" s="188"/>
      <c r="E382" s="188"/>
      <c r="F382" s="188"/>
      <c r="G382" s="189"/>
      <c r="H382" s="43"/>
      <c r="I382" s="156"/>
      <c r="J382" s="157"/>
      <c r="K382" s="10" t="str">
        <f t="shared" si="20"/>
        <v>-</v>
      </c>
      <c r="L382" s="161">
        <f t="shared" si="19"/>
        <v>0</v>
      </c>
      <c r="M382" s="129"/>
      <c r="N382" s="190"/>
      <c r="O382" s="191"/>
      <c r="P382" s="191"/>
      <c r="Q382" s="192"/>
      <c r="R382" s="7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  <c r="AC382" s="180"/>
      <c r="AD382" s="180"/>
      <c r="AE382" s="180"/>
      <c r="AF382" s="180"/>
      <c r="AG382" s="180"/>
      <c r="AH382" s="180"/>
    </row>
    <row r="383" spans="1:34" s="175" customFormat="1" ht="23.25" customHeight="1" x14ac:dyDescent="0.15">
      <c r="A383" s="27"/>
      <c r="B383" s="125"/>
      <c r="C383" s="196"/>
      <c r="D383" s="188"/>
      <c r="E383" s="188"/>
      <c r="F383" s="188"/>
      <c r="G383" s="189"/>
      <c r="H383" s="43"/>
      <c r="I383" s="156"/>
      <c r="J383" s="157"/>
      <c r="K383" s="10" t="str">
        <f t="shared" si="20"/>
        <v>-</v>
      </c>
      <c r="L383" s="161">
        <f t="shared" si="19"/>
        <v>0</v>
      </c>
      <c r="M383" s="129"/>
      <c r="N383" s="190"/>
      <c r="O383" s="191"/>
      <c r="P383" s="191"/>
      <c r="Q383" s="192"/>
      <c r="R383" s="7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  <c r="AC383" s="180"/>
      <c r="AD383" s="180"/>
      <c r="AE383" s="180"/>
      <c r="AF383" s="180"/>
      <c r="AG383" s="180"/>
      <c r="AH383" s="180"/>
    </row>
    <row r="384" spans="1:34" s="175" customFormat="1" ht="23.25" customHeight="1" x14ac:dyDescent="0.15">
      <c r="A384" s="27"/>
      <c r="B384" s="125"/>
      <c r="C384" s="196"/>
      <c r="D384" s="188"/>
      <c r="E384" s="188"/>
      <c r="F384" s="188"/>
      <c r="G384" s="189"/>
      <c r="H384" s="43"/>
      <c r="I384" s="156"/>
      <c r="J384" s="157"/>
      <c r="K384" s="10" t="str">
        <f t="shared" si="20"/>
        <v>-</v>
      </c>
      <c r="L384" s="161">
        <f t="shared" si="19"/>
        <v>0</v>
      </c>
      <c r="M384" s="129"/>
      <c r="N384" s="190"/>
      <c r="O384" s="191"/>
      <c r="P384" s="191"/>
      <c r="Q384" s="192"/>
      <c r="R384" s="7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  <c r="AC384" s="180"/>
      <c r="AD384" s="180"/>
      <c r="AE384" s="180"/>
      <c r="AF384" s="180"/>
      <c r="AG384" s="180"/>
      <c r="AH384" s="180"/>
    </row>
    <row r="385" spans="1:34" s="175" customFormat="1" ht="23.25" customHeight="1" x14ac:dyDescent="0.15">
      <c r="A385" s="27"/>
      <c r="B385" s="125"/>
      <c r="C385" s="196"/>
      <c r="D385" s="188"/>
      <c r="E385" s="188"/>
      <c r="F385" s="188"/>
      <c r="G385" s="189"/>
      <c r="H385" s="43"/>
      <c r="I385" s="156"/>
      <c r="J385" s="157"/>
      <c r="K385" s="10" t="str">
        <f t="shared" si="20"/>
        <v>-</v>
      </c>
      <c r="L385" s="161">
        <f t="shared" si="19"/>
        <v>0</v>
      </c>
      <c r="M385" s="129"/>
      <c r="N385" s="190"/>
      <c r="O385" s="191"/>
      <c r="P385" s="191"/>
      <c r="Q385" s="192"/>
      <c r="R385" s="7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  <c r="AG385" s="180"/>
      <c r="AH385" s="180"/>
    </row>
    <row r="386" spans="1:34" s="175" customFormat="1" ht="23.25" customHeight="1" x14ac:dyDescent="0.15">
      <c r="A386" s="27"/>
      <c r="B386" s="125"/>
      <c r="C386" s="196"/>
      <c r="D386" s="188"/>
      <c r="E386" s="188"/>
      <c r="F386" s="188"/>
      <c r="G386" s="189"/>
      <c r="H386" s="43"/>
      <c r="I386" s="156"/>
      <c r="J386" s="157"/>
      <c r="K386" s="10" t="str">
        <f t="shared" si="20"/>
        <v>-</v>
      </c>
      <c r="L386" s="161">
        <f t="shared" si="19"/>
        <v>0</v>
      </c>
      <c r="M386" s="129"/>
      <c r="N386" s="190"/>
      <c r="O386" s="191"/>
      <c r="P386" s="191"/>
      <c r="Q386" s="192"/>
      <c r="R386" s="7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  <c r="AC386" s="180"/>
      <c r="AD386" s="180"/>
      <c r="AE386" s="180"/>
      <c r="AF386" s="180"/>
      <c r="AG386" s="180"/>
      <c r="AH386" s="180"/>
    </row>
    <row r="387" spans="1:34" s="175" customFormat="1" ht="23.25" customHeight="1" x14ac:dyDescent="0.15">
      <c r="A387" s="27"/>
      <c r="B387" s="125"/>
      <c r="C387" s="196"/>
      <c r="D387" s="188"/>
      <c r="E387" s="188"/>
      <c r="F387" s="188"/>
      <c r="G387" s="189"/>
      <c r="H387" s="43"/>
      <c r="I387" s="156"/>
      <c r="J387" s="157"/>
      <c r="K387" s="10" t="str">
        <f t="shared" si="20"/>
        <v>-</v>
      </c>
      <c r="L387" s="161">
        <f t="shared" si="19"/>
        <v>0</v>
      </c>
      <c r="M387" s="129"/>
      <c r="N387" s="190"/>
      <c r="O387" s="191"/>
      <c r="P387" s="191"/>
      <c r="Q387" s="192"/>
      <c r="R387" s="7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  <c r="AC387" s="180"/>
      <c r="AD387" s="180"/>
      <c r="AE387" s="180"/>
      <c r="AF387" s="180"/>
      <c r="AG387" s="180"/>
      <c r="AH387" s="180"/>
    </row>
    <row r="388" spans="1:34" s="175" customFormat="1" ht="23.25" customHeight="1" x14ac:dyDescent="0.15">
      <c r="A388" s="27"/>
      <c r="B388" s="125"/>
      <c r="C388" s="196"/>
      <c r="D388" s="188"/>
      <c r="E388" s="188"/>
      <c r="F388" s="188"/>
      <c r="G388" s="189"/>
      <c r="H388" s="43"/>
      <c r="I388" s="156"/>
      <c r="J388" s="157"/>
      <c r="K388" s="10" t="str">
        <f t="shared" si="20"/>
        <v>-</v>
      </c>
      <c r="L388" s="161">
        <f t="shared" si="19"/>
        <v>0</v>
      </c>
      <c r="M388" s="129"/>
      <c r="N388" s="190"/>
      <c r="O388" s="191"/>
      <c r="P388" s="191"/>
      <c r="Q388" s="192"/>
      <c r="R388" s="7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  <c r="AC388" s="180"/>
      <c r="AD388" s="180"/>
      <c r="AE388" s="180"/>
      <c r="AF388" s="180"/>
      <c r="AG388" s="180"/>
      <c r="AH388" s="180"/>
    </row>
    <row r="389" spans="1:34" s="175" customFormat="1" ht="23.25" customHeight="1" x14ac:dyDescent="0.15">
      <c r="A389" s="27"/>
      <c r="B389" s="125"/>
      <c r="C389" s="196"/>
      <c r="D389" s="188"/>
      <c r="E389" s="188"/>
      <c r="F389" s="188"/>
      <c r="G389" s="189"/>
      <c r="H389" s="43"/>
      <c r="I389" s="156"/>
      <c r="J389" s="157"/>
      <c r="K389" s="10" t="str">
        <f t="shared" si="20"/>
        <v>-</v>
      </c>
      <c r="L389" s="161">
        <f t="shared" si="19"/>
        <v>0</v>
      </c>
      <c r="M389" s="129"/>
      <c r="N389" s="190"/>
      <c r="O389" s="191"/>
      <c r="P389" s="191"/>
      <c r="Q389" s="192"/>
      <c r="R389" s="7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  <c r="AC389" s="180"/>
      <c r="AD389" s="180"/>
      <c r="AE389" s="180"/>
      <c r="AF389" s="180"/>
      <c r="AG389" s="180"/>
      <c r="AH389" s="180"/>
    </row>
    <row r="390" spans="1:34" s="175" customFormat="1" ht="23.25" customHeight="1" x14ac:dyDescent="0.15">
      <c r="A390" s="27"/>
      <c r="B390" s="125"/>
      <c r="C390" s="196"/>
      <c r="D390" s="188"/>
      <c r="E390" s="188"/>
      <c r="F390" s="188"/>
      <c r="G390" s="189"/>
      <c r="H390" s="43"/>
      <c r="I390" s="156"/>
      <c r="J390" s="157"/>
      <c r="K390" s="10" t="str">
        <f t="shared" si="20"/>
        <v>-</v>
      </c>
      <c r="L390" s="161">
        <f t="shared" si="19"/>
        <v>0</v>
      </c>
      <c r="M390" s="129"/>
      <c r="N390" s="190"/>
      <c r="O390" s="191"/>
      <c r="P390" s="191"/>
      <c r="Q390" s="192"/>
      <c r="R390" s="7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  <c r="AC390" s="180"/>
      <c r="AD390" s="180"/>
      <c r="AE390" s="180"/>
      <c r="AF390" s="180"/>
      <c r="AG390" s="180"/>
      <c r="AH390" s="180"/>
    </row>
    <row r="391" spans="1:34" s="175" customFormat="1" ht="23.25" customHeight="1" x14ac:dyDescent="0.15">
      <c r="A391" s="27"/>
      <c r="B391" s="125"/>
      <c r="C391" s="196"/>
      <c r="D391" s="188"/>
      <c r="E391" s="188"/>
      <c r="F391" s="188"/>
      <c r="G391" s="189"/>
      <c r="H391" s="43"/>
      <c r="I391" s="156"/>
      <c r="J391" s="157"/>
      <c r="K391" s="10" t="str">
        <f t="shared" si="20"/>
        <v>-</v>
      </c>
      <c r="L391" s="161">
        <f t="shared" si="19"/>
        <v>0</v>
      </c>
      <c r="M391" s="129"/>
      <c r="N391" s="190"/>
      <c r="O391" s="191"/>
      <c r="P391" s="191"/>
      <c r="Q391" s="192"/>
      <c r="R391" s="7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  <c r="AC391" s="180"/>
      <c r="AD391" s="180"/>
      <c r="AE391" s="180"/>
      <c r="AF391" s="180"/>
      <c r="AG391" s="180"/>
      <c r="AH391" s="180"/>
    </row>
    <row r="392" spans="1:34" s="175" customFormat="1" ht="23.25" customHeight="1" x14ac:dyDescent="0.15">
      <c r="A392" s="27"/>
      <c r="B392" s="125"/>
      <c r="C392" s="196"/>
      <c r="D392" s="188"/>
      <c r="E392" s="188"/>
      <c r="F392" s="188"/>
      <c r="G392" s="189"/>
      <c r="H392" s="43"/>
      <c r="I392" s="156"/>
      <c r="J392" s="157"/>
      <c r="K392" s="10" t="str">
        <f t="shared" si="20"/>
        <v>-</v>
      </c>
      <c r="L392" s="161">
        <f t="shared" si="19"/>
        <v>0</v>
      </c>
      <c r="M392" s="129"/>
      <c r="N392" s="190"/>
      <c r="O392" s="191"/>
      <c r="P392" s="191"/>
      <c r="Q392" s="192"/>
      <c r="R392" s="7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  <c r="AC392" s="180"/>
      <c r="AD392" s="180"/>
      <c r="AE392" s="180"/>
      <c r="AF392" s="180"/>
      <c r="AG392" s="180"/>
      <c r="AH392" s="180"/>
    </row>
    <row r="393" spans="1:34" s="175" customFormat="1" ht="23.25" customHeight="1" x14ac:dyDescent="0.15">
      <c r="A393" s="27"/>
      <c r="B393" s="125"/>
      <c r="C393" s="196"/>
      <c r="D393" s="188"/>
      <c r="E393" s="188"/>
      <c r="F393" s="188"/>
      <c r="G393" s="189"/>
      <c r="H393" s="43"/>
      <c r="I393" s="156"/>
      <c r="J393" s="157"/>
      <c r="K393" s="10" t="str">
        <f t="shared" si="20"/>
        <v>-</v>
      </c>
      <c r="L393" s="161">
        <f t="shared" si="19"/>
        <v>0</v>
      </c>
      <c r="M393" s="129"/>
      <c r="N393" s="190"/>
      <c r="O393" s="191"/>
      <c r="P393" s="191"/>
      <c r="Q393" s="192"/>
      <c r="R393" s="7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  <c r="AC393" s="180"/>
      <c r="AD393" s="180"/>
      <c r="AE393" s="180"/>
      <c r="AF393" s="180"/>
      <c r="AG393" s="180"/>
      <c r="AH393" s="180"/>
    </row>
    <row r="394" spans="1:34" s="175" customFormat="1" ht="23.25" customHeight="1" x14ac:dyDescent="0.15">
      <c r="A394" s="27"/>
      <c r="B394" s="125"/>
      <c r="C394" s="196"/>
      <c r="D394" s="188"/>
      <c r="E394" s="188"/>
      <c r="F394" s="188"/>
      <c r="G394" s="189"/>
      <c r="H394" s="43"/>
      <c r="I394" s="156"/>
      <c r="J394" s="157"/>
      <c r="K394" s="10" t="str">
        <f t="shared" si="20"/>
        <v>-</v>
      </c>
      <c r="L394" s="161">
        <f t="shared" si="19"/>
        <v>0</v>
      </c>
      <c r="M394" s="129"/>
      <c r="N394" s="190"/>
      <c r="O394" s="191"/>
      <c r="P394" s="191"/>
      <c r="Q394" s="192"/>
      <c r="R394" s="7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  <c r="AC394" s="180"/>
      <c r="AD394" s="180"/>
      <c r="AE394" s="180"/>
      <c r="AF394" s="180"/>
      <c r="AG394" s="180"/>
      <c r="AH394" s="180"/>
    </row>
    <row r="395" spans="1:34" s="175" customFormat="1" ht="23.25" customHeight="1" x14ac:dyDescent="0.15">
      <c r="A395" s="27"/>
      <c r="B395" s="125"/>
      <c r="C395" s="196"/>
      <c r="D395" s="188"/>
      <c r="E395" s="188"/>
      <c r="F395" s="188"/>
      <c r="G395" s="189"/>
      <c r="H395" s="43"/>
      <c r="I395" s="156"/>
      <c r="J395" s="157"/>
      <c r="K395" s="10" t="str">
        <f t="shared" si="20"/>
        <v>-</v>
      </c>
      <c r="L395" s="161">
        <f t="shared" si="19"/>
        <v>0</v>
      </c>
      <c r="M395" s="129"/>
      <c r="N395" s="190"/>
      <c r="O395" s="191"/>
      <c r="P395" s="191"/>
      <c r="Q395" s="192"/>
      <c r="R395" s="7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  <c r="AC395" s="180"/>
      <c r="AD395" s="180"/>
      <c r="AE395" s="180"/>
      <c r="AF395" s="180"/>
      <c r="AG395" s="180"/>
      <c r="AH395" s="180"/>
    </row>
    <row r="396" spans="1:34" s="175" customFormat="1" ht="23.25" customHeight="1" x14ac:dyDescent="0.15">
      <c r="A396" s="27"/>
      <c r="B396" s="125"/>
      <c r="C396" s="196"/>
      <c r="D396" s="188"/>
      <c r="E396" s="188"/>
      <c r="F396" s="188"/>
      <c r="G396" s="189"/>
      <c r="H396" s="43"/>
      <c r="I396" s="156"/>
      <c r="J396" s="157"/>
      <c r="K396" s="10" t="str">
        <f t="shared" si="20"/>
        <v>-</v>
      </c>
      <c r="L396" s="161">
        <f t="shared" si="19"/>
        <v>0</v>
      </c>
      <c r="M396" s="129"/>
      <c r="N396" s="190"/>
      <c r="O396" s="191"/>
      <c r="P396" s="191"/>
      <c r="Q396" s="192"/>
      <c r="R396" s="7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  <c r="AC396" s="180"/>
      <c r="AD396" s="180"/>
      <c r="AE396" s="180"/>
      <c r="AF396" s="180"/>
      <c r="AG396" s="180"/>
      <c r="AH396" s="180"/>
    </row>
    <row r="397" spans="1:34" s="175" customFormat="1" ht="23.25" customHeight="1" x14ac:dyDescent="0.15">
      <c r="A397" s="27"/>
      <c r="B397" s="125"/>
      <c r="C397" s="196"/>
      <c r="D397" s="188"/>
      <c r="E397" s="188"/>
      <c r="F397" s="188"/>
      <c r="G397" s="189"/>
      <c r="H397" s="43"/>
      <c r="I397" s="156"/>
      <c r="J397" s="157"/>
      <c r="K397" s="10" t="str">
        <f t="shared" si="20"/>
        <v>-</v>
      </c>
      <c r="L397" s="161">
        <f t="shared" ref="L397:L413" si="21">IFERROR(J397-I397,"-")</f>
        <v>0</v>
      </c>
      <c r="M397" s="129"/>
      <c r="N397" s="190"/>
      <c r="O397" s="191"/>
      <c r="P397" s="191"/>
      <c r="Q397" s="192"/>
      <c r="R397" s="7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  <c r="AC397" s="180"/>
      <c r="AD397" s="180"/>
      <c r="AE397" s="180"/>
      <c r="AF397" s="180"/>
      <c r="AG397" s="180"/>
      <c r="AH397" s="180"/>
    </row>
    <row r="398" spans="1:34" s="175" customFormat="1" ht="23.25" customHeight="1" x14ac:dyDescent="0.15">
      <c r="A398" s="27"/>
      <c r="B398" s="125"/>
      <c r="C398" s="196"/>
      <c r="D398" s="188"/>
      <c r="E398" s="188"/>
      <c r="F398" s="188"/>
      <c r="G398" s="189"/>
      <c r="H398" s="43"/>
      <c r="I398" s="156"/>
      <c r="J398" s="157"/>
      <c r="K398" s="10" t="str">
        <f t="shared" si="20"/>
        <v>-</v>
      </c>
      <c r="L398" s="161">
        <f t="shared" si="21"/>
        <v>0</v>
      </c>
      <c r="M398" s="129"/>
      <c r="N398" s="190"/>
      <c r="O398" s="191"/>
      <c r="P398" s="191"/>
      <c r="Q398" s="192"/>
      <c r="R398" s="7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  <c r="AC398" s="180"/>
      <c r="AD398" s="180"/>
      <c r="AE398" s="180"/>
      <c r="AF398" s="180"/>
      <c r="AG398" s="180"/>
      <c r="AH398" s="180"/>
    </row>
    <row r="399" spans="1:34" s="175" customFormat="1" ht="23.25" customHeight="1" x14ac:dyDescent="0.15">
      <c r="A399" s="27"/>
      <c r="B399" s="125"/>
      <c r="C399" s="196"/>
      <c r="D399" s="188"/>
      <c r="E399" s="188"/>
      <c r="F399" s="188"/>
      <c r="G399" s="189"/>
      <c r="H399" s="43"/>
      <c r="I399" s="156"/>
      <c r="J399" s="157"/>
      <c r="K399" s="10" t="str">
        <f t="shared" si="20"/>
        <v>-</v>
      </c>
      <c r="L399" s="161">
        <f t="shared" si="21"/>
        <v>0</v>
      </c>
      <c r="M399" s="129"/>
      <c r="N399" s="190"/>
      <c r="O399" s="191"/>
      <c r="P399" s="191"/>
      <c r="Q399" s="192"/>
      <c r="R399" s="7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  <c r="AC399" s="180"/>
      <c r="AD399" s="180"/>
      <c r="AE399" s="180"/>
      <c r="AF399" s="180"/>
      <c r="AG399" s="180"/>
      <c r="AH399" s="180"/>
    </row>
    <row r="400" spans="1:34" s="175" customFormat="1" ht="23.25" customHeight="1" x14ac:dyDescent="0.15">
      <c r="A400" s="27"/>
      <c r="B400" s="125"/>
      <c r="C400" s="196"/>
      <c r="D400" s="188"/>
      <c r="E400" s="188"/>
      <c r="F400" s="188"/>
      <c r="G400" s="189"/>
      <c r="H400" s="43"/>
      <c r="I400" s="156"/>
      <c r="J400" s="157"/>
      <c r="K400" s="10" t="str">
        <f t="shared" si="20"/>
        <v>-</v>
      </c>
      <c r="L400" s="161">
        <f t="shared" si="21"/>
        <v>0</v>
      </c>
      <c r="M400" s="129"/>
      <c r="N400" s="190"/>
      <c r="O400" s="191"/>
      <c r="P400" s="191"/>
      <c r="Q400" s="192"/>
      <c r="R400" s="7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  <c r="AC400" s="180"/>
      <c r="AD400" s="180"/>
      <c r="AE400" s="180"/>
      <c r="AF400" s="180"/>
      <c r="AG400" s="180"/>
      <c r="AH400" s="180"/>
    </row>
    <row r="401" spans="1:34" s="175" customFormat="1" ht="23.25" customHeight="1" x14ac:dyDescent="0.15">
      <c r="A401" s="27"/>
      <c r="B401" s="125"/>
      <c r="C401" s="196"/>
      <c r="D401" s="188"/>
      <c r="E401" s="188"/>
      <c r="F401" s="188"/>
      <c r="G401" s="189"/>
      <c r="H401" s="43"/>
      <c r="I401" s="156"/>
      <c r="J401" s="157"/>
      <c r="K401" s="10" t="str">
        <f t="shared" si="20"/>
        <v>-</v>
      </c>
      <c r="L401" s="161">
        <f t="shared" si="21"/>
        <v>0</v>
      </c>
      <c r="M401" s="129"/>
      <c r="N401" s="190"/>
      <c r="O401" s="191"/>
      <c r="P401" s="191"/>
      <c r="Q401" s="192"/>
      <c r="R401" s="7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  <c r="AC401" s="180"/>
      <c r="AD401" s="180"/>
      <c r="AE401" s="180"/>
      <c r="AF401" s="180"/>
      <c r="AG401" s="180"/>
      <c r="AH401" s="180"/>
    </row>
    <row r="402" spans="1:34" s="175" customFormat="1" ht="23.25" customHeight="1" x14ac:dyDescent="0.15">
      <c r="A402" s="27"/>
      <c r="B402" s="125"/>
      <c r="C402" s="196"/>
      <c r="D402" s="188"/>
      <c r="E402" s="188"/>
      <c r="F402" s="188"/>
      <c r="G402" s="189"/>
      <c r="H402" s="43"/>
      <c r="I402" s="156"/>
      <c r="J402" s="157"/>
      <c r="K402" s="10" t="str">
        <f t="shared" si="20"/>
        <v>-</v>
      </c>
      <c r="L402" s="161">
        <f t="shared" si="21"/>
        <v>0</v>
      </c>
      <c r="M402" s="129"/>
      <c r="N402" s="190"/>
      <c r="O402" s="191"/>
      <c r="P402" s="191"/>
      <c r="Q402" s="192"/>
      <c r="R402" s="7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  <c r="AC402" s="180"/>
      <c r="AD402" s="180"/>
      <c r="AE402" s="180"/>
      <c r="AF402" s="180"/>
      <c r="AG402" s="180"/>
      <c r="AH402" s="180"/>
    </row>
    <row r="403" spans="1:34" s="175" customFormat="1" ht="23.25" customHeight="1" x14ac:dyDescent="0.15">
      <c r="A403" s="27"/>
      <c r="B403" s="125"/>
      <c r="C403" s="196"/>
      <c r="D403" s="188"/>
      <c r="E403" s="188"/>
      <c r="F403" s="188"/>
      <c r="G403" s="189"/>
      <c r="H403" s="43"/>
      <c r="I403" s="156"/>
      <c r="J403" s="157"/>
      <c r="K403" s="10" t="str">
        <f t="shared" ref="K403:K413" si="22">IFERROR(J403/I403*100-100,"-")</f>
        <v>-</v>
      </c>
      <c r="L403" s="161">
        <f t="shared" si="21"/>
        <v>0</v>
      </c>
      <c r="M403" s="129"/>
      <c r="N403" s="190"/>
      <c r="O403" s="191"/>
      <c r="P403" s="191"/>
      <c r="Q403" s="192"/>
      <c r="R403" s="7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  <c r="AC403" s="180"/>
      <c r="AD403" s="180"/>
      <c r="AE403" s="180"/>
      <c r="AF403" s="180"/>
      <c r="AG403" s="180"/>
      <c r="AH403" s="180"/>
    </row>
    <row r="404" spans="1:34" s="175" customFormat="1" ht="23.25" customHeight="1" x14ac:dyDescent="0.15">
      <c r="A404" s="27"/>
      <c r="B404" s="125"/>
      <c r="C404" s="196"/>
      <c r="D404" s="188"/>
      <c r="E404" s="188"/>
      <c r="F404" s="188"/>
      <c r="G404" s="189"/>
      <c r="H404" s="43"/>
      <c r="I404" s="156"/>
      <c r="J404" s="157"/>
      <c r="K404" s="10" t="str">
        <f t="shared" si="22"/>
        <v>-</v>
      </c>
      <c r="L404" s="161">
        <f t="shared" si="21"/>
        <v>0</v>
      </c>
      <c r="M404" s="129"/>
      <c r="N404" s="190"/>
      <c r="O404" s="191"/>
      <c r="P404" s="191"/>
      <c r="Q404" s="192"/>
      <c r="R404" s="7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  <c r="AC404" s="180"/>
      <c r="AD404" s="180"/>
      <c r="AE404" s="180"/>
      <c r="AF404" s="180"/>
      <c r="AG404" s="180"/>
      <c r="AH404" s="180"/>
    </row>
    <row r="405" spans="1:34" s="175" customFormat="1" ht="23.25" customHeight="1" x14ac:dyDescent="0.15">
      <c r="A405" s="27"/>
      <c r="B405" s="125"/>
      <c r="C405" s="196"/>
      <c r="D405" s="188"/>
      <c r="E405" s="188"/>
      <c r="F405" s="188"/>
      <c r="G405" s="189"/>
      <c r="H405" s="43"/>
      <c r="I405" s="156"/>
      <c r="J405" s="157"/>
      <c r="K405" s="10" t="str">
        <f t="shared" si="22"/>
        <v>-</v>
      </c>
      <c r="L405" s="161">
        <f t="shared" si="21"/>
        <v>0</v>
      </c>
      <c r="M405" s="129"/>
      <c r="N405" s="190"/>
      <c r="O405" s="191"/>
      <c r="P405" s="191"/>
      <c r="Q405" s="192"/>
      <c r="R405" s="7"/>
    </row>
    <row r="406" spans="1:34" s="175" customFormat="1" ht="23.25" customHeight="1" x14ac:dyDescent="0.15">
      <c r="A406" s="27"/>
      <c r="B406" s="125"/>
      <c r="C406" s="196"/>
      <c r="D406" s="188"/>
      <c r="E406" s="188"/>
      <c r="F406" s="188"/>
      <c r="G406" s="189"/>
      <c r="H406" s="43"/>
      <c r="I406" s="156"/>
      <c r="J406" s="157"/>
      <c r="K406" s="10" t="str">
        <f t="shared" si="22"/>
        <v>-</v>
      </c>
      <c r="L406" s="161">
        <f t="shared" si="21"/>
        <v>0</v>
      </c>
      <c r="M406" s="129"/>
      <c r="N406" s="190"/>
      <c r="O406" s="191"/>
      <c r="P406" s="191"/>
      <c r="Q406" s="192"/>
      <c r="R406" s="7"/>
    </row>
    <row r="407" spans="1:34" s="175" customFormat="1" ht="23.25" customHeight="1" x14ac:dyDescent="0.15">
      <c r="A407" s="27"/>
      <c r="B407" s="125"/>
      <c r="C407" s="196"/>
      <c r="D407" s="188"/>
      <c r="E407" s="188"/>
      <c r="F407" s="188"/>
      <c r="G407" s="189"/>
      <c r="H407" s="43"/>
      <c r="I407" s="156"/>
      <c r="J407" s="157"/>
      <c r="K407" s="10" t="str">
        <f t="shared" si="22"/>
        <v>-</v>
      </c>
      <c r="L407" s="161">
        <f t="shared" si="21"/>
        <v>0</v>
      </c>
      <c r="M407" s="129"/>
      <c r="N407" s="190"/>
      <c r="O407" s="191"/>
      <c r="P407" s="191"/>
      <c r="Q407" s="192"/>
      <c r="R407" s="7"/>
    </row>
    <row r="408" spans="1:34" s="175" customFormat="1" ht="23.25" customHeight="1" x14ac:dyDescent="0.15">
      <c r="A408" s="27"/>
      <c r="B408" s="125"/>
      <c r="C408" s="196"/>
      <c r="D408" s="188"/>
      <c r="E408" s="188"/>
      <c r="F408" s="188"/>
      <c r="G408" s="189"/>
      <c r="H408" s="43"/>
      <c r="I408" s="156"/>
      <c r="J408" s="157"/>
      <c r="K408" s="10" t="str">
        <f t="shared" si="22"/>
        <v>-</v>
      </c>
      <c r="L408" s="161">
        <f t="shared" si="21"/>
        <v>0</v>
      </c>
      <c r="M408" s="129"/>
      <c r="N408" s="190"/>
      <c r="O408" s="191"/>
      <c r="P408" s="191"/>
      <c r="Q408" s="192"/>
      <c r="R408" s="7"/>
    </row>
    <row r="409" spans="1:34" s="175" customFormat="1" ht="23.25" customHeight="1" x14ac:dyDescent="0.15">
      <c r="A409" s="27"/>
      <c r="B409" s="125"/>
      <c r="C409" s="196"/>
      <c r="D409" s="188"/>
      <c r="E409" s="188"/>
      <c r="F409" s="188"/>
      <c r="G409" s="189"/>
      <c r="H409" s="43"/>
      <c r="I409" s="156"/>
      <c r="J409" s="157"/>
      <c r="K409" s="10" t="str">
        <f t="shared" si="22"/>
        <v>-</v>
      </c>
      <c r="L409" s="161">
        <f t="shared" si="21"/>
        <v>0</v>
      </c>
      <c r="M409" s="129"/>
      <c r="N409" s="190"/>
      <c r="O409" s="191"/>
      <c r="P409" s="191"/>
      <c r="Q409" s="192"/>
      <c r="R409" s="7"/>
    </row>
    <row r="410" spans="1:34" s="175" customFormat="1" ht="23.25" customHeight="1" x14ac:dyDescent="0.15">
      <c r="A410" s="27"/>
      <c r="B410" s="125"/>
      <c r="C410" s="196"/>
      <c r="D410" s="188"/>
      <c r="E410" s="188"/>
      <c r="F410" s="188"/>
      <c r="G410" s="189"/>
      <c r="H410" s="43"/>
      <c r="I410" s="156"/>
      <c r="J410" s="157"/>
      <c r="K410" s="10" t="str">
        <f t="shared" si="22"/>
        <v>-</v>
      </c>
      <c r="L410" s="161">
        <f t="shared" si="21"/>
        <v>0</v>
      </c>
      <c r="M410" s="129"/>
      <c r="N410" s="190"/>
      <c r="O410" s="191"/>
      <c r="P410" s="191"/>
      <c r="Q410" s="192"/>
      <c r="R410" s="7"/>
    </row>
    <row r="411" spans="1:34" s="175" customFormat="1" ht="23.25" customHeight="1" x14ac:dyDescent="0.15">
      <c r="A411" s="27"/>
      <c r="B411" s="125"/>
      <c r="C411" s="196"/>
      <c r="D411" s="188"/>
      <c r="E411" s="188"/>
      <c r="F411" s="188"/>
      <c r="G411" s="189"/>
      <c r="H411" s="43"/>
      <c r="I411" s="156"/>
      <c r="J411" s="157"/>
      <c r="K411" s="10" t="str">
        <f t="shared" si="22"/>
        <v>-</v>
      </c>
      <c r="L411" s="161">
        <f t="shared" si="21"/>
        <v>0</v>
      </c>
      <c r="M411" s="129"/>
      <c r="N411" s="190"/>
      <c r="O411" s="191"/>
      <c r="P411" s="191"/>
      <c r="Q411" s="192"/>
      <c r="R411" s="7"/>
    </row>
    <row r="412" spans="1:34" s="175" customFormat="1" ht="23.25" customHeight="1" x14ac:dyDescent="0.15">
      <c r="A412" s="27"/>
      <c r="B412" s="125"/>
      <c r="C412" s="196"/>
      <c r="D412" s="188"/>
      <c r="E412" s="188"/>
      <c r="F412" s="188"/>
      <c r="G412" s="189"/>
      <c r="H412" s="43"/>
      <c r="I412" s="156"/>
      <c r="J412" s="157"/>
      <c r="K412" s="10" t="str">
        <f t="shared" si="22"/>
        <v>-</v>
      </c>
      <c r="L412" s="161">
        <f t="shared" si="21"/>
        <v>0</v>
      </c>
      <c r="M412" s="129"/>
      <c r="N412" s="190"/>
      <c r="O412" s="191"/>
      <c r="P412" s="191"/>
      <c r="Q412" s="192"/>
      <c r="R412" s="7"/>
    </row>
    <row r="413" spans="1:34" s="175" customFormat="1" ht="23.25" customHeight="1" thickBot="1" x14ac:dyDescent="0.2">
      <c r="A413" s="27"/>
      <c r="B413" s="125"/>
      <c r="C413" s="197"/>
      <c r="D413" s="198"/>
      <c r="E413" s="198"/>
      <c r="F413" s="198"/>
      <c r="G413" s="199"/>
      <c r="H413" s="91"/>
      <c r="I413" s="158"/>
      <c r="J413" s="159"/>
      <c r="K413" s="94" t="str">
        <f t="shared" si="22"/>
        <v>-</v>
      </c>
      <c r="L413" s="162">
        <f t="shared" si="21"/>
        <v>0</v>
      </c>
      <c r="M413" s="136"/>
      <c r="N413" s="200"/>
      <c r="O413" s="201"/>
      <c r="P413" s="201"/>
      <c r="Q413" s="202"/>
      <c r="R413" s="7"/>
    </row>
  </sheetData>
  <autoFilter ref="B8:AH413" xr:uid="{00000000-0001-0000-0000-000000000000}">
    <filterColumn colId="1" showButton="0"/>
    <filterColumn colId="2" showButton="0"/>
    <filterColumn colId="3" showButton="0"/>
    <filterColumn colId="4" showButton="0"/>
    <filterColumn colId="12" showButton="0"/>
    <filterColumn colId="13" showButton="0"/>
    <filterColumn colId="14" showButton="0"/>
  </autoFilter>
  <mergeCells count="832">
    <mergeCell ref="C3:F3"/>
    <mergeCell ref="H3:J3"/>
    <mergeCell ref="K3:M3"/>
    <mergeCell ref="C4:F4"/>
    <mergeCell ref="H4:J4"/>
    <mergeCell ref="K4:M4"/>
    <mergeCell ref="C10:G10"/>
    <mergeCell ref="N10:Q10"/>
    <mergeCell ref="D11:G11"/>
    <mergeCell ref="N11:Q11"/>
    <mergeCell ref="E12:G12"/>
    <mergeCell ref="N12:Q12"/>
    <mergeCell ref="C5:F5"/>
    <mergeCell ref="H5:J5"/>
    <mergeCell ref="K5:M5"/>
    <mergeCell ref="C8:G8"/>
    <mergeCell ref="N8:Q8"/>
    <mergeCell ref="C9:G9"/>
    <mergeCell ref="N9:Q9"/>
    <mergeCell ref="E16:G16"/>
    <mergeCell ref="N16:Q16"/>
    <mergeCell ref="E17:G17"/>
    <mergeCell ref="N17:Q17"/>
    <mergeCell ref="E18:G18"/>
    <mergeCell ref="N18:Q18"/>
    <mergeCell ref="E13:G13"/>
    <mergeCell ref="N13:Q13"/>
    <mergeCell ref="E14:G14"/>
    <mergeCell ref="N14:Q14"/>
    <mergeCell ref="E15:G15"/>
    <mergeCell ref="N15:Q15"/>
    <mergeCell ref="E22:G22"/>
    <mergeCell ref="N22:Q22"/>
    <mergeCell ref="E23:F23"/>
    <mergeCell ref="N23:Q23"/>
    <mergeCell ref="E24:F24"/>
    <mergeCell ref="N24:Q24"/>
    <mergeCell ref="E19:F19"/>
    <mergeCell ref="N19:Q19"/>
    <mergeCell ref="E20:F20"/>
    <mergeCell ref="N20:Q20"/>
    <mergeCell ref="E21:F21"/>
    <mergeCell ref="N21:Q21"/>
    <mergeCell ref="N28:Q28"/>
    <mergeCell ref="N29:Q29"/>
    <mergeCell ref="F30:G30"/>
    <mergeCell ref="N30:Q30"/>
    <mergeCell ref="N31:Q31"/>
    <mergeCell ref="N32:Q32"/>
    <mergeCell ref="E25:G25"/>
    <mergeCell ref="N25:Q25"/>
    <mergeCell ref="E26:G26"/>
    <mergeCell ref="N26:Q26"/>
    <mergeCell ref="F27:G27"/>
    <mergeCell ref="N27:Q27"/>
    <mergeCell ref="E36:G36"/>
    <mergeCell ref="N36:Q36"/>
    <mergeCell ref="F37:G37"/>
    <mergeCell ref="N37:Q37"/>
    <mergeCell ref="F38:G38"/>
    <mergeCell ref="N38:Q38"/>
    <mergeCell ref="E33:G33"/>
    <mergeCell ref="N33:Q33"/>
    <mergeCell ref="E34:G34"/>
    <mergeCell ref="N34:Q34"/>
    <mergeCell ref="D35:G35"/>
    <mergeCell ref="N35:Q35"/>
    <mergeCell ref="F42:G42"/>
    <mergeCell ref="N42:Q42"/>
    <mergeCell ref="N43:Q43"/>
    <mergeCell ref="N44:Q44"/>
    <mergeCell ref="E45:G45"/>
    <mergeCell ref="N45:Q45"/>
    <mergeCell ref="E39:G39"/>
    <mergeCell ref="N39:Q39"/>
    <mergeCell ref="E40:G40"/>
    <mergeCell ref="N40:Q40"/>
    <mergeCell ref="F41:G41"/>
    <mergeCell ref="N41:Q41"/>
    <mergeCell ref="E49:G49"/>
    <mergeCell ref="N49:Q49"/>
    <mergeCell ref="E50:G50"/>
    <mergeCell ref="N50:Q50"/>
    <mergeCell ref="D51:G51"/>
    <mergeCell ref="N51:Q51"/>
    <mergeCell ref="F46:G46"/>
    <mergeCell ref="N46:Q46"/>
    <mergeCell ref="F47:G47"/>
    <mergeCell ref="N47:Q47"/>
    <mergeCell ref="E48:G48"/>
    <mergeCell ref="N48:Q48"/>
    <mergeCell ref="E55:G55"/>
    <mergeCell ref="N55:Q55"/>
    <mergeCell ref="E56:G56"/>
    <mergeCell ref="N56:Q56"/>
    <mergeCell ref="E57:G57"/>
    <mergeCell ref="N57:Q57"/>
    <mergeCell ref="D52:G52"/>
    <mergeCell ref="N52:Q52"/>
    <mergeCell ref="E53:G53"/>
    <mergeCell ref="N53:Q53"/>
    <mergeCell ref="E54:G54"/>
    <mergeCell ref="N54:Q54"/>
    <mergeCell ref="E62:G62"/>
    <mergeCell ref="N62:Q62"/>
    <mergeCell ref="E63:G63"/>
    <mergeCell ref="N63:Q63"/>
    <mergeCell ref="E64:G64"/>
    <mergeCell ref="N64:Q64"/>
    <mergeCell ref="E61:G61"/>
    <mergeCell ref="N61:Q61"/>
    <mergeCell ref="E58:G58"/>
    <mergeCell ref="N58:Q58"/>
    <mergeCell ref="E59:G59"/>
    <mergeCell ref="N59:Q59"/>
    <mergeCell ref="E60:G60"/>
    <mergeCell ref="N60:Q60"/>
    <mergeCell ref="E70:G70"/>
    <mergeCell ref="N70:Q70"/>
    <mergeCell ref="E71:G71"/>
    <mergeCell ref="N71:Q71"/>
    <mergeCell ref="E68:G68"/>
    <mergeCell ref="N68:Q68"/>
    <mergeCell ref="E69:G69"/>
    <mergeCell ref="N69:Q69"/>
    <mergeCell ref="E65:G65"/>
    <mergeCell ref="N65:Q65"/>
    <mergeCell ref="E66:G66"/>
    <mergeCell ref="N66:Q66"/>
    <mergeCell ref="E67:G67"/>
    <mergeCell ref="N67:Q67"/>
    <mergeCell ref="E75:G75"/>
    <mergeCell ref="N75:Q75"/>
    <mergeCell ref="E76:G76"/>
    <mergeCell ref="N76:Q76"/>
    <mergeCell ref="E77:G77"/>
    <mergeCell ref="N77:Q77"/>
    <mergeCell ref="E72:G72"/>
    <mergeCell ref="N72:Q72"/>
    <mergeCell ref="E73:G73"/>
    <mergeCell ref="N73:Q73"/>
    <mergeCell ref="E74:G74"/>
    <mergeCell ref="N74:Q74"/>
    <mergeCell ref="E85:G85"/>
    <mergeCell ref="N85:Q85"/>
    <mergeCell ref="E86:G86"/>
    <mergeCell ref="N86:Q86"/>
    <mergeCell ref="E87:G87"/>
    <mergeCell ref="N87:Q87"/>
    <mergeCell ref="E78:G78"/>
    <mergeCell ref="N78:Q78"/>
    <mergeCell ref="E83:G83"/>
    <mergeCell ref="N83:Q83"/>
    <mergeCell ref="E84:G84"/>
    <mergeCell ref="N84:Q84"/>
    <mergeCell ref="E79:G79"/>
    <mergeCell ref="N79:Q79"/>
    <mergeCell ref="E80:G80"/>
    <mergeCell ref="N80:Q80"/>
    <mergeCell ref="E81:G81"/>
    <mergeCell ref="N81:Q81"/>
    <mergeCell ref="E82:G82"/>
    <mergeCell ref="N82:Q82"/>
    <mergeCell ref="D92:G92"/>
    <mergeCell ref="N92:Q92"/>
    <mergeCell ref="D93:G93"/>
    <mergeCell ref="N93:Q93"/>
    <mergeCell ref="D94:G94"/>
    <mergeCell ref="N94:Q94"/>
    <mergeCell ref="D88:G88"/>
    <mergeCell ref="N88:Q88"/>
    <mergeCell ref="D89:G89"/>
    <mergeCell ref="C90:G90"/>
    <mergeCell ref="N90:Q90"/>
    <mergeCell ref="D91:G91"/>
    <mergeCell ref="N91:Q91"/>
    <mergeCell ref="N89:Q89"/>
    <mergeCell ref="D98:G98"/>
    <mergeCell ref="N98:Q98"/>
    <mergeCell ref="D99:G99"/>
    <mergeCell ref="N99:Q99"/>
    <mergeCell ref="D100:G100"/>
    <mergeCell ref="N100:Q100"/>
    <mergeCell ref="D95:G95"/>
    <mergeCell ref="N95:Q95"/>
    <mergeCell ref="D96:G96"/>
    <mergeCell ref="N96:Q96"/>
    <mergeCell ref="D97:G97"/>
    <mergeCell ref="N97:Q97"/>
    <mergeCell ref="D104:G104"/>
    <mergeCell ref="N104:Q104"/>
    <mergeCell ref="D105:G105"/>
    <mergeCell ref="N105:Q105"/>
    <mergeCell ref="D106:G106"/>
    <mergeCell ref="N106:Q106"/>
    <mergeCell ref="D101:G101"/>
    <mergeCell ref="N101:Q101"/>
    <mergeCell ref="D102:G102"/>
    <mergeCell ref="N102:Q102"/>
    <mergeCell ref="D103:G103"/>
    <mergeCell ref="N103:Q103"/>
    <mergeCell ref="D110:G110"/>
    <mergeCell ref="N110:Q110"/>
    <mergeCell ref="D111:G111"/>
    <mergeCell ref="N111:Q111"/>
    <mergeCell ref="E112:G112"/>
    <mergeCell ref="N112:Q112"/>
    <mergeCell ref="D107:G107"/>
    <mergeCell ref="N107:Q107"/>
    <mergeCell ref="E108:G108"/>
    <mergeCell ref="N108:Q108"/>
    <mergeCell ref="E109:G109"/>
    <mergeCell ref="N109:Q109"/>
    <mergeCell ref="C116:G116"/>
    <mergeCell ref="N116:Q116"/>
    <mergeCell ref="D117:G117"/>
    <mergeCell ref="N117:Q117"/>
    <mergeCell ref="D118:G118"/>
    <mergeCell ref="N118:Q118"/>
    <mergeCell ref="E113:G113"/>
    <mergeCell ref="N113:Q113"/>
    <mergeCell ref="D114:G114"/>
    <mergeCell ref="N114:Q114"/>
    <mergeCell ref="C115:G115"/>
    <mergeCell ref="N115:Q115"/>
    <mergeCell ref="D122:G122"/>
    <mergeCell ref="N122:Q122"/>
    <mergeCell ref="D123:G123"/>
    <mergeCell ref="N123:Q123"/>
    <mergeCell ref="C124:G124"/>
    <mergeCell ref="N124:Q124"/>
    <mergeCell ref="D119:G119"/>
    <mergeCell ref="N119:Q119"/>
    <mergeCell ref="C120:G120"/>
    <mergeCell ref="N120:Q120"/>
    <mergeCell ref="D121:G121"/>
    <mergeCell ref="N121:Q121"/>
    <mergeCell ref="C128:G128"/>
    <mergeCell ref="N128:Q128"/>
    <mergeCell ref="C129:G129"/>
    <mergeCell ref="N129:Q129"/>
    <mergeCell ref="C130:G130"/>
    <mergeCell ref="N130:Q130"/>
    <mergeCell ref="D125:G125"/>
    <mergeCell ref="N125:Q125"/>
    <mergeCell ref="D126:G126"/>
    <mergeCell ref="N126:Q126"/>
    <mergeCell ref="D127:G127"/>
    <mergeCell ref="N127:Q127"/>
    <mergeCell ref="N135:Q135"/>
    <mergeCell ref="E136:G136"/>
    <mergeCell ref="N136:Q136"/>
    <mergeCell ref="D137:G137"/>
    <mergeCell ref="N137:Q137"/>
    <mergeCell ref="D138:G138"/>
    <mergeCell ref="N138:Q138"/>
    <mergeCell ref="C131:C223"/>
    <mergeCell ref="D131:G131"/>
    <mergeCell ref="N131:Q131"/>
    <mergeCell ref="E132:G132"/>
    <mergeCell ref="N132:Q132"/>
    <mergeCell ref="E133:G133"/>
    <mergeCell ref="N133:Q133"/>
    <mergeCell ref="D134:G134"/>
    <mergeCell ref="N134:Q134"/>
    <mergeCell ref="E135:G135"/>
    <mergeCell ref="D143:G143"/>
    <mergeCell ref="N143:Q143"/>
    <mergeCell ref="D144:G144"/>
    <mergeCell ref="N144:Q144"/>
    <mergeCell ref="D145:G145"/>
    <mergeCell ref="N145:Q145"/>
    <mergeCell ref="D139:G139"/>
    <mergeCell ref="N139:Q139"/>
    <mergeCell ref="D140:D142"/>
    <mergeCell ref="E140:G140"/>
    <mergeCell ref="N140:Q140"/>
    <mergeCell ref="E141:G141"/>
    <mergeCell ref="N141:Q141"/>
    <mergeCell ref="E142:G142"/>
    <mergeCell ref="N142:Q142"/>
    <mergeCell ref="D149:G149"/>
    <mergeCell ref="N149:Q149"/>
    <mergeCell ref="E150:G150"/>
    <mergeCell ref="N150:Q150"/>
    <mergeCell ref="E151:G151"/>
    <mergeCell ref="E152:G152"/>
    <mergeCell ref="N152:Q152"/>
    <mergeCell ref="N151:Q151"/>
    <mergeCell ref="D146:G146"/>
    <mergeCell ref="N146:Q146"/>
    <mergeCell ref="D147:G147"/>
    <mergeCell ref="N147:Q147"/>
    <mergeCell ref="D148:G148"/>
    <mergeCell ref="N148:Q148"/>
    <mergeCell ref="E155:G155"/>
    <mergeCell ref="N155:Q155"/>
    <mergeCell ref="E156:G156"/>
    <mergeCell ref="N156:Q156"/>
    <mergeCell ref="E157:G157"/>
    <mergeCell ref="N157:Q157"/>
    <mergeCell ref="E153:G153"/>
    <mergeCell ref="N153:Q153"/>
    <mergeCell ref="E154:G154"/>
    <mergeCell ref="N154:Q154"/>
    <mergeCell ref="D161:D163"/>
    <mergeCell ref="E161:G161"/>
    <mergeCell ref="N161:Q161"/>
    <mergeCell ref="E162:G162"/>
    <mergeCell ref="N162:Q162"/>
    <mergeCell ref="E163:G163"/>
    <mergeCell ref="N163:Q163"/>
    <mergeCell ref="D158:D160"/>
    <mergeCell ref="E158:G158"/>
    <mergeCell ref="N158:Q158"/>
    <mergeCell ref="E159:G159"/>
    <mergeCell ref="N159:Q159"/>
    <mergeCell ref="E160:G160"/>
    <mergeCell ref="N160:Q160"/>
    <mergeCell ref="D167:D169"/>
    <mergeCell ref="E167:G167"/>
    <mergeCell ref="N167:Q167"/>
    <mergeCell ref="E168:G168"/>
    <mergeCell ref="N168:Q168"/>
    <mergeCell ref="E169:G169"/>
    <mergeCell ref="N169:Q169"/>
    <mergeCell ref="D164:D166"/>
    <mergeCell ref="E164:G164"/>
    <mergeCell ref="N164:Q164"/>
    <mergeCell ref="E165:G165"/>
    <mergeCell ref="N165:Q165"/>
    <mergeCell ref="E166:G166"/>
    <mergeCell ref="N166:Q166"/>
    <mergeCell ref="D173:D175"/>
    <mergeCell ref="E173:G173"/>
    <mergeCell ref="N173:Q173"/>
    <mergeCell ref="E174:G174"/>
    <mergeCell ref="N174:Q174"/>
    <mergeCell ref="E175:G175"/>
    <mergeCell ref="N175:Q175"/>
    <mergeCell ref="D170:D172"/>
    <mergeCell ref="E170:G170"/>
    <mergeCell ref="N170:Q170"/>
    <mergeCell ref="E171:G171"/>
    <mergeCell ref="N171:Q171"/>
    <mergeCell ref="E172:G172"/>
    <mergeCell ref="N172:Q172"/>
    <mergeCell ref="D179:G179"/>
    <mergeCell ref="N179:Q179"/>
    <mergeCell ref="D180:G180"/>
    <mergeCell ref="N180:Q180"/>
    <mergeCell ref="D181:G181"/>
    <mergeCell ref="N181:Q181"/>
    <mergeCell ref="D176:D178"/>
    <mergeCell ref="E176:G176"/>
    <mergeCell ref="N176:Q176"/>
    <mergeCell ref="E177:G177"/>
    <mergeCell ref="N177:Q177"/>
    <mergeCell ref="E178:G178"/>
    <mergeCell ref="N178:Q178"/>
    <mergeCell ref="E186:G186"/>
    <mergeCell ref="E187:G187"/>
    <mergeCell ref="D188:G188"/>
    <mergeCell ref="N188:Q188"/>
    <mergeCell ref="D189:G189"/>
    <mergeCell ref="N189:Q189"/>
    <mergeCell ref="N186:Q186"/>
    <mergeCell ref="N187:Q187"/>
    <mergeCell ref="D182:G182"/>
    <mergeCell ref="N182:Q182"/>
    <mergeCell ref="E183:G183"/>
    <mergeCell ref="E184:G184"/>
    <mergeCell ref="D185:G185"/>
    <mergeCell ref="N185:Q185"/>
    <mergeCell ref="N183:Q183"/>
    <mergeCell ref="N184:Q184"/>
    <mergeCell ref="D193:G193"/>
    <mergeCell ref="N193:Q193"/>
    <mergeCell ref="N194:Q194"/>
    <mergeCell ref="N195:Q195"/>
    <mergeCell ref="N196:Q196"/>
    <mergeCell ref="D190:G190"/>
    <mergeCell ref="N190:Q190"/>
    <mergeCell ref="D191:G191"/>
    <mergeCell ref="N191:Q191"/>
    <mergeCell ref="D192:G192"/>
    <mergeCell ref="N192:Q192"/>
    <mergeCell ref="D194:D196"/>
    <mergeCell ref="E194:G194"/>
    <mergeCell ref="E195:G195"/>
    <mergeCell ref="E196:G196"/>
    <mergeCell ref="D200:G200"/>
    <mergeCell ref="N200:Q200"/>
    <mergeCell ref="E201:G201"/>
    <mergeCell ref="N201:Q201"/>
    <mergeCell ref="E202:G202"/>
    <mergeCell ref="N202:Q202"/>
    <mergeCell ref="D197:G197"/>
    <mergeCell ref="N197:Q197"/>
    <mergeCell ref="D198:G198"/>
    <mergeCell ref="N198:Q198"/>
    <mergeCell ref="D199:G199"/>
    <mergeCell ref="N199:Q199"/>
    <mergeCell ref="E206:G206"/>
    <mergeCell ref="N206:Q206"/>
    <mergeCell ref="E207:G207"/>
    <mergeCell ref="N207:Q207"/>
    <mergeCell ref="F208:G208"/>
    <mergeCell ref="N208:Q208"/>
    <mergeCell ref="F203:G203"/>
    <mergeCell ref="N203:Q203"/>
    <mergeCell ref="F204:G204"/>
    <mergeCell ref="N204:Q204"/>
    <mergeCell ref="D205:G205"/>
    <mergeCell ref="N205:Q205"/>
    <mergeCell ref="D215:G215"/>
    <mergeCell ref="N215:Q215"/>
    <mergeCell ref="D216:G216"/>
    <mergeCell ref="N216:Q216"/>
    <mergeCell ref="D217:G217"/>
    <mergeCell ref="N217:Q217"/>
    <mergeCell ref="F209:G209"/>
    <mergeCell ref="N209:Q209"/>
    <mergeCell ref="D210:G210"/>
    <mergeCell ref="N210:Q210"/>
    <mergeCell ref="D214:G214"/>
    <mergeCell ref="N214:Q214"/>
    <mergeCell ref="N211:Q211"/>
    <mergeCell ref="N212:Q212"/>
    <mergeCell ref="N213:Q213"/>
    <mergeCell ref="E211:G211"/>
    <mergeCell ref="E212:G212"/>
    <mergeCell ref="E213:G213"/>
    <mergeCell ref="D218:G218"/>
    <mergeCell ref="N218:Q218"/>
    <mergeCell ref="D219:E221"/>
    <mergeCell ref="F219:G219"/>
    <mergeCell ref="N219:Q219"/>
    <mergeCell ref="F220:G220"/>
    <mergeCell ref="N220:Q220"/>
    <mergeCell ref="F221:G221"/>
    <mergeCell ref="N221:Q221"/>
    <mergeCell ref="D222:E223"/>
    <mergeCell ref="F222:G222"/>
    <mergeCell ref="N222:Q222"/>
    <mergeCell ref="F223:G223"/>
    <mergeCell ref="N223:Q223"/>
    <mergeCell ref="D224:G224"/>
    <mergeCell ref="N224:Q224"/>
    <mergeCell ref="E225:G225"/>
    <mergeCell ref="N225:Q225"/>
    <mergeCell ref="E229:G229"/>
    <mergeCell ref="N229:Q229"/>
    <mergeCell ref="D230:G230"/>
    <mergeCell ref="D231:G231"/>
    <mergeCell ref="N231:Q231"/>
    <mergeCell ref="C232:C234"/>
    <mergeCell ref="D232:G232"/>
    <mergeCell ref="N232:Q232"/>
    <mergeCell ref="D233:G233"/>
    <mergeCell ref="N233:Q233"/>
    <mergeCell ref="C224:C231"/>
    <mergeCell ref="N230:Q230"/>
    <mergeCell ref="E226:G226"/>
    <mergeCell ref="N226:Q226"/>
    <mergeCell ref="D227:G227"/>
    <mergeCell ref="N227:Q227"/>
    <mergeCell ref="E228:G228"/>
    <mergeCell ref="N228:Q228"/>
    <mergeCell ref="C235:C270"/>
    <mergeCell ref="D235:G235"/>
    <mergeCell ref="N235:Q235"/>
    <mergeCell ref="D236:G236"/>
    <mergeCell ref="N236:Q236"/>
    <mergeCell ref="D237:G237"/>
    <mergeCell ref="N237:Q237"/>
    <mergeCell ref="D238:G238"/>
    <mergeCell ref="D234:G234"/>
    <mergeCell ref="N234:Q234"/>
    <mergeCell ref="D243:G243"/>
    <mergeCell ref="N243:Q243"/>
    <mergeCell ref="D244:G244"/>
    <mergeCell ref="N244:Q244"/>
    <mergeCell ref="D239:G239"/>
    <mergeCell ref="D240:G240"/>
    <mergeCell ref="N240:Q240"/>
    <mergeCell ref="D241:G241"/>
    <mergeCell ref="N241:Q241"/>
    <mergeCell ref="D242:G242"/>
    <mergeCell ref="N242:Q242"/>
    <mergeCell ref="N270:Q270"/>
    <mergeCell ref="N266:Q266"/>
    <mergeCell ref="N267:Q267"/>
    <mergeCell ref="N260:Q260"/>
    <mergeCell ref="N261:Q261"/>
    <mergeCell ref="N262:Q262"/>
    <mergeCell ref="D247:G247"/>
    <mergeCell ref="N247:Q247"/>
    <mergeCell ref="D248:G248"/>
    <mergeCell ref="N248:Q248"/>
    <mergeCell ref="D249:G249"/>
    <mergeCell ref="N249:Q249"/>
    <mergeCell ref="N269:Q269"/>
    <mergeCell ref="D245:G245"/>
    <mergeCell ref="N245:Q245"/>
    <mergeCell ref="D246:G246"/>
    <mergeCell ref="N246:Q246"/>
    <mergeCell ref="N257:Q257"/>
    <mergeCell ref="N258:Q258"/>
    <mergeCell ref="N259:Q259"/>
    <mergeCell ref="D252:G252"/>
    <mergeCell ref="D253:G253"/>
    <mergeCell ref="D254:G254"/>
    <mergeCell ref="D255:G255"/>
    <mergeCell ref="D256:G256"/>
    <mergeCell ref="D257:G257"/>
    <mergeCell ref="D250:G250"/>
    <mergeCell ref="D251:G251"/>
    <mergeCell ref="N253:Q253"/>
    <mergeCell ref="N254:Q254"/>
    <mergeCell ref="N255:Q255"/>
    <mergeCell ref="N256:Q256"/>
    <mergeCell ref="N268:Q268"/>
    <mergeCell ref="N263:Q263"/>
    <mergeCell ref="N264:Q264"/>
    <mergeCell ref="N265:Q265"/>
    <mergeCell ref="D264:G264"/>
    <mergeCell ref="D265:G265"/>
    <mergeCell ref="D266:G266"/>
    <mergeCell ref="D267:G267"/>
    <mergeCell ref="D268:G268"/>
    <mergeCell ref="D269:G269"/>
    <mergeCell ref="D258:G258"/>
    <mergeCell ref="D259:G259"/>
    <mergeCell ref="D260:G260"/>
    <mergeCell ref="D261:G261"/>
    <mergeCell ref="D262:G262"/>
    <mergeCell ref="D263:G263"/>
    <mergeCell ref="N273:Q273"/>
    <mergeCell ref="D274:G274"/>
    <mergeCell ref="N274:Q274"/>
    <mergeCell ref="D275:G275"/>
    <mergeCell ref="N275:Q275"/>
    <mergeCell ref="D276:G276"/>
    <mergeCell ref="N276:Q276"/>
    <mergeCell ref="D273:G273"/>
    <mergeCell ref="D270:G270"/>
    <mergeCell ref="E280:G280"/>
    <mergeCell ref="N280:Q280"/>
    <mergeCell ref="F281:G281"/>
    <mergeCell ref="N281:Q281"/>
    <mergeCell ref="D282:G282"/>
    <mergeCell ref="N282:Q282"/>
    <mergeCell ref="E277:G277"/>
    <mergeCell ref="N277:Q277"/>
    <mergeCell ref="E278:G278"/>
    <mergeCell ref="N278:Q278"/>
    <mergeCell ref="E279:G279"/>
    <mergeCell ref="N279:Q279"/>
    <mergeCell ref="E286:G286"/>
    <mergeCell ref="N286:Q286"/>
    <mergeCell ref="E287:G287"/>
    <mergeCell ref="N287:Q287"/>
    <mergeCell ref="E288:G288"/>
    <mergeCell ref="N288:Q288"/>
    <mergeCell ref="E283:G283"/>
    <mergeCell ref="N283:Q283"/>
    <mergeCell ref="E284:G284"/>
    <mergeCell ref="N284:Q284"/>
    <mergeCell ref="E285:G285"/>
    <mergeCell ref="N285:Q285"/>
    <mergeCell ref="N293:Q293"/>
    <mergeCell ref="F294:G294"/>
    <mergeCell ref="N294:Q294"/>
    <mergeCell ref="E289:G289"/>
    <mergeCell ref="N289:Q289"/>
    <mergeCell ref="E290:G290"/>
    <mergeCell ref="N290:Q290"/>
    <mergeCell ref="E291:G291"/>
    <mergeCell ref="N291:Q291"/>
    <mergeCell ref="E309:G309"/>
    <mergeCell ref="N309:Q309"/>
    <mergeCell ref="E310:G310"/>
    <mergeCell ref="N310:Q310"/>
    <mergeCell ref="E311:G311"/>
    <mergeCell ref="N311:Q311"/>
    <mergeCell ref="E306:G306"/>
    <mergeCell ref="N306:Q306"/>
    <mergeCell ref="E307:G307"/>
    <mergeCell ref="N307:Q307"/>
    <mergeCell ref="E308:G308"/>
    <mergeCell ref="N308:Q308"/>
    <mergeCell ref="C315:G315"/>
    <mergeCell ref="N315:Q315"/>
    <mergeCell ref="C316:G316"/>
    <mergeCell ref="N316:Q316"/>
    <mergeCell ref="C317:G317"/>
    <mergeCell ref="N317:Q317"/>
    <mergeCell ref="E312:G312"/>
    <mergeCell ref="N312:Q312"/>
    <mergeCell ref="E313:G313"/>
    <mergeCell ref="N313:Q313"/>
    <mergeCell ref="C314:G314"/>
    <mergeCell ref="N314:Q314"/>
    <mergeCell ref="D304:D313"/>
    <mergeCell ref="E304:G304"/>
    <mergeCell ref="N304:Q304"/>
    <mergeCell ref="E305:G305"/>
    <mergeCell ref="N305:Q305"/>
    <mergeCell ref="C271:C313"/>
    <mergeCell ref="D271:G271"/>
    <mergeCell ref="N271:Q271"/>
    <mergeCell ref="D272:G272"/>
    <mergeCell ref="N272:Q272"/>
    <mergeCell ref="N303:Q303"/>
    <mergeCell ref="D303:G303"/>
    <mergeCell ref="C321:G321"/>
    <mergeCell ref="N321:Q321"/>
    <mergeCell ref="C322:G322"/>
    <mergeCell ref="N322:Q322"/>
    <mergeCell ref="C323:G323"/>
    <mergeCell ref="N323:Q323"/>
    <mergeCell ref="C318:G318"/>
    <mergeCell ref="N318:Q318"/>
    <mergeCell ref="C319:G319"/>
    <mergeCell ref="N319:Q319"/>
    <mergeCell ref="C320:G320"/>
    <mergeCell ref="N320:Q320"/>
    <mergeCell ref="C327:G327"/>
    <mergeCell ref="N327:Q327"/>
    <mergeCell ref="C328:G328"/>
    <mergeCell ref="N328:Q328"/>
    <mergeCell ref="C329:G329"/>
    <mergeCell ref="N329:Q329"/>
    <mergeCell ref="C324:G324"/>
    <mergeCell ref="N324:Q324"/>
    <mergeCell ref="C325:G325"/>
    <mergeCell ref="N325:Q325"/>
    <mergeCell ref="C326:G326"/>
    <mergeCell ref="N326:Q326"/>
    <mergeCell ref="C333:G333"/>
    <mergeCell ref="N333:Q333"/>
    <mergeCell ref="C334:G334"/>
    <mergeCell ref="N334:Q334"/>
    <mergeCell ref="C335:G335"/>
    <mergeCell ref="N335:Q335"/>
    <mergeCell ref="C330:G330"/>
    <mergeCell ref="N330:Q330"/>
    <mergeCell ref="C331:G331"/>
    <mergeCell ref="N331:Q331"/>
    <mergeCell ref="C332:G332"/>
    <mergeCell ref="N332:Q332"/>
    <mergeCell ref="C339:G339"/>
    <mergeCell ref="N339:Q339"/>
    <mergeCell ref="C340:G340"/>
    <mergeCell ref="N340:Q340"/>
    <mergeCell ref="C341:G341"/>
    <mergeCell ref="N341:Q341"/>
    <mergeCell ref="C336:G336"/>
    <mergeCell ref="N336:Q336"/>
    <mergeCell ref="C337:G337"/>
    <mergeCell ref="N337:Q337"/>
    <mergeCell ref="C338:G338"/>
    <mergeCell ref="N338:Q338"/>
    <mergeCell ref="C345:G345"/>
    <mergeCell ref="N345:Q345"/>
    <mergeCell ref="C346:G346"/>
    <mergeCell ref="N346:Q346"/>
    <mergeCell ref="C347:G347"/>
    <mergeCell ref="N347:Q347"/>
    <mergeCell ref="C342:G342"/>
    <mergeCell ref="N342:Q342"/>
    <mergeCell ref="C343:G343"/>
    <mergeCell ref="N343:Q343"/>
    <mergeCell ref="C344:G344"/>
    <mergeCell ref="N344:Q344"/>
    <mergeCell ref="C351:G351"/>
    <mergeCell ref="N351:Q351"/>
    <mergeCell ref="C352:G352"/>
    <mergeCell ref="N352:Q352"/>
    <mergeCell ref="C353:G353"/>
    <mergeCell ref="N353:Q353"/>
    <mergeCell ref="C348:G348"/>
    <mergeCell ref="N348:Q348"/>
    <mergeCell ref="C349:G349"/>
    <mergeCell ref="N349:Q349"/>
    <mergeCell ref="C350:G350"/>
    <mergeCell ref="N350:Q350"/>
    <mergeCell ref="C357:G357"/>
    <mergeCell ref="N357:Q357"/>
    <mergeCell ref="C358:G358"/>
    <mergeCell ref="N358:Q358"/>
    <mergeCell ref="C359:G359"/>
    <mergeCell ref="N359:Q359"/>
    <mergeCell ref="C354:G354"/>
    <mergeCell ref="N354:Q354"/>
    <mergeCell ref="C355:G355"/>
    <mergeCell ref="N355:Q355"/>
    <mergeCell ref="C356:G356"/>
    <mergeCell ref="N356:Q356"/>
    <mergeCell ref="C363:G363"/>
    <mergeCell ref="N363:Q363"/>
    <mergeCell ref="C364:G364"/>
    <mergeCell ref="N364:Q364"/>
    <mergeCell ref="C365:G365"/>
    <mergeCell ref="N365:Q365"/>
    <mergeCell ref="C360:G360"/>
    <mergeCell ref="N360:Q360"/>
    <mergeCell ref="C361:G361"/>
    <mergeCell ref="N361:Q361"/>
    <mergeCell ref="C362:G362"/>
    <mergeCell ref="N362:Q362"/>
    <mergeCell ref="C369:G369"/>
    <mergeCell ref="N369:Q369"/>
    <mergeCell ref="C370:G370"/>
    <mergeCell ref="N370:Q370"/>
    <mergeCell ref="C371:G371"/>
    <mergeCell ref="N371:Q371"/>
    <mergeCell ref="C366:G366"/>
    <mergeCell ref="N366:Q366"/>
    <mergeCell ref="C367:G367"/>
    <mergeCell ref="N367:Q367"/>
    <mergeCell ref="C368:G368"/>
    <mergeCell ref="N368:Q368"/>
    <mergeCell ref="C375:G375"/>
    <mergeCell ref="N375:Q375"/>
    <mergeCell ref="C376:G376"/>
    <mergeCell ref="N376:Q376"/>
    <mergeCell ref="C377:G377"/>
    <mergeCell ref="N377:Q377"/>
    <mergeCell ref="C372:G372"/>
    <mergeCell ref="N372:Q372"/>
    <mergeCell ref="C373:G373"/>
    <mergeCell ref="N373:Q373"/>
    <mergeCell ref="C374:G374"/>
    <mergeCell ref="N374:Q374"/>
    <mergeCell ref="C381:G381"/>
    <mergeCell ref="N381:Q381"/>
    <mergeCell ref="C382:G382"/>
    <mergeCell ref="N382:Q382"/>
    <mergeCell ref="C383:G383"/>
    <mergeCell ref="N383:Q383"/>
    <mergeCell ref="C378:G378"/>
    <mergeCell ref="N378:Q378"/>
    <mergeCell ref="C379:G379"/>
    <mergeCell ref="N379:Q379"/>
    <mergeCell ref="C380:G380"/>
    <mergeCell ref="N380:Q380"/>
    <mergeCell ref="C387:G387"/>
    <mergeCell ref="N387:Q387"/>
    <mergeCell ref="C388:G388"/>
    <mergeCell ref="N388:Q388"/>
    <mergeCell ref="C389:G389"/>
    <mergeCell ref="N389:Q389"/>
    <mergeCell ref="C384:G384"/>
    <mergeCell ref="N384:Q384"/>
    <mergeCell ref="C385:G385"/>
    <mergeCell ref="N385:Q385"/>
    <mergeCell ref="C386:G386"/>
    <mergeCell ref="N386:Q386"/>
    <mergeCell ref="C393:G393"/>
    <mergeCell ref="N393:Q393"/>
    <mergeCell ref="C394:G394"/>
    <mergeCell ref="N394:Q394"/>
    <mergeCell ref="C395:G395"/>
    <mergeCell ref="N395:Q395"/>
    <mergeCell ref="C390:G390"/>
    <mergeCell ref="N390:Q390"/>
    <mergeCell ref="C391:G391"/>
    <mergeCell ref="N391:Q391"/>
    <mergeCell ref="C392:G392"/>
    <mergeCell ref="N392:Q392"/>
    <mergeCell ref="C399:G399"/>
    <mergeCell ref="N399:Q399"/>
    <mergeCell ref="C400:G400"/>
    <mergeCell ref="N400:Q400"/>
    <mergeCell ref="C401:G401"/>
    <mergeCell ref="N401:Q401"/>
    <mergeCell ref="C396:G396"/>
    <mergeCell ref="N396:Q396"/>
    <mergeCell ref="C397:G397"/>
    <mergeCell ref="N397:Q397"/>
    <mergeCell ref="C398:G398"/>
    <mergeCell ref="N398:Q398"/>
    <mergeCell ref="C405:G405"/>
    <mergeCell ref="N405:Q405"/>
    <mergeCell ref="C406:G406"/>
    <mergeCell ref="N406:Q406"/>
    <mergeCell ref="C407:G407"/>
    <mergeCell ref="N407:Q407"/>
    <mergeCell ref="C402:G402"/>
    <mergeCell ref="N402:Q402"/>
    <mergeCell ref="C403:G403"/>
    <mergeCell ref="N403:Q403"/>
    <mergeCell ref="C404:G404"/>
    <mergeCell ref="N404:Q404"/>
    <mergeCell ref="C411:G411"/>
    <mergeCell ref="N411:Q411"/>
    <mergeCell ref="C412:G412"/>
    <mergeCell ref="N412:Q412"/>
    <mergeCell ref="C413:G413"/>
    <mergeCell ref="N413:Q413"/>
    <mergeCell ref="C408:G408"/>
    <mergeCell ref="N408:Q408"/>
    <mergeCell ref="C409:G409"/>
    <mergeCell ref="N409:Q409"/>
    <mergeCell ref="C410:G410"/>
    <mergeCell ref="N410:Q410"/>
    <mergeCell ref="N238:Q238"/>
    <mergeCell ref="N239:Q239"/>
    <mergeCell ref="N250:Q250"/>
    <mergeCell ref="N251:Q251"/>
    <mergeCell ref="N252:Q252"/>
    <mergeCell ref="E301:G301"/>
    <mergeCell ref="N301:Q301"/>
    <mergeCell ref="E302:G302"/>
    <mergeCell ref="N302:Q302"/>
    <mergeCell ref="F298:G298"/>
    <mergeCell ref="N298:Q298"/>
    <mergeCell ref="D299:G299"/>
    <mergeCell ref="N299:Q299"/>
    <mergeCell ref="D300:G300"/>
    <mergeCell ref="N300:Q300"/>
    <mergeCell ref="F295:G295"/>
    <mergeCell ref="N295:Q295"/>
    <mergeCell ref="F296:G296"/>
    <mergeCell ref="N296:Q296"/>
    <mergeCell ref="F297:G297"/>
    <mergeCell ref="N297:Q297"/>
    <mergeCell ref="E292:G292"/>
    <mergeCell ref="N292:Q292"/>
    <mergeCell ref="E293:G293"/>
  </mergeCells>
  <phoneticPr fontId="2"/>
  <pageMargins left="0.59055118110236227" right="0.59055118110236227" top="0.98425196850393704" bottom="0.59055118110236227" header="0.47244094488188981" footer="0.31496062992125984"/>
  <pageSetup paperSize="9" scale="52" fitToHeight="0" orientation="portrait" horizontalDpi="300" verticalDpi="300" r:id="rId1"/>
  <headerFooter>
    <oddHeader>&amp;L&amp;"ＭＳ 明朝,標準"&amp;10機密性〇情報（保存期間：１年未満　１　３　５　10　30年）&amp;R&amp;"ＭＳ 明朝,標準"&amp;10〇〇省内限り</oddHeader>
    <oddFooter>&amp;C-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営農個人</vt:lpstr>
      <vt:lpstr>営農個人!Print_Area</vt:lpstr>
      <vt:lpstr>営農個人!Print_Titles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 </cp:lastModifiedBy>
  <cp:lastPrinted>2023-01-04T02:11:46Z</cp:lastPrinted>
  <dcterms:created xsi:type="dcterms:W3CDTF">2022-11-24T13:19:10Z</dcterms:created>
  <dcterms:modified xsi:type="dcterms:W3CDTF">2023-12-27T03:02:56Z</dcterms:modified>
</cp:coreProperties>
</file>