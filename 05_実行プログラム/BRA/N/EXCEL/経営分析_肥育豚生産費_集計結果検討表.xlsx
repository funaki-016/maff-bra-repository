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1680" windowWidth="19560" windowHeight="11760" tabRatio="597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リスト" sheetId="67" state="hidden" r:id="rId8"/>
  </sheets>
  <definedNames>
    <definedName name="_xlnm.Print_Area" localSheetId="0">No.1!$A$1:$AQ$39</definedName>
    <definedName name="_xlnm.Print_Area" localSheetId="1">No.2!$A$1:$AQ$39</definedName>
    <definedName name="_xlnm.Print_Area" localSheetId="2">No.3!$A$1:$AZ$43</definedName>
    <definedName name="_xlnm.Print_Area" localSheetId="3">No.4!$A$1:$AZ$30</definedName>
    <definedName name="_xlnm.Print_Area" localSheetId="4">No.5!$A$1:$AZ$41</definedName>
    <definedName name="_xlnm.Print_Area" localSheetId="5">No.6!$A$1:$AZ$43</definedName>
    <definedName name="_xlnm.Print_Area" localSheetId="6">No.7!$A$1:$AI$31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0" i="66" l="1"/>
  <c r="V30" i="66"/>
  <c r="N30" i="66"/>
  <c r="AD29" i="66"/>
  <c r="V29" i="66"/>
  <c r="N29" i="66"/>
  <c r="AD28" i="66"/>
  <c r="V28" i="66"/>
  <c r="N28" i="66"/>
  <c r="AD27" i="66"/>
  <c r="V27" i="66"/>
  <c r="N27" i="66"/>
  <c r="AD26" i="66"/>
  <c r="V26" i="66"/>
  <c r="N26" i="66"/>
  <c r="AD20" i="66"/>
  <c r="V20" i="66"/>
  <c r="N20" i="66"/>
  <c r="N19" i="66"/>
  <c r="AD18" i="66"/>
  <c r="V18" i="66"/>
  <c r="N18" i="66"/>
  <c r="AD17" i="66"/>
  <c r="V17" i="66"/>
  <c r="N17" i="66"/>
  <c r="AD16" i="66"/>
  <c r="V16" i="66"/>
  <c r="N16" i="66"/>
  <c r="AD15" i="66"/>
  <c r="V15" i="66"/>
  <c r="N15" i="66"/>
  <c r="AD14" i="66"/>
  <c r="V14" i="66"/>
  <c r="N14" i="66"/>
  <c r="AD13" i="66"/>
  <c r="V13" i="66"/>
  <c r="N13" i="66"/>
  <c r="AD12" i="66"/>
  <c r="V12" i="66"/>
  <c r="N12" i="66"/>
  <c r="AD11" i="66"/>
  <c r="V11" i="66"/>
  <c r="N11" i="66"/>
  <c r="AX42" i="65"/>
  <c r="AX41" i="65"/>
  <c r="AX40" i="65"/>
  <c r="AO40" i="65"/>
  <c r="AX39" i="65"/>
  <c r="AO39" i="65"/>
  <c r="AX38" i="65"/>
  <c r="AO38" i="65"/>
  <c r="AX37" i="65"/>
  <c r="AO37" i="65"/>
  <c r="AX36" i="65"/>
  <c r="AO36" i="65"/>
  <c r="AX35" i="65"/>
  <c r="AO35" i="65"/>
  <c r="AX34" i="65"/>
  <c r="AO34" i="65"/>
  <c r="AX33" i="65"/>
  <c r="AO33" i="65"/>
  <c r="AX32" i="65"/>
  <c r="AO32" i="65"/>
  <c r="AX31" i="65"/>
  <c r="AO31" i="65"/>
  <c r="AX25" i="65"/>
  <c r="AX24" i="65"/>
  <c r="AX23" i="65"/>
  <c r="AO23" i="65"/>
  <c r="N40" i="65"/>
  <c r="N39" i="65"/>
  <c r="N38" i="65"/>
  <c r="N37" i="65"/>
  <c r="W32" i="65"/>
  <c r="W31" i="65"/>
  <c r="W30" i="65"/>
  <c r="N30" i="65"/>
  <c r="W29" i="65"/>
  <c r="N29" i="65"/>
  <c r="W28" i="65"/>
  <c r="N28" i="65"/>
  <c r="W27" i="65"/>
  <c r="N27" i="65"/>
  <c r="W26" i="65"/>
  <c r="N26" i="65"/>
  <c r="W25" i="65"/>
  <c r="N25" i="65"/>
  <c r="W24" i="65"/>
  <c r="N24" i="65"/>
  <c r="W17" i="65"/>
  <c r="N17" i="65"/>
  <c r="AO13" i="65"/>
  <c r="AO12" i="65"/>
  <c r="AO11" i="65"/>
  <c r="AO10" i="65"/>
  <c r="N12" i="65"/>
  <c r="N11" i="65"/>
  <c r="N10" i="65"/>
  <c r="AX41" i="64"/>
  <c r="AO41" i="64"/>
  <c r="AF41" i="64"/>
  <c r="W41" i="64"/>
  <c r="N41" i="64"/>
  <c r="AX40" i="64"/>
  <c r="AO40" i="64"/>
  <c r="AF40" i="64"/>
  <c r="W40" i="64"/>
  <c r="N40" i="64"/>
  <c r="AX39" i="64"/>
  <c r="AO39" i="64"/>
  <c r="AF39" i="64"/>
  <c r="W39" i="64"/>
  <c r="N39" i="64"/>
  <c r="AX38" i="64"/>
  <c r="AO38" i="64"/>
  <c r="AF38" i="64"/>
  <c r="W38" i="64"/>
  <c r="N38" i="64"/>
  <c r="AX37" i="64"/>
  <c r="AO37" i="64"/>
  <c r="AF37" i="64"/>
  <c r="W37" i="64"/>
  <c r="N37" i="64"/>
  <c r="AX36" i="64"/>
  <c r="AO36" i="64"/>
  <c r="AF36" i="64"/>
  <c r="W36" i="64"/>
  <c r="N36" i="64"/>
  <c r="N30" i="64"/>
  <c r="W26" i="64"/>
  <c r="W25" i="64"/>
  <c r="AF24" i="64"/>
  <c r="W24" i="64"/>
  <c r="N24" i="64"/>
  <c r="AF23" i="64"/>
  <c r="W23" i="64"/>
  <c r="N23" i="64"/>
  <c r="AF22" i="64"/>
  <c r="W22" i="64"/>
  <c r="N22" i="64"/>
  <c r="AF21" i="64"/>
  <c r="W21" i="64"/>
  <c r="N21" i="64"/>
  <c r="AF20" i="64"/>
  <c r="W20" i="64"/>
  <c r="N20" i="64"/>
  <c r="AF19" i="64"/>
  <c r="W19" i="64"/>
  <c r="N19" i="64"/>
  <c r="AF18" i="64"/>
  <c r="W18" i="64"/>
  <c r="N18" i="64"/>
  <c r="W17" i="64"/>
  <c r="N17" i="64"/>
  <c r="AF16" i="64"/>
  <c r="W16" i="64"/>
  <c r="N16" i="64"/>
  <c r="AF15" i="64"/>
  <c r="W15" i="64"/>
  <c r="N15" i="64"/>
  <c r="AF14" i="64"/>
  <c r="W14" i="64"/>
  <c r="N14" i="64"/>
  <c r="AF13" i="64"/>
  <c r="W13" i="64"/>
  <c r="N13" i="64"/>
  <c r="AF12" i="64"/>
  <c r="W12" i="64"/>
  <c r="N12" i="64"/>
  <c r="W11" i="64"/>
  <c r="N11" i="64"/>
  <c r="AX20" i="63"/>
  <c r="W30" i="63"/>
  <c r="AF29" i="63"/>
  <c r="W29" i="63"/>
  <c r="N29" i="63"/>
  <c r="AF28" i="63"/>
  <c r="W28" i="63"/>
  <c r="N28" i="63"/>
  <c r="AF27" i="63"/>
  <c r="W27" i="63"/>
  <c r="N27" i="63"/>
  <c r="AF26" i="63"/>
  <c r="W26" i="63"/>
  <c r="N26" i="63"/>
  <c r="N25" i="63"/>
  <c r="N24" i="63"/>
  <c r="AF23" i="63"/>
  <c r="W23" i="63"/>
  <c r="N23" i="63"/>
  <c r="AF22" i="63"/>
  <c r="W22" i="63"/>
  <c r="N22" i="63"/>
  <c r="AF21" i="63"/>
  <c r="W21" i="63"/>
  <c r="N21" i="63"/>
  <c r="AX16" i="63"/>
  <c r="AX15" i="63"/>
  <c r="AX14" i="63"/>
  <c r="AX13" i="63"/>
  <c r="AX12" i="63"/>
  <c r="AX11" i="63"/>
  <c r="AX10" i="63"/>
  <c r="N15" i="63"/>
  <c r="N14" i="63"/>
  <c r="N13" i="63"/>
  <c r="N12" i="63"/>
  <c r="N11" i="63"/>
  <c r="AX34" i="62"/>
  <c r="AX30" i="62"/>
  <c r="AX29" i="62"/>
  <c r="AF33" i="62"/>
  <c r="AF32" i="62"/>
  <c r="AF31" i="62"/>
  <c r="AF30" i="62"/>
  <c r="N43" i="62"/>
  <c r="N42" i="62"/>
  <c r="N41" i="62"/>
  <c r="N40" i="62"/>
  <c r="N39" i="62"/>
  <c r="N38" i="62"/>
  <c r="N37" i="62"/>
  <c r="N36" i="62"/>
  <c r="N35" i="62"/>
  <c r="N34" i="62"/>
  <c r="N33" i="62"/>
  <c r="N32" i="62"/>
  <c r="N31" i="62"/>
  <c r="N30" i="62"/>
  <c r="AX24" i="62"/>
  <c r="AX23" i="62"/>
  <c r="AX22" i="62"/>
  <c r="AX18" i="62"/>
  <c r="AX17" i="62"/>
  <c r="AX16" i="62"/>
  <c r="AX15" i="62"/>
  <c r="AX14" i="62"/>
  <c r="AX13" i="62"/>
  <c r="AX12" i="62"/>
  <c r="AX11" i="62"/>
  <c r="AX10" i="62"/>
  <c r="AF24" i="62"/>
  <c r="W24" i="62"/>
  <c r="N24" i="62"/>
  <c r="AF23" i="62"/>
  <c r="W23" i="62"/>
  <c r="N23" i="62"/>
  <c r="AF22" i="62"/>
  <c r="W22" i="62"/>
  <c r="N22" i="62"/>
  <c r="AF21" i="62"/>
  <c r="W21" i="62"/>
  <c r="N21" i="62"/>
  <c r="AF20" i="62"/>
  <c r="W20" i="62"/>
  <c r="N20" i="62"/>
  <c r="N13" i="62"/>
  <c r="N12" i="62"/>
  <c r="N11" i="62"/>
  <c r="AO39" i="61"/>
  <c r="AO38" i="61"/>
  <c r="AO37" i="61"/>
  <c r="AO36" i="61"/>
  <c r="AO35" i="61"/>
  <c r="AO34" i="61"/>
  <c r="AO33" i="61"/>
  <c r="AO32" i="61"/>
  <c r="AO31" i="61"/>
  <c r="AF31" i="61"/>
  <c r="W31" i="61"/>
  <c r="N31" i="61"/>
  <c r="AO30" i="61"/>
  <c r="W30" i="61"/>
  <c r="N30" i="61"/>
  <c r="AO29" i="61"/>
  <c r="W29" i="61"/>
  <c r="N29" i="61"/>
  <c r="AO28" i="61"/>
  <c r="W28" i="61"/>
  <c r="N28" i="61"/>
  <c r="AO27" i="61"/>
  <c r="AF27" i="61"/>
  <c r="N27" i="61"/>
  <c r="AO26" i="61"/>
  <c r="AF26" i="61"/>
  <c r="N26" i="61"/>
  <c r="AO25" i="61"/>
  <c r="AF25" i="61"/>
  <c r="N25" i="61"/>
  <c r="AO24" i="61"/>
  <c r="AF24" i="61"/>
  <c r="N24" i="61"/>
  <c r="AO23" i="61"/>
  <c r="N23" i="61"/>
  <c r="AO22" i="61"/>
  <c r="N22" i="61"/>
  <c r="AO21" i="61"/>
  <c r="N21" i="61"/>
  <c r="AO20" i="61"/>
  <c r="N20" i="61"/>
  <c r="AO19" i="61"/>
  <c r="N19" i="61"/>
  <c r="AO18" i="61"/>
  <c r="W18" i="61"/>
  <c r="N18" i="61"/>
  <c r="AO17" i="61"/>
  <c r="W17" i="61"/>
  <c r="N17" i="61"/>
  <c r="AO16" i="61"/>
  <c r="W16" i="61"/>
  <c r="N16" i="61"/>
  <c r="AO15" i="61"/>
  <c r="W15" i="61"/>
  <c r="AO14" i="61"/>
  <c r="W14" i="61"/>
  <c r="N14" i="61"/>
  <c r="AO13" i="61"/>
  <c r="W13" i="61"/>
  <c r="N13" i="61"/>
  <c r="AO12" i="61"/>
  <c r="N12" i="61"/>
  <c r="AO11" i="61"/>
  <c r="N11" i="61"/>
  <c r="AO10" i="61"/>
  <c r="AF10" i="61"/>
  <c r="W10" i="61"/>
  <c r="N10" i="61"/>
  <c r="AO39" i="60"/>
  <c r="AO38" i="60"/>
  <c r="AO37" i="60"/>
  <c r="AO36" i="60"/>
  <c r="AO35" i="60"/>
  <c r="AO34" i="60"/>
  <c r="AO33" i="60"/>
  <c r="AO32" i="60"/>
  <c r="AO31" i="60"/>
  <c r="AF31" i="60"/>
  <c r="W31" i="60"/>
  <c r="N31" i="60"/>
  <c r="AO30" i="60"/>
  <c r="W30" i="60"/>
  <c r="N30" i="60"/>
  <c r="AO29" i="60"/>
  <c r="W29" i="60"/>
  <c r="N29" i="60"/>
  <c r="AO28" i="60"/>
  <c r="W28" i="60"/>
  <c r="N28" i="60"/>
  <c r="AO27" i="60"/>
  <c r="AF27" i="60"/>
  <c r="N27" i="60"/>
  <c r="AO26" i="60"/>
  <c r="AF26" i="60"/>
  <c r="N26" i="60"/>
  <c r="AO25" i="60"/>
  <c r="AF25" i="60"/>
  <c r="N25" i="60"/>
  <c r="AO24" i="60"/>
  <c r="AF24" i="60"/>
  <c r="N24" i="60"/>
  <c r="AO23" i="60"/>
  <c r="N23" i="60"/>
  <c r="AO22" i="60"/>
  <c r="N22" i="60"/>
  <c r="AO21" i="60"/>
  <c r="N21" i="60"/>
  <c r="AO20" i="60"/>
  <c r="N20" i="60"/>
  <c r="AO19" i="60"/>
  <c r="N19" i="60"/>
  <c r="AO18" i="60"/>
  <c r="W18" i="60"/>
  <c r="N18" i="60"/>
  <c r="AO17" i="60"/>
  <c r="W17" i="60"/>
  <c r="N17" i="60"/>
  <c r="AO16" i="60"/>
  <c r="W16" i="60"/>
  <c r="N16" i="60"/>
  <c r="AO15" i="60"/>
  <c r="W15" i="60"/>
  <c r="AO14" i="60"/>
  <c r="W14" i="60"/>
  <c r="N14" i="60"/>
  <c r="AO13" i="60"/>
  <c r="W13" i="60"/>
  <c r="N13" i="60"/>
  <c r="AO12" i="60"/>
  <c r="N12" i="60"/>
  <c r="AO11" i="60"/>
  <c r="N11" i="60"/>
  <c r="AO10" i="60"/>
  <c r="AF10" i="60"/>
  <c r="W10" i="60"/>
  <c r="N10" i="60"/>
  <c r="I5" i="66" l="1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Y4" i="61"/>
  <c r="T4" i="61"/>
  <c r="I5" i="61"/>
  <c r="I4" i="61"/>
  <c r="F5" i="61"/>
  <c r="F4" i="61"/>
  <c r="B74" i="67"/>
  <c r="U4" i="60" s="1"/>
  <c r="U4" i="61" s="1"/>
  <c r="E10" i="67"/>
  <c r="Z4" i="60" s="1"/>
  <c r="Z4" i="61" s="1"/>
  <c r="A1" i="66"/>
  <c r="A1" i="65"/>
  <c r="A1" i="64"/>
  <c r="A1" i="63"/>
  <c r="A1" i="62"/>
  <c r="A1" i="61"/>
  <c r="Z4" i="65" l="1"/>
  <c r="Z4" i="64"/>
  <c r="Z4" i="63"/>
  <c r="Z4" i="62"/>
  <c r="Z4" i="66"/>
  <c r="U4" i="62"/>
  <c r="U4" i="63"/>
  <c r="U4" i="64"/>
  <c r="U4" i="65"/>
  <c r="U4" i="66"/>
  <c r="AO28" i="64" l="1"/>
  <c r="AL28" i="64"/>
  <c r="AO29" i="64"/>
  <c r="AL29" i="64"/>
  <c r="AL27" i="64" l="1"/>
  <c r="AO27" i="64"/>
</calcChain>
</file>

<file path=xl/sharedStrings.xml><?xml version="1.0" encoding="utf-8"?>
<sst xmlns="http://schemas.openxmlformats.org/spreadsheetml/2006/main" count="620" uniqueCount="310">
  <si>
    <t>　</t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</si>
  <si>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</si>
  <si>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</si>
  <si>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</si>
  <si>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</si>
  <si>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</si>
  <si>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</si>
  <si>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</si>
  <si>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</si>
  <si>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</si>
  <si>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</si>
  <si>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</si>
  <si>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</si>
  <si>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</si>
  <si>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</si>
  <si>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</si>
  <si>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</si>
  <si>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</si>
  <si>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</si>
  <si>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</si>
  <si>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</si>
  <si>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</si>
  <si>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</si>
  <si>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</si>
  <si>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</si>
  <si>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</si>
  <si>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</si>
  <si>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</si>
  <si>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</si>
  <si>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</si>
  <si>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</si>
  <si>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</si>
  <si>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</si>
  <si>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</si>
  <si>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</si>
  <si>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借入資本</t>
    <rPh sb="0" eb="2">
      <t>カリイレ</t>
    </rPh>
    <rPh sb="2" eb="4">
      <t>シホン</t>
    </rPh>
    <phoneticPr fontId="3"/>
  </si>
  <si>
    <t>自己資本</t>
    <rPh sb="0" eb="2">
      <t>ジコ</t>
    </rPh>
    <rPh sb="2" eb="4">
      <t>シホン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</si>
  <si>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</si>
  <si>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</si>
  <si>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</si>
  <si>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</si>
  <si>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</si>
  <si>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</si>
  <si>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</si>
  <si>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</si>
  <si>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</si>
  <si>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</si>
  <si>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</si>
  <si>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</si>
  <si>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</si>
  <si>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</si>
  <si>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</si>
  <si>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</si>
  <si>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</si>
  <si>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</si>
  <si>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</si>
  <si>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</si>
  <si>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</si>
  <si>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粗収益</t>
    <rPh sb="0" eb="1">
      <t>ソ</t>
    </rPh>
    <rPh sb="1" eb="3">
      <t>シュウエキ</t>
    </rPh>
    <phoneticPr fontId="3"/>
  </si>
  <si>
    <t>生産費総額</t>
    <rPh sb="0" eb="3">
      <t>セイサンヒ</t>
    </rPh>
    <rPh sb="3" eb="5">
      <t>ソウガク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</si>
  <si>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</si>
  <si>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</si>
  <si>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</si>
  <si>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</si>
  <si>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</si>
  <si>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</si>
  <si>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生体重</t>
    <rPh sb="0" eb="3">
      <t>セイタイジュウ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</si>
  <si>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</si>
  <si>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</si>
  <si>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消費税</t>
    <rPh sb="0" eb="3">
      <t>ショウヒゼイ</t>
    </rPh>
    <phoneticPr fontId="3"/>
  </si>
  <si>
    <t>単位：頭、％</t>
    <rPh sb="0" eb="2">
      <t>タンイ</t>
    </rPh>
    <rPh sb="3" eb="4">
      <t>トウ</t>
    </rPh>
    <phoneticPr fontId="3"/>
  </si>
  <si>
    <t>　１経営体当たり</t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</si>
  <si>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</si>
  <si>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</si>
  <si>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</si>
  <si>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</si>
  <si>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</si>
  <si>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</si>
  <si>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</si>
  <si>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</si>
  <si>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</si>
  <si>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</si>
  <si>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</si>
  <si>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</si>
  <si>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</si>
  <si>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</si>
  <si>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</si>
  <si>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</si>
  <si>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</si>
  <si>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</si>
  <si>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</si>
  <si>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</si>
  <si>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</si>
  <si>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</si>
  <si>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</si>
  <si>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</si>
  <si>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配合飼料</t>
    <rPh sb="0" eb="2">
      <t>ハイゴウ</t>
    </rPh>
    <rPh sb="2" eb="4">
      <t>シリョウ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</si>
  <si>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</si>
  <si>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合計</t>
    <rPh sb="0" eb="2">
      <t>ゴウケイ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</si>
  <si>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</si>
  <si>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</si>
  <si>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</si>
  <si>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</si>
  <si>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</si>
  <si>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</si>
  <si>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</si>
  <si>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</si>
  <si>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</si>
  <si>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</si>
  <si>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</si>
  <si>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</si>
  <si>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</si>
  <si>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</si>
  <si>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</si>
  <si>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</si>
  <si>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</si>
  <si>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</si>
  <si>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</si>
  <si>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</si>
  <si>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</si>
  <si>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</si>
  <si>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</si>
  <si>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</si>
  <si>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</si>
  <si>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</si>
  <si>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</si>
  <si>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</si>
  <si>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</si>
  <si>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</si>
  <si>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</si>
  <si>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</si>
  <si>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</si>
  <si>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</si>
  <si>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</si>
  <si>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</si>
  <si>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</si>
  <si>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</si>
  <si>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</si>
  <si>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</si>
  <si>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</si>
  <si>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</si>
  <si>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物件税</t>
    <rPh sb="0" eb="2">
      <t>ブッケン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</si>
  <si>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</si>
  <si>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【借入金】</t>
    <rPh sb="1" eb="4">
      <t>カリイレキン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</si>
  <si>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</si>
  <si>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</si>
  <si>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</si>
  <si>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</si>
  <si>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</si>
  <si>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</si>
  <si>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</si>
  <si>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</si>
  <si>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</si>
  <si>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</si>
  <si>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</si>
  <si>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</si>
  <si>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</si>
  <si>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</si>
  <si>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</si>
  <si>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【生産費総括（肥育豚１頭当たり）】</t>
    <rPh sb="1" eb="4">
      <t>セイサンヒ</t>
    </rPh>
    <rPh sb="4" eb="6">
      <t>ソウカツ</t>
    </rPh>
    <rPh sb="7" eb="9">
      <t>ヒイク</t>
    </rPh>
    <rPh sb="9" eb="10">
      <t>ブタ</t>
    </rPh>
    <phoneticPr fontId="3"/>
  </si>
  <si>
    <t>もと畜費</t>
    <rPh sb="2" eb="3">
      <t>チク</t>
    </rPh>
    <rPh sb="3" eb="4">
      <t>ヒ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</si>
  <si>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</si>
  <si>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</si>
  <si>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【生産費総括（生体100kg当たり）】</t>
    <rPh sb="1" eb="4">
      <t>セイサンヒ</t>
    </rPh>
    <rPh sb="4" eb="6">
      <t>ソウカツ</t>
    </rPh>
    <rPh sb="7" eb="9">
      <t>セイタイ</t>
    </rPh>
    <phoneticPr fontId="3"/>
  </si>
  <si>
    <t>肥育豚１頭当たり</t>
    <rPh sb="0" eb="2">
      <t>ヒイク</t>
    </rPh>
    <rPh sb="2" eb="3">
      <t>ブタ</t>
    </rPh>
    <rPh sb="4" eb="5">
      <t>トウ</t>
    </rPh>
    <rPh sb="5" eb="6">
      <t>ア</t>
    </rPh>
    <phoneticPr fontId="3"/>
  </si>
  <si>
    <t>【肉豚の月始め飼養頭数（肥育豚＋子豚）】</t>
    <rPh sb="1" eb="2">
      <t>ニク</t>
    </rPh>
    <rPh sb="2" eb="3">
      <t>ブタ</t>
    </rPh>
    <rPh sb="4" eb="5">
      <t>ツキ</t>
    </rPh>
    <rPh sb="5" eb="6">
      <t>ハジ</t>
    </rPh>
    <rPh sb="7" eb="9">
      <t>シヨウ</t>
    </rPh>
    <rPh sb="9" eb="11">
      <t>アタマカズ</t>
    </rPh>
    <rPh sb="12" eb="14">
      <t>ヒイク</t>
    </rPh>
    <rPh sb="14" eb="15">
      <t>ブタ</t>
    </rPh>
    <rPh sb="16" eb="18">
      <t>コブタ</t>
    </rPh>
    <phoneticPr fontId="3"/>
  </si>
  <si>
    <t>【繁殖豚の飼養状況（年始め飼養頭数）】</t>
    <rPh sb="1" eb="3">
      <t>ハンショク</t>
    </rPh>
    <rPh sb="3" eb="4">
      <t>ブタ</t>
    </rPh>
    <rPh sb="5" eb="7">
      <t>シヨウ</t>
    </rPh>
    <rPh sb="7" eb="9">
      <t>ジョウキョウ</t>
    </rPh>
    <rPh sb="10" eb="12">
      <t>ネンハジ</t>
    </rPh>
    <rPh sb="13" eb="15">
      <t>シヨウ</t>
    </rPh>
    <rPh sb="15" eb="17">
      <t>トウスウ</t>
    </rPh>
    <phoneticPr fontId="3"/>
  </si>
  <si>
    <t>【分べん状況】１経営体当たり</t>
    <rPh sb="1" eb="2">
      <t>ブン</t>
    </rPh>
    <rPh sb="4" eb="6">
      <t>ジョウキョウ</t>
    </rPh>
    <phoneticPr fontId="3"/>
  </si>
  <si>
    <t>　１経営体当たり</t>
    <rPh sb="2" eb="4">
      <t>ケイエイ</t>
    </rPh>
    <rPh sb="4" eb="5">
      <t>タイ</t>
    </rPh>
    <rPh sb="5" eb="6">
      <t>ア</t>
    </rPh>
    <phoneticPr fontId="3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</si>
  <si>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</si>
  <si>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</si>
  <si>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</si>
  <si>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種雄豚</t>
    <rPh sb="0" eb="1">
      <t>タネ</t>
    </rPh>
    <rPh sb="1" eb="2">
      <t>オス</t>
    </rPh>
    <rPh sb="2" eb="3">
      <t>ブタ</t>
    </rPh>
    <phoneticPr fontId="3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</si>
  <si>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3"/>
  </si>
  <si>
    <t>【子豚の導入頭数】１経営体当たり</t>
    <rPh sb="1" eb="3">
      <t>コブタ</t>
    </rPh>
    <rPh sb="4" eb="6">
      <t>ドウニュウ</t>
    </rPh>
    <rPh sb="6" eb="8">
      <t>トウスウ</t>
    </rPh>
    <phoneticPr fontId="3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</si>
  <si>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3"/>
  </si>
  <si>
    <t>子豚導入頭数</t>
    <rPh sb="0" eb="2">
      <t>コブタ</t>
    </rPh>
    <rPh sb="2" eb="4">
      <t>ドウニュウ</t>
    </rPh>
    <rPh sb="4" eb="6">
      <t>トウスウ</t>
    </rPh>
    <phoneticPr fontId="3"/>
  </si>
  <si>
    <t>単位：頭、kg、円、月、％</t>
    <rPh sb="0" eb="2">
      <t>タンイ</t>
    </rPh>
    <rPh sb="3" eb="4">
      <t>トウ</t>
    </rPh>
    <rPh sb="8" eb="9">
      <t>エン</t>
    </rPh>
    <rPh sb="10" eb="11">
      <t>ツキ</t>
    </rPh>
    <phoneticPr fontId="3"/>
  </si>
  <si>
    <t>総頭数</t>
    <rPh sb="0" eb="1">
      <t>ソウ</t>
    </rPh>
    <rPh sb="1" eb="3">
      <t>トウスウ</t>
    </rPh>
    <phoneticPr fontId="3"/>
  </si>
  <si>
    <t>注：販売総頭数、死亡・とうた頭数は１経営体当たり</t>
    <rPh sb="0" eb="1">
      <t>チュウ</t>
    </rPh>
    <rPh sb="2" eb="4">
      <t>ハンバイ</t>
    </rPh>
    <rPh sb="4" eb="5">
      <t>ソウ</t>
    </rPh>
    <rPh sb="5" eb="7">
      <t>トウスウ</t>
    </rPh>
    <rPh sb="8" eb="10">
      <t>シボウ</t>
    </rPh>
    <rPh sb="14" eb="16">
      <t>トウスウ</t>
    </rPh>
    <rPh sb="18" eb="21">
      <t>ケイエイタイ</t>
    </rPh>
    <rPh sb="21" eb="22">
      <t>ア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</si>
  <si>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</si>
  <si>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</si>
  <si>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</si>
  <si>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植物性かす類</t>
    <rPh sb="0" eb="3">
      <t>ショクブツセイ</t>
    </rPh>
    <rPh sb="5" eb="6">
      <t>ルイ</t>
    </rPh>
    <phoneticPr fontId="3"/>
  </si>
  <si>
    <t>エコフィード</t>
    <phoneticPr fontId="3"/>
  </si>
  <si>
    <t>脱脂乳</t>
    <rPh sb="0" eb="3">
      <t>ダッシニュウ</t>
    </rPh>
    <phoneticPr fontId="3"/>
  </si>
  <si>
    <t>価額</t>
    <rPh sb="0" eb="2">
      <t>カガク</t>
    </rPh>
    <phoneticPr fontId="3"/>
  </si>
  <si>
    <t>脱臭施設</t>
    <rPh sb="0" eb="1">
      <t>ダツ</t>
    </rPh>
    <rPh sb="1" eb="2">
      <t>ニオ</t>
    </rPh>
    <rPh sb="2" eb="4">
      <t>シセツ</t>
    </rPh>
    <phoneticPr fontId="3"/>
  </si>
  <si>
    <t>浄化処理施設</t>
    <rPh sb="0" eb="2">
      <t>ジョウカ</t>
    </rPh>
    <rPh sb="2" eb="4">
      <t>ショリ</t>
    </rPh>
    <rPh sb="4" eb="6">
      <t>シセツ</t>
    </rPh>
    <phoneticPr fontId="3"/>
  </si>
  <si>
    <t>ふん乾燥施設</t>
    <rPh sb="2" eb="4">
      <t>カンソウ</t>
    </rPh>
    <rPh sb="4" eb="6">
      <t>シセツ</t>
    </rPh>
    <phoneticPr fontId="3"/>
  </si>
  <si>
    <t>固液分離機</t>
    <rPh sb="0" eb="2">
      <t>コエキ</t>
    </rPh>
    <rPh sb="2" eb="5">
      <t>ブンリキ</t>
    </rPh>
    <phoneticPr fontId="3"/>
  </si>
  <si>
    <t>事故畜</t>
    <rPh sb="0" eb="2">
      <t>ジコ</t>
    </rPh>
    <rPh sb="2" eb="3">
      <t>チク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</si>
  <si>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</si>
  <si>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</si>
  <si>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</t>
    <rPh sb="0" eb="1">
      <t>ケイ</t>
    </rPh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</si>
  <si>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</si>
  <si>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</si>
  <si>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【構成員数等】　</t>
    <rPh sb="1" eb="4">
      <t>コウセイイン</t>
    </rPh>
    <rPh sb="4" eb="5">
      <t>スウ</t>
    </rPh>
    <rPh sb="5" eb="6">
      <t>トウ</t>
    </rPh>
    <phoneticPr fontId="3"/>
  </si>
  <si>
    <t>単位：人、戸、％</t>
    <rPh sb="0" eb="2">
      <t>タンイ</t>
    </rPh>
    <rPh sb="3" eb="4">
      <t>ヒト</t>
    </rPh>
    <rPh sb="5" eb="6">
      <t>コ</t>
    </rPh>
    <phoneticPr fontId="2"/>
  </si>
  <si>
    <t>１経営体当たり</t>
    <rPh sb="1" eb="4">
      <t>ケイエイタイ</t>
    </rPh>
    <rPh sb="4" eb="5">
      <t>ア</t>
    </rPh>
    <phoneticPr fontId="3"/>
  </si>
  <si>
    <t>構成員</t>
    <rPh sb="0" eb="3">
      <t>コウセイイン</t>
    </rPh>
    <phoneticPr fontId="3"/>
  </si>
  <si>
    <t>構成農家世帯</t>
    <rPh sb="0" eb="2">
      <t>コウセイ</t>
    </rPh>
    <rPh sb="2" eb="4">
      <t>ノウカ</t>
    </rPh>
    <rPh sb="4" eb="6">
      <t>セタイ</t>
    </rPh>
    <phoneticPr fontId="3"/>
  </si>
  <si>
    <t>組織内利用</t>
    <rPh sb="0" eb="3">
      <t>ソシキナイ</t>
    </rPh>
    <rPh sb="3" eb="5">
      <t>リヨウ</t>
    </rPh>
    <phoneticPr fontId="3"/>
  </si>
  <si>
    <t>構　成　員</t>
    <rPh sb="0" eb="1">
      <t>カマエ</t>
    </rPh>
    <rPh sb="2" eb="3">
      <t>シゲル</t>
    </rPh>
    <rPh sb="4" eb="5">
      <t>イン</t>
    </rPh>
    <phoneticPr fontId="3"/>
  </si>
  <si>
    <t>雇　　　用</t>
    <rPh sb="0" eb="1">
      <t>ヤトイ</t>
    </rPh>
    <rPh sb="4" eb="5">
      <t>ヨウ</t>
    </rPh>
    <phoneticPr fontId="3"/>
  </si>
  <si>
    <t>合　　　計</t>
    <rPh sb="0" eb="1">
      <t>ゴウ</t>
    </rPh>
    <rPh sb="4" eb="5">
      <t>ケイ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</si>
  <si>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</si>
  <si>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計算対象畜負担労働評価額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2">
      <t>ヒョウカガク</t>
    </rPh>
    <phoneticPr fontId="3"/>
  </si>
  <si>
    <t>前年</t>
    <rPh sb="0" eb="2">
      <t>ゼンネン</t>
    </rPh>
    <phoneticPr fontId="2"/>
  </si>
  <si>
    <t>内　　　給</t>
    <rPh sb="0" eb="1">
      <t>ナイ</t>
    </rPh>
    <rPh sb="4" eb="5">
      <t>キュウ</t>
    </rPh>
    <phoneticPr fontId="3"/>
  </si>
  <si>
    <t>月</t>
    <rPh sb="0" eb="1">
      <t>ガツ</t>
    </rPh>
    <phoneticPr fontId="3"/>
  </si>
  <si>
    <t>月</t>
    <rPh sb="0" eb="1">
      <t>ツキ</t>
    </rPh>
    <phoneticPr fontId="3"/>
  </si>
  <si>
    <t>構成員労働報酬</t>
    <rPh sb="0" eb="3">
      <t>コウセイイン</t>
    </rPh>
    <rPh sb="3" eb="5">
      <t>ロウドウ</t>
    </rPh>
    <rPh sb="5" eb="7">
      <t>ホウシュウ</t>
    </rPh>
    <phoneticPr fontId="3"/>
  </si>
  <si>
    <t>【流通飼料（内給飼料）の給与量と価額】</t>
    <rPh sb="1" eb="3">
      <t>リュウツウ</t>
    </rPh>
    <rPh sb="3" eb="5">
      <t>シリョウ</t>
    </rPh>
    <rPh sb="6" eb="7">
      <t>ウチ</t>
    </rPh>
    <rPh sb="7" eb="8">
      <t>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</si>
  <si>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決算期首未償還額</t>
    <rPh sb="0" eb="8">
      <t>ケッサンキシュミショウカンガク</t>
    </rPh>
    <phoneticPr fontId="3"/>
  </si>
  <si>
    <t>年 組織法人経営体に関する経営分析調査　肥育豚生産費　集計結果検討表 №１</t>
    <phoneticPr fontId="2"/>
  </si>
  <si>
    <t>年 組織法人経営体に関する経営分析調査　肥育豚生産費　集計結果検討表 №２</t>
    <phoneticPr fontId="2"/>
  </si>
  <si>
    <t>年 組織法人経営体に関する経営分析調査　肥育豚生産費　集計結果検討表 №３</t>
    <phoneticPr fontId="2"/>
  </si>
  <si>
    <t>年 組織法人経営体に関する経営分析調査　肥育豚生産費　集計結果検討表 №４</t>
    <phoneticPr fontId="2"/>
  </si>
  <si>
    <t>年 組織法人経営体に関する経営分析調査　肥育豚生産費　集計結果検討表 №５</t>
    <phoneticPr fontId="2"/>
  </si>
  <si>
    <t>年 組織法人経営体に関する経営分析調査　肥育豚生産費　集計結果検討表 №６</t>
    <phoneticPr fontId="2"/>
  </si>
  <si>
    <t>年 組織法人経営体に関する経営分析調査　肥育豚生産費　集計結果検討表 №７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</si>
  <si>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</si>
  <si>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</si>
  <si>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</si>
  <si>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</si>
  <si>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</si>
  <si>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4"/>
  </si>
  <si>
    <t>規模階層</t>
    <phoneticPr fontId="34"/>
  </si>
  <si>
    <t>コード</t>
    <phoneticPr fontId="34"/>
  </si>
  <si>
    <t>全国</t>
    <rPh sb="0" eb="2">
      <t>ゼンコク</t>
    </rPh>
    <phoneticPr fontId="34"/>
  </si>
  <si>
    <t>都府県平均</t>
    <rPh sb="0" eb="3">
      <t>トフケン</t>
    </rPh>
    <rPh sb="3" eb="5">
      <t>ヘイキン</t>
    </rPh>
    <phoneticPr fontId="34"/>
  </si>
  <si>
    <t>北海道</t>
    <rPh sb="0" eb="3">
      <t>ホッカイドウ</t>
    </rPh>
    <phoneticPr fontId="34"/>
  </si>
  <si>
    <t>東北</t>
    <rPh sb="0" eb="2">
      <t>トウホク</t>
    </rPh>
    <phoneticPr fontId="34"/>
  </si>
  <si>
    <t>北陸</t>
    <rPh sb="0" eb="2">
      <t>ホクリク</t>
    </rPh>
    <phoneticPr fontId="34"/>
  </si>
  <si>
    <t>関東・東山</t>
    <rPh sb="0" eb="2">
      <t>カントウ</t>
    </rPh>
    <rPh sb="3" eb="5">
      <t>ヒガシヤマ</t>
    </rPh>
    <phoneticPr fontId="34"/>
  </si>
  <si>
    <t>東海</t>
    <rPh sb="0" eb="2">
      <t>トウカイ</t>
    </rPh>
    <phoneticPr fontId="34"/>
  </si>
  <si>
    <t>近畿</t>
    <rPh sb="0" eb="2">
      <t>キンキ</t>
    </rPh>
    <phoneticPr fontId="34"/>
  </si>
  <si>
    <t>コード</t>
    <phoneticPr fontId="34"/>
  </si>
  <si>
    <t>中国</t>
    <rPh sb="0" eb="2">
      <t>チュウゴク</t>
    </rPh>
    <phoneticPr fontId="34"/>
  </si>
  <si>
    <t>四国</t>
    <rPh sb="0" eb="2">
      <t>シコク</t>
    </rPh>
    <phoneticPr fontId="34"/>
  </si>
  <si>
    <t>九州</t>
    <rPh sb="0" eb="2">
      <t>キュウシュウ</t>
    </rPh>
    <phoneticPr fontId="34"/>
  </si>
  <si>
    <t>沖縄</t>
    <rPh sb="0" eb="2">
      <t>オキナワ</t>
    </rPh>
    <phoneticPr fontId="34"/>
  </si>
  <si>
    <t>北関東</t>
    <rPh sb="0" eb="1">
      <t>キタ</t>
    </rPh>
    <rPh sb="1" eb="3">
      <t>カントウ</t>
    </rPh>
    <phoneticPr fontId="34"/>
  </si>
  <si>
    <t>南関東</t>
    <rPh sb="0" eb="1">
      <t>ミナミ</t>
    </rPh>
    <rPh sb="1" eb="3">
      <t>カントウ</t>
    </rPh>
    <phoneticPr fontId="34"/>
  </si>
  <si>
    <t>東山</t>
    <rPh sb="0" eb="2">
      <t>ヒガシヤマ</t>
    </rPh>
    <phoneticPr fontId="34"/>
  </si>
  <si>
    <t>北東北</t>
    <rPh sb="0" eb="1">
      <t>キタ</t>
    </rPh>
    <rPh sb="1" eb="3">
      <t>トウホク</t>
    </rPh>
    <phoneticPr fontId="34"/>
  </si>
  <si>
    <t>南東北</t>
    <rPh sb="0" eb="1">
      <t>ミナミ</t>
    </rPh>
    <rPh sb="1" eb="3">
      <t>トウホク</t>
    </rPh>
    <phoneticPr fontId="34"/>
  </si>
  <si>
    <t>山陰</t>
    <rPh sb="0" eb="2">
      <t>サンイン</t>
    </rPh>
    <phoneticPr fontId="34"/>
  </si>
  <si>
    <t>山陽</t>
    <rPh sb="0" eb="2">
      <t>サンヨウ</t>
    </rPh>
    <phoneticPr fontId="34"/>
  </si>
  <si>
    <t>北九州</t>
    <rPh sb="0" eb="3">
      <t>キタキュウシュウ</t>
    </rPh>
    <phoneticPr fontId="34"/>
  </si>
  <si>
    <t>南九州</t>
    <rPh sb="0" eb="1">
      <t>ミナミ</t>
    </rPh>
    <rPh sb="1" eb="3">
      <t>キュウシュウ</t>
    </rPh>
    <phoneticPr fontId="34"/>
  </si>
  <si>
    <t>関東農政局</t>
    <rPh sb="0" eb="2">
      <t>カントウ</t>
    </rPh>
    <rPh sb="2" eb="5">
      <t>ノウセイキョク</t>
    </rPh>
    <phoneticPr fontId="34"/>
  </si>
  <si>
    <t>東海農政局</t>
    <rPh sb="0" eb="2">
      <t>トウカイ</t>
    </rPh>
    <rPh sb="2" eb="5">
      <t>ノウセイキョク</t>
    </rPh>
    <phoneticPr fontId="34"/>
  </si>
  <si>
    <t>中国四国局</t>
    <rPh sb="0" eb="2">
      <t>チュウゴク</t>
    </rPh>
    <rPh sb="2" eb="4">
      <t>シコク</t>
    </rPh>
    <rPh sb="4" eb="5">
      <t>キョク</t>
    </rPh>
    <phoneticPr fontId="34"/>
  </si>
  <si>
    <t>青森</t>
    <rPh sb="0" eb="2">
      <t>アオモリ</t>
    </rPh>
    <phoneticPr fontId="34"/>
  </si>
  <si>
    <t>岩手</t>
    <rPh sb="0" eb="2">
      <t>イワテ</t>
    </rPh>
    <phoneticPr fontId="34"/>
  </si>
  <si>
    <t>宮城</t>
    <rPh sb="0" eb="2">
      <t>ミヤギ</t>
    </rPh>
    <phoneticPr fontId="34"/>
  </si>
  <si>
    <t>秋田</t>
    <rPh sb="0" eb="2">
      <t>アキタ</t>
    </rPh>
    <phoneticPr fontId="34"/>
  </si>
  <si>
    <t>山形</t>
    <rPh sb="0" eb="2">
      <t>ヤマガタ</t>
    </rPh>
    <phoneticPr fontId="34"/>
  </si>
  <si>
    <t>福島</t>
    <rPh sb="0" eb="2">
      <t>フクシマ</t>
    </rPh>
    <phoneticPr fontId="34"/>
  </si>
  <si>
    <t>茨城</t>
    <rPh sb="0" eb="2">
      <t>イバラキ</t>
    </rPh>
    <phoneticPr fontId="34"/>
  </si>
  <si>
    <t>栃木</t>
    <rPh sb="0" eb="2">
      <t>トチギ</t>
    </rPh>
    <phoneticPr fontId="34"/>
  </si>
  <si>
    <t>群馬</t>
    <rPh sb="0" eb="2">
      <t>グンマ</t>
    </rPh>
    <phoneticPr fontId="34"/>
  </si>
  <si>
    <t>埼玉</t>
    <rPh sb="0" eb="2">
      <t>サイタマ</t>
    </rPh>
    <phoneticPr fontId="34"/>
  </si>
  <si>
    <t>千葉</t>
    <rPh sb="0" eb="2">
      <t>チバ</t>
    </rPh>
    <phoneticPr fontId="34"/>
  </si>
  <si>
    <t>東京</t>
    <rPh sb="0" eb="2">
      <t>トウキョウ</t>
    </rPh>
    <phoneticPr fontId="34"/>
  </si>
  <si>
    <t>神奈川</t>
    <rPh sb="0" eb="3">
      <t>カナガワ</t>
    </rPh>
    <phoneticPr fontId="34"/>
  </si>
  <si>
    <t>新潟</t>
    <rPh sb="0" eb="2">
      <t>ニイガタ</t>
    </rPh>
    <phoneticPr fontId="34"/>
  </si>
  <si>
    <t>富山</t>
    <rPh sb="0" eb="2">
      <t>トヤマ</t>
    </rPh>
    <phoneticPr fontId="34"/>
  </si>
  <si>
    <t>石川</t>
    <rPh sb="0" eb="2">
      <t>イシカワ</t>
    </rPh>
    <phoneticPr fontId="34"/>
  </si>
  <si>
    <t>福井</t>
    <rPh sb="0" eb="2">
      <t>フクイ</t>
    </rPh>
    <phoneticPr fontId="34"/>
  </si>
  <si>
    <t>山梨</t>
    <rPh sb="0" eb="2">
      <t>ヤマナシ</t>
    </rPh>
    <phoneticPr fontId="34"/>
  </si>
  <si>
    <t>長野</t>
    <rPh sb="0" eb="2">
      <t>ナガノ</t>
    </rPh>
    <phoneticPr fontId="34"/>
  </si>
  <si>
    <t>岐阜</t>
    <rPh sb="0" eb="2">
      <t>ギフ</t>
    </rPh>
    <phoneticPr fontId="34"/>
  </si>
  <si>
    <t>静岡</t>
    <rPh sb="0" eb="2">
      <t>シズオカ</t>
    </rPh>
    <phoneticPr fontId="34"/>
  </si>
  <si>
    <t>愛知</t>
    <rPh sb="0" eb="2">
      <t>アイチ</t>
    </rPh>
    <phoneticPr fontId="34"/>
  </si>
  <si>
    <t>三重</t>
    <rPh sb="0" eb="2">
      <t>ミエ</t>
    </rPh>
    <phoneticPr fontId="34"/>
  </si>
  <si>
    <t>滋賀</t>
    <rPh sb="0" eb="2">
      <t>シガ</t>
    </rPh>
    <phoneticPr fontId="34"/>
  </si>
  <si>
    <t>京都</t>
    <rPh sb="0" eb="2">
      <t>キョウト</t>
    </rPh>
    <phoneticPr fontId="34"/>
  </si>
  <si>
    <t>大阪</t>
    <rPh sb="0" eb="2">
      <t>オオサカ</t>
    </rPh>
    <phoneticPr fontId="34"/>
  </si>
  <si>
    <t>兵庫</t>
    <rPh sb="0" eb="2">
      <t>ヒョウゴ</t>
    </rPh>
    <phoneticPr fontId="34"/>
  </si>
  <si>
    <t>奈良</t>
    <rPh sb="0" eb="2">
      <t>ナラ</t>
    </rPh>
    <phoneticPr fontId="34"/>
  </si>
  <si>
    <t>和歌山</t>
    <rPh sb="0" eb="3">
      <t>ワカヤマ</t>
    </rPh>
    <phoneticPr fontId="34"/>
  </si>
  <si>
    <t>鳥取</t>
    <rPh sb="0" eb="2">
      <t>トットリ</t>
    </rPh>
    <phoneticPr fontId="34"/>
  </si>
  <si>
    <t>島根</t>
    <rPh sb="0" eb="2">
      <t>シマネ</t>
    </rPh>
    <phoneticPr fontId="34"/>
  </si>
  <si>
    <t>岡山</t>
    <rPh sb="0" eb="2">
      <t>オカヤマ</t>
    </rPh>
    <phoneticPr fontId="34"/>
  </si>
  <si>
    <t>広島</t>
    <rPh sb="0" eb="2">
      <t>ヒロシマ</t>
    </rPh>
    <phoneticPr fontId="34"/>
  </si>
  <si>
    <t>山口</t>
    <rPh sb="0" eb="2">
      <t>ヤマグチ</t>
    </rPh>
    <phoneticPr fontId="34"/>
  </si>
  <si>
    <t>徳島</t>
    <rPh sb="0" eb="2">
      <t>トクシマ</t>
    </rPh>
    <phoneticPr fontId="34"/>
  </si>
  <si>
    <t>香川</t>
    <rPh sb="0" eb="2">
      <t>カガワ</t>
    </rPh>
    <phoneticPr fontId="34"/>
  </si>
  <si>
    <t>愛媛</t>
    <rPh sb="0" eb="2">
      <t>エヒメ</t>
    </rPh>
    <phoneticPr fontId="34"/>
  </si>
  <si>
    <t>高知</t>
    <rPh sb="0" eb="2">
      <t>コウチ</t>
    </rPh>
    <phoneticPr fontId="34"/>
  </si>
  <si>
    <t>福岡</t>
    <rPh sb="0" eb="2">
      <t>フクオカ</t>
    </rPh>
    <phoneticPr fontId="34"/>
  </si>
  <si>
    <t>佐賀</t>
    <rPh sb="0" eb="2">
      <t>サガ</t>
    </rPh>
    <phoneticPr fontId="34"/>
  </si>
  <si>
    <t>長崎</t>
    <rPh sb="0" eb="2">
      <t>ナガサキ</t>
    </rPh>
    <phoneticPr fontId="34"/>
  </si>
  <si>
    <t>熊本</t>
    <rPh sb="0" eb="2">
      <t>クマモト</t>
    </rPh>
    <phoneticPr fontId="34"/>
  </si>
  <si>
    <t>大分</t>
    <rPh sb="0" eb="2">
      <t>オオイタ</t>
    </rPh>
    <phoneticPr fontId="34"/>
  </si>
  <si>
    <t>宮崎</t>
    <rPh sb="0" eb="2">
      <t>ミヤザキ</t>
    </rPh>
    <phoneticPr fontId="34"/>
  </si>
  <si>
    <t>鹿児島</t>
    <rPh sb="0" eb="3">
      <t>カゴシマ</t>
    </rPh>
    <phoneticPr fontId="34"/>
  </si>
  <si>
    <t>コード</t>
    <phoneticPr fontId="34"/>
  </si>
  <si>
    <t>1.0-999.9</t>
    <phoneticPr fontId="34"/>
  </si>
  <si>
    <t>1,000.0-1,999.9</t>
    <phoneticPr fontId="34"/>
  </si>
  <si>
    <t>2,000.0-9,999.9</t>
    <phoneticPr fontId="34"/>
  </si>
  <si>
    <t>10,000.0-999,999.9</t>
    <phoneticPr fontId="34"/>
  </si>
  <si>
    <t>計算対象畜負担労働時間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1">
      <t>ジカン</t>
    </rPh>
    <phoneticPr fontId="3"/>
  </si>
  <si>
    <t>【作業別労働時間及び労働費】</t>
    <rPh sb="1" eb="3">
      <t>サギョウ</t>
    </rPh>
    <rPh sb="3" eb="4">
      <t>ベツ</t>
    </rPh>
    <rPh sb="4" eb="6">
      <t>ロウドウ</t>
    </rPh>
    <rPh sb="6" eb="8">
      <t>ジカン</t>
    </rPh>
    <rPh sb="8" eb="9">
      <t>オヨ</t>
    </rPh>
    <rPh sb="10" eb="13">
      <t>ロウドウヒ</t>
    </rPh>
    <phoneticPr fontId="3"/>
  </si>
  <si>
    <t>本年</t>
    <phoneticPr fontId="2"/>
  </si>
  <si>
    <t>【年齢階層別構成員労働時間及び労働評価額】</t>
    <rPh sb="1" eb="3">
      <t>ネンレイ</t>
    </rPh>
    <rPh sb="3" eb="6">
      <t>カイソウベツ</t>
    </rPh>
    <rPh sb="6" eb="9">
      <t>コウセイイン</t>
    </rPh>
    <rPh sb="9" eb="11">
      <t>ロウドウ</t>
    </rPh>
    <rPh sb="11" eb="13">
      <t>ジカン</t>
    </rPh>
    <rPh sb="13" eb="14">
      <t>オヨ</t>
    </rPh>
    <rPh sb="15" eb="17">
      <t>ロウドウ</t>
    </rPh>
    <rPh sb="17" eb="20">
      <t>ヒョウカガク</t>
    </rPh>
    <phoneticPr fontId="3"/>
  </si>
  <si>
    <t>平均</t>
    <rPh sb="0" eb="2">
      <t>ヘイキン</t>
    </rPh>
    <phoneticPr fontId="3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</si>
</sst>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#,##0.0"/>
    <numFmt numFmtId="188" formatCode="&quot;《&quot;000000&quot;》&quot;"/>
    <numFmt numFmtId="189" formatCode="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3" fillId="0" borderId="0"/>
    <xf numFmtId="0" fontId="35" fillId="0" borderId="0"/>
  </cellStyleXfs>
  <cellXfs count="620">
    <xf numFmtId="0" fontId="0" fillId="0" borderId="0" xfId="0"/>
    <xf numFmtId="0" fontId="24" fillId="0" borderId="0" xfId="41" applyFont="1" applyFill="1" applyAlignment="1">
      <alignment horizontal="left" vertical="top" wrapText="1"/>
    </xf>
    <xf numFmtId="0" fontId="25" fillId="0" borderId="0" xfId="41" applyFont="1" applyFill="1" applyAlignment="1">
      <alignment horizontal="center" vertical="center" wrapText="1"/>
    </xf>
    <xf numFmtId="0" fontId="26" fillId="0" borderId="0" xfId="41" applyFont="1" applyFill="1" applyAlignment="1"/>
    <xf numFmtId="0" fontId="27" fillId="0" borderId="0" xfId="41" applyFont="1" applyFill="1" applyAlignment="1"/>
    <xf numFmtId="0" fontId="28" fillId="0" borderId="0" xfId="41" applyFont="1" applyFill="1" applyBorder="1" applyAlignment="1">
      <alignment horizontal="left" vertical="center"/>
    </xf>
    <xf numFmtId="0" fontId="31" fillId="0" borderId="0" xfId="41" applyFont="1" applyFill="1">
      <alignment vertical="center"/>
    </xf>
    <xf numFmtId="0" fontId="27" fillId="0" borderId="0" xfId="41" applyFont="1" applyFill="1" applyBorder="1" applyAlignment="1">
      <alignment horizontal="right" vertical="center"/>
    </xf>
    <xf numFmtId="0" fontId="31" fillId="0" borderId="0" xfId="41" applyFont="1" applyFill="1" applyBorder="1" applyAlignment="1">
      <alignment horizontal="right" vertical="center"/>
    </xf>
    <xf numFmtId="0" fontId="31" fillId="0" borderId="0" xfId="41" applyFont="1" applyFill="1" applyAlignment="1">
      <alignment vertical="center"/>
    </xf>
    <xf numFmtId="0" fontId="30" fillId="0" borderId="0" xfId="41" applyFont="1" applyFill="1">
      <alignment vertical="center"/>
    </xf>
    <xf numFmtId="0" fontId="30" fillId="0" borderId="0" xfId="41" applyFont="1" applyFill="1" applyAlignment="1">
      <alignment vertical="center"/>
    </xf>
    <xf numFmtId="0" fontId="30" fillId="0" borderId="35" xfId="41" applyFont="1" applyFill="1" applyBorder="1" applyAlignment="1">
      <alignment horizontal="distributed" vertical="center"/>
    </xf>
    <xf numFmtId="0" fontId="30" fillId="0" borderId="48" xfId="41" applyFont="1" applyFill="1" applyBorder="1" applyAlignment="1">
      <alignment vertical="center"/>
    </xf>
    <xf numFmtId="0" fontId="30" fillId="0" borderId="30" xfId="41" applyFont="1" applyFill="1" applyBorder="1" applyAlignment="1">
      <alignment vertical="center"/>
    </xf>
    <xf numFmtId="0" fontId="30" fillId="0" borderId="0" xfId="41" applyFont="1" applyFill="1" applyBorder="1" applyAlignment="1">
      <alignment vertical="center"/>
    </xf>
    <xf numFmtId="0" fontId="31" fillId="0" borderId="0" xfId="41" applyFont="1" applyFill="1" applyBorder="1" applyAlignment="1">
      <alignment horizontal="left" vertical="center"/>
    </xf>
    <xf numFmtId="176" fontId="30" fillId="0" borderId="0" xfId="41" applyNumberFormat="1" applyFont="1" applyFill="1" applyBorder="1" applyAlignment="1">
      <alignment horizontal="center" vertical="center"/>
    </xf>
    <xf numFmtId="0" fontId="30" fillId="0" borderId="0" xfId="41" applyFont="1" applyFill="1" applyBorder="1" applyAlignment="1">
      <alignment horizontal="right" vertical="center"/>
    </xf>
    <xf numFmtId="0" fontId="30" fillId="0" borderId="0" xfId="41" applyFont="1" applyFill="1" applyBorder="1">
      <alignment vertical="center"/>
    </xf>
    <xf numFmtId="0" fontId="27" fillId="0" borderId="0" xfId="41" applyFont="1" applyFill="1" applyBorder="1" applyAlignment="1">
      <alignment horizontal="distributed" vertical="center"/>
    </xf>
    <xf numFmtId="49" fontId="30" fillId="0" borderId="0" xfId="41" applyNumberFormat="1" applyFont="1" applyFill="1" applyBorder="1" applyAlignment="1">
      <alignment horizontal="right" vertical="center"/>
    </xf>
    <xf numFmtId="0" fontId="27" fillId="0" borderId="0" xfId="41" applyFont="1" applyFill="1" applyBorder="1" applyAlignment="1">
      <alignment vertical="center"/>
    </xf>
    <xf numFmtId="0" fontId="27" fillId="0" borderId="0" xfId="41" applyFont="1" applyFill="1">
      <alignment vertical="center"/>
    </xf>
    <xf numFmtId="0" fontId="30" fillId="0" borderId="87" xfId="41" applyFont="1" applyFill="1" applyBorder="1" applyAlignment="1">
      <alignment horizontal="distributed" vertical="distributed"/>
    </xf>
    <xf numFmtId="0" fontId="30" fillId="0" borderId="48" xfId="41" applyFont="1" applyFill="1" applyBorder="1" applyAlignment="1">
      <alignment horizontal="distributed" vertical="center"/>
    </xf>
    <xf numFmtId="49" fontId="27" fillId="0" borderId="0" xfId="41" applyNumberFormat="1" applyFont="1" applyFill="1" applyBorder="1" applyAlignment="1">
      <alignment horizontal="right" vertical="center"/>
    </xf>
    <xf numFmtId="0" fontId="30" fillId="0" borderId="91" xfId="4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horizontal="distributed" vertical="center" shrinkToFit="1"/>
    </xf>
    <xf numFmtId="0" fontId="30" fillId="0" borderId="27" xfId="41" applyFont="1" applyFill="1" applyBorder="1" applyAlignment="1">
      <alignment horizontal="distributed" vertical="center" textRotation="255"/>
    </xf>
    <xf numFmtId="0" fontId="30" fillId="0" borderId="87" xfId="41" applyFont="1" applyFill="1" applyBorder="1" applyAlignment="1">
      <alignment horizontal="distributed" vertical="center" textRotation="255"/>
    </xf>
    <xf numFmtId="0" fontId="31" fillId="0" borderId="0" xfId="41" applyFont="1" applyFill="1" applyBorder="1" applyAlignment="1">
      <alignment vertical="center"/>
    </xf>
    <xf numFmtId="0" fontId="27" fillId="0" borderId="0" xfId="41" applyFont="1" applyFill="1" applyBorder="1" applyAlignment="1">
      <alignment horizontal="center" vertical="center" justifyLastLine="1"/>
    </xf>
    <xf numFmtId="0" fontId="27" fillId="0" borderId="0" xfId="41" applyFont="1" applyFill="1" applyBorder="1" applyAlignment="1">
      <alignment horizontal="center" vertical="center"/>
    </xf>
    <xf numFmtId="0" fontId="30" fillId="0" borderId="50" xfId="41" applyFont="1" applyFill="1" applyBorder="1" applyAlignment="1">
      <alignment horizontal="center" vertical="center"/>
    </xf>
    <xf numFmtId="0" fontId="30" fillId="0" borderId="51" xfId="41" applyFont="1" applyFill="1" applyBorder="1" applyAlignment="1">
      <alignment horizontal="center" vertical="center"/>
    </xf>
    <xf numFmtId="0" fontId="30" fillId="0" borderId="73" xfId="41" applyFont="1" applyFill="1" applyBorder="1" applyAlignment="1">
      <alignment horizontal="center" vertical="center"/>
    </xf>
    <xf numFmtId="0" fontId="27" fillId="0" borderId="0" xfId="41" applyFont="1" applyFill="1" applyAlignment="1">
      <alignment vertical="center"/>
    </xf>
    <xf numFmtId="0" fontId="27" fillId="0" borderId="0" xfId="41" applyFont="1" applyFill="1" applyBorder="1" applyAlignment="1">
      <alignment horizontal="distributed" vertical="distributed"/>
    </xf>
    <xf numFmtId="0" fontId="27" fillId="0" borderId="0" xfId="41" applyFont="1" applyFill="1" applyAlignment="1">
      <alignment horizontal="right" vertical="center"/>
    </xf>
    <xf numFmtId="0" fontId="27" fillId="0" borderId="92" xfId="41" applyFont="1" applyFill="1" applyBorder="1" applyAlignment="1">
      <alignment vertical="center"/>
    </xf>
    <xf numFmtId="0" fontId="27" fillId="0" borderId="92" xfId="41" applyFont="1" applyFill="1" applyBorder="1" applyAlignment="1">
      <alignment horizontal="right" vertical="center"/>
    </xf>
    <xf numFmtId="0" fontId="27" fillId="0" borderId="92" xfId="41" applyFont="1" applyFill="1" applyBorder="1">
      <alignment vertical="center"/>
    </xf>
    <xf numFmtId="0" fontId="30" fillId="0" borderId="92" xfId="41" applyFont="1" applyFill="1" applyBorder="1">
      <alignment vertical="center"/>
    </xf>
    <xf numFmtId="0" fontId="27" fillId="0" borderId="92" xfId="41" applyFont="1" applyFill="1" applyBorder="1" applyAlignment="1">
      <alignment horizontal="left" vertical="center"/>
    </xf>
    <xf numFmtId="0" fontId="31" fillId="0" borderId="92" xfId="41" applyFont="1" applyFill="1" applyBorder="1">
      <alignment vertical="center"/>
    </xf>
    <xf numFmtId="0" fontId="30" fillId="0" borderId="72" xfId="41" applyFont="1" applyFill="1" applyBorder="1" applyAlignment="1">
      <alignment horizontal="center" vertical="center"/>
    </xf>
    <xf numFmtId="0" fontId="30" fillId="0" borderId="0" xfId="41" applyFont="1" applyFill="1" applyAlignment="1">
      <alignment horizontal="center" vertical="center"/>
    </xf>
    <xf numFmtId="0" fontId="30" fillId="0" borderId="0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 applyBorder="1" applyAlignment="1">
      <alignment horizontal="right"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27" fillId="0" borderId="0" xfId="41" applyNumberFormat="1" applyFont="1" applyFill="1" applyBorder="1" applyAlignment="1">
      <alignment horizontal="distributed" vertical="center"/>
    </xf>
    <xf numFmtId="0" fontId="27" fillId="0" borderId="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vertical="center"/>
    </xf>
    <xf numFmtId="0" fontId="30" fillId="0" borderId="0" xfId="41" applyNumberFormat="1" applyFont="1" applyFill="1">
      <alignment vertical="center"/>
    </xf>
    <xf numFmtId="0" fontId="28" fillId="0" borderId="0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 applyBorder="1">
      <alignment vertical="center"/>
    </xf>
    <xf numFmtId="0" fontId="30" fillId="0" borderId="0" xfId="41" applyNumberFormat="1" applyFont="1" applyFill="1" applyBorder="1">
      <alignment vertical="center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27" fillId="0" borderId="0" xfId="41" applyNumberFormat="1" applyFont="1" applyFill="1">
      <alignment vertical="center"/>
    </xf>
    <xf numFmtId="0" fontId="28" fillId="0" borderId="0" xfId="41" applyNumberFormat="1" applyFont="1" applyFill="1">
      <alignment vertical="center"/>
    </xf>
    <xf numFmtId="0" fontId="27" fillId="0" borderId="59" xfId="41" applyNumberFormat="1" applyFont="1" applyFill="1" applyBorder="1" applyAlignment="1">
      <alignment vertical="center" wrapText="1"/>
    </xf>
    <xf numFmtId="0" fontId="27" fillId="0" borderId="59" xfId="41" applyNumberFormat="1" applyFont="1" applyFill="1" applyBorder="1" applyAlignment="1">
      <alignment vertical="center"/>
    </xf>
    <xf numFmtId="0" fontId="30" fillId="0" borderId="59" xfId="41" applyNumberFormat="1" applyFont="1" applyFill="1" applyBorder="1" applyAlignment="1">
      <alignment shrinkToFit="1"/>
    </xf>
    <xf numFmtId="0" fontId="27" fillId="0" borderId="0" xfId="41" applyNumberFormat="1" applyFont="1" applyFill="1" applyAlignment="1">
      <alignment vertical="center"/>
    </xf>
    <xf numFmtId="0" fontId="30" fillId="0" borderId="0" xfId="41" applyNumberFormat="1" applyFont="1" applyFill="1" applyBorder="1" applyAlignment="1">
      <alignment shrinkToFit="1"/>
    </xf>
    <xf numFmtId="0" fontId="31" fillId="0" borderId="0" xfId="41" applyNumberFormat="1" applyFont="1" applyFill="1">
      <alignment vertical="center"/>
    </xf>
    <xf numFmtId="0" fontId="27" fillId="0" borderId="27" xfId="41" applyNumberFormat="1" applyFont="1" applyFill="1" applyBorder="1" applyAlignment="1">
      <alignment vertical="center"/>
    </xf>
    <xf numFmtId="0" fontId="28" fillId="0" borderId="30" xfId="41" applyNumberFormat="1" applyFont="1" applyFill="1" applyBorder="1" applyAlignment="1">
      <alignment horizontal="distributed" vertical="center"/>
    </xf>
    <xf numFmtId="0" fontId="28" fillId="0" borderId="87" xfId="41" applyNumberFormat="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vertical="top"/>
    </xf>
    <xf numFmtId="176" fontId="29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29" fillId="0" borderId="0" xfId="41" applyFont="1" applyFill="1" applyBorder="1" applyAlignment="1">
      <alignment vertical="top"/>
    </xf>
    <xf numFmtId="0" fontId="30" fillId="0" borderId="27" xfId="41" applyNumberFormat="1" applyFont="1" applyFill="1" applyBorder="1" applyAlignment="1">
      <alignment vertical="center" shrinkToFit="1"/>
    </xf>
    <xf numFmtId="0" fontId="30" fillId="0" borderId="0" xfId="41" applyNumberFormat="1" applyFont="1" applyFill="1" applyBorder="1" applyAlignment="1">
      <alignment vertical="center" shrinkToFit="1"/>
    </xf>
    <xf numFmtId="0" fontId="30" fillId="0" borderId="27" xfId="41" applyNumberFormat="1" applyFont="1" applyFill="1" applyBorder="1" applyAlignment="1">
      <alignment vertical="center"/>
    </xf>
    <xf numFmtId="0" fontId="28" fillId="0" borderId="0" xfId="41" applyNumberFormat="1" applyFont="1" applyFill="1" applyBorder="1" applyAlignment="1"/>
    <xf numFmtId="0" fontId="28" fillId="0" borderId="0" xfId="41" applyNumberFormat="1" applyFont="1" applyFill="1" applyBorder="1" applyAlignment="1">
      <alignment shrinkToFit="1"/>
    </xf>
    <xf numFmtId="0" fontId="28" fillId="0" borderId="27" xfId="41" applyNumberFormat="1" applyFont="1" applyFill="1" applyBorder="1" applyAlignment="1">
      <alignment shrinkToFit="1"/>
    </xf>
    <xf numFmtId="0" fontId="30" fillId="0" borderId="27" xfId="41" quotePrefix="1" applyNumberFormat="1" applyFont="1" applyFill="1" applyBorder="1" applyAlignment="1">
      <alignment vertical="center" shrinkToFit="1"/>
    </xf>
    <xf numFmtId="0" fontId="28" fillId="0" borderId="0" xfId="41" applyNumberFormat="1" applyFont="1" applyFill="1" applyBorder="1" applyAlignment="1">
      <alignment vertical="center"/>
    </xf>
    <xf numFmtId="0" fontId="30" fillId="0" borderId="0" xfId="41" quotePrefix="1" applyNumberFormat="1" applyFont="1" applyFill="1" applyBorder="1" applyAlignment="1">
      <alignment vertical="center" shrinkToFit="1"/>
    </xf>
    <xf numFmtId="0" fontId="28" fillId="0" borderId="27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distributed"/>
    </xf>
    <xf numFmtId="178" fontId="30" fillId="0" borderId="0" xfId="41" applyNumberFormat="1" applyFont="1" applyFill="1" applyBorder="1" applyAlignment="1">
      <alignment horizontal="right" shrinkToFit="1"/>
    </xf>
    <xf numFmtId="181" fontId="30" fillId="0" borderId="0" xfId="41" applyNumberFormat="1" applyFont="1" applyFill="1" applyBorder="1" applyAlignment="1">
      <alignment horizontal="right" shrinkToFit="1"/>
    </xf>
    <xf numFmtId="180" fontId="30" fillId="0" borderId="0" xfId="41" applyNumberFormat="1" applyFont="1" applyFill="1" applyBorder="1" applyAlignment="1">
      <alignment horizontal="center" shrinkToFit="1"/>
    </xf>
    <xf numFmtId="0" fontId="30" fillId="0" borderId="87" xfId="41" applyFont="1" applyFill="1" applyBorder="1" applyAlignment="1">
      <alignment horizontal="distributed" vertical="center"/>
    </xf>
    <xf numFmtId="0" fontId="30" fillId="0" borderId="31" xfId="41" applyFont="1" applyFill="1" applyBorder="1" applyAlignment="1">
      <alignment horizontal="distributed" vertical="center"/>
    </xf>
    <xf numFmtId="0" fontId="30" fillId="0" borderId="98" xfId="41" applyFont="1" applyFill="1" applyBorder="1" applyAlignment="1">
      <alignment horizontal="distributed" vertical="center"/>
    </xf>
    <xf numFmtId="0" fontId="30" fillId="0" borderId="94" xfId="41" applyFont="1" applyFill="1" applyBorder="1" applyAlignment="1">
      <alignment horizontal="distributed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distributed" vertical="center"/>
    </xf>
    <xf numFmtId="0" fontId="23" fillId="0" borderId="0" xfId="41" applyNumberFormat="1" applyFont="1" applyFill="1" applyAlignment="1">
      <alignment horizontal="left" vertical="top"/>
    </xf>
    <xf numFmtId="0" fontId="0" fillId="0" borderId="0" xfId="0" applyFill="1"/>
    <xf numFmtId="0" fontId="26" fillId="0" borderId="0" xfId="41" applyNumberFormat="1" applyFont="1" applyFill="1" applyAlignment="1"/>
    <xf numFmtId="176" fontId="27" fillId="0" borderId="134" xfId="48" applyNumberFormat="1" applyFont="1" applyFill="1" applyBorder="1" applyAlignment="1" applyProtection="1">
      <alignment horizontal="center" vertical="center" shrinkToFit="1"/>
    </xf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5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31" fillId="0" borderId="0" xfId="41" applyNumberFormat="1" applyFont="1" applyFill="1" applyAlignment="1">
      <alignment vertical="center"/>
    </xf>
    <xf numFmtId="0" fontId="27" fillId="0" borderId="134" xfId="0" applyFont="1" applyFill="1" applyBorder="1" applyAlignment="1">
      <alignment horizontal="center" vertical="center"/>
    </xf>
    <xf numFmtId="0" fontId="27" fillId="0" borderId="134" xfId="0" applyFont="1" applyBorder="1" applyAlignment="1"/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88" fontId="27" fillId="0" borderId="122" xfId="48" applyNumberFormat="1" applyFont="1" applyFill="1" applyBorder="1" applyAlignment="1" applyProtection="1">
      <alignment horizontal="center" vertical="center"/>
    </xf>
    <xf numFmtId="188" fontId="27" fillId="0" borderId="134" xfId="48" applyNumberFormat="1" applyFont="1" applyFill="1" applyBorder="1" applyAlignment="1" applyProtection="1">
      <alignment horizontal="center" vertical="center" shrinkToFit="1"/>
    </xf>
    <xf numFmtId="188" fontId="27" fillId="0" borderId="134" xfId="48" applyNumberFormat="1" applyFont="1" applyFill="1" applyBorder="1" applyAlignment="1" applyProtection="1">
      <alignment horizontal="center" vertical="center"/>
    </xf>
    <xf numFmtId="0" fontId="27" fillId="0" borderId="134" xfId="0" applyFont="1" applyFill="1" applyBorder="1" applyAlignment="1">
      <alignment horizontal="center" vertical="center" shrinkToFit="1"/>
    </xf>
    <xf numFmtId="0" fontId="0" fillId="0" borderId="134" xfId="0" applyBorder="1" applyAlignment="1"/>
    <xf numFmtId="0" fontId="27" fillId="0" borderId="134" xfId="0" applyNumberFormat="1" applyFont="1" applyFill="1" applyBorder="1" applyAlignment="1">
      <alignment horizontal="center" vertical="center" shrinkToFit="1"/>
    </xf>
    <xf numFmtId="0" fontId="27" fillId="0" borderId="134" xfId="0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16" xfId="41" applyFont="1" applyFill="1" applyBorder="1" applyAlignment="1">
      <alignment horizontal="center" vertical="center"/>
    </xf>
    <xf numFmtId="0" fontId="30" fillId="0" borderId="17" xfId="41" applyFont="1" applyFill="1" applyBorder="1" applyAlignment="1">
      <alignment horizontal="center" vertical="center"/>
    </xf>
    <xf numFmtId="0" fontId="30" fillId="0" borderId="18" xfId="41" applyFont="1" applyFill="1" applyBorder="1" applyAlignment="1">
      <alignment horizontal="center" vertical="center"/>
    </xf>
    <xf numFmtId="189" fontId="28" fillId="0" borderId="31" xfId="41" applyNumberFormat="1" applyFont="1" applyFill="1" applyBorder="1" applyAlignment="1">
      <alignment horizontal="right" vertical="center"/>
    </xf>
    <xf numFmtId="189" fontId="28" fillId="0" borderId="32" xfId="41" applyNumberFormat="1" applyFont="1" applyFill="1" applyBorder="1" applyAlignment="1">
      <alignment horizontal="right" vertical="center"/>
    </xf>
    <xf numFmtId="189" fontId="28" fillId="0" borderId="33" xfId="41" applyNumberFormat="1" applyFont="1" applyFill="1" applyBorder="1" applyAlignment="1">
      <alignment horizontal="right" vertical="center"/>
    </xf>
    <xf numFmtId="3" fontId="28" fillId="0" borderId="72" xfId="41" applyNumberFormat="1" applyFont="1" applyFill="1" applyBorder="1" applyAlignment="1">
      <alignment horizontal="right" vertical="center" shrinkToFit="1"/>
    </xf>
    <xf numFmtId="3" fontId="28" fillId="0" borderId="61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0" fontId="30" fillId="0" borderId="28" xfId="41" applyFont="1" applyFill="1" applyBorder="1" applyAlignment="1">
      <alignment horizontal="distributed" vertical="center"/>
    </xf>
    <xf numFmtId="3" fontId="28" fillId="0" borderId="29" xfId="41" applyNumberFormat="1" applyFont="1" applyFill="1" applyBorder="1" applyAlignment="1">
      <alignment horizontal="right" vertical="center" shrinkToFit="1"/>
    </xf>
    <xf numFmtId="0" fontId="30" fillId="0" borderId="36" xfId="41" applyFont="1" applyFill="1" applyBorder="1" applyAlignment="1">
      <alignment horizontal="distributed" vertical="center" shrinkToFit="1"/>
    </xf>
    <xf numFmtId="0" fontId="30" fillId="0" borderId="37" xfId="41" applyFont="1" applyFill="1" applyBorder="1" applyAlignment="1">
      <alignment horizontal="distributed" vertical="center" shrinkToFit="1"/>
    </xf>
    <xf numFmtId="0" fontId="30" fillId="0" borderId="38" xfId="41" applyFont="1" applyFill="1" applyBorder="1" applyAlignment="1">
      <alignment horizontal="distributed" vertical="center" shrinkToFit="1"/>
    </xf>
    <xf numFmtId="3" fontId="28" fillId="0" borderId="39" xfId="41" applyNumberFormat="1" applyFont="1" applyFill="1" applyBorder="1" applyAlignment="1">
      <alignment horizontal="right" vertical="center" shrinkToFit="1"/>
    </xf>
    <xf numFmtId="3" fontId="28" fillId="0" borderId="40" xfId="41" applyNumberFormat="1" applyFont="1" applyFill="1" applyBorder="1" applyAlignment="1">
      <alignment horizontal="right" vertical="center" shrinkToFit="1"/>
    </xf>
    <xf numFmtId="3" fontId="28" fillId="0" borderId="41" xfId="41" applyNumberFormat="1" applyFont="1" applyFill="1" applyBorder="1" applyAlignment="1">
      <alignment horizontal="right" vertical="center" shrinkToFit="1"/>
    </xf>
    <xf numFmtId="3" fontId="28" fillId="0" borderId="41" xfId="41" applyNumberFormat="1" applyFont="1" applyFill="1" applyBorder="1" applyAlignment="1">
      <alignment horizontal="right" vertical="center"/>
    </xf>
    <xf numFmtId="3" fontId="28" fillId="0" borderId="120" xfId="41" applyNumberFormat="1" applyFont="1" applyFill="1" applyBorder="1" applyAlignment="1">
      <alignment horizontal="right" vertical="center" shrinkToFit="1"/>
    </xf>
    <xf numFmtId="3" fontId="28" fillId="0" borderId="121" xfId="41" applyNumberFormat="1" applyFont="1" applyFill="1" applyBorder="1" applyAlignment="1">
      <alignment horizontal="right" vertical="center" shrinkToFit="1"/>
    </xf>
    <xf numFmtId="179" fontId="28" fillId="0" borderId="42" xfId="41" applyNumberFormat="1" applyFont="1" applyFill="1" applyBorder="1" applyAlignment="1">
      <alignment horizontal="right" vertical="center"/>
    </xf>
    <xf numFmtId="179" fontId="28" fillId="0" borderId="43" xfId="41" applyNumberFormat="1" applyFont="1" applyFill="1" applyBorder="1" applyAlignment="1">
      <alignment horizontal="right" vertical="center"/>
    </xf>
    <xf numFmtId="179" fontId="28" fillId="0" borderId="44" xfId="41" applyNumberFormat="1" applyFont="1" applyFill="1" applyBorder="1" applyAlignment="1">
      <alignment horizontal="right" vertical="center"/>
    </xf>
    <xf numFmtId="180" fontId="28" fillId="0" borderId="42" xfId="41" applyNumberFormat="1" applyFont="1" applyFill="1" applyBorder="1" applyAlignment="1">
      <alignment horizontal="right" vertical="center"/>
    </xf>
    <xf numFmtId="180" fontId="28" fillId="0" borderId="43" xfId="41" applyNumberFormat="1" applyFont="1" applyFill="1" applyBorder="1" applyAlignment="1">
      <alignment horizontal="right" vertical="center"/>
    </xf>
    <xf numFmtId="180" fontId="28" fillId="0" borderId="44" xfId="41" applyNumberFormat="1" applyFont="1" applyFill="1" applyBorder="1" applyAlignment="1">
      <alignment horizontal="right" vertical="center"/>
    </xf>
    <xf numFmtId="3" fontId="28" fillId="0" borderId="34" xfId="41" applyNumberFormat="1" applyFont="1" applyFill="1" applyBorder="1" applyAlignment="1">
      <alignment horizontal="right" vertical="center" shrinkToFit="1"/>
    </xf>
    <xf numFmtId="0" fontId="30" fillId="0" borderId="45" xfId="41" applyFont="1" applyFill="1" applyBorder="1" applyAlignment="1">
      <alignment horizontal="distributed" vertical="center"/>
    </xf>
    <xf numFmtId="0" fontId="30" fillId="0" borderId="46" xfId="41" applyFont="1" applyFill="1" applyBorder="1" applyAlignment="1">
      <alignment horizontal="distributed" vertical="center"/>
    </xf>
    <xf numFmtId="0" fontId="30" fillId="0" borderId="47" xfId="41" applyFont="1" applyFill="1" applyBorder="1" applyAlignment="1">
      <alignment horizontal="distributed" vertical="center"/>
    </xf>
    <xf numFmtId="189" fontId="28" fillId="0" borderId="36" xfId="41" applyNumberFormat="1" applyFont="1" applyFill="1" applyBorder="1" applyAlignment="1">
      <alignment horizontal="right" vertical="center"/>
    </xf>
    <xf numFmtId="189" fontId="28" fillId="0" borderId="37" xfId="41" applyNumberFormat="1" applyFont="1" applyFill="1" applyBorder="1" applyAlignment="1">
      <alignment horizontal="right" vertical="center"/>
    </xf>
    <xf numFmtId="189" fontId="28" fillId="0" borderId="38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0" fontId="30" fillId="0" borderId="36" xfId="41" applyFont="1" applyFill="1" applyBorder="1" applyAlignment="1">
      <alignment horizontal="center" vertical="center" shrinkToFit="1"/>
    </xf>
    <xf numFmtId="0" fontId="30" fillId="0" borderId="37" xfId="41" applyFont="1" applyFill="1" applyBorder="1" applyAlignment="1">
      <alignment horizontal="center" vertical="center" shrinkToFit="1"/>
    </xf>
    <xf numFmtId="0" fontId="30" fillId="0" borderId="38" xfId="41" applyFont="1" applyFill="1" applyBorder="1" applyAlignment="1">
      <alignment horizontal="center" vertical="center" shrinkToFit="1"/>
    </xf>
    <xf numFmtId="3" fontId="28" fillId="0" borderId="65" xfId="41" applyNumberFormat="1" applyFont="1" applyFill="1" applyBorder="1" applyAlignment="1">
      <alignment horizontal="right" vertical="center" shrinkToFit="1"/>
    </xf>
    <xf numFmtId="3" fontId="28" fillId="0" borderId="66" xfId="41" applyNumberFormat="1" applyFont="1" applyFill="1" applyBorder="1" applyAlignment="1">
      <alignment horizontal="right" vertical="center" shrinkToFit="1"/>
    </xf>
    <xf numFmtId="3" fontId="28" fillId="0" borderId="66" xfId="41" applyNumberFormat="1" applyFont="1" applyFill="1" applyBorder="1" applyAlignment="1">
      <alignment horizontal="right" vertical="center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3" fontId="28" fillId="0" borderId="51" xfId="41" applyNumberFormat="1" applyFont="1" applyFill="1" applyBorder="1" applyAlignment="1">
      <alignment horizontal="right" vertical="center" shrinkToFit="1"/>
    </xf>
    <xf numFmtId="3" fontId="28" fillId="0" borderId="52" xfId="41" applyNumberFormat="1" applyFont="1" applyFill="1" applyBorder="1" applyAlignment="1">
      <alignment horizontal="right" vertical="center" shrinkToFit="1"/>
    </xf>
    <xf numFmtId="189" fontId="28" fillId="0" borderId="119" xfId="41" applyNumberFormat="1" applyFont="1" applyFill="1" applyBorder="1" applyAlignment="1">
      <alignment horizontal="right" vertical="center"/>
    </xf>
    <xf numFmtId="189" fontId="28" fillId="0" borderId="92" xfId="41" applyNumberFormat="1" applyFont="1" applyFill="1" applyBorder="1" applyAlignment="1">
      <alignment horizontal="right" vertical="center"/>
    </xf>
    <xf numFmtId="189" fontId="28" fillId="0" borderId="93" xfId="41" applyNumberFormat="1" applyFont="1" applyFill="1" applyBorder="1" applyAlignment="1">
      <alignment horizontal="right" vertical="center"/>
    </xf>
    <xf numFmtId="3" fontId="28" fillId="0" borderId="53" xfId="41" applyNumberFormat="1" applyFont="1" applyFill="1" applyBorder="1" applyAlignment="1">
      <alignment horizontal="right" vertical="center" shrinkToFit="1"/>
    </xf>
    <xf numFmtId="3" fontId="28" fillId="0" borderId="54" xfId="41" applyNumberFormat="1" applyFont="1" applyFill="1" applyBorder="1" applyAlignment="1">
      <alignment horizontal="right" vertical="center" shrinkToFit="1"/>
    </xf>
    <xf numFmtId="3" fontId="28" fillId="0" borderId="54" xfId="41" applyNumberFormat="1" applyFont="1" applyFill="1" applyBorder="1" applyAlignment="1">
      <alignment horizontal="right" vertical="center"/>
    </xf>
    <xf numFmtId="180" fontId="28" fillId="0" borderId="55" xfId="41" applyNumberFormat="1" applyFont="1" applyFill="1" applyBorder="1" applyAlignment="1">
      <alignment horizontal="right" vertical="center"/>
    </xf>
    <xf numFmtId="180" fontId="28" fillId="0" borderId="56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179" fontId="28" fillId="0" borderId="67" xfId="41" applyNumberFormat="1" applyFont="1" applyFill="1" applyBorder="1" applyAlignment="1">
      <alignment horizontal="right" vertical="center"/>
    </xf>
    <xf numFmtId="179" fontId="28" fillId="0" borderId="68" xfId="41" applyNumberFormat="1" applyFont="1" applyFill="1" applyBorder="1" applyAlignment="1">
      <alignment horizontal="right" vertical="center"/>
    </xf>
    <xf numFmtId="179" fontId="28" fillId="0" borderId="69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distributed" vertical="center"/>
    </xf>
    <xf numFmtId="0" fontId="30" fillId="0" borderId="59" xfId="41" applyFont="1" applyFill="1" applyBorder="1" applyAlignment="1">
      <alignment horizontal="distributed" vertical="center"/>
    </xf>
    <xf numFmtId="0" fontId="30" fillId="0" borderId="60" xfId="41" applyFont="1" applyFill="1" applyBorder="1" applyAlignment="1">
      <alignment horizontal="distributed" vertical="center"/>
    </xf>
    <xf numFmtId="179" fontId="28" fillId="0" borderId="55" xfId="41" applyNumberFormat="1" applyFont="1" applyFill="1" applyBorder="1" applyAlignment="1">
      <alignment horizontal="right" vertical="center"/>
    </xf>
    <xf numFmtId="179" fontId="28" fillId="0" borderId="56" xfId="41" applyNumberFormat="1" applyFont="1" applyFill="1" applyBorder="1" applyAlignment="1">
      <alignment horizontal="right" vertical="center"/>
    </xf>
    <xf numFmtId="179" fontId="28" fillId="0" borderId="57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0" fontId="30" fillId="0" borderId="12" xfId="41" applyFont="1" applyFill="1" applyBorder="1" applyAlignment="1">
      <alignment horizontal="distributed" vertical="center"/>
    </xf>
    <xf numFmtId="3" fontId="28" fillId="0" borderId="70" xfId="41" applyNumberFormat="1" applyFont="1" applyFill="1" applyBorder="1" applyAlignment="1">
      <alignment horizontal="right" vertical="center" shrinkToFit="1"/>
    </xf>
    <xf numFmtId="3" fontId="28" fillId="0" borderId="73" xfId="41" applyNumberFormat="1" applyFont="1" applyFill="1" applyBorder="1" applyAlignment="1">
      <alignment horizontal="right" vertical="center" shrinkToFit="1"/>
    </xf>
    <xf numFmtId="181" fontId="28" fillId="0" borderId="74" xfId="41" applyNumberFormat="1" applyFont="1" applyFill="1" applyBorder="1" applyAlignment="1">
      <alignment horizontal="right" vertical="center"/>
    </xf>
    <xf numFmtId="181" fontId="28" fillId="0" borderId="75" xfId="41" applyNumberFormat="1" applyFont="1" applyFill="1" applyBorder="1" applyAlignment="1">
      <alignment horizontal="right" vertical="center"/>
    </xf>
    <xf numFmtId="180" fontId="28" fillId="0" borderId="76" xfId="41" applyNumberFormat="1" applyFont="1" applyFill="1" applyBorder="1" applyAlignment="1">
      <alignment horizontal="right" vertical="center"/>
    </xf>
    <xf numFmtId="180" fontId="28" fillId="0" borderId="77" xfId="41" applyNumberFormat="1" applyFont="1" applyFill="1" applyBorder="1" applyAlignment="1">
      <alignment horizontal="right" vertical="center"/>
    </xf>
    <xf numFmtId="180" fontId="28" fillId="0" borderId="78" xfId="41" applyNumberFormat="1" applyFont="1" applyFill="1" applyBorder="1" applyAlignment="1">
      <alignment horizontal="right" vertical="center"/>
    </xf>
    <xf numFmtId="181" fontId="28" fillId="0" borderId="79" xfId="41" applyNumberFormat="1" applyFont="1" applyFill="1" applyBorder="1" applyAlignment="1">
      <alignment horizontal="right" vertical="center"/>
    </xf>
    <xf numFmtId="3" fontId="28" fillId="0" borderId="90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178" fontId="28" fillId="0" borderId="40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/>
    </xf>
    <xf numFmtId="178" fontId="28" fillId="0" borderId="120" xfId="41" applyNumberFormat="1" applyFont="1" applyFill="1" applyBorder="1" applyAlignment="1">
      <alignment horizontal="right" vertical="center" shrinkToFit="1"/>
    </xf>
    <xf numFmtId="178" fontId="28" fillId="0" borderId="121" xfId="41" applyNumberFormat="1" applyFont="1" applyFill="1" applyBorder="1" applyAlignment="1">
      <alignment horizontal="right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178" fontId="28" fillId="0" borderId="65" xfId="41" applyNumberFormat="1" applyFont="1" applyFill="1" applyBorder="1" applyAlignment="1">
      <alignment horizontal="right" vertical="center" shrinkToFit="1"/>
    </xf>
    <xf numFmtId="178" fontId="28" fillId="0" borderId="66" xfId="41" applyNumberFormat="1" applyFont="1" applyFill="1" applyBorder="1" applyAlignment="1">
      <alignment horizontal="right" vertical="center" shrinkToFit="1"/>
    </xf>
    <xf numFmtId="178" fontId="28" fillId="0" borderId="66" xfId="41" applyNumberFormat="1" applyFont="1" applyFill="1" applyBorder="1" applyAlignment="1">
      <alignment horizontal="right" vertical="center"/>
    </xf>
    <xf numFmtId="178" fontId="28" fillId="0" borderId="53" xfId="41" applyNumberFormat="1" applyFont="1" applyFill="1" applyBorder="1" applyAlignment="1">
      <alignment horizontal="right" vertical="center" shrinkToFit="1"/>
    </xf>
    <xf numFmtId="178" fontId="28" fillId="0" borderId="54" xfId="41" applyNumberFormat="1" applyFont="1" applyFill="1" applyBorder="1" applyAlignment="1">
      <alignment horizontal="right" vertical="center" shrinkToFit="1"/>
    </xf>
    <xf numFmtId="178" fontId="28" fillId="0" borderId="54" xfId="41" applyNumberFormat="1" applyFont="1" applyFill="1" applyBorder="1" applyAlignment="1">
      <alignment horizontal="right" vertical="center"/>
    </xf>
    <xf numFmtId="0" fontId="30" fillId="0" borderId="13" xfId="41" applyNumberFormat="1" applyFont="1" applyFill="1" applyBorder="1" applyAlignment="1">
      <alignment horizontal="center" vertical="center"/>
    </xf>
    <xf numFmtId="0" fontId="30" fillId="0" borderId="14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3" fontId="28" fillId="0" borderId="63" xfId="41" applyNumberFormat="1" applyFont="1" applyFill="1" applyBorder="1" applyAlignment="1">
      <alignment horizontal="right" vertical="center" shrinkToFit="1"/>
    </xf>
    <xf numFmtId="3" fontId="28" fillId="0" borderId="64" xfId="41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8" xfId="41" applyNumberFormat="1" applyFont="1" applyFill="1" applyBorder="1" applyAlignment="1">
      <alignment horizontal="distributed" vertical="center"/>
    </xf>
    <xf numFmtId="187" fontId="28" fillId="0" borderId="18" xfId="41" applyNumberFormat="1" applyFont="1" applyFill="1" applyBorder="1" applyAlignment="1">
      <alignment horizontal="right" vertical="center" shrinkToFit="1"/>
    </xf>
    <xf numFmtId="187" fontId="28" fillId="0" borderId="16" xfId="41" applyNumberFormat="1" applyFont="1" applyFill="1" applyBorder="1" applyAlignment="1">
      <alignment horizontal="right" vertical="center" shrinkToFit="1"/>
    </xf>
    <xf numFmtId="187" fontId="28" fillId="0" borderId="95" xfId="41" applyNumberFormat="1" applyFont="1" applyFill="1" applyBorder="1" applyAlignment="1">
      <alignment horizontal="right" vertical="center" shrinkToFit="1"/>
    </xf>
    <xf numFmtId="187" fontId="28" fillId="0" borderId="62" xfId="41" applyNumberFormat="1" applyFont="1" applyFill="1" applyBorder="1" applyAlignment="1">
      <alignment horizontal="right" vertical="center" shrinkToFit="1"/>
    </xf>
    <xf numFmtId="189" fontId="28" fillId="0" borderId="62" xfId="41" applyNumberFormat="1" applyFont="1" applyFill="1" applyBorder="1" applyAlignment="1">
      <alignment horizontal="right" vertical="center"/>
    </xf>
    <xf numFmtId="189" fontId="28" fillId="0" borderId="16" xfId="41" applyNumberFormat="1" applyFont="1" applyFill="1" applyBorder="1" applyAlignment="1">
      <alignment horizontal="right" vertical="center"/>
    </xf>
    <xf numFmtId="189" fontId="28" fillId="0" borderId="17" xfId="41" applyNumberFormat="1" applyFont="1" applyFill="1" applyBorder="1" applyAlignment="1">
      <alignment horizontal="right" vertical="center"/>
    </xf>
    <xf numFmtId="0" fontId="30" fillId="0" borderId="71" xfId="4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3" xfId="41" applyNumberFormat="1" applyFont="1" applyFill="1" applyBorder="1" applyAlignment="1">
      <alignment horizontal="center" vertical="center" shrinkToFit="1"/>
    </xf>
    <xf numFmtId="0" fontId="30" fillId="0" borderId="12" xfId="41" applyNumberFormat="1" applyFont="1" applyFill="1" applyBorder="1" applyAlignment="1">
      <alignment horizontal="center" vertical="center" shrinkToFit="1"/>
    </xf>
    <xf numFmtId="0" fontId="30" fillId="0" borderId="18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80" xfId="41" applyFont="1" applyFill="1" applyBorder="1" applyAlignment="1">
      <alignment horizontal="center" vertical="center"/>
    </xf>
    <xf numFmtId="0" fontId="30" fillId="0" borderId="81" xfId="41" applyFont="1" applyFill="1" applyBorder="1" applyAlignment="1">
      <alignment horizontal="center" vertical="center"/>
    </xf>
    <xf numFmtId="0" fontId="30" fillId="0" borderId="82" xfId="41" applyFont="1" applyFill="1" applyBorder="1" applyAlignment="1">
      <alignment horizontal="center" vertical="center"/>
    </xf>
    <xf numFmtId="0" fontId="30" fillId="0" borderId="10" xfId="41" quotePrefix="1" applyNumberFormat="1" applyFont="1" applyFill="1" applyBorder="1" applyAlignment="1">
      <alignment horizontal="center" vertical="center" shrinkToFit="1"/>
    </xf>
    <xf numFmtId="0" fontId="30" fillId="0" borderId="27" xfId="41" applyFont="1" applyFill="1" applyBorder="1" applyAlignment="1">
      <alignment horizontal="distributed" vertical="distributed"/>
    </xf>
    <xf numFmtId="0" fontId="30" fillId="0" borderId="0" xfId="41" applyFont="1" applyFill="1" applyBorder="1" applyAlignment="1">
      <alignment horizontal="distributed" vertical="distributed"/>
    </xf>
    <xf numFmtId="0" fontId="30" fillId="0" borderId="28" xfId="41" applyFont="1" applyFill="1" applyBorder="1" applyAlignment="1">
      <alignment horizontal="distributed" vertical="distributed"/>
    </xf>
    <xf numFmtId="0" fontId="30" fillId="0" borderId="85" xfId="41" applyNumberFormat="1" applyFont="1" applyFill="1" applyBorder="1" applyAlignment="1">
      <alignment horizontal="distributed" vertical="center"/>
    </xf>
    <xf numFmtId="0" fontId="30" fillId="0" borderId="37" xfId="41" applyNumberFormat="1" applyFont="1" applyFill="1" applyBorder="1" applyAlignment="1">
      <alignment horizontal="distributed" vertical="center"/>
    </xf>
    <xf numFmtId="0" fontId="30" fillId="0" borderId="38" xfId="41" applyNumberFormat="1" applyFont="1" applyFill="1" applyBorder="1" applyAlignment="1">
      <alignment horizontal="distributed" vertical="center"/>
    </xf>
    <xf numFmtId="187" fontId="28" fillId="0" borderId="85" xfId="41" applyNumberFormat="1" applyFont="1" applyFill="1" applyBorder="1" applyAlignment="1">
      <alignment horizontal="right" vertical="center" shrinkToFit="1"/>
    </xf>
    <xf numFmtId="187" fontId="28" fillId="0" borderId="37" xfId="41" applyNumberFormat="1" applyFont="1" applyFill="1" applyBorder="1" applyAlignment="1">
      <alignment horizontal="right" vertical="center" shrinkToFit="1"/>
    </xf>
    <xf numFmtId="187" fontId="28" fillId="0" borderId="49" xfId="41" applyNumberFormat="1" applyFont="1" applyFill="1" applyBorder="1" applyAlignment="1">
      <alignment horizontal="right" vertical="center" shrinkToFit="1"/>
    </xf>
    <xf numFmtId="187" fontId="28" fillId="0" borderId="36" xfId="41" applyNumberFormat="1" applyFont="1" applyFill="1" applyBorder="1" applyAlignment="1">
      <alignment horizontal="right" vertical="center" shrinkToFit="1"/>
    </xf>
    <xf numFmtId="0" fontId="30" fillId="0" borderId="26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5" xfId="41" applyNumberFormat="1" applyFont="1" applyFill="1" applyBorder="1" applyAlignment="1">
      <alignment horizontal="distributed" vertical="center"/>
    </xf>
    <xf numFmtId="187" fontId="28" fillId="0" borderId="26" xfId="41" applyNumberFormat="1" applyFont="1" applyFill="1" applyBorder="1" applyAlignment="1">
      <alignment horizontal="right" vertical="center" shrinkToFit="1"/>
    </xf>
    <xf numFmtId="187" fontId="28" fillId="0" borderId="22" xfId="41" applyNumberFormat="1" applyFont="1" applyFill="1" applyBorder="1" applyAlignment="1">
      <alignment horizontal="right" vertical="center" shrinkToFit="1"/>
    </xf>
    <xf numFmtId="187" fontId="28" fillId="0" borderId="23" xfId="41" applyNumberFormat="1" applyFont="1" applyFill="1" applyBorder="1" applyAlignment="1">
      <alignment horizontal="right" vertical="center" shrinkToFit="1"/>
    </xf>
    <xf numFmtId="187" fontId="28" fillId="0" borderId="24" xfId="41" applyNumberFormat="1" applyFont="1" applyFill="1" applyBorder="1" applyAlignment="1">
      <alignment horizontal="right" vertical="center" shrinkToFit="1"/>
    </xf>
    <xf numFmtId="0" fontId="30" fillId="0" borderId="63" xfId="41" applyFont="1" applyFill="1" applyBorder="1" applyAlignment="1">
      <alignment horizontal="center" vertical="center" textRotation="255"/>
    </xf>
    <xf numFmtId="0" fontId="30" fillId="0" borderId="35" xfId="41" applyFont="1" applyFill="1" applyBorder="1" applyAlignment="1">
      <alignment horizontal="center" vertical="center" textRotation="255"/>
    </xf>
    <xf numFmtId="0" fontId="30" fillId="0" borderId="90" xfId="41" applyFont="1" applyFill="1" applyBorder="1" applyAlignment="1">
      <alignment horizontal="center" vertical="center" textRotation="255"/>
    </xf>
    <xf numFmtId="3" fontId="28" fillId="0" borderId="88" xfId="41" applyNumberFormat="1" applyFont="1" applyFill="1" applyBorder="1" applyAlignment="1">
      <alignment horizontal="right" vertical="center" shrinkToFit="1"/>
    </xf>
    <xf numFmtId="0" fontId="30" fillId="0" borderId="62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center" vertical="center" justifyLastLine="1"/>
    </xf>
    <xf numFmtId="0" fontId="30" fillId="0" borderId="17" xfId="41" applyFont="1" applyFill="1" applyBorder="1" applyAlignment="1">
      <alignment horizontal="center" vertical="center" justifyLastLine="1"/>
    </xf>
    <xf numFmtId="0" fontId="30" fillId="0" borderId="18" xfId="41" applyFont="1" applyFill="1" applyBorder="1" applyAlignment="1">
      <alignment horizontal="center" vertical="center" justifyLastLine="1"/>
    </xf>
    <xf numFmtId="0" fontId="30" fillId="0" borderId="85" xfId="41" applyFont="1" applyFill="1" applyBorder="1" applyAlignment="1">
      <alignment horizontal="distributed" vertical="center"/>
    </xf>
    <xf numFmtId="3" fontId="28" fillId="0" borderId="35" xfId="41" applyNumberFormat="1" applyFont="1" applyFill="1" applyBorder="1" applyAlignment="1">
      <alignment horizontal="right" vertical="center" shrinkToFit="1"/>
    </xf>
    <xf numFmtId="3" fontId="28" fillId="0" borderId="48" xfId="41" applyNumberFormat="1" applyFont="1" applyFill="1" applyBorder="1" applyAlignment="1">
      <alignment horizontal="right" vertical="center" shrinkToFit="1"/>
    </xf>
    <xf numFmtId="0" fontId="30" fillId="0" borderId="87" xfId="41" applyFont="1" applyFill="1" applyBorder="1" applyAlignment="1">
      <alignment horizontal="distributed" vertical="center"/>
    </xf>
    <xf numFmtId="0" fontId="30" fillId="0" borderId="92" xfId="41" applyFont="1" applyFill="1" applyBorder="1" applyAlignment="1">
      <alignment horizontal="distributed" vertical="center"/>
    </xf>
    <xf numFmtId="0" fontId="30" fillId="0" borderId="93" xfId="41" applyFont="1" applyFill="1" applyBorder="1" applyAlignment="1">
      <alignment horizontal="distributed" vertical="center"/>
    </xf>
    <xf numFmtId="0" fontId="30" fillId="0" borderId="18" xfId="41" applyFont="1" applyFill="1" applyBorder="1" applyAlignment="1">
      <alignment horizontal="center" vertical="center" shrinkToFit="1"/>
    </xf>
    <xf numFmtId="0" fontId="30" fillId="0" borderId="16" xfId="41" applyFont="1" applyFill="1" applyBorder="1" applyAlignment="1">
      <alignment horizontal="center" vertical="center" shrinkToFit="1"/>
    </xf>
    <xf numFmtId="0" fontId="30" fillId="0" borderId="17" xfId="41" applyFont="1" applyFill="1" applyBorder="1" applyAlignment="1">
      <alignment horizontal="center" vertical="center" shrinkToFit="1"/>
    </xf>
    <xf numFmtId="187" fontId="28" fillId="0" borderId="72" xfId="41" applyNumberFormat="1" applyFont="1" applyFill="1" applyBorder="1" applyAlignment="1">
      <alignment horizontal="right" vertical="center" shrinkToFit="1"/>
    </xf>
    <xf numFmtId="187" fontId="28" fillId="0" borderId="61" xfId="41" applyNumberFormat="1" applyFont="1" applyFill="1" applyBorder="1" applyAlignment="1">
      <alignment horizontal="right" vertical="center" shrinkToFit="1"/>
    </xf>
    <xf numFmtId="0" fontId="30" fillId="0" borderId="26" xfId="41" applyFont="1" applyFill="1" applyBorder="1" applyAlignment="1">
      <alignment horizontal="distributed" vertical="center"/>
    </xf>
    <xf numFmtId="187" fontId="28" fillId="0" borderId="90" xfId="41" applyNumberFormat="1" applyFont="1" applyFill="1" applyBorder="1" applyAlignment="1">
      <alignment horizontal="right" vertical="center" shrinkToFit="1"/>
    </xf>
    <xf numFmtId="187" fontId="28" fillId="0" borderId="91" xfId="41" applyNumberFormat="1" applyFont="1" applyFill="1" applyBorder="1" applyAlignment="1">
      <alignment horizontal="right" vertical="center" shrinkToFit="1"/>
    </xf>
    <xf numFmtId="187" fontId="28" fillId="0" borderId="52" xfId="41" applyNumberFormat="1" applyFont="1" applyFill="1" applyBorder="1" applyAlignment="1">
      <alignment horizontal="right" vertical="center" shrinkToFit="1"/>
    </xf>
    <xf numFmtId="0" fontId="30" fillId="0" borderId="94" xfId="41" applyFont="1" applyFill="1" applyBorder="1" applyAlignment="1">
      <alignment horizontal="center" vertical="center"/>
    </xf>
    <xf numFmtId="0" fontId="30" fillId="0" borderId="32" xfId="41" applyFont="1" applyFill="1" applyBorder="1" applyAlignment="1">
      <alignment horizontal="center" vertical="center"/>
    </xf>
    <xf numFmtId="0" fontId="30" fillId="0" borderId="33" xfId="41" applyFont="1" applyFill="1" applyBorder="1" applyAlignment="1">
      <alignment horizontal="center" vertical="center"/>
    </xf>
    <xf numFmtId="187" fontId="28" fillId="0" borderId="63" xfId="41" applyNumberFormat="1" applyFont="1" applyFill="1" applyBorder="1" applyAlignment="1">
      <alignment horizontal="right" vertical="center" shrinkToFit="1"/>
    </xf>
    <xf numFmtId="187" fontId="28" fillId="0" borderId="64" xfId="41" applyNumberFormat="1" applyFont="1" applyFill="1" applyBorder="1" applyAlignment="1">
      <alignment horizontal="right" vertical="center" shrinkToFit="1"/>
    </xf>
    <xf numFmtId="187" fontId="28" fillId="0" borderId="30" xfId="41" applyNumberFormat="1" applyFont="1" applyFill="1" applyBorder="1" applyAlignment="1">
      <alignment horizontal="right" vertical="center" shrinkToFit="1"/>
    </xf>
    <xf numFmtId="0" fontId="30" fillId="0" borderId="18" xfId="41" applyFont="1" applyFill="1" applyBorder="1" applyAlignment="1">
      <alignment horizontal="distributed" vertical="center"/>
    </xf>
    <xf numFmtId="0" fontId="30" fillId="0" borderId="85" xfId="41" applyFont="1" applyFill="1" applyBorder="1" applyAlignment="1">
      <alignment horizontal="center" vertical="center"/>
    </xf>
    <xf numFmtId="0" fontId="30" fillId="0" borderId="37" xfId="41" applyFont="1" applyFill="1" applyBorder="1" applyAlignment="1">
      <alignment horizontal="center" vertical="center"/>
    </xf>
    <xf numFmtId="0" fontId="30" fillId="0" borderId="38" xfId="41" applyFont="1" applyFill="1" applyBorder="1" applyAlignment="1">
      <alignment horizontal="center" vertical="center"/>
    </xf>
    <xf numFmtId="187" fontId="28" fillId="0" borderId="50" xfId="41" applyNumberFormat="1" applyFont="1" applyFill="1" applyBorder="1" applyAlignment="1">
      <alignment horizontal="right" vertical="center" shrinkToFit="1"/>
    </xf>
    <xf numFmtId="187" fontId="28" fillId="0" borderId="39" xfId="41" applyNumberFormat="1" applyFont="1" applyFill="1" applyBorder="1" applyAlignment="1">
      <alignment horizontal="right" vertical="center" shrinkToFit="1"/>
    </xf>
    <xf numFmtId="187" fontId="28" fillId="0" borderId="71" xfId="41" applyNumberFormat="1" applyFont="1" applyFill="1" applyBorder="1" applyAlignment="1">
      <alignment horizontal="right" vertical="center" shrinkToFit="1"/>
    </xf>
    <xf numFmtId="187" fontId="28" fillId="0" borderId="11" xfId="41" applyNumberFormat="1" applyFont="1" applyFill="1" applyBorder="1" applyAlignment="1">
      <alignment horizontal="right" vertical="center" shrinkToFit="1"/>
    </xf>
    <xf numFmtId="187" fontId="28" fillId="0" borderId="83" xfId="41" applyNumberFormat="1" applyFont="1" applyFill="1" applyBorder="1" applyAlignment="1">
      <alignment horizontal="right" vertical="center" shrinkToFit="1"/>
    </xf>
    <xf numFmtId="0" fontId="30" fillId="0" borderId="26" xfId="41" applyFont="1" applyFill="1" applyBorder="1" applyAlignment="1">
      <alignment horizontal="center" vertical="center"/>
    </xf>
    <xf numFmtId="0" fontId="30" fillId="0" borderId="22" xfId="41" applyFont="1" applyFill="1" applyBorder="1" applyAlignment="1">
      <alignment horizontal="center" vertical="center"/>
    </xf>
    <xf numFmtId="0" fontId="30" fillId="0" borderId="25" xfId="41" applyFont="1" applyFill="1" applyBorder="1" applyAlignment="1">
      <alignment horizontal="center" vertical="center"/>
    </xf>
    <xf numFmtId="187" fontId="28" fillId="0" borderId="34" xfId="41" applyNumberFormat="1" applyFont="1" applyFill="1" applyBorder="1" applyAlignment="1">
      <alignment horizontal="right" vertical="center" shrinkToFit="1"/>
    </xf>
    <xf numFmtId="0" fontId="30" fillId="0" borderId="111" xfId="41" applyFont="1" applyFill="1" applyBorder="1" applyAlignment="1">
      <alignment horizontal="center" vertical="distributed" textRotation="255" justifyLastLine="1"/>
    </xf>
    <xf numFmtId="0" fontId="30" fillId="0" borderId="35" xfId="41" applyFont="1" applyFill="1" applyBorder="1" applyAlignment="1">
      <alignment horizontal="center" vertical="distributed" textRotation="255" justifyLastLine="1"/>
    </xf>
    <xf numFmtId="0" fontId="30" fillId="0" borderId="31" xfId="41" applyFont="1" applyFill="1" applyBorder="1" applyAlignment="1">
      <alignment horizontal="distributed" vertical="center"/>
    </xf>
    <xf numFmtId="0" fontId="30" fillId="0" borderId="32" xfId="41" applyFont="1" applyFill="1" applyBorder="1" applyAlignment="1">
      <alignment horizontal="distributed" vertical="center"/>
    </xf>
    <xf numFmtId="0" fontId="30" fillId="0" borderId="33" xfId="41" applyFont="1" applyFill="1" applyBorder="1" applyAlignment="1">
      <alignment horizontal="distributed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59" xfId="41" applyFont="1" applyFill="1" applyBorder="1" applyAlignment="1">
      <alignment horizontal="center" vertical="center"/>
    </xf>
    <xf numFmtId="0" fontId="30" fillId="0" borderId="60" xfId="41" applyFont="1" applyFill="1" applyBorder="1" applyAlignment="1">
      <alignment horizontal="center" vertical="center"/>
    </xf>
    <xf numFmtId="0" fontId="30" fillId="0" borderId="89" xfId="41" applyFont="1" applyFill="1" applyBorder="1" applyAlignment="1">
      <alignment horizontal="distributed" vertical="center"/>
    </xf>
    <xf numFmtId="0" fontId="30" fillId="0" borderId="10" xfId="41" applyFont="1" applyFill="1" applyBorder="1" applyAlignment="1">
      <alignment horizontal="distributed" vertical="center" shrinkToFit="1"/>
    </xf>
    <xf numFmtId="0" fontId="30" fillId="0" borderId="11" xfId="41" applyFont="1" applyFill="1" applyBorder="1" applyAlignment="1">
      <alignment horizontal="distributed" vertical="center" shrinkToFit="1"/>
    </xf>
    <xf numFmtId="0" fontId="30" fillId="0" borderId="12" xfId="41" applyFont="1" applyFill="1" applyBorder="1" applyAlignment="1">
      <alignment horizontal="distributed" vertical="center" shrinkToFit="1"/>
    </xf>
    <xf numFmtId="187" fontId="28" fillId="0" borderId="73" xfId="41" applyNumberFormat="1" applyFont="1" applyFill="1" applyBorder="1" applyAlignment="1">
      <alignment horizontal="right" vertical="center" shrinkToFit="1"/>
    </xf>
    <xf numFmtId="187" fontId="28" fillId="0" borderId="70" xfId="41" applyNumberFormat="1" applyFont="1" applyFill="1" applyBorder="1" applyAlignment="1">
      <alignment horizontal="right" vertical="center" shrinkToFit="1"/>
    </xf>
    <xf numFmtId="0" fontId="30" fillId="0" borderId="59" xfId="41" applyFont="1" applyFill="1" applyBorder="1" applyAlignment="1">
      <alignment horizontal="center" vertical="center" justifyLastLine="1"/>
    </xf>
    <xf numFmtId="0" fontId="30" fillId="0" borderId="58" xfId="41" applyFont="1" applyFill="1" applyBorder="1" applyAlignment="1">
      <alignment horizontal="center" vertical="center" justifyLastLine="1"/>
    </xf>
    <xf numFmtId="0" fontId="30" fillId="0" borderId="60" xfId="41" applyFont="1" applyFill="1" applyBorder="1" applyAlignment="1">
      <alignment horizontal="center" vertical="center" justifyLastLine="1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92" xfId="41" applyNumberFormat="1" applyFont="1" applyFill="1" applyBorder="1" applyAlignment="1">
      <alignment horizontal="distributed" vertical="center"/>
    </xf>
    <xf numFmtId="187" fontId="28" fillId="0" borderId="35" xfId="41" applyNumberFormat="1" applyFont="1" applyFill="1" applyBorder="1" applyAlignment="1">
      <alignment horizontal="right" vertical="center" shrinkToFit="1"/>
    </xf>
    <xf numFmtId="187" fontId="28" fillId="0" borderId="48" xfId="41" applyNumberFormat="1" applyFont="1" applyFill="1" applyBorder="1" applyAlignment="1">
      <alignment horizontal="right" vertical="center" shrinkToFit="1"/>
    </xf>
    <xf numFmtId="181" fontId="28" fillId="0" borderId="54" xfId="41" applyNumberFormat="1" applyFont="1" applyFill="1" applyBorder="1" applyAlignment="1">
      <alignment horizontal="right" vertical="center" shrinkToFit="1"/>
    </xf>
    <xf numFmtId="181" fontId="28" fillId="0" borderId="54" xfId="41" applyNumberFormat="1" applyFont="1" applyFill="1" applyBorder="1" applyAlignment="1">
      <alignment horizontal="right" vertical="center"/>
    </xf>
    <xf numFmtId="184" fontId="28" fillId="0" borderId="41" xfId="41" applyNumberFormat="1" applyFont="1" applyFill="1" applyBorder="1" applyAlignment="1">
      <alignment horizontal="right" vertical="center"/>
    </xf>
    <xf numFmtId="185" fontId="28" fillId="0" borderId="41" xfId="41" applyNumberFormat="1" applyFont="1" applyFill="1" applyBorder="1" applyAlignment="1">
      <alignment horizontal="right" vertical="center"/>
    </xf>
    <xf numFmtId="0" fontId="30" fillId="0" borderId="98" xfId="41" applyFont="1" applyFill="1" applyBorder="1" applyAlignment="1">
      <alignment horizontal="distributed" vertical="center"/>
    </xf>
    <xf numFmtId="4" fontId="28" fillId="0" borderId="18" xfId="44" applyNumberFormat="1" applyFont="1" applyFill="1" applyBorder="1" applyAlignment="1">
      <alignment horizontal="right" vertical="center" shrinkToFit="1"/>
    </xf>
    <xf numFmtId="4" fontId="28" fillId="0" borderId="16" xfId="44" applyNumberFormat="1" applyFont="1" applyFill="1" applyBorder="1" applyAlignment="1">
      <alignment horizontal="right" vertical="center" shrinkToFit="1"/>
    </xf>
    <xf numFmtId="4" fontId="28" fillId="0" borderId="95" xfId="44" applyNumberFormat="1" applyFont="1" applyFill="1" applyBorder="1" applyAlignment="1">
      <alignment horizontal="right" vertical="center" shrinkToFit="1"/>
    </xf>
    <xf numFmtId="4" fontId="28" fillId="0" borderId="62" xfId="41" applyNumberFormat="1" applyFont="1" applyFill="1" applyBorder="1" applyAlignment="1">
      <alignment horizontal="right" vertical="center" shrinkToFit="1"/>
    </xf>
    <xf numFmtId="4" fontId="28" fillId="0" borderId="16" xfId="41" applyNumberFormat="1" applyFont="1" applyFill="1" applyBorder="1" applyAlignment="1">
      <alignment horizontal="right" vertical="center" shrinkToFit="1"/>
    </xf>
    <xf numFmtId="4" fontId="28" fillId="0" borderId="95" xfId="41" applyNumberFormat="1" applyFont="1" applyFill="1" applyBorder="1" applyAlignment="1">
      <alignment horizontal="right" vertical="center" shrinkToFit="1"/>
    </xf>
    <xf numFmtId="4" fontId="28" fillId="0" borderId="85" xfId="44" applyNumberFormat="1" applyFont="1" applyFill="1" applyBorder="1" applyAlignment="1">
      <alignment horizontal="right" vertical="center" shrinkToFit="1"/>
    </xf>
    <xf numFmtId="4" fontId="28" fillId="0" borderId="37" xfId="44" applyNumberFormat="1" applyFont="1" applyFill="1" applyBorder="1" applyAlignment="1">
      <alignment horizontal="right" vertical="center" shrinkToFit="1"/>
    </xf>
    <xf numFmtId="4" fontId="28" fillId="0" borderId="49" xfId="44" applyNumberFormat="1" applyFont="1" applyFill="1" applyBorder="1" applyAlignment="1">
      <alignment horizontal="right" vertical="center" shrinkToFit="1"/>
    </xf>
    <xf numFmtId="4" fontId="28" fillId="0" borderId="36" xfId="41" applyNumberFormat="1" applyFont="1" applyFill="1" applyBorder="1" applyAlignment="1">
      <alignment horizontal="right" vertical="center" shrinkToFit="1"/>
    </xf>
    <xf numFmtId="4" fontId="28" fillId="0" borderId="37" xfId="41" applyNumberFormat="1" applyFont="1" applyFill="1" applyBorder="1" applyAlignment="1">
      <alignment horizontal="right" vertical="center" shrinkToFit="1"/>
    </xf>
    <xf numFmtId="4" fontId="28" fillId="0" borderId="49" xfId="41" applyNumberFormat="1" applyFont="1" applyFill="1" applyBorder="1" applyAlignment="1">
      <alignment horizontal="right" vertical="center" shrinkToFit="1"/>
    </xf>
    <xf numFmtId="49" fontId="28" fillId="0" borderId="53" xfId="41" applyNumberFormat="1" applyFont="1" applyFill="1" applyBorder="1" applyAlignment="1">
      <alignment horizontal="right" vertical="center"/>
    </xf>
    <xf numFmtId="49" fontId="28" fillId="0" borderId="54" xfId="41" applyNumberFormat="1" applyFont="1" applyFill="1" applyBorder="1" applyAlignment="1">
      <alignment horizontal="right" vertical="center"/>
    </xf>
    <xf numFmtId="184" fontId="28" fillId="0" borderId="54" xfId="41" applyNumberFormat="1" applyFont="1" applyFill="1" applyBorder="1" applyAlignment="1">
      <alignment horizontal="right" vertical="center"/>
    </xf>
    <xf numFmtId="185" fontId="28" fillId="0" borderId="54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center" vertical="distributed" textRotation="255" justifyLastLine="1"/>
    </xf>
    <xf numFmtId="0" fontId="30" fillId="0" borderId="87" xfId="41" applyFont="1" applyFill="1" applyBorder="1" applyAlignment="1">
      <alignment horizontal="center" vertical="distributed" textRotation="255" justifyLastLine="1"/>
    </xf>
    <xf numFmtId="181" fontId="28" fillId="0" borderId="41" xfId="41" applyNumberFormat="1" applyFont="1" applyFill="1" applyBorder="1" applyAlignment="1">
      <alignment horizontal="right" vertical="center" shrinkToFit="1"/>
    </xf>
    <xf numFmtId="181" fontId="28" fillId="0" borderId="41" xfId="41" applyNumberFormat="1" applyFont="1" applyFill="1" applyBorder="1" applyAlignment="1">
      <alignment horizontal="right" vertical="center"/>
    </xf>
    <xf numFmtId="49" fontId="28" fillId="0" borderId="40" xfId="41" applyNumberFormat="1" applyFont="1" applyFill="1" applyBorder="1" applyAlignment="1">
      <alignment horizontal="right" vertical="center"/>
    </xf>
    <xf numFmtId="49" fontId="28" fillId="0" borderId="41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178" fontId="28" fillId="0" borderId="79" xfId="41" applyNumberFormat="1" applyFont="1" applyFill="1" applyBorder="1" applyAlignment="1">
      <alignment horizontal="right" vertical="center"/>
    </xf>
    <xf numFmtId="178" fontId="28" fillId="0" borderId="75" xfId="41" applyNumberFormat="1" applyFont="1" applyFill="1" applyBorder="1" applyAlignment="1">
      <alignment horizontal="right" vertical="center"/>
    </xf>
    <xf numFmtId="179" fontId="28" fillId="0" borderId="76" xfId="41" applyNumberFormat="1" applyFont="1" applyFill="1" applyBorder="1" applyAlignment="1">
      <alignment horizontal="right" vertical="center"/>
    </xf>
    <xf numFmtId="179" fontId="28" fillId="0" borderId="77" xfId="41" applyNumberFormat="1" applyFont="1" applyFill="1" applyBorder="1" applyAlignment="1">
      <alignment horizontal="right" vertical="center"/>
    </xf>
    <xf numFmtId="179" fontId="28" fillId="0" borderId="78" xfId="41" applyNumberFormat="1" applyFont="1" applyFill="1" applyBorder="1" applyAlignment="1">
      <alignment horizontal="right" vertical="center"/>
    </xf>
    <xf numFmtId="184" fontId="28" fillId="0" borderId="79" xfId="41" applyNumberFormat="1" applyFont="1" applyFill="1" applyBorder="1" applyAlignment="1">
      <alignment horizontal="right" vertical="center"/>
    </xf>
    <xf numFmtId="185" fontId="28" fillId="0" borderId="75" xfId="41" applyNumberFormat="1" applyFont="1" applyFill="1" applyBorder="1" applyAlignment="1">
      <alignment horizontal="right" vertical="center"/>
    </xf>
    <xf numFmtId="184" fontId="28" fillId="0" borderId="75" xfId="41" applyNumberFormat="1" applyFont="1" applyFill="1" applyBorder="1" applyAlignment="1">
      <alignment horizontal="right" vertical="center"/>
    </xf>
    <xf numFmtId="186" fontId="30" fillId="0" borderId="130" xfId="41" applyNumberFormat="1" applyFont="1" applyFill="1" applyBorder="1" applyAlignment="1">
      <alignment horizontal="distributed" vertical="center" shrinkToFit="1"/>
    </xf>
    <xf numFmtId="186" fontId="30" fillId="0" borderId="91" xfId="41" applyNumberFormat="1" applyFont="1" applyFill="1" applyBorder="1" applyAlignment="1">
      <alignment horizontal="distributed" vertical="center" shrinkToFit="1"/>
    </xf>
    <xf numFmtId="186" fontId="30" fillId="0" borderId="115" xfId="41" applyNumberFormat="1" applyFont="1" applyFill="1" applyBorder="1" applyAlignment="1">
      <alignment horizontal="distributed" vertical="center" shrinkToFit="1"/>
    </xf>
    <xf numFmtId="187" fontId="30" fillId="0" borderId="90" xfId="41" applyNumberFormat="1" applyFont="1" applyFill="1" applyBorder="1" applyAlignment="1">
      <alignment horizontal="right" vertical="center" shrinkToFit="1"/>
    </xf>
    <xf numFmtId="187" fontId="30" fillId="0" borderId="91" xfId="41" applyNumberFormat="1" applyFont="1" applyFill="1" applyBorder="1" applyAlignment="1">
      <alignment horizontal="right" vertical="center" shrinkToFit="1"/>
    </xf>
    <xf numFmtId="187" fontId="30" fillId="0" borderId="115" xfId="41" applyNumberFormat="1" applyFont="1" applyFill="1" applyBorder="1" applyAlignment="1">
      <alignment horizontal="right" vertical="center" shrinkToFit="1"/>
    </xf>
    <xf numFmtId="4" fontId="28" fillId="0" borderId="50" xfId="41" applyNumberFormat="1" applyFont="1" applyFill="1" applyBorder="1" applyAlignment="1">
      <alignment horizontal="right" vertical="center" shrinkToFit="1"/>
    </xf>
    <xf numFmtId="4" fontId="28" fillId="0" borderId="39" xfId="41" applyNumberFormat="1" applyFont="1" applyFill="1" applyBorder="1" applyAlignment="1">
      <alignment horizontal="right" vertical="center" shrinkToFit="1"/>
    </xf>
    <xf numFmtId="186" fontId="28" fillId="0" borderId="104" xfId="41" applyNumberFormat="1" applyFont="1" applyFill="1" applyBorder="1" applyAlignment="1">
      <alignment horizontal="right" vertical="center"/>
    </xf>
    <xf numFmtId="186" fontId="28" fillId="0" borderId="39" xfId="41" applyNumberFormat="1" applyFont="1" applyFill="1" applyBorder="1" applyAlignment="1">
      <alignment horizontal="right" vertical="center"/>
    </xf>
    <xf numFmtId="186" fontId="28" fillId="0" borderId="105" xfId="41" applyNumberFormat="1" applyFont="1" applyFill="1" applyBorder="1" applyAlignment="1">
      <alignment horizontal="right" vertical="center"/>
    </xf>
    <xf numFmtId="4" fontId="28" fillId="0" borderId="35" xfId="41" applyNumberFormat="1" applyFont="1" applyFill="1" applyBorder="1" applyAlignment="1">
      <alignment horizontal="right" vertical="center" shrinkToFit="1"/>
    </xf>
    <xf numFmtId="4" fontId="28" fillId="0" borderId="48" xfId="41" applyNumberFormat="1" applyFont="1" applyFill="1" applyBorder="1" applyAlignment="1">
      <alignment horizontal="right" vertical="center" shrinkToFit="1"/>
    </xf>
    <xf numFmtId="184" fontId="28" fillId="0" borderId="65" xfId="41" applyNumberFormat="1" applyFont="1" applyFill="1" applyBorder="1" applyAlignment="1">
      <alignment horizontal="right" vertical="center"/>
    </xf>
    <xf numFmtId="185" fontId="28" fillId="0" borderId="66" xfId="41" applyNumberFormat="1" applyFont="1" applyFill="1" applyBorder="1" applyAlignment="1">
      <alignment horizontal="right" vertical="center"/>
    </xf>
    <xf numFmtId="184" fontId="28" fillId="0" borderId="66" xfId="41" applyNumberFormat="1" applyFont="1" applyFill="1" applyBorder="1" applyAlignment="1">
      <alignment horizontal="right" vertical="center"/>
    </xf>
    <xf numFmtId="0" fontId="30" fillId="0" borderId="99" xfId="41" applyFont="1" applyFill="1" applyBorder="1" applyAlignment="1">
      <alignment horizontal="center" vertical="center" justifyLastLine="1"/>
    </xf>
    <xf numFmtId="0" fontId="30" fillId="0" borderId="100" xfId="41" applyFont="1" applyFill="1" applyBorder="1" applyAlignment="1">
      <alignment horizontal="center" vertical="center" justifyLastLine="1"/>
    </xf>
    <xf numFmtId="0" fontId="30" fillId="0" borderId="92" xfId="41" applyFont="1" applyFill="1" applyBorder="1" applyAlignment="1">
      <alignment horizontal="center" vertical="center" justifyLastLine="1"/>
    </xf>
    <xf numFmtId="0" fontId="30" fillId="0" borderId="93" xfId="41" applyFont="1" applyFill="1" applyBorder="1" applyAlignment="1">
      <alignment horizontal="center" vertical="center" justifyLastLine="1"/>
    </xf>
    <xf numFmtId="180" fontId="28" fillId="0" borderId="67" xfId="41" applyNumberFormat="1" applyFont="1" applyFill="1" applyBorder="1" applyAlignment="1">
      <alignment horizontal="right" vertical="center"/>
    </xf>
    <xf numFmtId="180" fontId="28" fillId="0" borderId="68" xfId="41" applyNumberFormat="1" applyFont="1" applyFill="1" applyBorder="1" applyAlignment="1">
      <alignment horizontal="right" vertical="center"/>
    </xf>
    <xf numFmtId="180" fontId="28" fillId="0" borderId="101" xfId="41" applyNumberFormat="1" applyFont="1" applyFill="1" applyBorder="1" applyAlignment="1">
      <alignment horizontal="right" vertical="center"/>
    </xf>
    <xf numFmtId="186" fontId="28" fillId="0" borderId="102" xfId="41" applyNumberFormat="1" applyFont="1" applyFill="1" applyBorder="1" applyAlignment="1">
      <alignment horizontal="right" vertical="center"/>
    </xf>
    <xf numFmtId="186" fontId="28" fillId="0" borderId="66" xfId="41" applyNumberFormat="1" applyFont="1" applyFill="1" applyBorder="1" applyAlignment="1">
      <alignment horizontal="right" vertical="center"/>
    </xf>
    <xf numFmtId="186" fontId="28" fillId="0" borderId="103" xfId="41" applyNumberFormat="1" applyFont="1" applyFill="1" applyBorder="1" applyAlignment="1">
      <alignment horizontal="right" vertical="center"/>
    </xf>
    <xf numFmtId="186" fontId="28" fillId="0" borderId="65" xfId="41" applyNumberFormat="1" applyFont="1" applyFill="1" applyBorder="1" applyAlignment="1">
      <alignment horizontal="right" vertical="center"/>
    </xf>
    <xf numFmtId="4" fontId="28" fillId="0" borderId="52" xfId="41" applyNumberFormat="1" applyFont="1" applyFill="1" applyBorder="1" applyAlignment="1">
      <alignment horizontal="right" vertical="center" shrinkToFit="1"/>
    </xf>
    <xf numFmtId="186" fontId="28" fillId="0" borderId="106" xfId="41" applyNumberFormat="1" applyFont="1" applyFill="1" applyBorder="1" applyAlignment="1">
      <alignment horizontal="right" vertical="center"/>
    </xf>
    <xf numFmtId="186" fontId="28" fillId="0" borderId="52" xfId="41" applyNumberFormat="1" applyFont="1" applyFill="1" applyBorder="1" applyAlignment="1">
      <alignment horizontal="right" vertical="center"/>
    </xf>
    <xf numFmtId="186" fontId="28" fillId="0" borderId="86" xfId="41" applyNumberFormat="1" applyFont="1" applyFill="1" applyBorder="1" applyAlignment="1">
      <alignment horizontal="right" vertical="center"/>
    </xf>
    <xf numFmtId="49" fontId="28" fillId="0" borderId="65" xfId="41" applyNumberFormat="1" applyFont="1" applyFill="1" applyBorder="1" applyAlignment="1">
      <alignment horizontal="right" vertical="center"/>
    </xf>
    <xf numFmtId="49" fontId="28" fillId="0" borderId="66" xfId="41" applyNumberFormat="1" applyFont="1" applyFill="1" applyBorder="1" applyAlignment="1">
      <alignment horizontal="right" vertical="center"/>
    </xf>
    <xf numFmtId="184" fontId="28" fillId="0" borderId="65" xfId="41" applyNumberFormat="1" applyFont="1" applyFill="1" applyBorder="1" applyAlignment="1">
      <alignment horizontal="right" vertical="center" shrinkToFit="1"/>
    </xf>
    <xf numFmtId="185" fontId="28" fillId="0" borderId="66" xfId="41" applyNumberFormat="1" applyFont="1" applyFill="1" applyBorder="1" applyAlignment="1">
      <alignment horizontal="right" vertical="center" shrinkToFit="1"/>
    </xf>
    <xf numFmtId="4" fontId="28" fillId="0" borderId="90" xfId="41" applyNumberFormat="1" applyFont="1" applyFill="1" applyBorder="1" applyAlignment="1">
      <alignment horizontal="right" vertical="center" shrinkToFit="1"/>
    </xf>
    <xf numFmtId="4" fontId="28" fillId="0" borderId="91" xfId="41" applyNumberFormat="1" applyFont="1" applyFill="1" applyBorder="1" applyAlignment="1">
      <alignment horizontal="right" vertical="center" shrinkToFit="1"/>
    </xf>
    <xf numFmtId="4" fontId="28" fillId="0" borderId="73" xfId="41" applyNumberFormat="1" applyFont="1" applyFill="1" applyBorder="1" applyAlignment="1">
      <alignment horizontal="right" vertical="center" shrinkToFit="1"/>
    </xf>
    <xf numFmtId="4" fontId="28" fillId="0" borderId="70" xfId="41" applyNumberFormat="1" applyFont="1" applyFill="1" applyBorder="1" applyAlignment="1">
      <alignment horizontal="right" vertical="center" shrinkToFit="1"/>
    </xf>
    <xf numFmtId="186" fontId="28" fillId="0" borderId="107" xfId="41" applyNumberFormat="1" applyFont="1" applyFill="1" applyBorder="1" applyAlignment="1">
      <alignment horizontal="right" vertical="center"/>
    </xf>
    <xf numFmtId="186" fontId="28" fillId="0" borderId="70" xfId="41" applyNumberFormat="1" applyFont="1" applyFill="1" applyBorder="1" applyAlignment="1">
      <alignment horizontal="right" vertical="center"/>
    </xf>
    <xf numFmtId="186" fontId="28" fillId="0" borderId="84" xfId="41" applyNumberFormat="1" applyFont="1" applyFill="1" applyBorder="1" applyAlignment="1">
      <alignment horizontal="right" vertical="center"/>
    </xf>
    <xf numFmtId="4" fontId="28" fillId="0" borderId="61" xfId="41" applyNumberFormat="1" applyFont="1" applyFill="1" applyBorder="1" applyAlignment="1">
      <alignment horizontal="right" vertical="center" shrinkToFit="1"/>
    </xf>
    <xf numFmtId="181" fontId="28" fillId="0" borderId="110" xfId="41" applyNumberFormat="1" applyFont="1" applyFill="1" applyBorder="1" applyAlignment="1">
      <alignment horizontal="right" vertical="center"/>
    </xf>
    <xf numFmtId="178" fontId="30" fillId="0" borderId="79" xfId="41" applyNumberFormat="1" applyFont="1" applyFill="1" applyBorder="1" applyAlignment="1">
      <alignment horizontal="right" vertical="center" shrinkToFit="1"/>
    </xf>
    <xf numFmtId="181" fontId="30" fillId="0" borderId="75" xfId="41" applyNumberFormat="1" applyFont="1" applyFill="1" applyBorder="1" applyAlignment="1">
      <alignment horizontal="right" vertical="center" shrinkToFit="1"/>
    </xf>
    <xf numFmtId="178" fontId="30" fillId="0" borderId="75" xfId="41" applyNumberFormat="1" applyFont="1" applyFill="1" applyBorder="1" applyAlignment="1">
      <alignment horizontal="right" vertical="center" shrinkToFit="1"/>
    </xf>
    <xf numFmtId="180" fontId="30" fillId="0" borderId="76" xfId="41" applyNumberFormat="1" applyFont="1" applyFill="1" applyBorder="1" applyAlignment="1">
      <alignment horizontal="right" vertical="center" shrinkToFit="1"/>
    </xf>
    <xf numFmtId="180" fontId="30" fillId="0" borderId="77" xfId="41" applyNumberFormat="1" applyFont="1" applyFill="1" applyBorder="1" applyAlignment="1">
      <alignment horizontal="right" vertical="center" shrinkToFit="1"/>
    </xf>
    <xf numFmtId="180" fontId="30" fillId="0" borderId="78" xfId="41" applyNumberFormat="1" applyFont="1" applyFill="1" applyBorder="1" applyAlignment="1">
      <alignment horizontal="right" vertical="center" shrinkToFit="1"/>
    </xf>
    <xf numFmtId="3" fontId="30" fillId="0" borderId="70" xfId="41" applyNumberFormat="1" applyFont="1" applyFill="1" applyBorder="1" applyAlignment="1">
      <alignment horizontal="right" vertical="center" shrinkToFit="1"/>
    </xf>
    <xf numFmtId="184" fontId="30" fillId="0" borderId="79" xfId="41" applyNumberFormat="1" applyFont="1" applyFill="1" applyBorder="1" applyAlignment="1">
      <alignment horizontal="right" vertical="center" shrinkToFit="1"/>
    </xf>
    <xf numFmtId="185" fontId="30" fillId="0" borderId="75" xfId="41" applyNumberFormat="1" applyFont="1" applyFill="1" applyBorder="1" applyAlignment="1">
      <alignment horizontal="right" vertical="center" shrinkToFit="1"/>
    </xf>
    <xf numFmtId="180" fontId="28" fillId="0" borderId="108" xfId="41" applyNumberFormat="1" applyFont="1" applyFill="1" applyBorder="1" applyAlignment="1">
      <alignment horizontal="right" vertical="center"/>
    </xf>
    <xf numFmtId="186" fontId="28" fillId="0" borderId="109" xfId="41" applyNumberFormat="1" applyFont="1" applyFill="1" applyBorder="1" applyAlignment="1">
      <alignment horizontal="right" vertical="center"/>
    </xf>
    <xf numFmtId="186" fontId="28" fillId="0" borderId="75" xfId="41" applyNumberFormat="1" applyFont="1" applyFill="1" applyBorder="1" applyAlignment="1">
      <alignment horizontal="right" vertical="center"/>
    </xf>
    <xf numFmtId="186" fontId="28" fillId="0" borderId="110" xfId="41" applyNumberFormat="1" applyFont="1" applyFill="1" applyBorder="1" applyAlignment="1">
      <alignment horizontal="right" vertical="center"/>
    </xf>
    <xf numFmtId="184" fontId="30" fillId="0" borderId="75" xfId="41" applyNumberFormat="1" applyFont="1" applyFill="1" applyBorder="1" applyAlignment="1">
      <alignment horizontal="right" vertical="center" shrinkToFit="1"/>
    </xf>
    <xf numFmtId="186" fontId="30" fillId="0" borderId="109" xfId="41" applyNumberFormat="1" applyFont="1" applyFill="1" applyBorder="1" applyAlignment="1">
      <alignment horizontal="right" vertical="center" shrinkToFit="1"/>
    </xf>
    <xf numFmtId="186" fontId="30" fillId="0" borderId="75" xfId="41" applyNumberFormat="1" applyFont="1" applyFill="1" applyBorder="1" applyAlignment="1">
      <alignment horizontal="right" vertical="center" shrinkToFit="1"/>
    </xf>
    <xf numFmtId="186" fontId="30" fillId="0" borderId="110" xfId="41" applyNumberFormat="1" applyFont="1" applyFill="1" applyBorder="1" applyAlignment="1">
      <alignment horizontal="right" vertical="center" shrinkToFit="1"/>
    </xf>
    <xf numFmtId="49" fontId="30" fillId="0" borderId="18" xfId="41" applyNumberFormat="1" applyFont="1" applyFill="1" applyBorder="1" applyAlignment="1">
      <alignment horizontal="center" vertical="center" justifyLastLine="1"/>
    </xf>
    <xf numFmtId="49" fontId="30" fillId="0" borderId="16" xfId="41" applyNumberFormat="1" applyFont="1" applyFill="1" applyBorder="1" applyAlignment="1">
      <alignment horizontal="center" vertical="center" justifyLastLine="1"/>
    </xf>
    <xf numFmtId="49" fontId="30" fillId="0" borderId="17" xfId="41" applyNumberFormat="1" applyFont="1" applyFill="1" applyBorder="1" applyAlignment="1">
      <alignment horizontal="center" vertical="center" justifyLastLine="1"/>
    </xf>
    <xf numFmtId="186" fontId="30" fillId="0" borderId="79" xfId="41" applyNumberFormat="1" applyFont="1" applyFill="1" applyBorder="1" applyAlignment="1">
      <alignment horizontal="right" vertical="center" shrinkToFit="1"/>
    </xf>
    <xf numFmtId="186" fontId="30" fillId="0" borderId="128" xfId="41" applyNumberFormat="1" applyFont="1" applyFill="1" applyBorder="1" applyAlignment="1">
      <alignment horizontal="distributed" vertical="center" shrinkToFit="1"/>
    </xf>
    <xf numFmtId="186" fontId="30" fillId="0" borderId="64" xfId="41" applyNumberFormat="1" applyFont="1" applyFill="1" applyBorder="1" applyAlignment="1">
      <alignment horizontal="distributed" vertical="center" shrinkToFit="1"/>
    </xf>
    <xf numFmtId="186" fontId="30" fillId="0" borderId="129" xfId="41" applyNumberFormat="1" applyFont="1" applyFill="1" applyBorder="1" applyAlignment="1">
      <alignment horizontal="distributed" vertical="center" shrinkToFit="1"/>
    </xf>
    <xf numFmtId="187" fontId="30" fillId="0" borderId="63" xfId="41" applyNumberFormat="1" applyFont="1" applyFill="1" applyBorder="1" applyAlignment="1">
      <alignment horizontal="right" vertical="center" shrinkToFit="1"/>
    </xf>
    <xf numFmtId="187" fontId="30" fillId="0" borderId="64" xfId="41" applyNumberFormat="1" applyFont="1" applyFill="1" applyBorder="1" applyAlignment="1">
      <alignment horizontal="right" vertical="center" shrinkToFit="1"/>
    </xf>
    <xf numFmtId="187" fontId="30" fillId="0" borderId="129" xfId="41" applyNumberFormat="1" applyFont="1" applyFill="1" applyBorder="1" applyAlignment="1">
      <alignment horizontal="right" vertical="center" shrinkToFit="1"/>
    </xf>
    <xf numFmtId="186" fontId="30" fillId="0" borderId="104" xfId="41" applyNumberFormat="1" applyFont="1" applyFill="1" applyBorder="1" applyAlignment="1">
      <alignment horizontal="distributed" vertical="center" shrinkToFit="1"/>
    </xf>
    <xf numFmtId="186" fontId="30" fillId="0" borderId="39" xfId="41" applyNumberFormat="1" applyFont="1" applyFill="1" applyBorder="1" applyAlignment="1">
      <alignment horizontal="distributed" vertical="center" shrinkToFit="1"/>
    </xf>
    <xf numFmtId="186" fontId="30" fillId="0" borderId="105" xfId="41" applyNumberFormat="1" applyFont="1" applyFill="1" applyBorder="1" applyAlignment="1">
      <alignment horizontal="distributed" vertical="center" shrinkToFit="1"/>
    </xf>
    <xf numFmtId="187" fontId="30" fillId="0" borderId="50" xfId="41" applyNumberFormat="1" applyFont="1" applyFill="1" applyBorder="1" applyAlignment="1">
      <alignment horizontal="right" vertical="center" shrinkToFit="1"/>
    </xf>
    <xf numFmtId="187" fontId="30" fillId="0" borderId="39" xfId="41" applyNumberFormat="1" applyFont="1" applyFill="1" applyBorder="1" applyAlignment="1">
      <alignment horizontal="right" vertical="center" shrinkToFit="1"/>
    </xf>
    <xf numFmtId="187" fontId="30" fillId="0" borderId="105" xfId="41" applyNumberFormat="1" applyFont="1" applyFill="1" applyBorder="1" applyAlignment="1">
      <alignment horizontal="right" vertical="center" shrinkToFit="1"/>
    </xf>
    <xf numFmtId="187" fontId="28" fillId="0" borderId="58" xfId="41" applyNumberFormat="1" applyFont="1" applyFill="1" applyBorder="1" applyAlignment="1">
      <alignment horizontal="right" vertical="center" shrinkToFit="1"/>
    </xf>
    <xf numFmtId="187" fontId="28" fillId="0" borderId="59" xfId="41" applyNumberFormat="1" applyFont="1" applyFill="1" applyBorder="1" applyAlignment="1">
      <alignment horizontal="right" vertical="center" shrinkToFit="1"/>
    </xf>
    <xf numFmtId="187" fontId="28" fillId="0" borderId="96" xfId="41" applyNumberFormat="1" applyFont="1" applyFill="1" applyBorder="1" applyAlignment="1">
      <alignment horizontal="right" vertical="center" shrinkToFit="1"/>
    </xf>
    <xf numFmtId="3" fontId="28" fillId="0" borderId="85" xfId="41" applyNumberFormat="1" applyFont="1" applyFill="1" applyBorder="1" applyAlignment="1">
      <alignment horizontal="right" vertical="center" shrinkToFit="1"/>
    </xf>
    <xf numFmtId="3" fontId="28" fillId="0" borderId="37" xfId="41" applyNumberFormat="1" applyFont="1" applyFill="1" applyBorder="1" applyAlignment="1">
      <alignment horizontal="right" vertical="center" shrinkToFit="1"/>
    </xf>
    <xf numFmtId="3" fontId="28" fillId="0" borderId="49" xfId="41" applyNumberFormat="1" applyFont="1" applyFill="1" applyBorder="1" applyAlignment="1">
      <alignment horizontal="right" vertical="center" shrinkToFit="1"/>
    </xf>
    <xf numFmtId="189" fontId="28" fillId="0" borderId="24" xfId="41" applyNumberFormat="1" applyFont="1" applyFill="1" applyBorder="1" applyAlignment="1">
      <alignment horizontal="right" vertical="center"/>
    </xf>
    <xf numFmtId="189" fontId="28" fillId="0" borderId="22" xfId="41" applyNumberFormat="1" applyFont="1" applyFill="1" applyBorder="1" applyAlignment="1">
      <alignment horizontal="right" vertical="center"/>
    </xf>
    <xf numFmtId="189" fontId="28" fillId="0" borderId="25" xfId="41" applyNumberFormat="1" applyFont="1" applyFill="1" applyBorder="1" applyAlignment="1">
      <alignment horizontal="right" vertical="center"/>
    </xf>
    <xf numFmtId="3" fontId="28" fillId="0" borderId="87" xfId="41" applyNumberFormat="1" applyFont="1" applyFill="1" applyBorder="1" applyAlignment="1">
      <alignment horizontal="right" vertical="center" shrinkToFit="1"/>
    </xf>
    <xf numFmtId="3" fontId="28" fillId="0" borderId="92" xfId="41" applyNumberFormat="1" applyFont="1" applyFill="1" applyBorder="1" applyAlignment="1">
      <alignment horizontal="right" vertical="center" shrinkToFit="1"/>
    </xf>
    <xf numFmtId="3" fontId="28" fillId="0" borderId="118" xfId="41" applyNumberFormat="1" applyFont="1" applyFill="1" applyBorder="1" applyAlignment="1">
      <alignment horizontal="right" vertical="center" shrinkToFit="1"/>
    </xf>
    <xf numFmtId="3" fontId="28" fillId="0" borderId="27" xfId="41" applyNumberFormat="1" applyFont="1" applyFill="1" applyBorder="1" applyAlignment="1">
      <alignment horizontal="right" vertical="center" shrinkToFit="1"/>
    </xf>
    <xf numFmtId="3" fontId="28" fillId="0" borderId="0" xfId="41" applyNumberFormat="1" applyFont="1" applyFill="1" applyBorder="1" applyAlignment="1">
      <alignment horizontal="right" vertical="center" shrinkToFit="1"/>
    </xf>
    <xf numFmtId="3" fontId="28" fillId="0" borderId="97" xfId="41" applyNumberFormat="1" applyFont="1" applyFill="1" applyBorder="1" applyAlignment="1">
      <alignment horizontal="right" vertical="center" shrinkToFit="1"/>
    </xf>
    <xf numFmtId="187" fontId="28" fillId="0" borderId="38" xfId="41" applyNumberFormat="1" applyFont="1" applyFill="1" applyBorder="1" applyAlignment="1">
      <alignment horizontal="right" vertical="center" shrinkToFit="1"/>
    </xf>
    <xf numFmtId="187" fontId="28" fillId="0" borderId="25" xfId="41" applyNumberFormat="1" applyFont="1" applyFill="1" applyBorder="1" applyAlignment="1">
      <alignment horizontal="right" vertical="center" shrinkToFit="1"/>
    </xf>
    <xf numFmtId="187" fontId="28" fillId="0" borderId="10" xfId="41" applyNumberFormat="1" applyFont="1" applyFill="1" applyBorder="1" applyAlignment="1">
      <alignment horizontal="right" vertical="center" shrinkToFit="1"/>
    </xf>
    <xf numFmtId="187" fontId="28" fillId="0" borderId="12" xfId="41" applyNumberFormat="1" applyFont="1" applyFill="1" applyBorder="1" applyAlignment="1">
      <alignment horizontal="right" vertical="center" shrinkToFit="1"/>
    </xf>
    <xf numFmtId="3" fontId="28" fillId="0" borderId="62" xfId="41" applyNumberFormat="1" applyFont="1" applyFill="1" applyBorder="1" applyAlignment="1">
      <alignment horizontal="right" vertical="center" shrinkToFit="1"/>
    </xf>
    <xf numFmtId="3" fontId="28" fillId="0" borderId="16" xfId="41" applyNumberFormat="1" applyFont="1" applyFill="1" applyBorder="1" applyAlignment="1">
      <alignment horizontal="right" vertical="center" shrinkToFit="1"/>
    </xf>
    <xf numFmtId="3" fontId="28" fillId="0" borderId="95" xfId="41" applyNumberFormat="1" applyFont="1" applyFill="1" applyBorder="1" applyAlignment="1">
      <alignment horizontal="right" vertical="center" shrinkToFit="1"/>
    </xf>
    <xf numFmtId="49" fontId="30" fillId="0" borderId="10" xfId="41" applyNumberFormat="1" applyFont="1" applyFill="1" applyBorder="1" applyAlignment="1">
      <alignment horizontal="distributed" vertical="center"/>
    </xf>
    <xf numFmtId="49" fontId="30" fillId="0" borderId="11" xfId="41" applyNumberFormat="1" applyFont="1" applyFill="1" applyBorder="1" applyAlignment="1">
      <alignment horizontal="distributed" vertical="center"/>
    </xf>
    <xf numFmtId="49" fontId="30" fillId="0" borderId="12" xfId="41" applyNumberFormat="1" applyFont="1" applyFill="1" applyBorder="1" applyAlignment="1">
      <alignment horizontal="distributed" vertical="center"/>
    </xf>
    <xf numFmtId="0" fontId="30" fillId="0" borderId="89" xfId="41" applyFont="1" applyFill="1" applyBorder="1" applyAlignment="1">
      <alignment horizontal="distributed" vertical="distributed"/>
    </xf>
    <xf numFmtId="0" fontId="30" fillId="0" borderId="46" xfId="41" applyFont="1" applyFill="1" applyBorder="1" applyAlignment="1">
      <alignment horizontal="distributed" vertical="distributed"/>
    </xf>
    <xf numFmtId="0" fontId="30" fillId="0" borderId="47" xfId="41" applyFont="1" applyFill="1" applyBorder="1" applyAlignment="1">
      <alignment horizontal="distributed" vertical="distributed"/>
    </xf>
    <xf numFmtId="3" fontId="28" fillId="0" borderId="24" xfId="41" applyNumberFormat="1" applyFont="1" applyFill="1" applyBorder="1" applyAlignment="1">
      <alignment horizontal="right" vertical="center" shrinkToFit="1"/>
    </xf>
    <xf numFmtId="3" fontId="28" fillId="0" borderId="22" xfId="41" applyNumberFormat="1" applyFont="1" applyFill="1" applyBorder="1" applyAlignment="1">
      <alignment horizontal="right" vertical="center" shrinkToFit="1"/>
    </xf>
    <xf numFmtId="3" fontId="28" fillId="0" borderId="23" xfId="41" applyNumberFormat="1" applyFont="1" applyFill="1" applyBorder="1" applyAlignment="1">
      <alignment horizontal="right" vertical="center" shrinkToFit="1"/>
    </xf>
    <xf numFmtId="0" fontId="30" fillId="0" borderId="85" xfId="41" applyFont="1" applyFill="1" applyBorder="1" applyAlignment="1">
      <alignment horizontal="distributed" vertical="center" shrinkToFit="1"/>
    </xf>
    <xf numFmtId="0" fontId="30" fillId="0" borderId="122" xfId="41" applyFont="1" applyFill="1" applyBorder="1" applyAlignment="1">
      <alignment horizontal="center" vertical="center"/>
    </xf>
    <xf numFmtId="0" fontId="30" fillId="0" borderId="112" xfId="41" applyFont="1" applyFill="1" applyBorder="1" applyAlignment="1">
      <alignment horizontal="center" vertical="center"/>
    </xf>
    <xf numFmtId="0" fontId="30" fillId="0" borderId="113" xfId="41" applyFont="1" applyFill="1" applyBorder="1" applyAlignment="1">
      <alignment horizontal="center" vertical="center"/>
    </xf>
    <xf numFmtId="0" fontId="30" fillId="0" borderId="114" xfId="41" applyFont="1" applyFill="1" applyBorder="1" applyAlignment="1">
      <alignment horizontal="center" vertical="center"/>
    </xf>
    <xf numFmtId="0" fontId="30" fillId="0" borderId="111" xfId="41" applyFont="1" applyFill="1" applyBorder="1" applyAlignment="1">
      <alignment horizontal="center" vertical="center" textRotation="255"/>
    </xf>
    <xf numFmtId="177" fontId="30" fillId="0" borderId="45" xfId="41" quotePrefix="1" applyNumberFormat="1" applyFont="1" applyFill="1" applyBorder="1" applyAlignment="1">
      <alignment horizontal="center" vertical="center" shrinkToFit="1"/>
    </xf>
    <xf numFmtId="177" fontId="30" fillId="0" borderId="46" xfId="41" quotePrefix="1" applyNumberFormat="1" applyFont="1" applyFill="1" applyBorder="1" applyAlignment="1">
      <alignment horizontal="center" vertical="center" shrinkToFit="1"/>
    </xf>
    <xf numFmtId="177" fontId="30" fillId="0" borderId="127" xfId="41" quotePrefix="1" applyNumberFormat="1" applyFont="1" applyFill="1" applyBorder="1" applyAlignment="1">
      <alignment horizontal="center" vertical="center" shrinkToFit="1"/>
    </xf>
    <xf numFmtId="177" fontId="30" fillId="0" borderId="119" xfId="41" quotePrefix="1" applyNumberFormat="1" applyFont="1" applyFill="1" applyBorder="1" applyAlignment="1">
      <alignment horizontal="center" vertical="center" shrinkToFit="1"/>
    </xf>
    <xf numFmtId="177" fontId="30" fillId="0" borderId="92" xfId="41" quotePrefix="1" applyNumberFormat="1" applyFont="1" applyFill="1" applyBorder="1" applyAlignment="1">
      <alignment horizontal="center" vertical="center" shrinkToFit="1"/>
    </xf>
    <xf numFmtId="177" fontId="30" fillId="0" borderId="118" xfId="41" quotePrefix="1" applyNumberFormat="1" applyFont="1" applyFill="1" applyBorder="1" applyAlignment="1">
      <alignment horizontal="center" vertical="center" shrinkToFit="1"/>
    </xf>
    <xf numFmtId="177" fontId="30" fillId="0" borderId="45" xfId="41" applyNumberFormat="1" applyFont="1" applyFill="1" applyBorder="1" applyAlignment="1">
      <alignment horizontal="center" vertical="center" shrinkToFit="1"/>
    </xf>
    <xf numFmtId="177" fontId="30" fillId="0" borderId="46" xfId="41" applyNumberFormat="1" applyFont="1" applyFill="1" applyBorder="1" applyAlignment="1">
      <alignment horizontal="center" vertical="center" shrinkToFit="1"/>
    </xf>
    <xf numFmtId="177" fontId="30" fillId="0" borderId="127" xfId="41" applyNumberFormat="1" applyFont="1" applyFill="1" applyBorder="1" applyAlignment="1">
      <alignment horizontal="center" vertical="center" shrinkToFit="1"/>
    </xf>
    <xf numFmtId="177" fontId="30" fillId="0" borderId="119" xfId="41" applyNumberFormat="1" applyFont="1" applyFill="1" applyBorder="1" applyAlignment="1">
      <alignment horizontal="center" vertical="center" shrinkToFit="1"/>
    </xf>
    <xf numFmtId="177" fontId="30" fillId="0" borderId="92" xfId="41" applyNumberFormat="1" applyFont="1" applyFill="1" applyBorder="1" applyAlignment="1">
      <alignment horizontal="center" vertical="center" shrinkToFit="1"/>
    </xf>
    <xf numFmtId="177" fontId="30" fillId="0" borderId="118" xfId="41" applyNumberFormat="1" applyFont="1" applyFill="1" applyBorder="1" applyAlignment="1">
      <alignment horizontal="center" vertical="center" shrinkToFit="1"/>
    </xf>
    <xf numFmtId="0" fontId="30" fillId="0" borderId="45" xfId="41" applyFont="1" applyFill="1" applyBorder="1" applyAlignment="1">
      <alignment horizontal="center" vertical="center" shrinkToFit="1"/>
    </xf>
    <xf numFmtId="0" fontId="30" fillId="0" borderId="46" xfId="41" applyFont="1" applyFill="1" applyBorder="1" applyAlignment="1">
      <alignment horizontal="center" vertical="center" shrinkToFit="1"/>
    </xf>
    <xf numFmtId="0" fontId="30" fillId="0" borderId="47" xfId="41" applyFont="1" applyFill="1" applyBorder="1" applyAlignment="1">
      <alignment horizontal="center" vertical="center" shrinkToFit="1"/>
    </xf>
    <xf numFmtId="0" fontId="30" fillId="0" borderId="119" xfId="41" applyFont="1" applyFill="1" applyBorder="1" applyAlignment="1">
      <alignment horizontal="center" vertical="center" shrinkToFit="1"/>
    </xf>
    <xf numFmtId="0" fontId="30" fillId="0" borderId="92" xfId="41" applyFont="1" applyFill="1" applyBorder="1" applyAlignment="1">
      <alignment horizontal="center" vertical="center" shrinkToFit="1"/>
    </xf>
    <xf numFmtId="0" fontId="30" fillId="0" borderId="93" xfId="41" applyFont="1" applyFill="1" applyBorder="1" applyAlignment="1">
      <alignment horizontal="center" vertical="center" shrinkToFit="1"/>
    </xf>
    <xf numFmtId="0" fontId="30" fillId="0" borderId="94" xfId="41" applyFont="1" applyFill="1" applyBorder="1" applyAlignment="1">
      <alignment horizontal="distributed" vertical="center"/>
    </xf>
    <xf numFmtId="187" fontId="28" fillId="0" borderId="29" xfId="41" applyNumberFormat="1" applyFont="1" applyFill="1" applyBorder="1" applyAlignment="1">
      <alignment horizontal="right" vertical="center" shrinkToFit="1"/>
    </xf>
    <xf numFmtId="177" fontId="30" fillId="0" borderId="89" xfId="41" quotePrefix="1" applyNumberFormat="1" applyFont="1" applyFill="1" applyBorder="1" applyAlignment="1">
      <alignment horizontal="center" vertical="center" shrinkToFit="1"/>
    </xf>
    <xf numFmtId="177" fontId="30" fillId="0" borderId="87" xfId="41" quotePrefix="1" applyNumberFormat="1" applyFont="1" applyFill="1" applyBorder="1" applyAlignment="1">
      <alignment horizontal="center" vertical="center" shrinkToFit="1"/>
    </xf>
    <xf numFmtId="182" fontId="28" fillId="0" borderId="79" xfId="41" applyNumberFormat="1" applyFont="1" applyFill="1" applyBorder="1" applyAlignment="1">
      <alignment horizontal="right" vertical="center"/>
    </xf>
    <xf numFmtId="183" fontId="28" fillId="0" borderId="75" xfId="41" applyNumberFormat="1" applyFont="1" applyFill="1" applyBorder="1" applyAlignment="1">
      <alignment horizontal="right" vertical="center"/>
    </xf>
    <xf numFmtId="182" fontId="28" fillId="0" borderId="75" xfId="41" applyNumberFormat="1" applyFont="1" applyFill="1" applyBorder="1" applyAlignment="1">
      <alignment horizontal="right" vertical="center"/>
    </xf>
    <xf numFmtId="182" fontId="28" fillId="0" borderId="53" xfId="41" applyNumberFormat="1" applyFont="1" applyFill="1" applyBorder="1" applyAlignment="1">
      <alignment horizontal="right" vertical="center"/>
    </xf>
    <xf numFmtId="183" fontId="28" fillId="0" borderId="54" xfId="41" applyNumberFormat="1" applyFont="1" applyFill="1" applyBorder="1" applyAlignment="1">
      <alignment horizontal="right" vertical="center"/>
    </xf>
    <xf numFmtId="182" fontId="28" fillId="0" borderId="54" xfId="41" applyNumberFormat="1" applyFont="1" applyFill="1" applyBorder="1" applyAlignment="1">
      <alignment horizontal="right" vertical="center"/>
    </xf>
    <xf numFmtId="182" fontId="28" fillId="0" borderId="116" xfId="41" applyNumberFormat="1" applyFont="1" applyFill="1" applyBorder="1" applyAlignment="1">
      <alignment horizontal="right" vertical="center"/>
    </xf>
    <xf numFmtId="183" fontId="28" fillId="0" borderId="116" xfId="41" applyNumberFormat="1" applyFont="1" applyFill="1" applyBorder="1" applyAlignment="1">
      <alignment horizontal="right" vertical="center"/>
    </xf>
    <xf numFmtId="180" fontId="28" fillId="0" borderId="116" xfId="41" applyNumberFormat="1" applyFont="1" applyFill="1" applyBorder="1" applyAlignment="1">
      <alignment horizontal="right" vertical="center"/>
    </xf>
    <xf numFmtId="180" fontId="28" fillId="0" borderId="117" xfId="41" applyNumberFormat="1" applyFont="1" applyFill="1" applyBorder="1" applyAlignment="1">
      <alignment horizontal="right" vertical="center"/>
    </xf>
    <xf numFmtId="180" fontId="28" fillId="0" borderId="75" xfId="41" applyNumberFormat="1" applyFont="1" applyFill="1" applyBorder="1" applyAlignment="1">
      <alignment horizontal="right" vertical="center"/>
    </xf>
    <xf numFmtId="180" fontId="28" fillId="0" borderId="110" xfId="41" applyNumberFormat="1" applyFont="1" applyFill="1" applyBorder="1" applyAlignment="1">
      <alignment horizontal="right" vertical="center"/>
    </xf>
    <xf numFmtId="182" fontId="28" fillId="0" borderId="74" xfId="41" applyNumberFormat="1" applyFont="1" applyFill="1" applyBorder="1" applyAlignment="1">
      <alignment horizontal="right" vertical="center"/>
    </xf>
    <xf numFmtId="182" fontId="28" fillId="0" borderId="123" xfId="41" applyNumberFormat="1" applyFont="1" applyFill="1" applyBorder="1" applyAlignment="1">
      <alignment horizontal="right" vertical="center"/>
    </xf>
    <xf numFmtId="180" fontId="28" fillId="0" borderId="124" xfId="41" applyNumberFormat="1" applyFont="1" applyFill="1" applyBorder="1" applyAlignment="1">
      <alignment horizontal="right" vertical="center"/>
    </xf>
    <xf numFmtId="180" fontId="28" fillId="0" borderId="125" xfId="41" applyNumberFormat="1" applyFont="1" applyFill="1" applyBorder="1" applyAlignment="1">
      <alignment horizontal="right" vertical="center"/>
    </xf>
    <xf numFmtId="180" fontId="28" fillId="0" borderId="126" xfId="41" applyNumberFormat="1" applyFont="1" applyFill="1" applyBorder="1" applyAlignment="1">
      <alignment horizontal="right" vertical="center"/>
    </xf>
    <xf numFmtId="3" fontId="30" fillId="0" borderId="94" xfId="41" applyNumberFormat="1" applyFont="1" applyFill="1" applyBorder="1" applyAlignment="1">
      <alignment horizontal="right" vertical="center" shrinkToFit="1"/>
    </xf>
    <xf numFmtId="3" fontId="30" fillId="0" borderId="32" xfId="41" applyNumberFormat="1" applyFont="1" applyFill="1" applyBorder="1" applyAlignment="1">
      <alignment horizontal="right" vertical="center" shrinkToFit="1"/>
    </xf>
    <xf numFmtId="0" fontId="28" fillId="0" borderId="18" xfId="41" applyNumberFormat="1" applyFont="1" applyFill="1" applyBorder="1" applyAlignment="1">
      <alignment horizontal="distributed" vertical="center" wrapText="1"/>
    </xf>
    <xf numFmtId="0" fontId="28" fillId="0" borderId="16" xfId="41" applyNumberFormat="1" applyFont="1" applyFill="1" applyBorder="1" applyAlignment="1">
      <alignment horizontal="distributed" vertical="center" wrapText="1"/>
    </xf>
    <xf numFmtId="0" fontId="1" fillId="0" borderId="16" xfId="0" applyFont="1" applyFill="1" applyBorder="1" applyAlignment="1">
      <alignment horizontal="distributed" vertical="center" wrapText="1"/>
    </xf>
    <xf numFmtId="0" fontId="1" fillId="0" borderId="17" xfId="0" applyFont="1" applyFill="1" applyBorder="1" applyAlignment="1">
      <alignment horizontal="distributed" vertical="center" wrapText="1"/>
    </xf>
    <xf numFmtId="3" fontId="28" fillId="0" borderId="18" xfId="41" applyNumberFormat="1" applyFont="1" applyFill="1" applyBorder="1" applyAlignment="1">
      <alignment horizontal="right" vertical="center" shrinkToFit="1"/>
    </xf>
    <xf numFmtId="189" fontId="28" fillId="0" borderId="133" xfId="41" applyNumberFormat="1" applyFont="1" applyFill="1" applyBorder="1" applyAlignment="1">
      <alignment horizontal="right" vertical="center"/>
    </xf>
    <xf numFmtId="189" fontId="28" fillId="0" borderId="60" xfId="41" applyNumberFormat="1" applyFont="1" applyFill="1" applyBorder="1" applyAlignment="1">
      <alignment horizontal="right" vertical="center"/>
    </xf>
    <xf numFmtId="3" fontId="28" fillId="0" borderId="36" xfId="41" applyNumberFormat="1" applyFont="1" applyFill="1" applyBorder="1" applyAlignment="1">
      <alignment horizontal="right" vertical="center" shrinkToFit="1"/>
    </xf>
    <xf numFmtId="0" fontId="28" fillId="0" borderId="85" xfId="41" applyNumberFormat="1" applyFont="1" applyFill="1" applyBorder="1" applyAlignment="1">
      <alignment horizontal="distributed" vertical="center" wrapText="1"/>
    </xf>
    <xf numFmtId="0" fontId="28" fillId="0" borderId="37" xfId="41" applyNumberFormat="1" applyFont="1" applyFill="1" applyBorder="1" applyAlignment="1">
      <alignment horizontal="distributed" vertical="center" wrapText="1"/>
    </xf>
    <xf numFmtId="0" fontId="1" fillId="0" borderId="37" xfId="0" applyFont="1" applyFill="1" applyBorder="1" applyAlignment="1">
      <alignment horizontal="distributed" vertical="center" wrapText="1"/>
    </xf>
    <xf numFmtId="0" fontId="1" fillId="0" borderId="38" xfId="0" applyFont="1" applyFill="1" applyBorder="1" applyAlignment="1">
      <alignment horizontal="distributed" vertical="center" wrapText="1"/>
    </xf>
    <xf numFmtId="0" fontId="28" fillId="0" borderId="26" xfId="41" applyNumberFormat="1" applyFont="1" applyFill="1" applyBorder="1" applyAlignment="1">
      <alignment horizontal="distributed" vertical="center" wrapText="1"/>
    </xf>
    <xf numFmtId="0" fontId="28" fillId="0" borderId="22" xfId="41" applyNumberFormat="1" applyFont="1" applyFill="1" applyBorder="1" applyAlignment="1">
      <alignment horizontal="distributed" vertical="center" wrapText="1"/>
    </xf>
    <xf numFmtId="0" fontId="1" fillId="0" borderId="22" xfId="0" applyFont="1" applyFill="1" applyBorder="1" applyAlignment="1">
      <alignment horizontal="distributed" vertical="center" wrapText="1"/>
    </xf>
    <xf numFmtId="0" fontId="1" fillId="0" borderId="25" xfId="0" applyFont="1" applyFill="1" applyBorder="1" applyAlignment="1">
      <alignment horizontal="distributed" vertical="center" wrapText="1"/>
    </xf>
    <xf numFmtId="3" fontId="28" fillId="0" borderId="26" xfId="41" applyNumberFormat="1" applyFont="1" applyFill="1" applyBorder="1" applyAlignment="1">
      <alignment horizontal="right" vertical="center" shrinkToFit="1"/>
    </xf>
    <xf numFmtId="4" fontId="28" fillId="0" borderId="26" xfId="41" applyNumberFormat="1" applyFont="1" applyFill="1" applyBorder="1" applyAlignment="1">
      <alignment horizontal="right" vertical="center" shrinkToFit="1"/>
    </xf>
    <xf numFmtId="4" fontId="28" fillId="0" borderId="22" xfId="41" applyNumberFormat="1" applyFont="1" applyFill="1" applyBorder="1" applyAlignment="1">
      <alignment horizontal="right" vertical="center" shrinkToFit="1"/>
    </xf>
    <xf numFmtId="4" fontId="28" fillId="0" borderId="23" xfId="41" applyNumberFormat="1" applyFont="1" applyFill="1" applyBorder="1" applyAlignment="1">
      <alignment horizontal="right" vertical="center" shrinkToFit="1"/>
    </xf>
    <xf numFmtId="4" fontId="28" fillId="0" borderId="24" xfId="41" applyNumberFormat="1" applyFont="1" applyFill="1" applyBorder="1" applyAlignment="1">
      <alignment horizontal="right" vertical="center" shrinkToFit="1"/>
    </xf>
    <xf numFmtId="4" fontId="28" fillId="0" borderId="18" xfId="41" applyNumberFormat="1" applyFont="1" applyFill="1" applyBorder="1" applyAlignment="1">
      <alignment horizontal="right" vertical="center" shrinkToFit="1"/>
    </xf>
    <xf numFmtId="0" fontId="28" fillId="0" borderId="13" xfId="41" applyNumberFormat="1" applyFont="1" applyFill="1" applyBorder="1" applyAlignment="1">
      <alignment horizontal="center" vertical="center"/>
    </xf>
    <xf numFmtId="0" fontId="28" fillId="0" borderId="14" xfId="41" applyNumberFormat="1" applyFont="1" applyFill="1" applyBorder="1" applyAlignment="1">
      <alignment horizontal="center" vertical="center"/>
    </xf>
    <xf numFmtId="0" fontId="28" fillId="0" borderId="15" xfId="41" applyNumberFormat="1" applyFont="1" applyFill="1" applyBorder="1" applyAlignment="1">
      <alignment horizontal="center" vertical="center"/>
    </xf>
    <xf numFmtId="0" fontId="28" fillId="0" borderId="19" xfId="41" applyNumberFormat="1" applyFont="1" applyFill="1" applyBorder="1" applyAlignment="1">
      <alignment horizontal="center" vertical="center"/>
    </xf>
    <xf numFmtId="0" fontId="28" fillId="0" borderId="20" xfId="41" applyNumberFormat="1" applyFont="1" applyFill="1" applyBorder="1" applyAlignment="1">
      <alignment horizontal="center" vertical="center"/>
    </xf>
    <xf numFmtId="0" fontId="28" fillId="0" borderId="21" xfId="41" applyNumberFormat="1" applyFont="1" applyFill="1" applyBorder="1" applyAlignment="1">
      <alignment horizontal="center" vertical="center"/>
    </xf>
    <xf numFmtId="0" fontId="28" fillId="0" borderId="18" xfId="41" applyNumberFormat="1" applyFont="1" applyFill="1" applyBorder="1" applyAlignment="1">
      <alignment horizontal="center" vertical="center"/>
    </xf>
    <xf numFmtId="0" fontId="28" fillId="0" borderId="16" xfId="41" applyNumberFormat="1" applyFont="1" applyFill="1" applyBorder="1" applyAlignment="1">
      <alignment horizontal="center" vertical="center"/>
    </xf>
    <xf numFmtId="0" fontId="28" fillId="0" borderId="17" xfId="41" applyNumberFormat="1" applyFont="1" applyFill="1" applyBorder="1" applyAlignment="1">
      <alignment horizontal="center" vertical="center"/>
    </xf>
    <xf numFmtId="0" fontId="28" fillId="0" borderId="24" xfId="41" applyNumberFormat="1" applyFont="1" applyFill="1" applyBorder="1" applyAlignment="1">
      <alignment horizontal="center" vertical="center"/>
    </xf>
    <xf numFmtId="0" fontId="28" fillId="0" borderId="25" xfId="41" applyNumberFormat="1" applyFont="1" applyFill="1" applyBorder="1" applyAlignment="1">
      <alignment horizontal="center" vertical="center"/>
    </xf>
    <xf numFmtId="4" fontId="28" fillId="0" borderId="85" xfId="41" applyNumberFormat="1" applyFont="1" applyFill="1" applyBorder="1" applyAlignment="1">
      <alignment horizontal="right" vertical="center" shrinkToFit="1"/>
    </xf>
    <xf numFmtId="4" fontId="28" fillId="0" borderId="31" xfId="41" applyNumberFormat="1" applyFont="1" applyFill="1" applyBorder="1" applyAlignment="1">
      <alignment horizontal="right" vertical="center" shrinkToFit="1"/>
    </xf>
    <xf numFmtId="4" fontId="28" fillId="0" borderId="32" xfId="41" applyNumberFormat="1" applyFont="1" applyFill="1" applyBorder="1" applyAlignment="1">
      <alignment horizontal="right" vertical="center" shrinkToFit="1"/>
    </xf>
    <xf numFmtId="4" fontId="28" fillId="0" borderId="29" xfId="41" applyNumberFormat="1" applyFont="1" applyFill="1" applyBorder="1" applyAlignment="1">
      <alignment horizontal="right" vertical="center" shrinkToFit="1"/>
    </xf>
    <xf numFmtId="0" fontId="28" fillId="0" borderId="58" xfId="41" applyNumberFormat="1" applyFont="1" applyFill="1" applyBorder="1" applyAlignment="1">
      <alignment horizontal="distributed" vertical="center"/>
    </xf>
    <xf numFmtId="0" fontId="28" fillId="0" borderId="59" xfId="41" applyNumberFormat="1" applyFont="1" applyFill="1" applyBorder="1" applyAlignment="1">
      <alignment horizontal="distributed" vertical="center"/>
    </xf>
    <xf numFmtId="0" fontId="28" fillId="0" borderId="60" xfId="41" applyNumberFormat="1" applyFont="1" applyFill="1" applyBorder="1" applyAlignment="1">
      <alignment horizontal="distributed" vertical="center"/>
    </xf>
    <xf numFmtId="3" fontId="28" fillId="0" borderId="31" xfId="41" applyNumberFormat="1" applyFont="1" applyFill="1" applyBorder="1" applyAlignment="1">
      <alignment horizontal="right" vertical="center" shrinkToFit="1"/>
    </xf>
    <xf numFmtId="3" fontId="28" fillId="0" borderId="32" xfId="41" applyNumberFormat="1" applyFont="1" applyFill="1" applyBorder="1" applyAlignment="1">
      <alignment horizontal="right" vertical="center" shrinkToFit="1"/>
    </xf>
    <xf numFmtId="3" fontId="28" fillId="0" borderId="58" xfId="41" applyNumberFormat="1" applyFont="1" applyFill="1" applyBorder="1" applyAlignment="1">
      <alignment horizontal="right" vertical="center" shrinkToFit="1"/>
    </xf>
    <xf numFmtId="3" fontId="28" fillId="0" borderId="59" xfId="41" applyNumberFormat="1" applyFont="1" applyFill="1" applyBorder="1" applyAlignment="1">
      <alignment horizontal="right" vertical="center" shrinkToFit="1"/>
    </xf>
    <xf numFmtId="3" fontId="28" fillId="0" borderId="96" xfId="41" applyNumberFormat="1" applyFont="1" applyFill="1" applyBorder="1" applyAlignment="1">
      <alignment horizontal="right" vertical="center" shrinkToFit="1"/>
    </xf>
    <xf numFmtId="3" fontId="28" fillId="0" borderId="133" xfId="41" applyNumberFormat="1" applyFont="1" applyFill="1" applyBorder="1" applyAlignment="1">
      <alignment horizontal="right" vertical="center" shrinkToFit="1"/>
    </xf>
    <xf numFmtId="4" fontId="28" fillId="0" borderId="10" xfId="41" applyNumberFormat="1" applyFont="1" applyFill="1" applyBorder="1" applyAlignment="1">
      <alignment horizontal="right" vertical="center" shrinkToFit="1"/>
    </xf>
    <xf numFmtId="4" fontId="28" fillId="0" borderId="11" xfId="41" applyNumberFormat="1" applyFont="1" applyFill="1" applyBorder="1" applyAlignment="1">
      <alignment horizontal="right" vertical="center" shrinkToFit="1"/>
    </xf>
    <xf numFmtId="4" fontId="28" fillId="0" borderId="83" xfId="41" applyNumberFormat="1" applyFont="1" applyFill="1" applyBorder="1" applyAlignment="1">
      <alignment horizontal="right" vertical="center" shrinkToFit="1"/>
    </xf>
    <xf numFmtId="4" fontId="28" fillId="0" borderId="71" xfId="41" applyNumberFormat="1" applyFont="1" applyFill="1" applyBorder="1" applyAlignment="1">
      <alignment horizontal="right" vertical="center" shrinkToFit="1"/>
    </xf>
    <xf numFmtId="0" fontId="28" fillId="0" borderId="24" xfId="41" applyNumberFormat="1" applyFont="1" applyFill="1" applyBorder="1" applyAlignment="1">
      <alignment horizontal="distributed" vertical="center"/>
    </xf>
    <xf numFmtId="0" fontId="28" fillId="0" borderId="22" xfId="41" applyNumberFormat="1" applyFont="1" applyFill="1" applyBorder="1" applyAlignment="1">
      <alignment horizontal="distributed" vertical="center"/>
    </xf>
    <xf numFmtId="0" fontId="28" fillId="0" borderId="25" xfId="41" applyNumberFormat="1" applyFont="1" applyFill="1" applyBorder="1" applyAlignment="1">
      <alignment horizontal="distributed" vertical="center"/>
    </xf>
    <xf numFmtId="0" fontId="28" fillId="0" borderId="10" xfId="41" applyNumberFormat="1" applyFont="1" applyFill="1" applyBorder="1" applyAlignment="1">
      <alignment horizontal="distributed" vertical="center"/>
    </xf>
    <xf numFmtId="0" fontId="28" fillId="0" borderId="11" xfId="41" applyNumberFormat="1" applyFont="1" applyFill="1" applyBorder="1" applyAlignment="1">
      <alignment horizontal="distributed" vertical="center"/>
    </xf>
    <xf numFmtId="0" fontId="28" fillId="0" borderId="12" xfId="41" applyNumberFormat="1" applyFont="1" applyFill="1" applyBorder="1" applyAlignment="1">
      <alignment horizontal="distributed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distributed" vertical="center"/>
    </xf>
    <xf numFmtId="0" fontId="28" fillId="0" borderId="28" xfId="41" applyNumberFormat="1" applyFont="1" applyFill="1" applyBorder="1" applyAlignment="1">
      <alignment horizontal="distributed" vertical="center"/>
    </xf>
    <xf numFmtId="0" fontId="36" fillId="0" borderId="36" xfId="41" applyNumberFormat="1" applyFont="1" applyFill="1" applyBorder="1" applyAlignment="1">
      <alignment horizontal="distributed" vertical="center" shrinkToFit="1"/>
    </xf>
    <xf numFmtId="0" fontId="36" fillId="0" borderId="37" xfId="41" applyNumberFormat="1" applyFont="1" applyFill="1" applyBorder="1" applyAlignment="1">
      <alignment horizontal="distributed" vertical="center" shrinkToFit="1"/>
    </xf>
    <xf numFmtId="0" fontId="36" fillId="0" borderId="38" xfId="41" applyNumberFormat="1" applyFont="1" applyFill="1" applyBorder="1" applyAlignment="1">
      <alignment horizontal="distributed" vertical="center" shrinkToFit="1"/>
    </xf>
    <xf numFmtId="0" fontId="28" fillId="0" borderId="36" xfId="41" applyNumberFormat="1" applyFont="1" applyFill="1" applyBorder="1" applyAlignment="1">
      <alignment horizontal="distributed" vertical="center" shrinkToFit="1"/>
    </xf>
    <xf numFmtId="0" fontId="28" fillId="0" borderId="37" xfId="41" applyNumberFormat="1" applyFont="1" applyFill="1" applyBorder="1" applyAlignment="1">
      <alignment horizontal="distributed" vertical="center" shrinkToFit="1"/>
    </xf>
    <xf numFmtId="0" fontId="28" fillId="0" borderId="38" xfId="41" applyNumberFormat="1" applyFont="1" applyFill="1" applyBorder="1" applyAlignment="1">
      <alignment horizontal="distributed" vertical="center" shrinkToFit="1"/>
    </xf>
    <xf numFmtId="0" fontId="28" fillId="0" borderId="45" xfId="41" applyNumberFormat="1" applyFont="1" applyFill="1" applyBorder="1" applyAlignment="1">
      <alignment horizontal="distributed" vertical="center"/>
    </xf>
    <xf numFmtId="0" fontId="28" fillId="0" borderId="46" xfId="41" applyNumberFormat="1" applyFont="1" applyFill="1" applyBorder="1" applyAlignment="1">
      <alignment horizontal="distributed" vertical="center"/>
    </xf>
    <xf numFmtId="0" fontId="28" fillId="0" borderId="47" xfId="41" applyNumberFormat="1" applyFont="1" applyFill="1" applyBorder="1" applyAlignment="1">
      <alignment horizontal="distributed" vertical="center"/>
    </xf>
    <xf numFmtId="0" fontId="28" fillId="0" borderId="131" xfId="41" applyNumberFormat="1" applyFont="1" applyFill="1" applyBorder="1" applyAlignment="1">
      <alignment horizontal="right" vertical="center" shrinkToFit="1"/>
    </xf>
    <xf numFmtId="0" fontId="28" fillId="0" borderId="43" xfId="41" applyNumberFormat="1" applyFont="1" applyFill="1" applyBorder="1" applyAlignment="1">
      <alignment horizontal="right" vertical="center" shrinkToFit="1"/>
    </xf>
    <xf numFmtId="0" fontId="28" fillId="0" borderId="132" xfId="41" applyNumberFormat="1" applyFont="1" applyFill="1" applyBorder="1" applyAlignment="1">
      <alignment horizontal="right" vertical="center" shrinkToFit="1"/>
    </xf>
    <xf numFmtId="0" fontId="28" fillId="0" borderId="42" xfId="41" applyNumberFormat="1" applyFont="1" applyFill="1" applyBorder="1" applyAlignment="1">
      <alignment horizontal="right" vertical="center"/>
    </xf>
    <xf numFmtId="0" fontId="28" fillId="0" borderId="43" xfId="41" applyNumberFormat="1" applyFont="1" applyFill="1" applyBorder="1" applyAlignment="1">
      <alignment horizontal="right" vertical="center"/>
    </xf>
    <xf numFmtId="0" fontId="28" fillId="0" borderId="132" xfId="41" applyNumberFormat="1" applyFont="1" applyFill="1" applyBorder="1" applyAlignment="1">
      <alignment horizontal="right" vertical="center"/>
    </xf>
    <xf numFmtId="0" fontId="28" fillId="0" borderId="44" xfId="41" applyNumberFormat="1" applyFont="1" applyFill="1" applyBorder="1" applyAlignment="1">
      <alignment horizontal="right" vertical="center"/>
    </xf>
    <xf numFmtId="0" fontId="32" fillId="0" borderId="36" xfId="41" applyNumberFormat="1" applyFont="1" applyFill="1" applyBorder="1" applyAlignment="1">
      <alignment horizontal="center" vertical="center" shrinkToFit="1"/>
    </xf>
    <xf numFmtId="0" fontId="32" fillId="0" borderId="37" xfId="41" applyNumberFormat="1" applyFont="1" applyFill="1" applyBorder="1" applyAlignment="1">
      <alignment horizontal="center" vertical="center" shrinkToFit="1"/>
    </xf>
    <xf numFmtId="0" fontId="32" fillId="0" borderId="38" xfId="41" applyNumberFormat="1" applyFont="1" applyFill="1" applyBorder="1" applyAlignment="1">
      <alignment horizontal="center" vertical="center" shrinkToFit="1"/>
    </xf>
    <xf numFmtId="3" fontId="30" fillId="0" borderId="58" xfId="41" applyNumberFormat="1" applyFont="1" applyFill="1" applyBorder="1" applyAlignment="1">
      <alignment horizontal="right" vertical="center" shrinkToFit="1"/>
    </xf>
    <xf numFmtId="3" fontId="30" fillId="0" borderId="59" xfId="41" applyNumberFormat="1" applyFont="1" applyFill="1" applyBorder="1" applyAlignment="1">
      <alignment horizontal="right" vertical="center" shrinkToFit="1"/>
    </xf>
    <xf numFmtId="3" fontId="30" fillId="0" borderId="85" xfId="41" applyNumberFormat="1" applyFont="1" applyFill="1" applyBorder="1" applyAlignment="1">
      <alignment horizontal="right" vertical="center" shrinkToFit="1"/>
    </xf>
    <xf numFmtId="3" fontId="30" fillId="0" borderId="37" xfId="41" applyNumberFormat="1" applyFont="1" applyFill="1" applyBorder="1" applyAlignment="1">
      <alignment horizontal="right" vertical="center" shrinkToFit="1"/>
    </xf>
    <xf numFmtId="3" fontId="30" fillId="0" borderId="133" xfId="0" applyNumberFormat="1" applyFont="1" applyFill="1" applyBorder="1" applyAlignment="1">
      <alignment horizontal="right" vertical="center" shrinkToFit="1"/>
    </xf>
    <xf numFmtId="3" fontId="30" fillId="0" borderId="59" xfId="0" applyNumberFormat="1" applyFont="1" applyFill="1" applyBorder="1" applyAlignment="1">
      <alignment horizontal="right" vertical="center" shrinkToFit="1"/>
    </xf>
    <xf numFmtId="3" fontId="30" fillId="0" borderId="96" xfId="0" applyNumberFormat="1" applyFont="1" applyFill="1" applyBorder="1" applyAlignment="1">
      <alignment horizontal="right" vertical="center" shrinkToFit="1"/>
    </xf>
    <xf numFmtId="3" fontId="30" fillId="0" borderId="36" xfId="0" applyNumberFormat="1" applyFont="1" applyFill="1" applyBorder="1" applyAlignment="1">
      <alignment horizontal="right" vertical="center" shrinkToFit="1"/>
    </xf>
    <xf numFmtId="3" fontId="30" fillId="0" borderId="37" xfId="0" applyNumberFormat="1" applyFont="1" applyFill="1" applyBorder="1" applyAlignment="1">
      <alignment horizontal="right" vertical="center" shrinkToFit="1"/>
    </xf>
    <xf numFmtId="3" fontId="30" fillId="0" borderId="49" xfId="0" applyNumberFormat="1" applyFont="1" applyFill="1" applyBorder="1" applyAlignment="1">
      <alignment horizontal="right" vertical="center" shrinkToFit="1"/>
    </xf>
    <xf numFmtId="3" fontId="30" fillId="0" borderId="119" xfId="0" applyNumberFormat="1" applyFont="1" applyFill="1" applyBorder="1" applyAlignment="1">
      <alignment horizontal="right" vertical="center" shrinkToFit="1"/>
    </xf>
    <xf numFmtId="3" fontId="30" fillId="0" borderId="92" xfId="0" applyNumberFormat="1" applyFont="1" applyFill="1" applyBorder="1" applyAlignment="1">
      <alignment horizontal="right" vertical="center" shrinkToFit="1"/>
    </xf>
    <xf numFmtId="3" fontId="30" fillId="0" borderId="118" xfId="0" applyNumberFormat="1" applyFont="1" applyFill="1" applyBorder="1" applyAlignment="1">
      <alignment horizontal="right" vertical="center" shrinkToFit="1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0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875" style="10" customWidth="1"/>
    <col min="44" max="49" width="2.625" style="10" customWidth="1"/>
    <col min="50" max="58" width="2.625" style="10"/>
    <col min="59" max="71" width="2.625" style="11"/>
    <col min="72" max="16384" width="2.625" style="10"/>
  </cols>
  <sheetData>
    <row r="1" spans="1:71" s="3" customFormat="1" ht="13.5" customHeight="1">
      <c r="A1" s="113"/>
      <c r="B1" s="114"/>
      <c r="C1" s="96" t="s">
        <v>215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72"/>
      <c r="AM2" s="72"/>
      <c r="AN2" s="72"/>
      <c r="AO2" s="72"/>
      <c r="AP2" s="72"/>
      <c r="AQ2" s="73"/>
      <c r="AR2" s="73"/>
      <c r="AS2" s="73"/>
      <c r="AT2" s="73"/>
      <c r="AU2" s="74"/>
      <c r="AV2" s="74"/>
      <c r="AW2" s="74"/>
      <c r="AX2" s="74"/>
    </row>
    <row r="3" spans="1:71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71" s="98" customFormat="1" ht="13.5" customHeight="1">
      <c r="A4" s="111" t="s">
        <v>307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2"/>
      <c r="Q4" s="112"/>
      <c r="R4" s="112"/>
      <c r="T4" s="99"/>
      <c r="U4" s="120" t="str">
        <f>IF(T4&lt;&gt;"",DGET(リスト!A2:B71,"都道府県等",リスト!B73:B74),"")</f>
        <v/>
      </c>
      <c r="V4" s="120"/>
      <c r="W4" s="120"/>
      <c r="X4" s="120"/>
      <c r="Y4" s="99"/>
      <c r="Z4" s="121" t="str">
        <f>IF(Y4&lt;&gt;"",DGET(リスト!D2:E7,"規模階層",リスト!E9:E10),"")</f>
        <v/>
      </c>
      <c r="AA4" s="119"/>
      <c r="AB4" s="119"/>
      <c r="AC4" s="119"/>
      <c r="AD4" s="119"/>
      <c r="AE4" s="119"/>
    </row>
    <row r="5" spans="1:71" s="98" customFormat="1" ht="13.5" customHeight="1">
      <c r="A5" s="111" t="s">
        <v>193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  <c r="Q5" s="112"/>
      <c r="R5" s="112"/>
    </row>
    <row r="6" spans="1:71" s="98" customFormat="1" ht="13.5" customHeight="1">
      <c r="A6" s="100"/>
      <c r="H6" s="101"/>
    </row>
    <row r="7" spans="1:71" s="6" customFormat="1" ht="13.15" customHeight="1">
      <c r="A7" s="6" t="s">
        <v>159</v>
      </c>
      <c r="AQ7" s="7" t="s">
        <v>1</v>
      </c>
      <c r="AV7" s="7"/>
      <c r="AW7" s="8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8"/>
    </row>
    <row r="8" spans="1:71" ht="13.15" customHeight="1">
      <c r="A8" s="127"/>
      <c r="B8" s="128"/>
      <c r="C8" s="128"/>
      <c r="D8" s="128"/>
      <c r="E8" s="128"/>
      <c r="F8" s="128"/>
      <c r="G8" s="129"/>
      <c r="H8" s="133" t="s">
        <v>2</v>
      </c>
      <c r="I8" s="133"/>
      <c r="J8" s="133"/>
      <c r="K8" s="133"/>
      <c r="L8" s="133"/>
      <c r="M8" s="133"/>
      <c r="N8" s="133"/>
      <c r="O8" s="133"/>
      <c r="P8" s="134"/>
      <c r="Q8" s="135" t="s">
        <v>209</v>
      </c>
      <c r="R8" s="133"/>
      <c r="S8" s="133"/>
      <c r="T8" s="133"/>
      <c r="U8" s="133"/>
      <c r="V8" s="133"/>
      <c r="W8" s="133"/>
      <c r="X8" s="133"/>
      <c r="Y8" s="134"/>
      <c r="Z8" s="135" t="s">
        <v>3</v>
      </c>
      <c r="AA8" s="133"/>
      <c r="AB8" s="133"/>
      <c r="AC8" s="133"/>
      <c r="AD8" s="133"/>
      <c r="AE8" s="133"/>
      <c r="AF8" s="133"/>
      <c r="AG8" s="133"/>
      <c r="AH8" s="134"/>
      <c r="AI8" s="133" t="s">
        <v>4</v>
      </c>
      <c r="AJ8" s="133"/>
      <c r="AK8" s="133"/>
      <c r="AL8" s="133"/>
      <c r="AM8" s="133"/>
      <c r="AN8" s="133"/>
      <c r="AO8" s="133"/>
      <c r="AP8" s="133"/>
      <c r="AQ8" s="134"/>
    </row>
    <row r="9" spans="1:71" ht="13.15" customHeight="1">
      <c r="A9" s="130"/>
      <c r="B9" s="131"/>
      <c r="C9" s="131"/>
      <c r="D9" s="131"/>
      <c r="E9" s="131"/>
      <c r="F9" s="131"/>
      <c r="G9" s="132"/>
      <c r="H9" s="125" t="s">
        <v>192</v>
      </c>
      <c r="I9" s="123"/>
      <c r="J9" s="126"/>
      <c r="K9" s="122" t="s">
        <v>193</v>
      </c>
      <c r="L9" s="123"/>
      <c r="M9" s="126"/>
      <c r="N9" s="122" t="s">
        <v>5</v>
      </c>
      <c r="O9" s="123"/>
      <c r="P9" s="124"/>
      <c r="Q9" s="125" t="s">
        <v>192</v>
      </c>
      <c r="R9" s="123"/>
      <c r="S9" s="126"/>
      <c r="T9" s="122" t="s">
        <v>193</v>
      </c>
      <c r="U9" s="123"/>
      <c r="V9" s="126"/>
      <c r="W9" s="122" t="s">
        <v>5</v>
      </c>
      <c r="X9" s="123"/>
      <c r="Y9" s="124"/>
      <c r="Z9" s="125" t="s">
        <v>192</v>
      </c>
      <c r="AA9" s="123"/>
      <c r="AB9" s="126"/>
      <c r="AC9" s="122" t="s">
        <v>193</v>
      </c>
      <c r="AD9" s="123"/>
      <c r="AE9" s="126"/>
      <c r="AF9" s="122" t="s">
        <v>5</v>
      </c>
      <c r="AG9" s="123"/>
      <c r="AH9" s="124"/>
      <c r="AI9" s="125" t="s">
        <v>192</v>
      </c>
      <c r="AJ9" s="123"/>
      <c r="AK9" s="126"/>
      <c r="AL9" s="122" t="s">
        <v>193</v>
      </c>
      <c r="AM9" s="123"/>
      <c r="AN9" s="126"/>
      <c r="AO9" s="122" t="s">
        <v>5</v>
      </c>
      <c r="AP9" s="123"/>
      <c r="AQ9" s="124"/>
    </row>
    <row r="10" spans="1:71" ht="13.15" customHeight="1">
      <c r="A10" s="142" t="s">
        <v>6</v>
      </c>
      <c r="B10" s="143"/>
      <c r="C10" s="143"/>
      <c r="D10" s="143"/>
      <c r="E10" s="143"/>
      <c r="F10" s="143"/>
      <c r="G10" s="144"/>
      <c r="H10" s="145"/>
      <c r="I10" s="141"/>
      <c r="J10" s="141"/>
      <c r="K10" s="141"/>
      <c r="L10" s="141"/>
      <c r="M10" s="141"/>
      <c r="N10" s="136" t="str">
        <f>IF(H10="-", "-", IF(K10="-", "-", IF(ABS(K10)=0, "-", ROUND(100*(H10-K10)/ABS(K10),1))))</f>
        <v>-</v>
      </c>
      <c r="O10" s="137"/>
      <c r="P10" s="138"/>
      <c r="Q10" s="145"/>
      <c r="R10" s="141"/>
      <c r="S10" s="141"/>
      <c r="T10" s="141"/>
      <c r="U10" s="141"/>
      <c r="V10" s="141"/>
      <c r="W10" s="136" t="str">
        <f>IF(Q10="-", "-", IF(T10="-", "-", IF(ABS(T10)=0, "-", ROUND(100*(Q10-T10)/ABS(T10),1))))</f>
        <v>-</v>
      </c>
      <c r="X10" s="137"/>
      <c r="Y10" s="138"/>
      <c r="Z10" s="145"/>
      <c r="AA10" s="141"/>
      <c r="AB10" s="141"/>
      <c r="AC10" s="141"/>
      <c r="AD10" s="141"/>
      <c r="AE10" s="141"/>
      <c r="AF10" s="136" t="str">
        <f>IF(Z10="-", "-", IF(AC10="-", "-", IF(ABS(AC10)=0, "-", ROUND(100*(Z10-AC10)/ABS(AC10),1))))</f>
        <v>-</v>
      </c>
      <c r="AG10" s="137"/>
      <c r="AH10" s="138"/>
      <c r="AI10" s="139"/>
      <c r="AJ10" s="140"/>
      <c r="AK10" s="140"/>
      <c r="AL10" s="141"/>
      <c r="AM10" s="141"/>
      <c r="AN10" s="141"/>
      <c r="AO10" s="136" t="str">
        <f>IF(AI10="-", "-", IF(AL10="-", "-", IF(ABS(AL10)=0, "-", ROUND(100*(AI10-AL10)/ABS(AL10),1))))</f>
        <v>-</v>
      </c>
      <c r="AP10" s="137"/>
      <c r="AQ10" s="138"/>
    </row>
    <row r="11" spans="1:71" ht="13.15" customHeight="1">
      <c r="A11" s="12"/>
      <c r="B11" s="146" t="s">
        <v>7</v>
      </c>
      <c r="C11" s="147"/>
      <c r="D11" s="147"/>
      <c r="E11" s="147"/>
      <c r="F11" s="147"/>
      <c r="G11" s="148"/>
      <c r="H11" s="145"/>
      <c r="I11" s="141"/>
      <c r="J11" s="141"/>
      <c r="K11" s="149"/>
      <c r="L11" s="149"/>
      <c r="M11" s="149"/>
      <c r="N11" s="136" t="str">
        <f t="shared" ref="N11:N12" si="0">IF(H11="-", "-", IF(K11="-", "-", IF(ABS(K11)=0, "-", ROUND(100*(H11-K11)/ABS(K11),1))))</f>
        <v>-</v>
      </c>
      <c r="O11" s="137"/>
      <c r="P11" s="138"/>
      <c r="Q11" s="150"/>
      <c r="R11" s="151"/>
      <c r="S11" s="151"/>
      <c r="T11" s="152"/>
      <c r="U11" s="152"/>
      <c r="V11" s="152"/>
      <c r="W11" s="155"/>
      <c r="X11" s="156"/>
      <c r="Y11" s="157"/>
      <c r="Z11" s="150"/>
      <c r="AA11" s="151"/>
      <c r="AB11" s="151"/>
      <c r="AC11" s="152"/>
      <c r="AD11" s="152"/>
      <c r="AE11" s="152"/>
      <c r="AF11" s="158"/>
      <c r="AG11" s="159"/>
      <c r="AH11" s="160"/>
      <c r="AI11" s="161"/>
      <c r="AJ11" s="141"/>
      <c r="AK11" s="141"/>
      <c r="AL11" s="149"/>
      <c r="AM11" s="149"/>
      <c r="AN11" s="149"/>
      <c r="AO11" s="136" t="str">
        <f t="shared" ref="AO11:AO12" si="1">IF(AI11="-", "-", IF(AL11="-", "-", IF(ABS(AL11)=0, "-", ROUND(100*(AI11-AL11)/ABS(AL11),1))))</f>
        <v>-</v>
      </c>
      <c r="AP11" s="137"/>
      <c r="AQ11" s="138"/>
    </row>
    <row r="12" spans="1:71" ht="13.15" customHeight="1">
      <c r="A12" s="12"/>
      <c r="B12" s="146" t="s">
        <v>160</v>
      </c>
      <c r="C12" s="147"/>
      <c r="D12" s="147"/>
      <c r="E12" s="147"/>
      <c r="F12" s="147"/>
      <c r="G12" s="148"/>
      <c r="H12" s="145"/>
      <c r="I12" s="141"/>
      <c r="J12" s="141"/>
      <c r="K12" s="149"/>
      <c r="L12" s="149"/>
      <c r="M12" s="149"/>
      <c r="N12" s="136" t="str">
        <f t="shared" si="0"/>
        <v>-</v>
      </c>
      <c r="O12" s="137"/>
      <c r="P12" s="138"/>
      <c r="Q12" s="153"/>
      <c r="R12" s="154"/>
      <c r="S12" s="154"/>
      <c r="T12" s="152"/>
      <c r="U12" s="152"/>
      <c r="V12" s="152"/>
      <c r="W12" s="155"/>
      <c r="X12" s="156"/>
      <c r="Y12" s="157"/>
      <c r="Z12" s="150"/>
      <c r="AA12" s="151"/>
      <c r="AB12" s="151"/>
      <c r="AC12" s="152"/>
      <c r="AD12" s="152"/>
      <c r="AE12" s="152"/>
      <c r="AF12" s="158"/>
      <c r="AG12" s="159"/>
      <c r="AH12" s="160"/>
      <c r="AI12" s="161"/>
      <c r="AJ12" s="141"/>
      <c r="AK12" s="141"/>
      <c r="AL12" s="149"/>
      <c r="AM12" s="149"/>
      <c r="AN12" s="149"/>
      <c r="AO12" s="136" t="str">
        <f t="shared" si="1"/>
        <v>-</v>
      </c>
      <c r="AP12" s="137"/>
      <c r="AQ12" s="138"/>
    </row>
    <row r="13" spans="1:71" ht="13.15" customHeight="1">
      <c r="A13" s="12"/>
      <c r="B13" s="162" t="s">
        <v>8</v>
      </c>
      <c r="C13" s="163"/>
      <c r="D13" s="163"/>
      <c r="E13" s="163"/>
      <c r="F13" s="163"/>
      <c r="G13" s="164"/>
      <c r="H13" s="145"/>
      <c r="I13" s="141"/>
      <c r="J13" s="141"/>
      <c r="K13" s="149"/>
      <c r="L13" s="149"/>
      <c r="M13" s="149"/>
      <c r="N13" s="136" t="str">
        <f>IF(H13="-", "-", IF(K13="-", "-", IF(ABS(K13)=0, "-", ROUND(100*(H13-K13)/ABS(K13),1))))</f>
        <v>-</v>
      </c>
      <c r="O13" s="137"/>
      <c r="P13" s="138"/>
      <c r="Q13" s="145"/>
      <c r="R13" s="141"/>
      <c r="S13" s="141"/>
      <c r="T13" s="149"/>
      <c r="U13" s="149"/>
      <c r="V13" s="149"/>
      <c r="W13" s="136" t="str">
        <f>IF(Q13="-", "-", IF(T13="-", "-", IF(ABS(T13)=0, "-", ROUND(100*(Q13-T13)/ABS(T13),1))))</f>
        <v>-</v>
      </c>
      <c r="X13" s="137"/>
      <c r="Y13" s="138"/>
      <c r="Z13" s="150"/>
      <c r="AA13" s="151"/>
      <c r="AB13" s="151"/>
      <c r="AC13" s="152"/>
      <c r="AD13" s="152"/>
      <c r="AE13" s="152"/>
      <c r="AF13" s="158"/>
      <c r="AG13" s="159"/>
      <c r="AH13" s="160"/>
      <c r="AI13" s="161"/>
      <c r="AJ13" s="141"/>
      <c r="AK13" s="141"/>
      <c r="AL13" s="149"/>
      <c r="AM13" s="149"/>
      <c r="AN13" s="149"/>
      <c r="AO13" s="136" t="str">
        <f>IF(AI13="-", "-", IF(AL13="-", "-", IF(ABS(AL13)=0, "-", ROUND(100*(AI13-AL13)/ABS(AL13),1))))</f>
        <v>-</v>
      </c>
      <c r="AP13" s="137"/>
      <c r="AQ13" s="138"/>
    </row>
    <row r="14" spans="1:71" ht="13.15" customHeight="1">
      <c r="A14" s="12"/>
      <c r="B14" s="13"/>
      <c r="C14" s="168" t="s">
        <v>9</v>
      </c>
      <c r="D14" s="169"/>
      <c r="E14" s="169"/>
      <c r="F14" s="169"/>
      <c r="G14" s="170"/>
      <c r="H14" s="145"/>
      <c r="I14" s="141"/>
      <c r="J14" s="141"/>
      <c r="K14" s="149"/>
      <c r="L14" s="149"/>
      <c r="M14" s="149"/>
      <c r="N14" s="136" t="str">
        <f>IF(H14="-", "-", IF(K14="-", "-", IF(ABS(K14)=0, "-", ROUND(100*(H14-K14)/ABS(K14),1))))</f>
        <v>-</v>
      </c>
      <c r="O14" s="137"/>
      <c r="P14" s="138"/>
      <c r="Q14" s="145"/>
      <c r="R14" s="141"/>
      <c r="S14" s="141"/>
      <c r="T14" s="149"/>
      <c r="U14" s="149"/>
      <c r="V14" s="149"/>
      <c r="W14" s="136" t="str">
        <f t="shared" ref="W14:W18" si="2">IF(Q14="-", "-", IF(T14="-", "-", IF(ABS(T14)=0, "-", ROUND(100*(Q14-T14)/ABS(T14),1))))</f>
        <v>-</v>
      </c>
      <c r="X14" s="137"/>
      <c r="Y14" s="138"/>
      <c r="Z14" s="150"/>
      <c r="AA14" s="151"/>
      <c r="AB14" s="151"/>
      <c r="AC14" s="152"/>
      <c r="AD14" s="152"/>
      <c r="AE14" s="152"/>
      <c r="AF14" s="158"/>
      <c r="AG14" s="159"/>
      <c r="AH14" s="160"/>
      <c r="AI14" s="161"/>
      <c r="AJ14" s="141"/>
      <c r="AK14" s="141"/>
      <c r="AL14" s="149"/>
      <c r="AM14" s="149"/>
      <c r="AN14" s="149"/>
      <c r="AO14" s="165" t="str">
        <f>IF(AI14="-", "-", IF(AL14="-", "-", IF(ABS(AL14)=0, "-", ROUND(100*(AI14-AL14)/ABS(AL14),1))))</f>
        <v>-</v>
      </c>
      <c r="AP14" s="166"/>
      <c r="AQ14" s="167"/>
    </row>
    <row r="15" spans="1:71" ht="13.15" customHeight="1">
      <c r="A15" s="12"/>
      <c r="B15" s="14"/>
      <c r="C15" s="171" t="s">
        <v>10</v>
      </c>
      <c r="D15" s="172"/>
      <c r="E15" s="172"/>
      <c r="F15" s="172"/>
      <c r="G15" s="173"/>
      <c r="H15" s="150"/>
      <c r="I15" s="151"/>
      <c r="J15" s="151"/>
      <c r="K15" s="152"/>
      <c r="L15" s="152"/>
      <c r="M15" s="152"/>
      <c r="N15" s="158"/>
      <c r="O15" s="159"/>
      <c r="P15" s="160"/>
      <c r="Q15" s="145"/>
      <c r="R15" s="141"/>
      <c r="S15" s="141"/>
      <c r="T15" s="149"/>
      <c r="U15" s="149"/>
      <c r="V15" s="149"/>
      <c r="W15" s="136" t="str">
        <f t="shared" si="2"/>
        <v>-</v>
      </c>
      <c r="X15" s="137"/>
      <c r="Y15" s="138"/>
      <c r="Z15" s="150"/>
      <c r="AA15" s="151"/>
      <c r="AB15" s="151"/>
      <c r="AC15" s="152"/>
      <c r="AD15" s="152"/>
      <c r="AE15" s="152"/>
      <c r="AF15" s="158"/>
      <c r="AG15" s="159"/>
      <c r="AH15" s="160"/>
      <c r="AI15" s="161"/>
      <c r="AJ15" s="141"/>
      <c r="AK15" s="141"/>
      <c r="AL15" s="149"/>
      <c r="AM15" s="149"/>
      <c r="AN15" s="149"/>
      <c r="AO15" s="136" t="str">
        <f t="shared" ref="AO15:AO39" si="3">IF(AI15="-", "-", IF(AL15="-", "-", IF(ABS(AL15)=0, "-", ROUND(100*(AI15-AL15)/ABS(AL15),1))))</f>
        <v>-</v>
      </c>
      <c r="AP15" s="137"/>
      <c r="AQ15" s="138"/>
    </row>
    <row r="16" spans="1:71" ht="13.15" customHeight="1">
      <c r="A16" s="12"/>
      <c r="B16" s="168" t="s">
        <v>11</v>
      </c>
      <c r="C16" s="169"/>
      <c r="D16" s="169"/>
      <c r="E16" s="169"/>
      <c r="F16" s="169"/>
      <c r="G16" s="170"/>
      <c r="H16" s="145"/>
      <c r="I16" s="141"/>
      <c r="J16" s="141"/>
      <c r="K16" s="149"/>
      <c r="L16" s="149"/>
      <c r="M16" s="149"/>
      <c r="N16" s="165" t="str">
        <f t="shared" ref="N16:N17" si="4">IF(H16="-", "-", IF(K16="-", "-", IF(ABS(K16)=0, "-", ROUND(100*(H16-K16)/ABS(K16),1))))</f>
        <v>-</v>
      </c>
      <c r="O16" s="166"/>
      <c r="P16" s="167"/>
      <c r="Q16" s="145"/>
      <c r="R16" s="141"/>
      <c r="S16" s="141"/>
      <c r="T16" s="149"/>
      <c r="U16" s="149"/>
      <c r="V16" s="149"/>
      <c r="W16" s="136" t="str">
        <f t="shared" si="2"/>
        <v>-</v>
      </c>
      <c r="X16" s="137"/>
      <c r="Y16" s="138"/>
      <c r="Z16" s="150"/>
      <c r="AA16" s="151"/>
      <c r="AB16" s="151"/>
      <c r="AC16" s="152"/>
      <c r="AD16" s="152"/>
      <c r="AE16" s="152"/>
      <c r="AF16" s="158"/>
      <c r="AG16" s="159"/>
      <c r="AH16" s="160"/>
      <c r="AI16" s="161"/>
      <c r="AJ16" s="141"/>
      <c r="AK16" s="141"/>
      <c r="AL16" s="149"/>
      <c r="AM16" s="149"/>
      <c r="AN16" s="149"/>
      <c r="AO16" s="136" t="str">
        <f t="shared" si="3"/>
        <v>-</v>
      </c>
      <c r="AP16" s="137"/>
      <c r="AQ16" s="138"/>
    </row>
    <row r="17" spans="1:43" ht="13.15" customHeight="1">
      <c r="A17" s="12"/>
      <c r="B17" s="168" t="s">
        <v>12</v>
      </c>
      <c r="C17" s="169"/>
      <c r="D17" s="169"/>
      <c r="E17" s="169"/>
      <c r="F17" s="169"/>
      <c r="G17" s="170"/>
      <c r="H17" s="145"/>
      <c r="I17" s="141"/>
      <c r="J17" s="141"/>
      <c r="K17" s="149"/>
      <c r="L17" s="149"/>
      <c r="M17" s="149"/>
      <c r="N17" s="136" t="str">
        <f t="shared" si="4"/>
        <v>-</v>
      </c>
      <c r="O17" s="137"/>
      <c r="P17" s="138"/>
      <c r="Q17" s="145"/>
      <c r="R17" s="141"/>
      <c r="S17" s="141"/>
      <c r="T17" s="149"/>
      <c r="U17" s="149"/>
      <c r="V17" s="149"/>
      <c r="W17" s="136" t="str">
        <f t="shared" si="2"/>
        <v>-</v>
      </c>
      <c r="X17" s="137"/>
      <c r="Y17" s="138"/>
      <c r="Z17" s="150"/>
      <c r="AA17" s="151"/>
      <c r="AB17" s="151"/>
      <c r="AC17" s="152"/>
      <c r="AD17" s="152"/>
      <c r="AE17" s="152"/>
      <c r="AF17" s="158"/>
      <c r="AG17" s="159"/>
      <c r="AH17" s="160"/>
      <c r="AI17" s="161"/>
      <c r="AJ17" s="141"/>
      <c r="AK17" s="141"/>
      <c r="AL17" s="149"/>
      <c r="AM17" s="149"/>
      <c r="AN17" s="149"/>
      <c r="AO17" s="136" t="str">
        <f t="shared" si="3"/>
        <v>-</v>
      </c>
      <c r="AP17" s="137"/>
      <c r="AQ17" s="138"/>
    </row>
    <row r="18" spans="1:43" ht="13.15" customHeight="1">
      <c r="A18" s="12"/>
      <c r="B18" s="168" t="s">
        <v>13</v>
      </c>
      <c r="C18" s="169"/>
      <c r="D18" s="169"/>
      <c r="E18" s="169"/>
      <c r="F18" s="169"/>
      <c r="G18" s="170"/>
      <c r="H18" s="145"/>
      <c r="I18" s="141"/>
      <c r="J18" s="141"/>
      <c r="K18" s="149"/>
      <c r="L18" s="149"/>
      <c r="M18" s="149"/>
      <c r="N18" s="136" t="str">
        <f>IF(H18="-", "-", IF(K18="-", "-", IF(ABS(K18)=0, "-", ROUND(100*(H18-K18)/ABS(K18),1))))</f>
        <v>-</v>
      </c>
      <c r="O18" s="137"/>
      <c r="P18" s="138"/>
      <c r="Q18" s="145"/>
      <c r="R18" s="141"/>
      <c r="S18" s="141"/>
      <c r="T18" s="149"/>
      <c r="U18" s="149"/>
      <c r="V18" s="149"/>
      <c r="W18" s="136" t="str">
        <f t="shared" si="2"/>
        <v>-</v>
      </c>
      <c r="X18" s="137"/>
      <c r="Y18" s="138"/>
      <c r="Z18" s="150"/>
      <c r="AA18" s="151"/>
      <c r="AB18" s="151"/>
      <c r="AC18" s="152"/>
      <c r="AD18" s="152"/>
      <c r="AE18" s="152"/>
      <c r="AF18" s="158"/>
      <c r="AG18" s="159"/>
      <c r="AH18" s="160"/>
      <c r="AI18" s="161"/>
      <c r="AJ18" s="141"/>
      <c r="AK18" s="141"/>
      <c r="AL18" s="149"/>
      <c r="AM18" s="149"/>
      <c r="AN18" s="149"/>
      <c r="AO18" s="136" t="str">
        <f t="shared" si="3"/>
        <v>-</v>
      </c>
      <c r="AP18" s="137"/>
      <c r="AQ18" s="138"/>
    </row>
    <row r="19" spans="1:43" ht="13.15" customHeight="1">
      <c r="A19" s="12"/>
      <c r="B19" s="146" t="s">
        <v>14</v>
      </c>
      <c r="C19" s="147"/>
      <c r="D19" s="147"/>
      <c r="E19" s="147"/>
      <c r="F19" s="147"/>
      <c r="G19" s="148"/>
      <c r="H19" s="145"/>
      <c r="I19" s="141"/>
      <c r="J19" s="141"/>
      <c r="K19" s="149"/>
      <c r="L19" s="149"/>
      <c r="M19" s="149"/>
      <c r="N19" s="136" t="str">
        <f>IF(H19="-", "-", IF(K19="-", "-", IF(ABS(K19)=0, "-", ROUND(100*(H19-K19)/ABS(K19),1))))</f>
        <v>-</v>
      </c>
      <c r="O19" s="137"/>
      <c r="P19" s="138"/>
      <c r="Q19" s="150"/>
      <c r="R19" s="151"/>
      <c r="S19" s="151"/>
      <c r="T19" s="152"/>
      <c r="U19" s="152"/>
      <c r="V19" s="152"/>
      <c r="W19" s="158"/>
      <c r="X19" s="159"/>
      <c r="Y19" s="160"/>
      <c r="Z19" s="150"/>
      <c r="AA19" s="151"/>
      <c r="AB19" s="151"/>
      <c r="AC19" s="152"/>
      <c r="AD19" s="152"/>
      <c r="AE19" s="152"/>
      <c r="AF19" s="158"/>
      <c r="AG19" s="159"/>
      <c r="AH19" s="160"/>
      <c r="AI19" s="161"/>
      <c r="AJ19" s="141"/>
      <c r="AK19" s="141"/>
      <c r="AL19" s="149"/>
      <c r="AM19" s="149"/>
      <c r="AN19" s="149"/>
      <c r="AO19" s="136" t="str">
        <f t="shared" si="3"/>
        <v>-</v>
      </c>
      <c r="AP19" s="137"/>
      <c r="AQ19" s="138"/>
    </row>
    <row r="20" spans="1:43" ht="13.15" customHeight="1">
      <c r="A20" s="12"/>
      <c r="B20" s="168" t="s">
        <v>15</v>
      </c>
      <c r="C20" s="169"/>
      <c r="D20" s="169"/>
      <c r="E20" s="169"/>
      <c r="F20" s="169"/>
      <c r="G20" s="170"/>
      <c r="H20" s="145"/>
      <c r="I20" s="141"/>
      <c r="J20" s="141"/>
      <c r="K20" s="149"/>
      <c r="L20" s="149"/>
      <c r="M20" s="149"/>
      <c r="N20" s="136" t="str">
        <f t="shared" ref="N20:N31" si="5">IF(H20="-", "-", IF(K20="-", "-", IF(ABS(K20)=0, "-", ROUND(100*(H20-K20)/ABS(K20),1))))</f>
        <v>-</v>
      </c>
      <c r="O20" s="137"/>
      <c r="P20" s="138"/>
      <c r="Q20" s="150"/>
      <c r="R20" s="151"/>
      <c r="S20" s="151"/>
      <c r="T20" s="152"/>
      <c r="U20" s="152"/>
      <c r="V20" s="152"/>
      <c r="W20" s="158"/>
      <c r="X20" s="159"/>
      <c r="Y20" s="160"/>
      <c r="Z20" s="150"/>
      <c r="AA20" s="151"/>
      <c r="AB20" s="151"/>
      <c r="AC20" s="152"/>
      <c r="AD20" s="152"/>
      <c r="AE20" s="152"/>
      <c r="AF20" s="158"/>
      <c r="AG20" s="159"/>
      <c r="AH20" s="160"/>
      <c r="AI20" s="161"/>
      <c r="AJ20" s="141"/>
      <c r="AK20" s="141"/>
      <c r="AL20" s="149"/>
      <c r="AM20" s="149"/>
      <c r="AN20" s="149"/>
      <c r="AO20" s="136" t="str">
        <f t="shared" si="3"/>
        <v>-</v>
      </c>
      <c r="AP20" s="137"/>
      <c r="AQ20" s="138"/>
    </row>
    <row r="21" spans="1:43" ht="13.15" customHeight="1">
      <c r="A21" s="12"/>
      <c r="B21" s="168" t="s">
        <v>16</v>
      </c>
      <c r="C21" s="169"/>
      <c r="D21" s="169"/>
      <c r="E21" s="169"/>
      <c r="F21" s="169"/>
      <c r="G21" s="170"/>
      <c r="H21" s="145"/>
      <c r="I21" s="141"/>
      <c r="J21" s="141"/>
      <c r="K21" s="149"/>
      <c r="L21" s="149"/>
      <c r="M21" s="149"/>
      <c r="N21" s="136" t="str">
        <f t="shared" si="5"/>
        <v>-</v>
      </c>
      <c r="O21" s="137"/>
      <c r="P21" s="138"/>
      <c r="Q21" s="150"/>
      <c r="R21" s="151"/>
      <c r="S21" s="151"/>
      <c r="T21" s="152"/>
      <c r="U21" s="152"/>
      <c r="V21" s="152"/>
      <c r="W21" s="158"/>
      <c r="X21" s="159"/>
      <c r="Y21" s="160"/>
      <c r="Z21" s="150"/>
      <c r="AA21" s="151"/>
      <c r="AB21" s="151"/>
      <c r="AC21" s="152"/>
      <c r="AD21" s="152"/>
      <c r="AE21" s="152"/>
      <c r="AF21" s="158"/>
      <c r="AG21" s="159"/>
      <c r="AH21" s="160"/>
      <c r="AI21" s="161"/>
      <c r="AJ21" s="141"/>
      <c r="AK21" s="141"/>
      <c r="AL21" s="149"/>
      <c r="AM21" s="149"/>
      <c r="AN21" s="149"/>
      <c r="AO21" s="136" t="str">
        <f t="shared" si="3"/>
        <v>-</v>
      </c>
      <c r="AP21" s="137"/>
      <c r="AQ21" s="138"/>
    </row>
    <row r="22" spans="1:43" ht="13.15" customHeight="1">
      <c r="A22" s="12"/>
      <c r="B22" s="168" t="s">
        <v>161</v>
      </c>
      <c r="C22" s="169"/>
      <c r="D22" s="169"/>
      <c r="E22" s="169"/>
      <c r="F22" s="169"/>
      <c r="G22" s="170"/>
      <c r="H22" s="145"/>
      <c r="I22" s="141"/>
      <c r="J22" s="141"/>
      <c r="K22" s="149"/>
      <c r="L22" s="149"/>
      <c r="M22" s="149"/>
      <c r="N22" s="136" t="str">
        <f t="shared" si="5"/>
        <v>-</v>
      </c>
      <c r="O22" s="137"/>
      <c r="P22" s="138"/>
      <c r="Q22" s="150"/>
      <c r="R22" s="151"/>
      <c r="S22" s="151"/>
      <c r="T22" s="152"/>
      <c r="U22" s="152"/>
      <c r="V22" s="152"/>
      <c r="W22" s="158"/>
      <c r="X22" s="159"/>
      <c r="Y22" s="160"/>
      <c r="Z22" s="150"/>
      <c r="AA22" s="151"/>
      <c r="AB22" s="151"/>
      <c r="AC22" s="152"/>
      <c r="AD22" s="152"/>
      <c r="AE22" s="152"/>
      <c r="AF22" s="158"/>
      <c r="AG22" s="159"/>
      <c r="AH22" s="160"/>
      <c r="AI22" s="161"/>
      <c r="AJ22" s="141"/>
      <c r="AK22" s="141"/>
      <c r="AL22" s="149"/>
      <c r="AM22" s="149"/>
      <c r="AN22" s="149"/>
      <c r="AO22" s="136" t="str">
        <f t="shared" si="3"/>
        <v>-</v>
      </c>
      <c r="AP22" s="137"/>
      <c r="AQ22" s="138"/>
    </row>
    <row r="23" spans="1:43" ht="13.15" customHeight="1">
      <c r="A23" s="12"/>
      <c r="B23" s="168" t="s">
        <v>162</v>
      </c>
      <c r="C23" s="169"/>
      <c r="D23" s="169"/>
      <c r="E23" s="169"/>
      <c r="F23" s="169"/>
      <c r="G23" s="170"/>
      <c r="H23" s="145"/>
      <c r="I23" s="141"/>
      <c r="J23" s="141"/>
      <c r="K23" s="149"/>
      <c r="L23" s="149"/>
      <c r="M23" s="149"/>
      <c r="N23" s="136" t="str">
        <f t="shared" si="5"/>
        <v>-</v>
      </c>
      <c r="O23" s="137"/>
      <c r="P23" s="138"/>
      <c r="Q23" s="150"/>
      <c r="R23" s="151"/>
      <c r="S23" s="151"/>
      <c r="T23" s="152"/>
      <c r="U23" s="152"/>
      <c r="V23" s="152"/>
      <c r="W23" s="158"/>
      <c r="X23" s="159"/>
      <c r="Y23" s="160"/>
      <c r="Z23" s="150"/>
      <c r="AA23" s="151"/>
      <c r="AB23" s="151"/>
      <c r="AC23" s="152"/>
      <c r="AD23" s="152"/>
      <c r="AE23" s="152"/>
      <c r="AF23" s="158"/>
      <c r="AG23" s="159"/>
      <c r="AH23" s="160"/>
      <c r="AI23" s="161"/>
      <c r="AJ23" s="141"/>
      <c r="AK23" s="141"/>
      <c r="AL23" s="149"/>
      <c r="AM23" s="149"/>
      <c r="AN23" s="149"/>
      <c r="AO23" s="136" t="str">
        <f t="shared" si="3"/>
        <v>-</v>
      </c>
      <c r="AP23" s="137"/>
      <c r="AQ23" s="138"/>
    </row>
    <row r="24" spans="1:43" ht="13.15" customHeight="1">
      <c r="A24" s="12"/>
      <c r="B24" s="168" t="s">
        <v>17</v>
      </c>
      <c r="C24" s="169"/>
      <c r="D24" s="169"/>
      <c r="E24" s="169"/>
      <c r="F24" s="169"/>
      <c r="G24" s="170"/>
      <c r="H24" s="145"/>
      <c r="I24" s="141"/>
      <c r="J24" s="141"/>
      <c r="K24" s="149"/>
      <c r="L24" s="149"/>
      <c r="M24" s="149"/>
      <c r="N24" s="136" t="str">
        <f t="shared" si="5"/>
        <v>-</v>
      </c>
      <c r="O24" s="137"/>
      <c r="P24" s="138"/>
      <c r="Q24" s="150"/>
      <c r="R24" s="151"/>
      <c r="S24" s="151"/>
      <c r="T24" s="152"/>
      <c r="U24" s="152"/>
      <c r="V24" s="152"/>
      <c r="W24" s="158"/>
      <c r="X24" s="159"/>
      <c r="Y24" s="160"/>
      <c r="Z24" s="145"/>
      <c r="AA24" s="141"/>
      <c r="AB24" s="141"/>
      <c r="AC24" s="149"/>
      <c r="AD24" s="149"/>
      <c r="AE24" s="149"/>
      <c r="AF24" s="136" t="str">
        <f t="shared" ref="AF24:AF27" si="6">IF(Z24="-", "-", IF(AC24="-", "-", IF(ABS(AC24)=0, "-", ROUND(100*(Z24-AC24)/ABS(AC24),1))))</f>
        <v>-</v>
      </c>
      <c r="AG24" s="137"/>
      <c r="AH24" s="138"/>
      <c r="AI24" s="161"/>
      <c r="AJ24" s="141"/>
      <c r="AK24" s="141"/>
      <c r="AL24" s="149"/>
      <c r="AM24" s="149"/>
      <c r="AN24" s="149"/>
      <c r="AO24" s="136" t="str">
        <f t="shared" si="3"/>
        <v>-</v>
      </c>
      <c r="AP24" s="137"/>
      <c r="AQ24" s="138"/>
    </row>
    <row r="25" spans="1:43" ht="13.15" customHeight="1">
      <c r="A25" s="12"/>
      <c r="B25" s="168" t="s">
        <v>18</v>
      </c>
      <c r="C25" s="169"/>
      <c r="D25" s="169"/>
      <c r="E25" s="169"/>
      <c r="F25" s="169"/>
      <c r="G25" s="170"/>
      <c r="H25" s="145"/>
      <c r="I25" s="141"/>
      <c r="J25" s="141"/>
      <c r="K25" s="149"/>
      <c r="L25" s="149"/>
      <c r="M25" s="149"/>
      <c r="N25" s="136" t="str">
        <f t="shared" si="5"/>
        <v>-</v>
      </c>
      <c r="O25" s="137"/>
      <c r="P25" s="138"/>
      <c r="Q25" s="150"/>
      <c r="R25" s="151"/>
      <c r="S25" s="151"/>
      <c r="T25" s="152"/>
      <c r="U25" s="152"/>
      <c r="V25" s="152"/>
      <c r="W25" s="158"/>
      <c r="X25" s="159"/>
      <c r="Y25" s="160"/>
      <c r="Z25" s="145"/>
      <c r="AA25" s="141"/>
      <c r="AB25" s="141"/>
      <c r="AC25" s="149"/>
      <c r="AD25" s="149"/>
      <c r="AE25" s="149"/>
      <c r="AF25" s="136" t="str">
        <f t="shared" si="6"/>
        <v>-</v>
      </c>
      <c r="AG25" s="137"/>
      <c r="AH25" s="138"/>
      <c r="AI25" s="161"/>
      <c r="AJ25" s="141"/>
      <c r="AK25" s="141"/>
      <c r="AL25" s="149"/>
      <c r="AM25" s="149"/>
      <c r="AN25" s="149"/>
      <c r="AO25" s="136" t="str">
        <f t="shared" si="3"/>
        <v>-</v>
      </c>
      <c r="AP25" s="137"/>
      <c r="AQ25" s="138"/>
    </row>
    <row r="26" spans="1:43" ht="13.15" customHeight="1">
      <c r="A26" s="12"/>
      <c r="B26" s="168" t="s">
        <v>19</v>
      </c>
      <c r="C26" s="169"/>
      <c r="D26" s="169"/>
      <c r="E26" s="169"/>
      <c r="F26" s="169"/>
      <c r="G26" s="170"/>
      <c r="H26" s="145"/>
      <c r="I26" s="141"/>
      <c r="J26" s="141"/>
      <c r="K26" s="149"/>
      <c r="L26" s="149"/>
      <c r="M26" s="149"/>
      <c r="N26" s="136" t="str">
        <f t="shared" si="5"/>
        <v>-</v>
      </c>
      <c r="O26" s="137"/>
      <c r="P26" s="138"/>
      <c r="Q26" s="150"/>
      <c r="R26" s="151"/>
      <c r="S26" s="151"/>
      <c r="T26" s="152"/>
      <c r="U26" s="152"/>
      <c r="V26" s="152"/>
      <c r="W26" s="158"/>
      <c r="X26" s="159"/>
      <c r="Y26" s="160"/>
      <c r="Z26" s="145"/>
      <c r="AA26" s="141"/>
      <c r="AB26" s="141"/>
      <c r="AC26" s="149"/>
      <c r="AD26" s="149"/>
      <c r="AE26" s="149"/>
      <c r="AF26" s="136" t="str">
        <f t="shared" si="6"/>
        <v>-</v>
      </c>
      <c r="AG26" s="137"/>
      <c r="AH26" s="138"/>
      <c r="AI26" s="161"/>
      <c r="AJ26" s="141"/>
      <c r="AK26" s="141"/>
      <c r="AL26" s="149"/>
      <c r="AM26" s="149"/>
      <c r="AN26" s="149"/>
      <c r="AO26" s="136" t="str">
        <f t="shared" si="3"/>
        <v>-</v>
      </c>
      <c r="AP26" s="137"/>
      <c r="AQ26" s="138"/>
    </row>
    <row r="27" spans="1:43" ht="13.15" customHeight="1">
      <c r="A27" s="12"/>
      <c r="B27" s="177" t="s">
        <v>20</v>
      </c>
      <c r="C27" s="178"/>
      <c r="D27" s="178"/>
      <c r="E27" s="178"/>
      <c r="F27" s="178"/>
      <c r="G27" s="179"/>
      <c r="H27" s="180"/>
      <c r="I27" s="181"/>
      <c r="J27" s="181"/>
      <c r="K27" s="181"/>
      <c r="L27" s="181"/>
      <c r="M27" s="181"/>
      <c r="N27" s="182" t="str">
        <f t="shared" si="5"/>
        <v>-</v>
      </c>
      <c r="O27" s="183"/>
      <c r="P27" s="184"/>
      <c r="Q27" s="185"/>
      <c r="R27" s="186"/>
      <c r="S27" s="186"/>
      <c r="T27" s="187"/>
      <c r="U27" s="187"/>
      <c r="V27" s="187"/>
      <c r="W27" s="188"/>
      <c r="X27" s="189"/>
      <c r="Y27" s="190"/>
      <c r="Z27" s="145"/>
      <c r="AA27" s="141"/>
      <c r="AB27" s="141"/>
      <c r="AC27" s="181"/>
      <c r="AD27" s="181"/>
      <c r="AE27" s="181"/>
      <c r="AF27" s="182" t="str">
        <f t="shared" si="6"/>
        <v>-</v>
      </c>
      <c r="AG27" s="183"/>
      <c r="AH27" s="184"/>
      <c r="AI27" s="180"/>
      <c r="AJ27" s="181"/>
      <c r="AK27" s="181"/>
      <c r="AL27" s="181"/>
      <c r="AM27" s="181"/>
      <c r="AN27" s="181"/>
      <c r="AO27" s="182" t="str">
        <f t="shared" si="3"/>
        <v>-</v>
      </c>
      <c r="AP27" s="183"/>
      <c r="AQ27" s="184"/>
    </row>
    <row r="28" spans="1:43" ht="13.15" customHeight="1">
      <c r="A28" s="194" t="s">
        <v>21</v>
      </c>
      <c r="B28" s="195"/>
      <c r="C28" s="195"/>
      <c r="D28" s="195"/>
      <c r="E28" s="195"/>
      <c r="F28" s="195"/>
      <c r="G28" s="196"/>
      <c r="H28" s="145"/>
      <c r="I28" s="141"/>
      <c r="J28" s="141"/>
      <c r="K28" s="140"/>
      <c r="L28" s="140"/>
      <c r="M28" s="140"/>
      <c r="N28" s="136" t="str">
        <f t="shared" si="5"/>
        <v>-</v>
      </c>
      <c r="O28" s="137"/>
      <c r="P28" s="138"/>
      <c r="Q28" s="145"/>
      <c r="R28" s="141"/>
      <c r="S28" s="141"/>
      <c r="T28" s="140"/>
      <c r="U28" s="140"/>
      <c r="V28" s="140"/>
      <c r="W28" s="136" t="str">
        <f t="shared" ref="W28:W31" si="7">IF(Q28="-", "-", IF(T28="-", "-", IF(ABS(T28)=0, "-", ROUND(100*(Q28-T28)/ABS(T28),1))))</f>
        <v>-</v>
      </c>
      <c r="X28" s="137"/>
      <c r="Y28" s="138"/>
      <c r="Z28" s="174"/>
      <c r="AA28" s="175"/>
      <c r="AB28" s="175"/>
      <c r="AC28" s="176"/>
      <c r="AD28" s="176"/>
      <c r="AE28" s="176"/>
      <c r="AF28" s="191"/>
      <c r="AG28" s="192"/>
      <c r="AH28" s="193"/>
      <c r="AI28" s="161"/>
      <c r="AJ28" s="141"/>
      <c r="AK28" s="141"/>
      <c r="AL28" s="140"/>
      <c r="AM28" s="140"/>
      <c r="AN28" s="140"/>
      <c r="AO28" s="136" t="str">
        <f t="shared" si="3"/>
        <v>-</v>
      </c>
      <c r="AP28" s="137"/>
      <c r="AQ28" s="138"/>
    </row>
    <row r="29" spans="1:43" ht="13.15" customHeight="1">
      <c r="A29" s="12"/>
      <c r="B29" s="168" t="s">
        <v>22</v>
      </c>
      <c r="C29" s="169"/>
      <c r="D29" s="169"/>
      <c r="E29" s="169"/>
      <c r="F29" s="169"/>
      <c r="G29" s="170"/>
      <c r="H29" s="145"/>
      <c r="I29" s="141"/>
      <c r="J29" s="141"/>
      <c r="K29" s="149"/>
      <c r="L29" s="149"/>
      <c r="M29" s="149"/>
      <c r="N29" s="136" t="str">
        <f t="shared" si="5"/>
        <v>-</v>
      </c>
      <c r="O29" s="137"/>
      <c r="P29" s="138"/>
      <c r="Q29" s="145"/>
      <c r="R29" s="141"/>
      <c r="S29" s="141"/>
      <c r="T29" s="149"/>
      <c r="U29" s="149"/>
      <c r="V29" s="149"/>
      <c r="W29" s="136" t="str">
        <f t="shared" si="7"/>
        <v>-</v>
      </c>
      <c r="X29" s="137"/>
      <c r="Y29" s="138"/>
      <c r="Z29" s="150"/>
      <c r="AA29" s="151"/>
      <c r="AB29" s="151"/>
      <c r="AC29" s="152"/>
      <c r="AD29" s="152"/>
      <c r="AE29" s="152"/>
      <c r="AF29" s="155"/>
      <c r="AG29" s="156"/>
      <c r="AH29" s="157"/>
      <c r="AI29" s="161"/>
      <c r="AJ29" s="141"/>
      <c r="AK29" s="141"/>
      <c r="AL29" s="149"/>
      <c r="AM29" s="149"/>
      <c r="AN29" s="149"/>
      <c r="AO29" s="136" t="str">
        <f t="shared" si="3"/>
        <v>-</v>
      </c>
      <c r="AP29" s="137"/>
      <c r="AQ29" s="138"/>
    </row>
    <row r="30" spans="1:43" ht="13.15" customHeight="1">
      <c r="A30" s="12"/>
      <c r="B30" s="177" t="s">
        <v>23</v>
      </c>
      <c r="C30" s="178"/>
      <c r="D30" s="178"/>
      <c r="E30" s="178"/>
      <c r="F30" s="178"/>
      <c r="G30" s="179"/>
      <c r="H30" s="180"/>
      <c r="I30" s="181"/>
      <c r="J30" s="181"/>
      <c r="K30" s="181"/>
      <c r="L30" s="181"/>
      <c r="M30" s="181"/>
      <c r="N30" s="182" t="str">
        <f t="shared" si="5"/>
        <v>-</v>
      </c>
      <c r="O30" s="183"/>
      <c r="P30" s="184"/>
      <c r="Q30" s="180"/>
      <c r="R30" s="181"/>
      <c r="S30" s="181"/>
      <c r="T30" s="181"/>
      <c r="U30" s="181"/>
      <c r="V30" s="181"/>
      <c r="W30" s="182" t="str">
        <f t="shared" si="7"/>
        <v>-</v>
      </c>
      <c r="X30" s="183"/>
      <c r="Y30" s="184"/>
      <c r="Z30" s="185"/>
      <c r="AA30" s="186"/>
      <c r="AB30" s="186"/>
      <c r="AC30" s="187"/>
      <c r="AD30" s="187"/>
      <c r="AE30" s="187"/>
      <c r="AF30" s="197"/>
      <c r="AG30" s="198"/>
      <c r="AH30" s="199"/>
      <c r="AI30" s="180"/>
      <c r="AJ30" s="181"/>
      <c r="AK30" s="181"/>
      <c r="AL30" s="181"/>
      <c r="AM30" s="181"/>
      <c r="AN30" s="181"/>
      <c r="AO30" s="182" t="str">
        <f t="shared" si="3"/>
        <v>-</v>
      </c>
      <c r="AP30" s="183"/>
      <c r="AQ30" s="184"/>
    </row>
    <row r="31" spans="1:43" ht="13.15" customHeight="1">
      <c r="A31" s="200" t="s">
        <v>24</v>
      </c>
      <c r="B31" s="201"/>
      <c r="C31" s="201"/>
      <c r="D31" s="201"/>
      <c r="E31" s="201"/>
      <c r="F31" s="201"/>
      <c r="G31" s="202"/>
      <c r="H31" s="145"/>
      <c r="I31" s="141"/>
      <c r="J31" s="141"/>
      <c r="K31" s="203"/>
      <c r="L31" s="203"/>
      <c r="M31" s="203"/>
      <c r="N31" s="182" t="str">
        <f t="shared" si="5"/>
        <v>-</v>
      </c>
      <c r="O31" s="183"/>
      <c r="P31" s="184"/>
      <c r="Q31" s="145"/>
      <c r="R31" s="141"/>
      <c r="S31" s="141"/>
      <c r="T31" s="203"/>
      <c r="U31" s="203"/>
      <c r="V31" s="203"/>
      <c r="W31" s="182" t="str">
        <f t="shared" si="7"/>
        <v>-</v>
      </c>
      <c r="X31" s="183"/>
      <c r="Y31" s="184"/>
      <c r="Z31" s="145"/>
      <c r="AA31" s="141"/>
      <c r="AB31" s="141"/>
      <c r="AC31" s="203"/>
      <c r="AD31" s="203"/>
      <c r="AE31" s="203"/>
      <c r="AF31" s="182" t="str">
        <f t="shared" ref="AF31" si="8">IF(Z31="-", "-", IF(AC31="-", "-", IF(ABS(AC31)=0, "-", ROUND(100*(Z31-AC31)/ABS(AC31),1))))</f>
        <v>-</v>
      </c>
      <c r="AG31" s="183"/>
      <c r="AH31" s="184"/>
      <c r="AI31" s="204"/>
      <c r="AJ31" s="203"/>
      <c r="AK31" s="203"/>
      <c r="AL31" s="203"/>
      <c r="AM31" s="203"/>
      <c r="AN31" s="203"/>
      <c r="AO31" s="182" t="str">
        <f t="shared" si="3"/>
        <v>-</v>
      </c>
      <c r="AP31" s="183"/>
      <c r="AQ31" s="184"/>
    </row>
    <row r="32" spans="1:43" ht="13.15" customHeight="1">
      <c r="A32" s="200" t="s">
        <v>25</v>
      </c>
      <c r="B32" s="201"/>
      <c r="C32" s="201"/>
      <c r="D32" s="201"/>
      <c r="E32" s="201"/>
      <c r="F32" s="201"/>
      <c r="G32" s="202"/>
      <c r="H32" s="205"/>
      <c r="I32" s="206"/>
      <c r="J32" s="206"/>
      <c r="K32" s="206"/>
      <c r="L32" s="206"/>
      <c r="M32" s="206"/>
      <c r="N32" s="207"/>
      <c r="O32" s="208"/>
      <c r="P32" s="209"/>
      <c r="Q32" s="210"/>
      <c r="R32" s="206"/>
      <c r="S32" s="206"/>
      <c r="T32" s="206"/>
      <c r="U32" s="206"/>
      <c r="V32" s="206"/>
      <c r="W32" s="207"/>
      <c r="X32" s="208"/>
      <c r="Y32" s="209"/>
      <c r="Z32" s="210"/>
      <c r="AA32" s="206"/>
      <c r="AB32" s="206"/>
      <c r="AC32" s="206"/>
      <c r="AD32" s="206"/>
      <c r="AE32" s="206"/>
      <c r="AF32" s="207"/>
      <c r="AG32" s="208"/>
      <c r="AH32" s="209"/>
      <c r="AI32" s="204"/>
      <c r="AJ32" s="203"/>
      <c r="AK32" s="203"/>
      <c r="AL32" s="203"/>
      <c r="AM32" s="203"/>
      <c r="AN32" s="203"/>
      <c r="AO32" s="182" t="str">
        <f t="shared" si="3"/>
        <v>-</v>
      </c>
      <c r="AP32" s="183"/>
      <c r="AQ32" s="184"/>
    </row>
    <row r="33" spans="1:43" ht="13.15" customHeight="1">
      <c r="A33" s="200" t="s">
        <v>26</v>
      </c>
      <c r="B33" s="201"/>
      <c r="C33" s="201"/>
      <c r="D33" s="201"/>
      <c r="E33" s="201"/>
      <c r="F33" s="201"/>
      <c r="G33" s="202"/>
      <c r="H33" s="205"/>
      <c r="I33" s="206"/>
      <c r="J33" s="206"/>
      <c r="K33" s="206"/>
      <c r="L33" s="206"/>
      <c r="M33" s="206"/>
      <c r="N33" s="207"/>
      <c r="O33" s="208"/>
      <c r="P33" s="209"/>
      <c r="Q33" s="210"/>
      <c r="R33" s="206"/>
      <c r="S33" s="206"/>
      <c r="T33" s="206"/>
      <c r="U33" s="206"/>
      <c r="V33" s="206"/>
      <c r="W33" s="207"/>
      <c r="X33" s="208"/>
      <c r="Y33" s="209"/>
      <c r="Z33" s="210"/>
      <c r="AA33" s="206"/>
      <c r="AB33" s="206"/>
      <c r="AC33" s="206"/>
      <c r="AD33" s="206"/>
      <c r="AE33" s="206"/>
      <c r="AF33" s="207"/>
      <c r="AG33" s="208"/>
      <c r="AH33" s="209"/>
      <c r="AI33" s="204"/>
      <c r="AJ33" s="203"/>
      <c r="AK33" s="203"/>
      <c r="AL33" s="203"/>
      <c r="AM33" s="203"/>
      <c r="AN33" s="203"/>
      <c r="AO33" s="182" t="str">
        <f t="shared" si="3"/>
        <v>-</v>
      </c>
      <c r="AP33" s="183"/>
      <c r="AQ33" s="184"/>
    </row>
    <row r="34" spans="1:43" ht="13.15" customHeight="1">
      <c r="A34" s="200" t="s">
        <v>27</v>
      </c>
      <c r="B34" s="201"/>
      <c r="C34" s="201"/>
      <c r="D34" s="201"/>
      <c r="E34" s="201"/>
      <c r="F34" s="201"/>
      <c r="G34" s="202"/>
      <c r="H34" s="205"/>
      <c r="I34" s="206"/>
      <c r="J34" s="206"/>
      <c r="K34" s="206"/>
      <c r="L34" s="206"/>
      <c r="M34" s="206"/>
      <c r="N34" s="207"/>
      <c r="O34" s="208"/>
      <c r="P34" s="209"/>
      <c r="Q34" s="210"/>
      <c r="R34" s="206"/>
      <c r="S34" s="206"/>
      <c r="T34" s="206"/>
      <c r="U34" s="206"/>
      <c r="V34" s="206"/>
      <c r="W34" s="207"/>
      <c r="X34" s="208"/>
      <c r="Y34" s="209"/>
      <c r="Z34" s="210"/>
      <c r="AA34" s="206"/>
      <c r="AB34" s="206"/>
      <c r="AC34" s="206"/>
      <c r="AD34" s="206"/>
      <c r="AE34" s="206"/>
      <c r="AF34" s="207"/>
      <c r="AG34" s="208"/>
      <c r="AH34" s="209"/>
      <c r="AI34" s="204"/>
      <c r="AJ34" s="203"/>
      <c r="AK34" s="203"/>
      <c r="AL34" s="203"/>
      <c r="AM34" s="203"/>
      <c r="AN34" s="203"/>
      <c r="AO34" s="182" t="str">
        <f t="shared" si="3"/>
        <v>-</v>
      </c>
      <c r="AP34" s="183"/>
      <c r="AQ34" s="184"/>
    </row>
    <row r="35" spans="1:43" ht="13.15" customHeight="1">
      <c r="A35" s="200" t="s">
        <v>28</v>
      </c>
      <c r="B35" s="201"/>
      <c r="C35" s="201"/>
      <c r="D35" s="201"/>
      <c r="E35" s="201"/>
      <c r="F35" s="201"/>
      <c r="G35" s="202"/>
      <c r="H35" s="205"/>
      <c r="I35" s="206"/>
      <c r="J35" s="206"/>
      <c r="K35" s="206"/>
      <c r="L35" s="206"/>
      <c r="M35" s="206"/>
      <c r="N35" s="207"/>
      <c r="O35" s="208"/>
      <c r="P35" s="209"/>
      <c r="Q35" s="210"/>
      <c r="R35" s="206"/>
      <c r="S35" s="206"/>
      <c r="T35" s="206"/>
      <c r="U35" s="206"/>
      <c r="V35" s="206"/>
      <c r="W35" s="207"/>
      <c r="X35" s="208"/>
      <c r="Y35" s="209"/>
      <c r="Z35" s="210"/>
      <c r="AA35" s="206"/>
      <c r="AB35" s="206"/>
      <c r="AC35" s="206"/>
      <c r="AD35" s="206"/>
      <c r="AE35" s="206"/>
      <c r="AF35" s="207"/>
      <c r="AG35" s="208"/>
      <c r="AH35" s="209"/>
      <c r="AI35" s="204"/>
      <c r="AJ35" s="203"/>
      <c r="AK35" s="203"/>
      <c r="AL35" s="203"/>
      <c r="AM35" s="203"/>
      <c r="AN35" s="203"/>
      <c r="AO35" s="182" t="str">
        <f t="shared" si="3"/>
        <v>-</v>
      </c>
      <c r="AP35" s="183"/>
      <c r="AQ35" s="184"/>
    </row>
    <row r="36" spans="1:43" ht="13.15" customHeight="1">
      <c r="A36" s="200" t="s">
        <v>29</v>
      </c>
      <c r="B36" s="201"/>
      <c r="C36" s="201"/>
      <c r="D36" s="201"/>
      <c r="E36" s="201"/>
      <c r="F36" s="201"/>
      <c r="G36" s="202"/>
      <c r="H36" s="205"/>
      <c r="I36" s="206"/>
      <c r="J36" s="206"/>
      <c r="K36" s="206"/>
      <c r="L36" s="206"/>
      <c r="M36" s="206"/>
      <c r="N36" s="207"/>
      <c r="O36" s="208"/>
      <c r="P36" s="209"/>
      <c r="Q36" s="210"/>
      <c r="R36" s="206"/>
      <c r="S36" s="206"/>
      <c r="T36" s="206"/>
      <c r="U36" s="206"/>
      <c r="V36" s="206"/>
      <c r="W36" s="207"/>
      <c r="X36" s="208"/>
      <c r="Y36" s="209"/>
      <c r="Z36" s="210"/>
      <c r="AA36" s="206"/>
      <c r="AB36" s="206"/>
      <c r="AC36" s="206"/>
      <c r="AD36" s="206"/>
      <c r="AE36" s="206"/>
      <c r="AF36" s="207"/>
      <c r="AG36" s="208"/>
      <c r="AH36" s="209"/>
      <c r="AI36" s="204"/>
      <c r="AJ36" s="203"/>
      <c r="AK36" s="203"/>
      <c r="AL36" s="203"/>
      <c r="AM36" s="203"/>
      <c r="AN36" s="203"/>
      <c r="AO36" s="182" t="str">
        <f t="shared" si="3"/>
        <v>-</v>
      </c>
      <c r="AP36" s="183"/>
      <c r="AQ36" s="184"/>
    </row>
    <row r="37" spans="1:43" ht="13.15" customHeight="1">
      <c r="A37" s="200" t="s">
        <v>30</v>
      </c>
      <c r="B37" s="201"/>
      <c r="C37" s="201"/>
      <c r="D37" s="201"/>
      <c r="E37" s="201"/>
      <c r="F37" s="201"/>
      <c r="G37" s="202"/>
      <c r="H37" s="205"/>
      <c r="I37" s="206"/>
      <c r="J37" s="206"/>
      <c r="K37" s="206"/>
      <c r="L37" s="206"/>
      <c r="M37" s="206"/>
      <c r="N37" s="207"/>
      <c r="O37" s="208"/>
      <c r="P37" s="209"/>
      <c r="Q37" s="210"/>
      <c r="R37" s="206"/>
      <c r="S37" s="206"/>
      <c r="T37" s="206"/>
      <c r="U37" s="206"/>
      <c r="V37" s="206"/>
      <c r="W37" s="207"/>
      <c r="X37" s="208"/>
      <c r="Y37" s="209"/>
      <c r="Z37" s="210"/>
      <c r="AA37" s="206"/>
      <c r="AB37" s="206"/>
      <c r="AC37" s="206"/>
      <c r="AD37" s="206"/>
      <c r="AE37" s="206"/>
      <c r="AF37" s="207"/>
      <c r="AG37" s="208"/>
      <c r="AH37" s="209"/>
      <c r="AI37" s="204"/>
      <c r="AJ37" s="203"/>
      <c r="AK37" s="203"/>
      <c r="AL37" s="203"/>
      <c r="AM37" s="203"/>
      <c r="AN37" s="203"/>
      <c r="AO37" s="182" t="str">
        <f t="shared" si="3"/>
        <v>-</v>
      </c>
      <c r="AP37" s="183"/>
      <c r="AQ37" s="184"/>
    </row>
    <row r="38" spans="1:43" ht="13.15" customHeight="1">
      <c r="A38" s="200" t="s">
        <v>31</v>
      </c>
      <c r="B38" s="201"/>
      <c r="C38" s="201"/>
      <c r="D38" s="201"/>
      <c r="E38" s="201"/>
      <c r="F38" s="201"/>
      <c r="G38" s="202"/>
      <c r="H38" s="205"/>
      <c r="I38" s="206"/>
      <c r="J38" s="206"/>
      <c r="K38" s="206"/>
      <c r="L38" s="206"/>
      <c r="M38" s="206"/>
      <c r="N38" s="207"/>
      <c r="O38" s="208"/>
      <c r="P38" s="209"/>
      <c r="Q38" s="210"/>
      <c r="R38" s="206"/>
      <c r="S38" s="206"/>
      <c r="T38" s="206"/>
      <c r="U38" s="206"/>
      <c r="V38" s="206"/>
      <c r="W38" s="207"/>
      <c r="X38" s="208"/>
      <c r="Y38" s="209"/>
      <c r="Z38" s="210"/>
      <c r="AA38" s="206"/>
      <c r="AB38" s="206"/>
      <c r="AC38" s="206"/>
      <c r="AD38" s="206"/>
      <c r="AE38" s="206"/>
      <c r="AF38" s="207"/>
      <c r="AG38" s="208"/>
      <c r="AH38" s="209"/>
      <c r="AI38" s="204"/>
      <c r="AJ38" s="203"/>
      <c r="AK38" s="203"/>
      <c r="AL38" s="203"/>
      <c r="AM38" s="203"/>
      <c r="AN38" s="203"/>
      <c r="AO38" s="182" t="str">
        <f t="shared" si="3"/>
        <v>-</v>
      </c>
      <c r="AP38" s="183"/>
      <c r="AQ38" s="184"/>
    </row>
    <row r="39" spans="1:43" ht="13.15" customHeight="1">
      <c r="A39" s="200" t="s">
        <v>32</v>
      </c>
      <c r="B39" s="201"/>
      <c r="C39" s="201"/>
      <c r="D39" s="201"/>
      <c r="E39" s="201"/>
      <c r="F39" s="201"/>
      <c r="G39" s="202"/>
      <c r="H39" s="205"/>
      <c r="I39" s="206"/>
      <c r="J39" s="206"/>
      <c r="K39" s="206"/>
      <c r="L39" s="206"/>
      <c r="M39" s="206"/>
      <c r="N39" s="207"/>
      <c r="O39" s="208"/>
      <c r="P39" s="209"/>
      <c r="Q39" s="210"/>
      <c r="R39" s="206"/>
      <c r="S39" s="206"/>
      <c r="T39" s="206"/>
      <c r="U39" s="206"/>
      <c r="V39" s="206"/>
      <c r="W39" s="207"/>
      <c r="X39" s="208"/>
      <c r="Y39" s="209"/>
      <c r="Z39" s="210"/>
      <c r="AA39" s="206"/>
      <c r="AB39" s="206"/>
      <c r="AC39" s="206"/>
      <c r="AD39" s="206"/>
      <c r="AE39" s="206"/>
      <c r="AF39" s="207"/>
      <c r="AG39" s="208"/>
      <c r="AH39" s="209"/>
      <c r="AI39" s="211"/>
      <c r="AJ39" s="212"/>
      <c r="AK39" s="212"/>
      <c r="AL39" s="203"/>
      <c r="AM39" s="203"/>
      <c r="AN39" s="203"/>
      <c r="AO39" s="182" t="str">
        <f t="shared" si="3"/>
        <v>-</v>
      </c>
      <c r="AP39" s="183"/>
      <c r="AQ39" s="184"/>
    </row>
    <row r="40" spans="1:43" ht="13.15" customHeight="1">
      <c r="AI40" s="15"/>
      <c r="AJ40" s="15"/>
      <c r="AK40" s="15"/>
      <c r="AL40" s="15"/>
      <c r="AM40" s="15"/>
      <c r="AN40" s="15"/>
      <c r="AO40" s="15"/>
      <c r="AP40" s="15"/>
      <c r="AQ40" s="15"/>
    </row>
  </sheetData>
  <mergeCells count="421"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875" style="10" customWidth="1"/>
    <col min="44" max="49" width="2.625" style="10" customWidth="1"/>
    <col min="50" max="58" width="2.625" style="10"/>
    <col min="59" max="71" width="2.625" style="11"/>
    <col min="72" max="16384" width="2.625" style="10"/>
  </cols>
  <sheetData>
    <row r="1" spans="1:71" s="3" customFormat="1" ht="13.5" customHeight="1">
      <c r="A1" s="113" t="str">
        <f>IF(No.1!A1="","",No.1!A1)</f>
        <v/>
      </c>
      <c r="B1" s="114"/>
      <c r="C1" s="96" t="s">
        <v>216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72"/>
      <c r="AM2" s="72"/>
      <c r="AN2" s="72"/>
      <c r="AO2" s="72"/>
      <c r="AP2" s="72"/>
      <c r="AQ2" s="73"/>
      <c r="AR2" s="73"/>
      <c r="AS2" s="73"/>
      <c r="AT2" s="73"/>
      <c r="AU2" s="74"/>
      <c r="AV2" s="74"/>
      <c r="AW2" s="74"/>
      <c r="AX2" s="74"/>
    </row>
    <row r="3" spans="1:71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71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71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71" s="98" customFormat="1" ht="13.5" customHeight="1">
      <c r="A6" s="100"/>
      <c r="H6" s="101"/>
    </row>
    <row r="7" spans="1:71" s="6" customFormat="1" ht="13.15" customHeight="1">
      <c r="A7" s="6" t="s">
        <v>163</v>
      </c>
      <c r="AQ7" s="7" t="s">
        <v>1</v>
      </c>
      <c r="AV7" s="7"/>
      <c r="AW7" s="8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8"/>
    </row>
    <row r="8" spans="1:71" ht="13.15" customHeight="1">
      <c r="A8" s="127"/>
      <c r="B8" s="128"/>
      <c r="C8" s="128"/>
      <c r="D8" s="128"/>
      <c r="E8" s="128"/>
      <c r="F8" s="128"/>
      <c r="G8" s="129"/>
      <c r="H8" s="133" t="s">
        <v>2</v>
      </c>
      <c r="I8" s="133"/>
      <c r="J8" s="133"/>
      <c r="K8" s="133"/>
      <c r="L8" s="133"/>
      <c r="M8" s="133"/>
      <c r="N8" s="133"/>
      <c r="O8" s="133"/>
      <c r="P8" s="134"/>
      <c r="Q8" s="135" t="s">
        <v>209</v>
      </c>
      <c r="R8" s="133"/>
      <c r="S8" s="133"/>
      <c r="T8" s="133"/>
      <c r="U8" s="133"/>
      <c r="V8" s="133"/>
      <c r="W8" s="133"/>
      <c r="X8" s="133"/>
      <c r="Y8" s="134"/>
      <c r="Z8" s="135" t="s">
        <v>3</v>
      </c>
      <c r="AA8" s="133"/>
      <c r="AB8" s="133"/>
      <c r="AC8" s="133"/>
      <c r="AD8" s="133"/>
      <c r="AE8" s="133"/>
      <c r="AF8" s="133"/>
      <c r="AG8" s="133"/>
      <c r="AH8" s="134"/>
      <c r="AI8" s="133" t="s">
        <v>4</v>
      </c>
      <c r="AJ8" s="133"/>
      <c r="AK8" s="133"/>
      <c r="AL8" s="133"/>
      <c r="AM8" s="133"/>
      <c r="AN8" s="133"/>
      <c r="AO8" s="133"/>
      <c r="AP8" s="133"/>
      <c r="AQ8" s="134"/>
    </row>
    <row r="9" spans="1:71" ht="13.15" customHeight="1">
      <c r="A9" s="130"/>
      <c r="B9" s="131"/>
      <c r="C9" s="131"/>
      <c r="D9" s="131"/>
      <c r="E9" s="131"/>
      <c r="F9" s="131"/>
      <c r="G9" s="132"/>
      <c r="H9" s="125" t="s">
        <v>192</v>
      </c>
      <c r="I9" s="123"/>
      <c r="J9" s="126"/>
      <c r="K9" s="122" t="s">
        <v>193</v>
      </c>
      <c r="L9" s="123"/>
      <c r="M9" s="126"/>
      <c r="N9" s="122" t="s">
        <v>5</v>
      </c>
      <c r="O9" s="123"/>
      <c r="P9" s="124"/>
      <c r="Q9" s="125" t="s">
        <v>192</v>
      </c>
      <c r="R9" s="123"/>
      <c r="S9" s="126"/>
      <c r="T9" s="122" t="s">
        <v>193</v>
      </c>
      <c r="U9" s="123"/>
      <c r="V9" s="126"/>
      <c r="W9" s="122" t="s">
        <v>5</v>
      </c>
      <c r="X9" s="123"/>
      <c r="Y9" s="124"/>
      <c r="Z9" s="125" t="s">
        <v>192</v>
      </c>
      <c r="AA9" s="123"/>
      <c r="AB9" s="126"/>
      <c r="AC9" s="122" t="s">
        <v>193</v>
      </c>
      <c r="AD9" s="123"/>
      <c r="AE9" s="126"/>
      <c r="AF9" s="122" t="s">
        <v>5</v>
      </c>
      <c r="AG9" s="123"/>
      <c r="AH9" s="124"/>
      <c r="AI9" s="125" t="s">
        <v>192</v>
      </c>
      <c r="AJ9" s="123"/>
      <c r="AK9" s="126"/>
      <c r="AL9" s="122" t="s">
        <v>193</v>
      </c>
      <c r="AM9" s="123"/>
      <c r="AN9" s="126"/>
      <c r="AO9" s="122" t="s">
        <v>5</v>
      </c>
      <c r="AP9" s="123"/>
      <c r="AQ9" s="124"/>
    </row>
    <row r="10" spans="1:71" ht="13.15" customHeight="1">
      <c r="A10" s="142" t="s">
        <v>6</v>
      </c>
      <c r="B10" s="143"/>
      <c r="C10" s="143"/>
      <c r="D10" s="143"/>
      <c r="E10" s="143"/>
      <c r="F10" s="143"/>
      <c r="G10" s="144"/>
      <c r="H10" s="145"/>
      <c r="I10" s="141"/>
      <c r="J10" s="141"/>
      <c r="K10" s="141"/>
      <c r="L10" s="141"/>
      <c r="M10" s="141"/>
      <c r="N10" s="136" t="str">
        <f>IF(H10="-", "-", IF(K10="-", "-", IF(ABS(K10)=0, "-", ROUND(100*(H10-K10)/ABS(K10),1))))</f>
        <v>-</v>
      </c>
      <c r="O10" s="137"/>
      <c r="P10" s="138"/>
      <c r="Q10" s="145"/>
      <c r="R10" s="141"/>
      <c r="S10" s="141"/>
      <c r="T10" s="141"/>
      <c r="U10" s="141"/>
      <c r="V10" s="141"/>
      <c r="W10" s="136" t="str">
        <f>IF(Q10="-", "-", IF(T10="-", "-", IF(ABS(T10)=0, "-", ROUND(100*(Q10-T10)/ABS(T10),1))))</f>
        <v>-</v>
      </c>
      <c r="X10" s="137"/>
      <c r="Y10" s="138"/>
      <c r="Z10" s="145"/>
      <c r="AA10" s="141"/>
      <c r="AB10" s="141"/>
      <c r="AC10" s="141"/>
      <c r="AD10" s="141"/>
      <c r="AE10" s="141"/>
      <c r="AF10" s="136" t="str">
        <f>IF(Z10="-", "-", IF(AC10="-", "-", IF(ABS(AC10)=0, "-", ROUND(100*(Z10-AC10)/ABS(AC10),1))))</f>
        <v>-</v>
      </c>
      <c r="AG10" s="137"/>
      <c r="AH10" s="138"/>
      <c r="AI10" s="139"/>
      <c r="AJ10" s="140"/>
      <c r="AK10" s="140"/>
      <c r="AL10" s="141"/>
      <c r="AM10" s="141"/>
      <c r="AN10" s="141"/>
      <c r="AO10" s="136" t="str">
        <f>IF(AI10="-", "-", IF(AL10="-", "-", IF(ABS(AL10)=0, "-", ROUND(100*(AI10-AL10)/ABS(AL10),1))))</f>
        <v>-</v>
      </c>
      <c r="AP10" s="137"/>
      <c r="AQ10" s="138"/>
    </row>
    <row r="11" spans="1:71" ht="13.15" customHeight="1">
      <c r="A11" s="12"/>
      <c r="B11" s="146" t="s">
        <v>7</v>
      </c>
      <c r="C11" s="147"/>
      <c r="D11" s="147"/>
      <c r="E11" s="147"/>
      <c r="F11" s="147"/>
      <c r="G11" s="148"/>
      <c r="H11" s="145"/>
      <c r="I11" s="141"/>
      <c r="J11" s="141"/>
      <c r="K11" s="149"/>
      <c r="L11" s="149"/>
      <c r="M11" s="149"/>
      <c r="N11" s="136" t="str">
        <f t="shared" ref="N11:N12" si="0">IF(H11="-", "-", IF(K11="-", "-", IF(ABS(K11)=0, "-", ROUND(100*(H11-K11)/ABS(K11),1))))</f>
        <v>-</v>
      </c>
      <c r="O11" s="137"/>
      <c r="P11" s="138"/>
      <c r="Q11" s="213"/>
      <c r="R11" s="214"/>
      <c r="S11" s="214"/>
      <c r="T11" s="215"/>
      <c r="U11" s="215"/>
      <c r="V11" s="215"/>
      <c r="W11" s="155"/>
      <c r="X11" s="156"/>
      <c r="Y11" s="157"/>
      <c r="Z11" s="213"/>
      <c r="AA11" s="214"/>
      <c r="AB11" s="214"/>
      <c r="AC11" s="215"/>
      <c r="AD11" s="215"/>
      <c r="AE11" s="215"/>
      <c r="AF11" s="158"/>
      <c r="AG11" s="159"/>
      <c r="AH11" s="160"/>
      <c r="AI11" s="161"/>
      <c r="AJ11" s="141"/>
      <c r="AK11" s="141"/>
      <c r="AL11" s="149"/>
      <c r="AM11" s="149"/>
      <c r="AN11" s="149"/>
      <c r="AO11" s="136" t="str">
        <f t="shared" ref="AO11:AO12" si="1">IF(AI11="-", "-", IF(AL11="-", "-", IF(ABS(AL11)=0, "-", ROUND(100*(AI11-AL11)/ABS(AL11),1))))</f>
        <v>-</v>
      </c>
      <c r="AP11" s="137"/>
      <c r="AQ11" s="138"/>
    </row>
    <row r="12" spans="1:71" ht="13.15" customHeight="1">
      <c r="A12" s="12"/>
      <c r="B12" s="146" t="s">
        <v>160</v>
      </c>
      <c r="C12" s="147"/>
      <c r="D12" s="147"/>
      <c r="E12" s="147"/>
      <c r="F12" s="147"/>
      <c r="G12" s="148"/>
      <c r="H12" s="145"/>
      <c r="I12" s="141"/>
      <c r="J12" s="141"/>
      <c r="K12" s="149"/>
      <c r="L12" s="149"/>
      <c r="M12" s="149"/>
      <c r="N12" s="136" t="str">
        <f t="shared" si="0"/>
        <v>-</v>
      </c>
      <c r="O12" s="137"/>
      <c r="P12" s="138"/>
      <c r="Q12" s="216"/>
      <c r="R12" s="217"/>
      <c r="S12" s="217"/>
      <c r="T12" s="215"/>
      <c r="U12" s="215"/>
      <c r="V12" s="215"/>
      <c r="W12" s="155"/>
      <c r="X12" s="156"/>
      <c r="Y12" s="157"/>
      <c r="Z12" s="213"/>
      <c r="AA12" s="214"/>
      <c r="AB12" s="214"/>
      <c r="AC12" s="215"/>
      <c r="AD12" s="215"/>
      <c r="AE12" s="215"/>
      <c r="AF12" s="158"/>
      <c r="AG12" s="159"/>
      <c r="AH12" s="160"/>
      <c r="AI12" s="161"/>
      <c r="AJ12" s="141"/>
      <c r="AK12" s="141"/>
      <c r="AL12" s="149"/>
      <c r="AM12" s="149"/>
      <c r="AN12" s="149"/>
      <c r="AO12" s="136" t="str">
        <f t="shared" si="1"/>
        <v>-</v>
      </c>
      <c r="AP12" s="137"/>
      <c r="AQ12" s="138"/>
    </row>
    <row r="13" spans="1:71" ht="13.15" customHeight="1">
      <c r="A13" s="12"/>
      <c r="B13" s="162" t="s">
        <v>8</v>
      </c>
      <c r="C13" s="163"/>
      <c r="D13" s="163"/>
      <c r="E13" s="163"/>
      <c r="F13" s="163"/>
      <c r="G13" s="164"/>
      <c r="H13" s="145"/>
      <c r="I13" s="141"/>
      <c r="J13" s="141"/>
      <c r="K13" s="149"/>
      <c r="L13" s="149"/>
      <c r="M13" s="149"/>
      <c r="N13" s="136" t="str">
        <f>IF(H13="-", "-", IF(K13="-", "-", IF(ABS(K13)=0, "-", ROUND(100*(H13-K13)/ABS(K13),1))))</f>
        <v>-</v>
      </c>
      <c r="O13" s="137"/>
      <c r="P13" s="138"/>
      <c r="Q13" s="145"/>
      <c r="R13" s="141"/>
      <c r="S13" s="141"/>
      <c r="T13" s="149"/>
      <c r="U13" s="149"/>
      <c r="V13" s="149"/>
      <c r="W13" s="136" t="str">
        <f>IF(Q13="-", "-", IF(T13="-", "-", IF(ABS(T13)=0, "-", ROUND(100*(Q13-T13)/ABS(T13),1))))</f>
        <v>-</v>
      </c>
      <c r="X13" s="137"/>
      <c r="Y13" s="138"/>
      <c r="Z13" s="213"/>
      <c r="AA13" s="214"/>
      <c r="AB13" s="214"/>
      <c r="AC13" s="215"/>
      <c r="AD13" s="215"/>
      <c r="AE13" s="215"/>
      <c r="AF13" s="158"/>
      <c r="AG13" s="159"/>
      <c r="AH13" s="160"/>
      <c r="AI13" s="161"/>
      <c r="AJ13" s="141"/>
      <c r="AK13" s="141"/>
      <c r="AL13" s="149"/>
      <c r="AM13" s="149"/>
      <c r="AN13" s="149"/>
      <c r="AO13" s="136" t="str">
        <f>IF(AI13="-", "-", IF(AL13="-", "-", IF(ABS(AL13)=0, "-", ROUND(100*(AI13-AL13)/ABS(AL13),1))))</f>
        <v>-</v>
      </c>
      <c r="AP13" s="137"/>
      <c r="AQ13" s="138"/>
    </row>
    <row r="14" spans="1:71" ht="13.15" customHeight="1">
      <c r="A14" s="12"/>
      <c r="B14" s="13"/>
      <c r="C14" s="168" t="s">
        <v>9</v>
      </c>
      <c r="D14" s="169"/>
      <c r="E14" s="169"/>
      <c r="F14" s="169"/>
      <c r="G14" s="170"/>
      <c r="H14" s="145"/>
      <c r="I14" s="141"/>
      <c r="J14" s="141"/>
      <c r="K14" s="149"/>
      <c r="L14" s="149"/>
      <c r="M14" s="149"/>
      <c r="N14" s="136" t="str">
        <f>IF(H14="-", "-", IF(K14="-", "-", IF(ABS(K14)=0, "-", ROUND(100*(H14-K14)/ABS(K14),1))))</f>
        <v>-</v>
      </c>
      <c r="O14" s="137"/>
      <c r="P14" s="138"/>
      <c r="Q14" s="145"/>
      <c r="R14" s="141"/>
      <c r="S14" s="141"/>
      <c r="T14" s="149"/>
      <c r="U14" s="149"/>
      <c r="V14" s="149"/>
      <c r="W14" s="136" t="str">
        <f t="shared" ref="W14:W18" si="2">IF(Q14="-", "-", IF(T14="-", "-", IF(ABS(T14)=0, "-", ROUND(100*(Q14-T14)/ABS(T14),1))))</f>
        <v>-</v>
      </c>
      <c r="X14" s="137"/>
      <c r="Y14" s="138"/>
      <c r="Z14" s="213"/>
      <c r="AA14" s="214"/>
      <c r="AB14" s="214"/>
      <c r="AC14" s="215"/>
      <c r="AD14" s="215"/>
      <c r="AE14" s="215"/>
      <c r="AF14" s="158"/>
      <c r="AG14" s="159"/>
      <c r="AH14" s="160"/>
      <c r="AI14" s="161"/>
      <c r="AJ14" s="141"/>
      <c r="AK14" s="141"/>
      <c r="AL14" s="149"/>
      <c r="AM14" s="149"/>
      <c r="AN14" s="149"/>
      <c r="AO14" s="165" t="str">
        <f>IF(AI14="-", "-", IF(AL14="-", "-", IF(ABS(AL14)=0, "-", ROUND(100*(AI14-AL14)/ABS(AL14),1))))</f>
        <v>-</v>
      </c>
      <c r="AP14" s="166"/>
      <c r="AQ14" s="167"/>
    </row>
    <row r="15" spans="1:71" ht="13.15" customHeight="1">
      <c r="A15" s="12"/>
      <c r="B15" s="14"/>
      <c r="C15" s="171" t="s">
        <v>10</v>
      </c>
      <c r="D15" s="172"/>
      <c r="E15" s="172"/>
      <c r="F15" s="172"/>
      <c r="G15" s="173"/>
      <c r="H15" s="213"/>
      <c r="I15" s="214"/>
      <c r="J15" s="214"/>
      <c r="K15" s="215"/>
      <c r="L15" s="215"/>
      <c r="M15" s="215"/>
      <c r="N15" s="158"/>
      <c r="O15" s="159"/>
      <c r="P15" s="160"/>
      <c r="Q15" s="145"/>
      <c r="R15" s="141"/>
      <c r="S15" s="141"/>
      <c r="T15" s="149"/>
      <c r="U15" s="149"/>
      <c r="V15" s="149"/>
      <c r="W15" s="136" t="str">
        <f t="shared" si="2"/>
        <v>-</v>
      </c>
      <c r="X15" s="137"/>
      <c r="Y15" s="138"/>
      <c r="Z15" s="213"/>
      <c r="AA15" s="214"/>
      <c r="AB15" s="214"/>
      <c r="AC15" s="215"/>
      <c r="AD15" s="215"/>
      <c r="AE15" s="215"/>
      <c r="AF15" s="158"/>
      <c r="AG15" s="159"/>
      <c r="AH15" s="160"/>
      <c r="AI15" s="161"/>
      <c r="AJ15" s="141"/>
      <c r="AK15" s="141"/>
      <c r="AL15" s="149"/>
      <c r="AM15" s="149"/>
      <c r="AN15" s="149"/>
      <c r="AO15" s="136" t="str">
        <f t="shared" ref="AO15:AO39" si="3">IF(AI15="-", "-", IF(AL15="-", "-", IF(ABS(AL15)=0, "-", ROUND(100*(AI15-AL15)/ABS(AL15),1))))</f>
        <v>-</v>
      </c>
      <c r="AP15" s="137"/>
      <c r="AQ15" s="138"/>
    </row>
    <row r="16" spans="1:71" ht="13.15" customHeight="1">
      <c r="A16" s="12"/>
      <c r="B16" s="168" t="s">
        <v>11</v>
      </c>
      <c r="C16" s="169"/>
      <c r="D16" s="169"/>
      <c r="E16" s="169"/>
      <c r="F16" s="169"/>
      <c r="G16" s="170"/>
      <c r="H16" s="218"/>
      <c r="I16" s="149"/>
      <c r="J16" s="149"/>
      <c r="K16" s="149"/>
      <c r="L16" s="149"/>
      <c r="M16" s="149"/>
      <c r="N16" s="165" t="str">
        <f t="shared" ref="N16:N17" si="4">IF(H16="-", "-", IF(K16="-", "-", IF(ABS(K16)=0, "-", ROUND(100*(H16-K16)/ABS(K16),1))))</f>
        <v>-</v>
      </c>
      <c r="O16" s="166"/>
      <c r="P16" s="167"/>
      <c r="Q16" s="145"/>
      <c r="R16" s="141"/>
      <c r="S16" s="141"/>
      <c r="T16" s="149"/>
      <c r="U16" s="149"/>
      <c r="V16" s="149"/>
      <c r="W16" s="136" t="str">
        <f t="shared" si="2"/>
        <v>-</v>
      </c>
      <c r="X16" s="137"/>
      <c r="Y16" s="138"/>
      <c r="Z16" s="213"/>
      <c r="AA16" s="214"/>
      <c r="AB16" s="214"/>
      <c r="AC16" s="215"/>
      <c r="AD16" s="215"/>
      <c r="AE16" s="215"/>
      <c r="AF16" s="158"/>
      <c r="AG16" s="159"/>
      <c r="AH16" s="160"/>
      <c r="AI16" s="161"/>
      <c r="AJ16" s="141"/>
      <c r="AK16" s="141"/>
      <c r="AL16" s="149"/>
      <c r="AM16" s="149"/>
      <c r="AN16" s="149"/>
      <c r="AO16" s="136" t="str">
        <f t="shared" si="3"/>
        <v>-</v>
      </c>
      <c r="AP16" s="137"/>
      <c r="AQ16" s="138"/>
    </row>
    <row r="17" spans="1:43" ht="13.15" customHeight="1">
      <c r="A17" s="12"/>
      <c r="B17" s="168" t="s">
        <v>12</v>
      </c>
      <c r="C17" s="169"/>
      <c r="D17" s="169"/>
      <c r="E17" s="169"/>
      <c r="F17" s="169"/>
      <c r="G17" s="170"/>
      <c r="H17" s="161"/>
      <c r="I17" s="141"/>
      <c r="J17" s="141"/>
      <c r="K17" s="149"/>
      <c r="L17" s="149"/>
      <c r="M17" s="149"/>
      <c r="N17" s="136" t="str">
        <f t="shared" si="4"/>
        <v>-</v>
      </c>
      <c r="O17" s="137"/>
      <c r="P17" s="138"/>
      <c r="Q17" s="145"/>
      <c r="R17" s="141"/>
      <c r="S17" s="141"/>
      <c r="T17" s="149"/>
      <c r="U17" s="149"/>
      <c r="V17" s="149"/>
      <c r="W17" s="136" t="str">
        <f t="shared" si="2"/>
        <v>-</v>
      </c>
      <c r="X17" s="137"/>
      <c r="Y17" s="138"/>
      <c r="Z17" s="213"/>
      <c r="AA17" s="214"/>
      <c r="AB17" s="214"/>
      <c r="AC17" s="215"/>
      <c r="AD17" s="215"/>
      <c r="AE17" s="215"/>
      <c r="AF17" s="158"/>
      <c r="AG17" s="159"/>
      <c r="AH17" s="160"/>
      <c r="AI17" s="161"/>
      <c r="AJ17" s="141"/>
      <c r="AK17" s="141"/>
      <c r="AL17" s="149"/>
      <c r="AM17" s="149"/>
      <c r="AN17" s="149"/>
      <c r="AO17" s="136" t="str">
        <f t="shared" si="3"/>
        <v>-</v>
      </c>
      <c r="AP17" s="137"/>
      <c r="AQ17" s="138"/>
    </row>
    <row r="18" spans="1:43" ht="13.15" customHeight="1">
      <c r="A18" s="12"/>
      <c r="B18" s="168" t="s">
        <v>13</v>
      </c>
      <c r="C18" s="169"/>
      <c r="D18" s="169"/>
      <c r="E18" s="169"/>
      <c r="F18" s="169"/>
      <c r="G18" s="170"/>
      <c r="H18" s="161"/>
      <c r="I18" s="141"/>
      <c r="J18" s="141"/>
      <c r="K18" s="149"/>
      <c r="L18" s="149"/>
      <c r="M18" s="149"/>
      <c r="N18" s="136" t="str">
        <f>IF(H18="-", "-", IF(K18="-", "-", IF(ABS(K18)=0, "-", ROUND(100*(H18-K18)/ABS(K18),1))))</f>
        <v>-</v>
      </c>
      <c r="O18" s="137"/>
      <c r="P18" s="138"/>
      <c r="Q18" s="145"/>
      <c r="R18" s="141"/>
      <c r="S18" s="141"/>
      <c r="T18" s="149"/>
      <c r="U18" s="149"/>
      <c r="V18" s="149"/>
      <c r="W18" s="136" t="str">
        <f t="shared" si="2"/>
        <v>-</v>
      </c>
      <c r="X18" s="137"/>
      <c r="Y18" s="138"/>
      <c r="Z18" s="213"/>
      <c r="AA18" s="214"/>
      <c r="AB18" s="214"/>
      <c r="AC18" s="215"/>
      <c r="AD18" s="215"/>
      <c r="AE18" s="215"/>
      <c r="AF18" s="158"/>
      <c r="AG18" s="159"/>
      <c r="AH18" s="160"/>
      <c r="AI18" s="161"/>
      <c r="AJ18" s="141"/>
      <c r="AK18" s="141"/>
      <c r="AL18" s="149"/>
      <c r="AM18" s="149"/>
      <c r="AN18" s="149"/>
      <c r="AO18" s="136" t="str">
        <f t="shared" si="3"/>
        <v>-</v>
      </c>
      <c r="AP18" s="137"/>
      <c r="AQ18" s="138"/>
    </row>
    <row r="19" spans="1:43" ht="13.15" customHeight="1">
      <c r="A19" s="12"/>
      <c r="B19" s="146" t="s">
        <v>14</v>
      </c>
      <c r="C19" s="147"/>
      <c r="D19" s="147"/>
      <c r="E19" s="147"/>
      <c r="F19" s="147"/>
      <c r="G19" s="148"/>
      <c r="H19" s="161"/>
      <c r="I19" s="141"/>
      <c r="J19" s="141"/>
      <c r="K19" s="149"/>
      <c r="L19" s="149"/>
      <c r="M19" s="149"/>
      <c r="N19" s="136" t="str">
        <f>IF(H19="-", "-", IF(K19="-", "-", IF(ABS(K19)=0, "-", ROUND(100*(H19-K19)/ABS(K19),1))))</f>
        <v>-</v>
      </c>
      <c r="O19" s="137"/>
      <c r="P19" s="138"/>
      <c r="Q19" s="213"/>
      <c r="R19" s="214"/>
      <c r="S19" s="214"/>
      <c r="T19" s="215"/>
      <c r="U19" s="215"/>
      <c r="V19" s="215"/>
      <c r="W19" s="158"/>
      <c r="X19" s="159"/>
      <c r="Y19" s="160"/>
      <c r="Z19" s="213"/>
      <c r="AA19" s="214"/>
      <c r="AB19" s="214"/>
      <c r="AC19" s="215"/>
      <c r="AD19" s="215"/>
      <c r="AE19" s="215"/>
      <c r="AF19" s="158"/>
      <c r="AG19" s="159"/>
      <c r="AH19" s="160"/>
      <c r="AI19" s="161"/>
      <c r="AJ19" s="141"/>
      <c r="AK19" s="141"/>
      <c r="AL19" s="149"/>
      <c r="AM19" s="149"/>
      <c r="AN19" s="149"/>
      <c r="AO19" s="136" t="str">
        <f t="shared" si="3"/>
        <v>-</v>
      </c>
      <c r="AP19" s="137"/>
      <c r="AQ19" s="138"/>
    </row>
    <row r="20" spans="1:43" ht="13.15" customHeight="1">
      <c r="A20" s="12"/>
      <c r="B20" s="168" t="s">
        <v>15</v>
      </c>
      <c r="C20" s="169"/>
      <c r="D20" s="169"/>
      <c r="E20" s="169"/>
      <c r="F20" s="169"/>
      <c r="G20" s="170"/>
      <c r="H20" s="161"/>
      <c r="I20" s="141"/>
      <c r="J20" s="141"/>
      <c r="K20" s="149"/>
      <c r="L20" s="149"/>
      <c r="M20" s="149"/>
      <c r="N20" s="136" t="str">
        <f t="shared" ref="N20:N31" si="5">IF(H20="-", "-", IF(K20="-", "-", IF(ABS(K20)=0, "-", ROUND(100*(H20-K20)/ABS(K20),1))))</f>
        <v>-</v>
      </c>
      <c r="O20" s="137"/>
      <c r="P20" s="138"/>
      <c r="Q20" s="213"/>
      <c r="R20" s="214"/>
      <c r="S20" s="214"/>
      <c r="T20" s="215"/>
      <c r="U20" s="215"/>
      <c r="V20" s="215"/>
      <c r="W20" s="158"/>
      <c r="X20" s="159"/>
      <c r="Y20" s="160"/>
      <c r="Z20" s="213"/>
      <c r="AA20" s="214"/>
      <c r="AB20" s="214"/>
      <c r="AC20" s="215"/>
      <c r="AD20" s="215"/>
      <c r="AE20" s="215"/>
      <c r="AF20" s="158"/>
      <c r="AG20" s="159"/>
      <c r="AH20" s="160"/>
      <c r="AI20" s="161"/>
      <c r="AJ20" s="141"/>
      <c r="AK20" s="141"/>
      <c r="AL20" s="149"/>
      <c r="AM20" s="149"/>
      <c r="AN20" s="149"/>
      <c r="AO20" s="136" t="str">
        <f t="shared" si="3"/>
        <v>-</v>
      </c>
      <c r="AP20" s="137"/>
      <c r="AQ20" s="138"/>
    </row>
    <row r="21" spans="1:43" ht="13.15" customHeight="1">
      <c r="A21" s="12"/>
      <c r="B21" s="168" t="s">
        <v>16</v>
      </c>
      <c r="C21" s="169"/>
      <c r="D21" s="169"/>
      <c r="E21" s="169"/>
      <c r="F21" s="169"/>
      <c r="G21" s="170"/>
      <c r="H21" s="161"/>
      <c r="I21" s="141"/>
      <c r="J21" s="141"/>
      <c r="K21" s="149"/>
      <c r="L21" s="149"/>
      <c r="M21" s="149"/>
      <c r="N21" s="136" t="str">
        <f t="shared" si="5"/>
        <v>-</v>
      </c>
      <c r="O21" s="137"/>
      <c r="P21" s="138"/>
      <c r="Q21" s="213"/>
      <c r="R21" s="214"/>
      <c r="S21" s="214"/>
      <c r="T21" s="215"/>
      <c r="U21" s="215"/>
      <c r="V21" s="215"/>
      <c r="W21" s="158"/>
      <c r="X21" s="159"/>
      <c r="Y21" s="160"/>
      <c r="Z21" s="213"/>
      <c r="AA21" s="214"/>
      <c r="AB21" s="214"/>
      <c r="AC21" s="215"/>
      <c r="AD21" s="215"/>
      <c r="AE21" s="215"/>
      <c r="AF21" s="158"/>
      <c r="AG21" s="159"/>
      <c r="AH21" s="160"/>
      <c r="AI21" s="161"/>
      <c r="AJ21" s="141"/>
      <c r="AK21" s="141"/>
      <c r="AL21" s="149"/>
      <c r="AM21" s="149"/>
      <c r="AN21" s="149"/>
      <c r="AO21" s="136" t="str">
        <f t="shared" si="3"/>
        <v>-</v>
      </c>
      <c r="AP21" s="137"/>
      <c r="AQ21" s="138"/>
    </row>
    <row r="22" spans="1:43" ht="13.15" customHeight="1">
      <c r="A22" s="12"/>
      <c r="B22" s="168" t="s">
        <v>161</v>
      </c>
      <c r="C22" s="169"/>
      <c r="D22" s="169"/>
      <c r="E22" s="169"/>
      <c r="F22" s="169"/>
      <c r="G22" s="170"/>
      <c r="H22" s="161"/>
      <c r="I22" s="141"/>
      <c r="J22" s="141"/>
      <c r="K22" s="149"/>
      <c r="L22" s="149"/>
      <c r="M22" s="149"/>
      <c r="N22" s="136" t="str">
        <f t="shared" si="5"/>
        <v>-</v>
      </c>
      <c r="O22" s="137"/>
      <c r="P22" s="138"/>
      <c r="Q22" s="213"/>
      <c r="R22" s="214"/>
      <c r="S22" s="214"/>
      <c r="T22" s="215"/>
      <c r="U22" s="215"/>
      <c r="V22" s="215"/>
      <c r="W22" s="158"/>
      <c r="X22" s="159"/>
      <c r="Y22" s="160"/>
      <c r="Z22" s="213"/>
      <c r="AA22" s="214"/>
      <c r="AB22" s="214"/>
      <c r="AC22" s="215"/>
      <c r="AD22" s="215"/>
      <c r="AE22" s="215"/>
      <c r="AF22" s="158"/>
      <c r="AG22" s="159"/>
      <c r="AH22" s="160"/>
      <c r="AI22" s="161"/>
      <c r="AJ22" s="141"/>
      <c r="AK22" s="141"/>
      <c r="AL22" s="149"/>
      <c r="AM22" s="149"/>
      <c r="AN22" s="149"/>
      <c r="AO22" s="136" t="str">
        <f t="shared" si="3"/>
        <v>-</v>
      </c>
      <c r="AP22" s="137"/>
      <c r="AQ22" s="138"/>
    </row>
    <row r="23" spans="1:43" ht="13.15" customHeight="1">
      <c r="A23" s="12"/>
      <c r="B23" s="168" t="s">
        <v>162</v>
      </c>
      <c r="C23" s="169"/>
      <c r="D23" s="169"/>
      <c r="E23" s="169"/>
      <c r="F23" s="169"/>
      <c r="G23" s="170"/>
      <c r="H23" s="161"/>
      <c r="I23" s="141"/>
      <c r="J23" s="141"/>
      <c r="K23" s="149"/>
      <c r="L23" s="149"/>
      <c r="M23" s="149"/>
      <c r="N23" s="136" t="str">
        <f t="shared" si="5"/>
        <v>-</v>
      </c>
      <c r="O23" s="137"/>
      <c r="P23" s="138"/>
      <c r="Q23" s="213"/>
      <c r="R23" s="214"/>
      <c r="S23" s="214"/>
      <c r="T23" s="215"/>
      <c r="U23" s="215"/>
      <c r="V23" s="215"/>
      <c r="W23" s="158"/>
      <c r="X23" s="159"/>
      <c r="Y23" s="160"/>
      <c r="Z23" s="213"/>
      <c r="AA23" s="214"/>
      <c r="AB23" s="214"/>
      <c r="AC23" s="215"/>
      <c r="AD23" s="215"/>
      <c r="AE23" s="215"/>
      <c r="AF23" s="158"/>
      <c r="AG23" s="159"/>
      <c r="AH23" s="160"/>
      <c r="AI23" s="161"/>
      <c r="AJ23" s="141"/>
      <c r="AK23" s="141"/>
      <c r="AL23" s="149"/>
      <c r="AM23" s="149"/>
      <c r="AN23" s="149"/>
      <c r="AO23" s="136" t="str">
        <f t="shared" si="3"/>
        <v>-</v>
      </c>
      <c r="AP23" s="137"/>
      <c r="AQ23" s="138"/>
    </row>
    <row r="24" spans="1:43" ht="13.15" customHeight="1">
      <c r="A24" s="12"/>
      <c r="B24" s="168" t="s">
        <v>17</v>
      </c>
      <c r="C24" s="169"/>
      <c r="D24" s="169"/>
      <c r="E24" s="169"/>
      <c r="F24" s="169"/>
      <c r="G24" s="170"/>
      <c r="H24" s="161"/>
      <c r="I24" s="141"/>
      <c r="J24" s="141"/>
      <c r="K24" s="149"/>
      <c r="L24" s="149"/>
      <c r="M24" s="149"/>
      <c r="N24" s="136" t="str">
        <f t="shared" si="5"/>
        <v>-</v>
      </c>
      <c r="O24" s="137"/>
      <c r="P24" s="138"/>
      <c r="Q24" s="213"/>
      <c r="R24" s="214"/>
      <c r="S24" s="214"/>
      <c r="T24" s="215"/>
      <c r="U24" s="215"/>
      <c r="V24" s="215"/>
      <c r="W24" s="158"/>
      <c r="X24" s="159"/>
      <c r="Y24" s="160"/>
      <c r="Z24" s="145"/>
      <c r="AA24" s="141"/>
      <c r="AB24" s="141"/>
      <c r="AC24" s="149"/>
      <c r="AD24" s="149"/>
      <c r="AE24" s="149"/>
      <c r="AF24" s="136" t="str">
        <f t="shared" ref="AF24:AF27" si="6">IF(Z24="-", "-", IF(AC24="-", "-", IF(ABS(AC24)=0, "-", ROUND(100*(Z24-AC24)/ABS(AC24),1))))</f>
        <v>-</v>
      </c>
      <c r="AG24" s="137"/>
      <c r="AH24" s="138"/>
      <c r="AI24" s="161"/>
      <c r="AJ24" s="141"/>
      <c r="AK24" s="141"/>
      <c r="AL24" s="149"/>
      <c r="AM24" s="149"/>
      <c r="AN24" s="149"/>
      <c r="AO24" s="136" t="str">
        <f t="shared" si="3"/>
        <v>-</v>
      </c>
      <c r="AP24" s="137"/>
      <c r="AQ24" s="138"/>
    </row>
    <row r="25" spans="1:43" ht="13.15" customHeight="1">
      <c r="A25" s="12"/>
      <c r="B25" s="168" t="s">
        <v>18</v>
      </c>
      <c r="C25" s="169"/>
      <c r="D25" s="169"/>
      <c r="E25" s="169"/>
      <c r="F25" s="169"/>
      <c r="G25" s="170"/>
      <c r="H25" s="161"/>
      <c r="I25" s="141"/>
      <c r="J25" s="141"/>
      <c r="K25" s="149"/>
      <c r="L25" s="149"/>
      <c r="M25" s="149"/>
      <c r="N25" s="136" t="str">
        <f t="shared" si="5"/>
        <v>-</v>
      </c>
      <c r="O25" s="137"/>
      <c r="P25" s="138"/>
      <c r="Q25" s="213"/>
      <c r="R25" s="214"/>
      <c r="S25" s="214"/>
      <c r="T25" s="215"/>
      <c r="U25" s="215"/>
      <c r="V25" s="215"/>
      <c r="W25" s="158"/>
      <c r="X25" s="159"/>
      <c r="Y25" s="160"/>
      <c r="Z25" s="145"/>
      <c r="AA25" s="141"/>
      <c r="AB25" s="141"/>
      <c r="AC25" s="149"/>
      <c r="AD25" s="149"/>
      <c r="AE25" s="149"/>
      <c r="AF25" s="136" t="str">
        <f t="shared" si="6"/>
        <v>-</v>
      </c>
      <c r="AG25" s="137"/>
      <c r="AH25" s="138"/>
      <c r="AI25" s="161"/>
      <c r="AJ25" s="141"/>
      <c r="AK25" s="141"/>
      <c r="AL25" s="149"/>
      <c r="AM25" s="149"/>
      <c r="AN25" s="149"/>
      <c r="AO25" s="136" t="str">
        <f t="shared" si="3"/>
        <v>-</v>
      </c>
      <c r="AP25" s="137"/>
      <c r="AQ25" s="138"/>
    </row>
    <row r="26" spans="1:43" ht="13.15" customHeight="1">
      <c r="A26" s="12"/>
      <c r="B26" s="168" t="s">
        <v>19</v>
      </c>
      <c r="C26" s="169"/>
      <c r="D26" s="169"/>
      <c r="E26" s="169"/>
      <c r="F26" s="169"/>
      <c r="G26" s="170"/>
      <c r="H26" s="161"/>
      <c r="I26" s="141"/>
      <c r="J26" s="141"/>
      <c r="K26" s="149"/>
      <c r="L26" s="149"/>
      <c r="M26" s="149"/>
      <c r="N26" s="136" t="str">
        <f t="shared" si="5"/>
        <v>-</v>
      </c>
      <c r="O26" s="137"/>
      <c r="P26" s="138"/>
      <c r="Q26" s="213"/>
      <c r="R26" s="214"/>
      <c r="S26" s="214"/>
      <c r="T26" s="215"/>
      <c r="U26" s="215"/>
      <c r="V26" s="215"/>
      <c r="W26" s="158"/>
      <c r="X26" s="159"/>
      <c r="Y26" s="160"/>
      <c r="Z26" s="145"/>
      <c r="AA26" s="141"/>
      <c r="AB26" s="141"/>
      <c r="AC26" s="149"/>
      <c r="AD26" s="149"/>
      <c r="AE26" s="149"/>
      <c r="AF26" s="136" t="str">
        <f t="shared" si="6"/>
        <v>-</v>
      </c>
      <c r="AG26" s="137"/>
      <c r="AH26" s="138"/>
      <c r="AI26" s="161"/>
      <c r="AJ26" s="141"/>
      <c r="AK26" s="141"/>
      <c r="AL26" s="149"/>
      <c r="AM26" s="149"/>
      <c r="AN26" s="149"/>
      <c r="AO26" s="136" t="str">
        <f t="shared" si="3"/>
        <v>-</v>
      </c>
      <c r="AP26" s="137"/>
      <c r="AQ26" s="138"/>
    </row>
    <row r="27" spans="1:43" ht="13.15" customHeight="1">
      <c r="A27" s="12"/>
      <c r="B27" s="177" t="s">
        <v>20</v>
      </c>
      <c r="C27" s="178"/>
      <c r="D27" s="178"/>
      <c r="E27" s="178"/>
      <c r="F27" s="178"/>
      <c r="G27" s="179"/>
      <c r="H27" s="180"/>
      <c r="I27" s="181"/>
      <c r="J27" s="181"/>
      <c r="K27" s="181"/>
      <c r="L27" s="181"/>
      <c r="M27" s="181"/>
      <c r="N27" s="182" t="str">
        <f t="shared" si="5"/>
        <v>-</v>
      </c>
      <c r="O27" s="183"/>
      <c r="P27" s="184"/>
      <c r="Q27" s="222"/>
      <c r="R27" s="223"/>
      <c r="S27" s="223"/>
      <c r="T27" s="224"/>
      <c r="U27" s="224"/>
      <c r="V27" s="224"/>
      <c r="W27" s="188"/>
      <c r="X27" s="189"/>
      <c r="Y27" s="190"/>
      <c r="Z27" s="145"/>
      <c r="AA27" s="141"/>
      <c r="AB27" s="141"/>
      <c r="AC27" s="181"/>
      <c r="AD27" s="181"/>
      <c r="AE27" s="181"/>
      <c r="AF27" s="182" t="str">
        <f t="shared" si="6"/>
        <v>-</v>
      </c>
      <c r="AG27" s="183"/>
      <c r="AH27" s="184"/>
      <c r="AI27" s="180"/>
      <c r="AJ27" s="181"/>
      <c r="AK27" s="181"/>
      <c r="AL27" s="181"/>
      <c r="AM27" s="181"/>
      <c r="AN27" s="181"/>
      <c r="AO27" s="182" t="str">
        <f t="shared" si="3"/>
        <v>-</v>
      </c>
      <c r="AP27" s="183"/>
      <c r="AQ27" s="184"/>
    </row>
    <row r="28" spans="1:43" ht="13.15" customHeight="1">
      <c r="A28" s="194" t="s">
        <v>21</v>
      </c>
      <c r="B28" s="195"/>
      <c r="C28" s="195"/>
      <c r="D28" s="195"/>
      <c r="E28" s="195"/>
      <c r="F28" s="195"/>
      <c r="G28" s="196"/>
      <c r="H28" s="161"/>
      <c r="I28" s="141"/>
      <c r="J28" s="141"/>
      <c r="K28" s="140"/>
      <c r="L28" s="140"/>
      <c r="M28" s="140"/>
      <c r="N28" s="136" t="str">
        <f t="shared" si="5"/>
        <v>-</v>
      </c>
      <c r="O28" s="137"/>
      <c r="P28" s="138"/>
      <c r="Q28" s="145"/>
      <c r="R28" s="141"/>
      <c r="S28" s="141"/>
      <c r="T28" s="140"/>
      <c r="U28" s="140"/>
      <c r="V28" s="140"/>
      <c r="W28" s="136" t="str">
        <f t="shared" ref="W28:W31" si="7">IF(Q28="-", "-", IF(T28="-", "-", IF(ABS(T28)=0, "-", ROUND(100*(Q28-T28)/ABS(T28),1))))</f>
        <v>-</v>
      </c>
      <c r="X28" s="137"/>
      <c r="Y28" s="138"/>
      <c r="Z28" s="219"/>
      <c r="AA28" s="220"/>
      <c r="AB28" s="220"/>
      <c r="AC28" s="221"/>
      <c r="AD28" s="221"/>
      <c r="AE28" s="221"/>
      <c r="AF28" s="191"/>
      <c r="AG28" s="192"/>
      <c r="AH28" s="193"/>
      <c r="AI28" s="161"/>
      <c r="AJ28" s="141"/>
      <c r="AK28" s="141"/>
      <c r="AL28" s="140"/>
      <c r="AM28" s="140"/>
      <c r="AN28" s="140"/>
      <c r="AO28" s="136" t="str">
        <f t="shared" si="3"/>
        <v>-</v>
      </c>
      <c r="AP28" s="137"/>
      <c r="AQ28" s="138"/>
    </row>
    <row r="29" spans="1:43" ht="13.15" customHeight="1">
      <c r="A29" s="12"/>
      <c r="B29" s="168" t="s">
        <v>22</v>
      </c>
      <c r="C29" s="169"/>
      <c r="D29" s="169"/>
      <c r="E29" s="169"/>
      <c r="F29" s="169"/>
      <c r="G29" s="170"/>
      <c r="H29" s="161"/>
      <c r="I29" s="141"/>
      <c r="J29" s="141"/>
      <c r="K29" s="149"/>
      <c r="L29" s="149"/>
      <c r="M29" s="149"/>
      <c r="N29" s="136" t="str">
        <f t="shared" si="5"/>
        <v>-</v>
      </c>
      <c r="O29" s="137"/>
      <c r="P29" s="138"/>
      <c r="Q29" s="145"/>
      <c r="R29" s="141"/>
      <c r="S29" s="141"/>
      <c r="T29" s="149"/>
      <c r="U29" s="149"/>
      <c r="V29" s="149"/>
      <c r="W29" s="136" t="str">
        <f t="shared" si="7"/>
        <v>-</v>
      </c>
      <c r="X29" s="137"/>
      <c r="Y29" s="138"/>
      <c r="Z29" s="213"/>
      <c r="AA29" s="214"/>
      <c r="AB29" s="214"/>
      <c r="AC29" s="215"/>
      <c r="AD29" s="215"/>
      <c r="AE29" s="215"/>
      <c r="AF29" s="155"/>
      <c r="AG29" s="156"/>
      <c r="AH29" s="157"/>
      <c r="AI29" s="161"/>
      <c r="AJ29" s="141"/>
      <c r="AK29" s="141"/>
      <c r="AL29" s="149"/>
      <c r="AM29" s="149"/>
      <c r="AN29" s="149"/>
      <c r="AO29" s="136" t="str">
        <f t="shared" si="3"/>
        <v>-</v>
      </c>
      <c r="AP29" s="137"/>
      <c r="AQ29" s="138"/>
    </row>
    <row r="30" spans="1:43" ht="13.15" customHeight="1">
      <c r="A30" s="12"/>
      <c r="B30" s="177" t="s">
        <v>23</v>
      </c>
      <c r="C30" s="178"/>
      <c r="D30" s="178"/>
      <c r="E30" s="178"/>
      <c r="F30" s="178"/>
      <c r="G30" s="179"/>
      <c r="H30" s="180"/>
      <c r="I30" s="181"/>
      <c r="J30" s="181"/>
      <c r="K30" s="181"/>
      <c r="L30" s="181"/>
      <c r="M30" s="181"/>
      <c r="N30" s="182" t="str">
        <f t="shared" si="5"/>
        <v>-</v>
      </c>
      <c r="O30" s="183"/>
      <c r="P30" s="184"/>
      <c r="Q30" s="180"/>
      <c r="R30" s="181"/>
      <c r="S30" s="181"/>
      <c r="T30" s="181"/>
      <c r="U30" s="181"/>
      <c r="V30" s="181"/>
      <c r="W30" s="182" t="str">
        <f t="shared" si="7"/>
        <v>-</v>
      </c>
      <c r="X30" s="183"/>
      <c r="Y30" s="184"/>
      <c r="Z30" s="222"/>
      <c r="AA30" s="223"/>
      <c r="AB30" s="223"/>
      <c r="AC30" s="224"/>
      <c r="AD30" s="224"/>
      <c r="AE30" s="224"/>
      <c r="AF30" s="197"/>
      <c r="AG30" s="198"/>
      <c r="AH30" s="199"/>
      <c r="AI30" s="180"/>
      <c r="AJ30" s="181"/>
      <c r="AK30" s="181"/>
      <c r="AL30" s="181"/>
      <c r="AM30" s="181"/>
      <c r="AN30" s="181"/>
      <c r="AO30" s="182" t="str">
        <f t="shared" si="3"/>
        <v>-</v>
      </c>
      <c r="AP30" s="183"/>
      <c r="AQ30" s="184"/>
    </row>
    <row r="31" spans="1:43" ht="13.15" customHeight="1">
      <c r="A31" s="200" t="s">
        <v>24</v>
      </c>
      <c r="B31" s="201"/>
      <c r="C31" s="201"/>
      <c r="D31" s="201"/>
      <c r="E31" s="201"/>
      <c r="F31" s="201"/>
      <c r="G31" s="202"/>
      <c r="H31" s="211"/>
      <c r="I31" s="212"/>
      <c r="J31" s="212"/>
      <c r="K31" s="203"/>
      <c r="L31" s="203"/>
      <c r="M31" s="203"/>
      <c r="N31" s="182" t="str">
        <f t="shared" si="5"/>
        <v>-</v>
      </c>
      <c r="O31" s="183"/>
      <c r="P31" s="184"/>
      <c r="Q31" s="145"/>
      <c r="R31" s="141"/>
      <c r="S31" s="141"/>
      <c r="T31" s="203"/>
      <c r="U31" s="203"/>
      <c r="V31" s="203"/>
      <c r="W31" s="182" t="str">
        <f t="shared" si="7"/>
        <v>-</v>
      </c>
      <c r="X31" s="183"/>
      <c r="Y31" s="184"/>
      <c r="Z31" s="145"/>
      <c r="AA31" s="141"/>
      <c r="AB31" s="141"/>
      <c r="AC31" s="203"/>
      <c r="AD31" s="203"/>
      <c r="AE31" s="203"/>
      <c r="AF31" s="182" t="str">
        <f t="shared" ref="AF31" si="8">IF(Z31="-", "-", IF(AC31="-", "-", IF(ABS(AC31)=0, "-", ROUND(100*(Z31-AC31)/ABS(AC31),1))))</f>
        <v>-</v>
      </c>
      <c r="AG31" s="183"/>
      <c r="AH31" s="184"/>
      <c r="AI31" s="204"/>
      <c r="AJ31" s="203"/>
      <c r="AK31" s="203"/>
      <c r="AL31" s="203"/>
      <c r="AM31" s="203"/>
      <c r="AN31" s="203"/>
      <c r="AO31" s="182" t="str">
        <f t="shared" si="3"/>
        <v>-</v>
      </c>
      <c r="AP31" s="183"/>
      <c r="AQ31" s="184"/>
    </row>
    <row r="32" spans="1:43" ht="13.15" customHeight="1">
      <c r="A32" s="200" t="s">
        <v>25</v>
      </c>
      <c r="B32" s="201"/>
      <c r="C32" s="201"/>
      <c r="D32" s="201"/>
      <c r="E32" s="201"/>
      <c r="F32" s="201"/>
      <c r="G32" s="202"/>
      <c r="H32" s="205"/>
      <c r="I32" s="206"/>
      <c r="J32" s="206"/>
      <c r="K32" s="206"/>
      <c r="L32" s="206"/>
      <c r="M32" s="206"/>
      <c r="N32" s="207"/>
      <c r="O32" s="208"/>
      <c r="P32" s="209"/>
      <c r="Q32" s="210"/>
      <c r="R32" s="206"/>
      <c r="S32" s="206"/>
      <c r="T32" s="206"/>
      <c r="U32" s="206"/>
      <c r="V32" s="206"/>
      <c r="W32" s="207"/>
      <c r="X32" s="208"/>
      <c r="Y32" s="209"/>
      <c r="Z32" s="210"/>
      <c r="AA32" s="206"/>
      <c r="AB32" s="206"/>
      <c r="AC32" s="206"/>
      <c r="AD32" s="206"/>
      <c r="AE32" s="206"/>
      <c r="AF32" s="207"/>
      <c r="AG32" s="208"/>
      <c r="AH32" s="209"/>
      <c r="AI32" s="204"/>
      <c r="AJ32" s="203"/>
      <c r="AK32" s="203"/>
      <c r="AL32" s="203"/>
      <c r="AM32" s="203"/>
      <c r="AN32" s="203"/>
      <c r="AO32" s="182" t="str">
        <f t="shared" si="3"/>
        <v>-</v>
      </c>
      <c r="AP32" s="183"/>
      <c r="AQ32" s="184"/>
    </row>
    <row r="33" spans="1:43" ht="13.15" customHeight="1">
      <c r="A33" s="200" t="s">
        <v>26</v>
      </c>
      <c r="B33" s="201"/>
      <c r="C33" s="201"/>
      <c r="D33" s="201"/>
      <c r="E33" s="201"/>
      <c r="F33" s="201"/>
      <c r="G33" s="202"/>
      <c r="H33" s="205"/>
      <c r="I33" s="206"/>
      <c r="J33" s="206"/>
      <c r="K33" s="206"/>
      <c r="L33" s="206"/>
      <c r="M33" s="206"/>
      <c r="N33" s="207"/>
      <c r="O33" s="208"/>
      <c r="P33" s="209"/>
      <c r="Q33" s="210"/>
      <c r="R33" s="206"/>
      <c r="S33" s="206"/>
      <c r="T33" s="206"/>
      <c r="U33" s="206"/>
      <c r="V33" s="206"/>
      <c r="W33" s="207"/>
      <c r="X33" s="208"/>
      <c r="Y33" s="209"/>
      <c r="Z33" s="210"/>
      <c r="AA33" s="206"/>
      <c r="AB33" s="206"/>
      <c r="AC33" s="206"/>
      <c r="AD33" s="206"/>
      <c r="AE33" s="206"/>
      <c r="AF33" s="207"/>
      <c r="AG33" s="208"/>
      <c r="AH33" s="209"/>
      <c r="AI33" s="204"/>
      <c r="AJ33" s="203"/>
      <c r="AK33" s="203"/>
      <c r="AL33" s="203"/>
      <c r="AM33" s="203"/>
      <c r="AN33" s="203"/>
      <c r="AO33" s="182" t="str">
        <f t="shared" si="3"/>
        <v>-</v>
      </c>
      <c r="AP33" s="183"/>
      <c r="AQ33" s="184"/>
    </row>
    <row r="34" spans="1:43" ht="13.15" customHeight="1">
      <c r="A34" s="200" t="s">
        <v>27</v>
      </c>
      <c r="B34" s="201"/>
      <c r="C34" s="201"/>
      <c r="D34" s="201"/>
      <c r="E34" s="201"/>
      <c r="F34" s="201"/>
      <c r="G34" s="202"/>
      <c r="H34" s="205"/>
      <c r="I34" s="206"/>
      <c r="J34" s="206"/>
      <c r="K34" s="206"/>
      <c r="L34" s="206"/>
      <c r="M34" s="206"/>
      <c r="N34" s="207"/>
      <c r="O34" s="208"/>
      <c r="P34" s="209"/>
      <c r="Q34" s="210"/>
      <c r="R34" s="206"/>
      <c r="S34" s="206"/>
      <c r="T34" s="206"/>
      <c r="U34" s="206"/>
      <c r="V34" s="206"/>
      <c r="W34" s="207"/>
      <c r="X34" s="208"/>
      <c r="Y34" s="209"/>
      <c r="Z34" s="210"/>
      <c r="AA34" s="206"/>
      <c r="AB34" s="206"/>
      <c r="AC34" s="206"/>
      <c r="AD34" s="206"/>
      <c r="AE34" s="206"/>
      <c r="AF34" s="207"/>
      <c r="AG34" s="208"/>
      <c r="AH34" s="209"/>
      <c r="AI34" s="204"/>
      <c r="AJ34" s="203"/>
      <c r="AK34" s="203"/>
      <c r="AL34" s="203"/>
      <c r="AM34" s="203"/>
      <c r="AN34" s="203"/>
      <c r="AO34" s="182" t="str">
        <f t="shared" si="3"/>
        <v>-</v>
      </c>
      <c r="AP34" s="183"/>
      <c r="AQ34" s="184"/>
    </row>
    <row r="35" spans="1:43" ht="13.15" customHeight="1">
      <c r="A35" s="200" t="s">
        <v>28</v>
      </c>
      <c r="B35" s="201"/>
      <c r="C35" s="201"/>
      <c r="D35" s="201"/>
      <c r="E35" s="201"/>
      <c r="F35" s="201"/>
      <c r="G35" s="202"/>
      <c r="H35" s="205"/>
      <c r="I35" s="206"/>
      <c r="J35" s="206"/>
      <c r="K35" s="206"/>
      <c r="L35" s="206"/>
      <c r="M35" s="206"/>
      <c r="N35" s="207"/>
      <c r="O35" s="208"/>
      <c r="P35" s="209"/>
      <c r="Q35" s="210"/>
      <c r="R35" s="206"/>
      <c r="S35" s="206"/>
      <c r="T35" s="206"/>
      <c r="U35" s="206"/>
      <c r="V35" s="206"/>
      <c r="W35" s="207"/>
      <c r="X35" s="208"/>
      <c r="Y35" s="209"/>
      <c r="Z35" s="210"/>
      <c r="AA35" s="206"/>
      <c r="AB35" s="206"/>
      <c r="AC35" s="206"/>
      <c r="AD35" s="206"/>
      <c r="AE35" s="206"/>
      <c r="AF35" s="207"/>
      <c r="AG35" s="208"/>
      <c r="AH35" s="209"/>
      <c r="AI35" s="204"/>
      <c r="AJ35" s="203"/>
      <c r="AK35" s="203"/>
      <c r="AL35" s="203"/>
      <c r="AM35" s="203"/>
      <c r="AN35" s="203"/>
      <c r="AO35" s="182" t="str">
        <f t="shared" si="3"/>
        <v>-</v>
      </c>
      <c r="AP35" s="183"/>
      <c r="AQ35" s="184"/>
    </row>
    <row r="36" spans="1:43" ht="13.15" customHeight="1">
      <c r="A36" s="200" t="s">
        <v>29</v>
      </c>
      <c r="B36" s="201"/>
      <c r="C36" s="201"/>
      <c r="D36" s="201"/>
      <c r="E36" s="201"/>
      <c r="F36" s="201"/>
      <c r="G36" s="202"/>
      <c r="H36" s="205"/>
      <c r="I36" s="206"/>
      <c r="J36" s="206"/>
      <c r="K36" s="206"/>
      <c r="L36" s="206"/>
      <c r="M36" s="206"/>
      <c r="N36" s="207"/>
      <c r="O36" s="208"/>
      <c r="P36" s="209"/>
      <c r="Q36" s="210"/>
      <c r="R36" s="206"/>
      <c r="S36" s="206"/>
      <c r="T36" s="206"/>
      <c r="U36" s="206"/>
      <c r="V36" s="206"/>
      <c r="W36" s="207"/>
      <c r="X36" s="208"/>
      <c r="Y36" s="209"/>
      <c r="Z36" s="210"/>
      <c r="AA36" s="206"/>
      <c r="AB36" s="206"/>
      <c r="AC36" s="206"/>
      <c r="AD36" s="206"/>
      <c r="AE36" s="206"/>
      <c r="AF36" s="207"/>
      <c r="AG36" s="208"/>
      <c r="AH36" s="209"/>
      <c r="AI36" s="204"/>
      <c r="AJ36" s="203"/>
      <c r="AK36" s="203"/>
      <c r="AL36" s="203"/>
      <c r="AM36" s="203"/>
      <c r="AN36" s="203"/>
      <c r="AO36" s="182" t="str">
        <f t="shared" si="3"/>
        <v>-</v>
      </c>
      <c r="AP36" s="183"/>
      <c r="AQ36" s="184"/>
    </row>
    <row r="37" spans="1:43" ht="13.15" customHeight="1">
      <c r="A37" s="200" t="s">
        <v>30</v>
      </c>
      <c r="B37" s="201"/>
      <c r="C37" s="201"/>
      <c r="D37" s="201"/>
      <c r="E37" s="201"/>
      <c r="F37" s="201"/>
      <c r="G37" s="202"/>
      <c r="H37" s="205"/>
      <c r="I37" s="206"/>
      <c r="J37" s="206"/>
      <c r="K37" s="206"/>
      <c r="L37" s="206"/>
      <c r="M37" s="206"/>
      <c r="N37" s="207"/>
      <c r="O37" s="208"/>
      <c r="P37" s="209"/>
      <c r="Q37" s="210"/>
      <c r="R37" s="206"/>
      <c r="S37" s="206"/>
      <c r="T37" s="206"/>
      <c r="U37" s="206"/>
      <c r="V37" s="206"/>
      <c r="W37" s="207"/>
      <c r="X37" s="208"/>
      <c r="Y37" s="209"/>
      <c r="Z37" s="210"/>
      <c r="AA37" s="206"/>
      <c r="AB37" s="206"/>
      <c r="AC37" s="206"/>
      <c r="AD37" s="206"/>
      <c r="AE37" s="206"/>
      <c r="AF37" s="207"/>
      <c r="AG37" s="208"/>
      <c r="AH37" s="209"/>
      <c r="AI37" s="204"/>
      <c r="AJ37" s="203"/>
      <c r="AK37" s="203"/>
      <c r="AL37" s="203"/>
      <c r="AM37" s="203"/>
      <c r="AN37" s="203"/>
      <c r="AO37" s="182" t="str">
        <f t="shared" si="3"/>
        <v>-</v>
      </c>
      <c r="AP37" s="183"/>
      <c r="AQ37" s="184"/>
    </row>
    <row r="38" spans="1:43" ht="13.15" customHeight="1">
      <c r="A38" s="200" t="s">
        <v>31</v>
      </c>
      <c r="B38" s="201"/>
      <c r="C38" s="201"/>
      <c r="D38" s="201"/>
      <c r="E38" s="201"/>
      <c r="F38" s="201"/>
      <c r="G38" s="202"/>
      <c r="H38" s="205"/>
      <c r="I38" s="206"/>
      <c r="J38" s="206"/>
      <c r="K38" s="206"/>
      <c r="L38" s="206"/>
      <c r="M38" s="206"/>
      <c r="N38" s="207"/>
      <c r="O38" s="208"/>
      <c r="P38" s="209"/>
      <c r="Q38" s="210"/>
      <c r="R38" s="206"/>
      <c r="S38" s="206"/>
      <c r="T38" s="206"/>
      <c r="U38" s="206"/>
      <c r="V38" s="206"/>
      <c r="W38" s="207"/>
      <c r="X38" s="208"/>
      <c r="Y38" s="209"/>
      <c r="Z38" s="210"/>
      <c r="AA38" s="206"/>
      <c r="AB38" s="206"/>
      <c r="AC38" s="206"/>
      <c r="AD38" s="206"/>
      <c r="AE38" s="206"/>
      <c r="AF38" s="207"/>
      <c r="AG38" s="208"/>
      <c r="AH38" s="209"/>
      <c r="AI38" s="204"/>
      <c r="AJ38" s="203"/>
      <c r="AK38" s="203"/>
      <c r="AL38" s="203"/>
      <c r="AM38" s="203"/>
      <c r="AN38" s="203"/>
      <c r="AO38" s="182" t="str">
        <f t="shared" si="3"/>
        <v>-</v>
      </c>
      <c r="AP38" s="183"/>
      <c r="AQ38" s="184"/>
    </row>
    <row r="39" spans="1:43" ht="13.15" customHeight="1">
      <c r="A39" s="200" t="s">
        <v>32</v>
      </c>
      <c r="B39" s="201"/>
      <c r="C39" s="201"/>
      <c r="D39" s="201"/>
      <c r="E39" s="201"/>
      <c r="F39" s="201"/>
      <c r="G39" s="202"/>
      <c r="H39" s="205"/>
      <c r="I39" s="206"/>
      <c r="J39" s="206"/>
      <c r="K39" s="206"/>
      <c r="L39" s="206"/>
      <c r="M39" s="206"/>
      <c r="N39" s="207"/>
      <c r="O39" s="208"/>
      <c r="P39" s="209"/>
      <c r="Q39" s="210"/>
      <c r="R39" s="206"/>
      <c r="S39" s="206"/>
      <c r="T39" s="206"/>
      <c r="U39" s="206"/>
      <c r="V39" s="206"/>
      <c r="W39" s="207"/>
      <c r="X39" s="208"/>
      <c r="Y39" s="209"/>
      <c r="Z39" s="210"/>
      <c r="AA39" s="206"/>
      <c r="AB39" s="206"/>
      <c r="AC39" s="206"/>
      <c r="AD39" s="206"/>
      <c r="AE39" s="206"/>
      <c r="AF39" s="207"/>
      <c r="AG39" s="208"/>
      <c r="AH39" s="209"/>
      <c r="AI39" s="211"/>
      <c r="AJ39" s="212"/>
      <c r="AK39" s="212"/>
      <c r="AL39" s="203"/>
      <c r="AM39" s="203"/>
      <c r="AN39" s="203"/>
      <c r="AO39" s="182" t="str">
        <f t="shared" si="3"/>
        <v>-</v>
      </c>
      <c r="AP39" s="183"/>
      <c r="AQ39" s="184"/>
    </row>
    <row r="40" spans="1:43" ht="13.15" customHeight="1">
      <c r="AI40" s="15"/>
      <c r="AJ40" s="15"/>
      <c r="AK40" s="15"/>
      <c r="AL40" s="15"/>
      <c r="AM40" s="15"/>
      <c r="AN40" s="15"/>
      <c r="AO40" s="15"/>
      <c r="AP40" s="15"/>
      <c r="AQ40" s="15"/>
    </row>
  </sheetData>
  <mergeCells count="421"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0"/>
  </cols>
  <sheetData>
    <row r="1" spans="1:52" s="3" customFormat="1" ht="13.5" customHeight="1">
      <c r="A1" s="113" t="str">
        <f>IF(No.1!A1="","",No.1!A1)</f>
        <v/>
      </c>
      <c r="B1" s="114"/>
      <c r="C1" s="96" t="s">
        <v>217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2"/>
      <c r="AO2" s="72"/>
      <c r="AP2" s="72"/>
      <c r="AQ2" s="72"/>
      <c r="AR2" s="72"/>
      <c r="AS2" s="73"/>
      <c r="AT2" s="73"/>
      <c r="AU2" s="73"/>
      <c r="AV2" s="73"/>
      <c r="AW2" s="74"/>
      <c r="AX2" s="74"/>
      <c r="AY2" s="74"/>
      <c r="AZ2" s="74"/>
    </row>
    <row r="3" spans="1:52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52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52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52" s="98" customFormat="1" ht="13.5" customHeight="1">
      <c r="A6" s="100"/>
      <c r="H6" s="101"/>
    </row>
    <row r="7" spans="1:52" s="19" customFormat="1" ht="13.5" customHeight="1">
      <c r="A7" s="16" t="s">
        <v>164</v>
      </c>
      <c r="B7" s="17"/>
      <c r="C7" s="17"/>
      <c r="D7" s="17"/>
      <c r="E7" s="17"/>
      <c r="F7" s="17"/>
      <c r="G7" s="17"/>
      <c r="H7" s="17"/>
      <c r="I7" s="17"/>
      <c r="J7" s="50"/>
      <c r="K7" s="50"/>
      <c r="L7" s="50"/>
      <c r="M7" s="50"/>
      <c r="N7" s="50"/>
      <c r="O7" s="50"/>
      <c r="P7" s="50"/>
      <c r="Q7" s="50"/>
      <c r="R7" s="5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52" ht="13.5" customHeight="1">
      <c r="A8" s="67" t="s">
        <v>197</v>
      </c>
      <c r="P8" s="48" t="s">
        <v>198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9"/>
      <c r="AI8" s="21"/>
      <c r="AJ8" s="21"/>
      <c r="AK8" s="6" t="s">
        <v>33</v>
      </c>
      <c r="AZ8" s="7" t="s">
        <v>1</v>
      </c>
    </row>
    <row r="9" spans="1:52" s="23" customFormat="1" ht="13.5" customHeight="1">
      <c r="A9" s="225" t="s">
        <v>34</v>
      </c>
      <c r="B9" s="226"/>
      <c r="C9" s="226"/>
      <c r="D9" s="226"/>
      <c r="E9" s="226"/>
      <c r="F9" s="226"/>
      <c r="G9" s="227"/>
      <c r="H9" s="247" t="s">
        <v>199</v>
      </c>
      <c r="I9" s="248"/>
      <c r="J9" s="248"/>
      <c r="K9" s="248"/>
      <c r="L9" s="248"/>
      <c r="M9" s="248"/>
      <c r="N9" s="248"/>
      <c r="O9" s="248"/>
      <c r="P9" s="249"/>
      <c r="Q9" s="77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22"/>
      <c r="AJ9" s="22"/>
      <c r="AK9" s="250"/>
      <c r="AL9" s="251"/>
      <c r="AM9" s="251"/>
      <c r="AN9" s="251"/>
      <c r="AO9" s="251"/>
      <c r="AP9" s="251"/>
      <c r="AQ9" s="252"/>
      <c r="AR9" s="253" t="s">
        <v>192</v>
      </c>
      <c r="AS9" s="244"/>
      <c r="AT9" s="245"/>
      <c r="AU9" s="243" t="s">
        <v>193</v>
      </c>
      <c r="AV9" s="244"/>
      <c r="AW9" s="245"/>
      <c r="AX9" s="243" t="s">
        <v>5</v>
      </c>
      <c r="AY9" s="244"/>
      <c r="AZ9" s="246"/>
    </row>
    <row r="10" spans="1:52" s="23" customFormat="1" ht="13.5" customHeight="1">
      <c r="A10" s="228"/>
      <c r="B10" s="229"/>
      <c r="C10" s="229"/>
      <c r="D10" s="229"/>
      <c r="E10" s="229"/>
      <c r="F10" s="229"/>
      <c r="G10" s="230"/>
      <c r="H10" s="125" t="s">
        <v>192</v>
      </c>
      <c r="I10" s="123"/>
      <c r="J10" s="126"/>
      <c r="K10" s="122" t="s">
        <v>193</v>
      </c>
      <c r="L10" s="123"/>
      <c r="M10" s="126"/>
      <c r="N10" s="122" t="s">
        <v>5</v>
      </c>
      <c r="O10" s="123"/>
      <c r="P10" s="124"/>
      <c r="Q10" s="75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2"/>
      <c r="AJ10" s="22"/>
      <c r="AK10" s="254" t="s">
        <v>4</v>
      </c>
      <c r="AL10" s="255"/>
      <c r="AM10" s="255"/>
      <c r="AN10" s="255"/>
      <c r="AO10" s="255"/>
      <c r="AP10" s="255"/>
      <c r="AQ10" s="256"/>
      <c r="AR10" s="231"/>
      <c r="AS10" s="232"/>
      <c r="AT10" s="232"/>
      <c r="AU10" s="141"/>
      <c r="AV10" s="141"/>
      <c r="AW10" s="141"/>
      <c r="AX10" s="136" t="str">
        <f t="shared" ref="AX10:AX12" si="0">IF(AR10="-", "-", IF(AU10="-", "-", IF(ABS(AU10)=0, "-", ROUND(100*(AR10-AU10)/ABS(AU10),1))))</f>
        <v>-</v>
      </c>
      <c r="AY10" s="137"/>
      <c r="AZ10" s="138"/>
    </row>
    <row r="11" spans="1:52" ht="13.5" customHeight="1">
      <c r="A11" s="233" t="s">
        <v>200</v>
      </c>
      <c r="B11" s="234"/>
      <c r="C11" s="234"/>
      <c r="D11" s="234"/>
      <c r="E11" s="234"/>
      <c r="F11" s="234"/>
      <c r="G11" s="235"/>
      <c r="H11" s="236"/>
      <c r="I11" s="237"/>
      <c r="J11" s="238"/>
      <c r="K11" s="239"/>
      <c r="L11" s="237"/>
      <c r="M11" s="238"/>
      <c r="N11" s="240" t="str">
        <f>IF(H11="-", "-", IF(K11="-", "-", IF(ABS(K11)=0, "-", ROUND(100*(H11-K11)/ABS(K11),1))))</f>
        <v>-</v>
      </c>
      <c r="O11" s="241"/>
      <c r="P11" s="242"/>
      <c r="Q11" s="80"/>
      <c r="R11" s="79"/>
      <c r="S11" s="79"/>
      <c r="T11" s="78"/>
      <c r="U11" s="78"/>
      <c r="V11" s="78"/>
      <c r="W11" s="78"/>
      <c r="X11" s="78"/>
      <c r="Y11" s="78"/>
      <c r="Z11" s="79"/>
      <c r="AA11" s="79"/>
      <c r="AB11" s="79"/>
      <c r="AC11" s="78"/>
      <c r="AD11" s="78"/>
      <c r="AE11" s="78"/>
      <c r="AF11" s="78"/>
      <c r="AG11" s="78"/>
      <c r="AH11" s="78"/>
      <c r="AI11" s="15"/>
      <c r="AJ11" s="15"/>
      <c r="AK11" s="86"/>
      <c r="AL11" s="168" t="s">
        <v>35</v>
      </c>
      <c r="AM11" s="169"/>
      <c r="AN11" s="169"/>
      <c r="AO11" s="169"/>
      <c r="AP11" s="169"/>
      <c r="AQ11" s="170"/>
      <c r="AR11" s="218"/>
      <c r="AS11" s="149"/>
      <c r="AT11" s="149"/>
      <c r="AU11" s="149"/>
      <c r="AV11" s="149"/>
      <c r="AW11" s="149"/>
      <c r="AX11" s="136" t="str">
        <f t="shared" si="0"/>
        <v>-</v>
      </c>
      <c r="AY11" s="137"/>
      <c r="AZ11" s="138"/>
    </row>
    <row r="12" spans="1:52" ht="13.5" customHeight="1">
      <c r="A12" s="257" t="s">
        <v>40</v>
      </c>
      <c r="B12" s="258"/>
      <c r="C12" s="258"/>
      <c r="D12" s="258"/>
      <c r="E12" s="258"/>
      <c r="F12" s="258"/>
      <c r="G12" s="259"/>
      <c r="H12" s="260"/>
      <c r="I12" s="261"/>
      <c r="J12" s="262"/>
      <c r="K12" s="263"/>
      <c r="L12" s="261"/>
      <c r="M12" s="262"/>
      <c r="N12" s="136" t="str">
        <f>IF(H12="-", "-", IF(K12="-", "-", IF(ABS(K12)=0, "-", ROUND(100*(H12-K12)/ABS(K12),1))))</f>
        <v>-</v>
      </c>
      <c r="O12" s="137"/>
      <c r="P12" s="138"/>
      <c r="Q12" s="80"/>
      <c r="R12" s="79"/>
      <c r="S12" s="79"/>
      <c r="T12" s="78"/>
      <c r="U12" s="78"/>
      <c r="V12" s="78"/>
      <c r="W12" s="78"/>
      <c r="X12" s="78"/>
      <c r="Y12" s="78"/>
      <c r="Z12" s="79"/>
      <c r="AA12" s="79"/>
      <c r="AB12" s="79"/>
      <c r="AC12" s="78"/>
      <c r="AD12" s="78"/>
      <c r="AE12" s="78"/>
      <c r="AF12" s="78"/>
      <c r="AG12" s="78"/>
      <c r="AH12" s="78"/>
      <c r="AI12" s="15"/>
      <c r="AJ12" s="15"/>
      <c r="AK12" s="24"/>
      <c r="AL12" s="177" t="s">
        <v>36</v>
      </c>
      <c r="AM12" s="178"/>
      <c r="AN12" s="178"/>
      <c r="AO12" s="178"/>
      <c r="AP12" s="178"/>
      <c r="AQ12" s="179"/>
      <c r="AR12" s="211"/>
      <c r="AS12" s="212"/>
      <c r="AT12" s="212"/>
      <c r="AU12" s="274"/>
      <c r="AV12" s="274"/>
      <c r="AW12" s="274"/>
      <c r="AX12" s="182" t="str">
        <f t="shared" si="0"/>
        <v>-</v>
      </c>
      <c r="AY12" s="183"/>
      <c r="AZ12" s="184"/>
    </row>
    <row r="13" spans="1:52" ht="13.5" customHeight="1">
      <c r="A13" s="264" t="s">
        <v>201</v>
      </c>
      <c r="B13" s="265"/>
      <c r="C13" s="265"/>
      <c r="D13" s="265"/>
      <c r="E13" s="265"/>
      <c r="F13" s="265"/>
      <c r="G13" s="266"/>
      <c r="H13" s="267"/>
      <c r="I13" s="268"/>
      <c r="J13" s="269"/>
      <c r="K13" s="270"/>
      <c r="L13" s="268"/>
      <c r="M13" s="269"/>
      <c r="N13" s="182" t="str">
        <f>IF(H13="-", "-", IF(K13="-", "-", IF(ABS(K13)=0, "-", ROUND(100*(H13-K13)/ABS(K13),1))))</f>
        <v>-</v>
      </c>
      <c r="O13" s="183"/>
      <c r="P13" s="184"/>
      <c r="Q13" s="80"/>
      <c r="R13" s="79"/>
      <c r="S13" s="79"/>
      <c r="T13" s="78"/>
      <c r="U13" s="78"/>
      <c r="V13" s="78"/>
      <c r="W13" s="78"/>
      <c r="X13" s="78"/>
      <c r="Y13" s="78"/>
      <c r="Z13" s="79"/>
      <c r="AA13" s="79"/>
      <c r="AB13" s="79"/>
      <c r="AC13" s="78"/>
      <c r="AD13" s="78"/>
      <c r="AE13" s="78"/>
      <c r="AF13" s="78"/>
      <c r="AG13" s="78"/>
      <c r="AH13" s="78"/>
      <c r="AI13" s="15"/>
      <c r="AJ13" s="15"/>
      <c r="AK13" s="271" t="s">
        <v>37</v>
      </c>
      <c r="AL13" s="275" t="s">
        <v>38</v>
      </c>
      <c r="AM13" s="276"/>
      <c r="AN13" s="276"/>
      <c r="AO13" s="276"/>
      <c r="AP13" s="276"/>
      <c r="AQ13" s="277"/>
      <c r="AR13" s="231"/>
      <c r="AS13" s="232"/>
      <c r="AT13" s="232"/>
      <c r="AU13" s="140"/>
      <c r="AV13" s="140"/>
      <c r="AW13" s="140"/>
      <c r="AX13" s="240" t="str">
        <f>IF(AR13="-", "-", IF(AU13="-", "-", IF(ABS(AU13)=0, "-", ROUND(100*(AR13-AU13)/ABS(AU13),1))))</f>
        <v>-</v>
      </c>
      <c r="AY13" s="241"/>
      <c r="AZ13" s="242"/>
    </row>
    <row r="14" spans="1:52" ht="13.5" customHeight="1">
      <c r="A14" s="85"/>
      <c r="B14" s="53"/>
      <c r="C14" s="53"/>
      <c r="D14" s="53"/>
      <c r="E14" s="53"/>
      <c r="F14" s="53"/>
      <c r="G14" s="53"/>
      <c r="H14" s="79"/>
      <c r="I14" s="79"/>
      <c r="J14" s="79"/>
      <c r="K14" s="78"/>
      <c r="L14" s="78"/>
      <c r="M14" s="78"/>
      <c r="N14" s="78"/>
      <c r="O14" s="78"/>
      <c r="P14" s="78"/>
      <c r="Q14" s="79"/>
      <c r="R14" s="79"/>
      <c r="S14" s="79"/>
      <c r="T14" s="78"/>
      <c r="U14" s="78"/>
      <c r="V14" s="78"/>
      <c r="W14" s="78"/>
      <c r="X14" s="78"/>
      <c r="Y14" s="78"/>
      <c r="Z14" s="79"/>
      <c r="AA14" s="79"/>
      <c r="AB14" s="79"/>
      <c r="AC14" s="78"/>
      <c r="AD14" s="78"/>
      <c r="AE14" s="78"/>
      <c r="AF14" s="78"/>
      <c r="AG14" s="78"/>
      <c r="AH14" s="78"/>
      <c r="AI14" s="15"/>
      <c r="AJ14" s="15"/>
      <c r="AK14" s="272"/>
      <c r="AL14" s="168" t="s">
        <v>39</v>
      </c>
      <c r="AM14" s="169"/>
      <c r="AN14" s="169"/>
      <c r="AO14" s="169"/>
      <c r="AP14" s="169"/>
      <c r="AQ14" s="170"/>
      <c r="AR14" s="218"/>
      <c r="AS14" s="149"/>
      <c r="AT14" s="149"/>
      <c r="AU14" s="149"/>
      <c r="AV14" s="149"/>
      <c r="AW14" s="149"/>
      <c r="AX14" s="136" t="str">
        <f t="shared" ref="AX14:AX18" si="1">IF(AR14="-", "-", IF(AU14="-", "-", IF(ABS(AU14)=0, "-", ROUND(100*(AR14-AU14)/ABS(AU14),1))))</f>
        <v>-</v>
      </c>
      <c r="AY14" s="137"/>
      <c r="AZ14" s="138"/>
    </row>
    <row r="15" spans="1:52" ht="13.5" customHeight="1">
      <c r="A15" s="53"/>
      <c r="B15" s="53"/>
      <c r="C15" s="53"/>
      <c r="D15" s="53"/>
      <c r="E15" s="53"/>
      <c r="F15" s="53"/>
      <c r="G15" s="53"/>
      <c r="H15" s="79"/>
      <c r="I15" s="79"/>
      <c r="J15" s="79"/>
      <c r="K15" s="78"/>
      <c r="L15" s="78"/>
      <c r="M15" s="78"/>
      <c r="N15" s="78"/>
      <c r="O15" s="78"/>
      <c r="P15" s="78"/>
      <c r="Q15" s="79"/>
      <c r="R15" s="79"/>
      <c r="S15" s="79"/>
      <c r="T15" s="78"/>
      <c r="U15" s="78"/>
      <c r="V15" s="78"/>
      <c r="W15" s="78"/>
      <c r="X15" s="78"/>
      <c r="Y15" s="78"/>
      <c r="Z15" s="79"/>
      <c r="AA15" s="79"/>
      <c r="AB15" s="79"/>
      <c r="AC15" s="78"/>
      <c r="AD15" s="78"/>
      <c r="AE15" s="78"/>
      <c r="AF15" s="78"/>
      <c r="AG15" s="78"/>
      <c r="AH15" s="78"/>
      <c r="AI15" s="15"/>
      <c r="AJ15" s="15"/>
      <c r="AK15" s="272"/>
      <c r="AL15" s="162" t="s">
        <v>41</v>
      </c>
      <c r="AM15" s="163"/>
      <c r="AN15" s="163"/>
      <c r="AO15" s="163"/>
      <c r="AP15" s="163"/>
      <c r="AQ15" s="164"/>
      <c r="AR15" s="218"/>
      <c r="AS15" s="149"/>
      <c r="AT15" s="149"/>
      <c r="AU15" s="149"/>
      <c r="AV15" s="149"/>
      <c r="AW15" s="149"/>
      <c r="AX15" s="136" t="str">
        <f t="shared" si="1"/>
        <v>-</v>
      </c>
      <c r="AY15" s="137"/>
      <c r="AZ15" s="138"/>
    </row>
    <row r="16" spans="1:52" ht="13.5" customHeight="1">
      <c r="A16" s="51"/>
      <c r="B16" s="51"/>
      <c r="C16" s="51"/>
      <c r="D16" s="51"/>
      <c r="E16" s="51"/>
      <c r="F16" s="51"/>
      <c r="G16" s="51"/>
      <c r="H16" s="85"/>
      <c r="I16" s="85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21"/>
      <c r="AJ16" s="21"/>
      <c r="AK16" s="272"/>
      <c r="AL16" s="25"/>
      <c r="AM16" s="168" t="s">
        <v>42</v>
      </c>
      <c r="AN16" s="169"/>
      <c r="AO16" s="169"/>
      <c r="AP16" s="169"/>
      <c r="AQ16" s="170"/>
      <c r="AR16" s="218"/>
      <c r="AS16" s="149"/>
      <c r="AT16" s="149"/>
      <c r="AU16" s="149"/>
      <c r="AV16" s="149"/>
      <c r="AW16" s="149"/>
      <c r="AX16" s="136" t="str">
        <f t="shared" si="1"/>
        <v>-</v>
      </c>
      <c r="AY16" s="137"/>
      <c r="AZ16" s="138"/>
    </row>
    <row r="17" spans="1:67" s="23" customFormat="1" ht="13.5" customHeight="1">
      <c r="A17" s="6" t="s">
        <v>43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7" t="s">
        <v>44</v>
      </c>
      <c r="AI17" s="26"/>
      <c r="AJ17" s="26"/>
      <c r="AK17" s="272"/>
      <c r="AL17" s="25"/>
      <c r="AM17" s="168" t="s">
        <v>45</v>
      </c>
      <c r="AN17" s="169"/>
      <c r="AO17" s="169"/>
      <c r="AP17" s="169"/>
      <c r="AQ17" s="170"/>
      <c r="AR17" s="218"/>
      <c r="AS17" s="149"/>
      <c r="AT17" s="149"/>
      <c r="AU17" s="149"/>
      <c r="AV17" s="149"/>
      <c r="AW17" s="149"/>
      <c r="AX17" s="136" t="str">
        <f t="shared" si="1"/>
        <v>-</v>
      </c>
      <c r="AY17" s="137"/>
      <c r="AZ17" s="138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</row>
    <row r="18" spans="1:67" s="23" customFormat="1" ht="13.5" customHeight="1">
      <c r="A18" s="127" t="s">
        <v>34</v>
      </c>
      <c r="B18" s="128"/>
      <c r="C18" s="128"/>
      <c r="D18" s="128"/>
      <c r="E18" s="128"/>
      <c r="F18" s="128"/>
      <c r="G18" s="129"/>
      <c r="H18" s="278" t="s">
        <v>46</v>
      </c>
      <c r="I18" s="278"/>
      <c r="J18" s="278"/>
      <c r="K18" s="278"/>
      <c r="L18" s="278"/>
      <c r="M18" s="278"/>
      <c r="N18" s="278"/>
      <c r="O18" s="278"/>
      <c r="P18" s="279"/>
      <c r="Q18" s="280" t="s">
        <v>47</v>
      </c>
      <c r="R18" s="278"/>
      <c r="S18" s="278"/>
      <c r="T18" s="278"/>
      <c r="U18" s="278"/>
      <c r="V18" s="278"/>
      <c r="W18" s="278"/>
      <c r="X18" s="278"/>
      <c r="Y18" s="279"/>
      <c r="Z18" s="133" t="s">
        <v>4</v>
      </c>
      <c r="AA18" s="133"/>
      <c r="AB18" s="133"/>
      <c r="AC18" s="133"/>
      <c r="AD18" s="133"/>
      <c r="AE18" s="133"/>
      <c r="AF18" s="133"/>
      <c r="AG18" s="133"/>
      <c r="AH18" s="134"/>
      <c r="AK18" s="273"/>
      <c r="AL18" s="27"/>
      <c r="AM18" s="177" t="s">
        <v>48</v>
      </c>
      <c r="AN18" s="178"/>
      <c r="AO18" s="178"/>
      <c r="AP18" s="178"/>
      <c r="AQ18" s="179"/>
      <c r="AR18" s="211"/>
      <c r="AS18" s="212"/>
      <c r="AT18" s="212"/>
      <c r="AU18" s="181"/>
      <c r="AV18" s="181"/>
      <c r="AW18" s="181"/>
      <c r="AX18" s="182" t="str">
        <f t="shared" si="1"/>
        <v>-</v>
      </c>
      <c r="AY18" s="183"/>
      <c r="AZ18" s="184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</row>
    <row r="19" spans="1:67" s="23" customFormat="1" ht="13.5" customHeight="1">
      <c r="A19" s="130"/>
      <c r="B19" s="131"/>
      <c r="C19" s="131"/>
      <c r="D19" s="131"/>
      <c r="E19" s="131"/>
      <c r="F19" s="131"/>
      <c r="G19" s="132"/>
      <c r="H19" s="125" t="s">
        <v>192</v>
      </c>
      <c r="I19" s="123"/>
      <c r="J19" s="126"/>
      <c r="K19" s="122" t="s">
        <v>193</v>
      </c>
      <c r="L19" s="123"/>
      <c r="M19" s="126"/>
      <c r="N19" s="122" t="s">
        <v>5</v>
      </c>
      <c r="O19" s="123"/>
      <c r="P19" s="124"/>
      <c r="Q19" s="125" t="s">
        <v>192</v>
      </c>
      <c r="R19" s="123"/>
      <c r="S19" s="126"/>
      <c r="T19" s="122" t="s">
        <v>193</v>
      </c>
      <c r="U19" s="123"/>
      <c r="V19" s="126"/>
      <c r="W19" s="122" t="s">
        <v>5</v>
      </c>
      <c r="X19" s="123"/>
      <c r="Y19" s="124"/>
      <c r="Z19" s="125" t="s">
        <v>192</v>
      </c>
      <c r="AA19" s="123"/>
      <c r="AB19" s="126"/>
      <c r="AC19" s="122" t="s">
        <v>193</v>
      </c>
      <c r="AD19" s="123"/>
      <c r="AE19" s="126"/>
      <c r="AF19" s="122" t="s">
        <v>5</v>
      </c>
      <c r="AG19" s="123"/>
      <c r="AH19" s="124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9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</row>
    <row r="20" spans="1:67" ht="13.5" customHeight="1">
      <c r="A20" s="194" t="s">
        <v>49</v>
      </c>
      <c r="B20" s="195"/>
      <c r="C20" s="195"/>
      <c r="D20" s="195"/>
      <c r="E20" s="195"/>
      <c r="F20" s="195"/>
      <c r="G20" s="196"/>
      <c r="H20" s="231"/>
      <c r="I20" s="232"/>
      <c r="J20" s="232"/>
      <c r="K20" s="141"/>
      <c r="L20" s="141"/>
      <c r="M20" s="141"/>
      <c r="N20" s="136" t="str">
        <f t="shared" ref="N20:N24" si="2">IF(H20="-", "-", IF(K20="-", "-", IF(ABS(K20)=0, "-", ROUND(100*(H20-K20)/ABS(K20),1))))</f>
        <v>-</v>
      </c>
      <c r="O20" s="137"/>
      <c r="P20" s="138"/>
      <c r="Q20" s="231"/>
      <c r="R20" s="232"/>
      <c r="S20" s="232"/>
      <c r="T20" s="141"/>
      <c r="U20" s="141"/>
      <c r="V20" s="141"/>
      <c r="W20" s="136" t="str">
        <f t="shared" ref="W20:W24" si="3">IF(Q20="-", "-", IF(T20="-", "-", IF(ABS(T20)=0, "-", ROUND(100*(Q20-T20)/ABS(T20),1))))</f>
        <v>-</v>
      </c>
      <c r="X20" s="137"/>
      <c r="Y20" s="138"/>
      <c r="Z20" s="231"/>
      <c r="AA20" s="232"/>
      <c r="AB20" s="232"/>
      <c r="AC20" s="141"/>
      <c r="AD20" s="141"/>
      <c r="AE20" s="141"/>
      <c r="AF20" s="136" t="str">
        <f t="shared" ref="AF20:AF24" si="4">IF(Z20="-", "-", IF(AC20="-", "-", IF(ABS(AC20)=0, "-", ROUND(100*(Z20-AC20)/ABS(AC20),1))))</f>
        <v>-</v>
      </c>
      <c r="AG20" s="137"/>
      <c r="AH20" s="138"/>
      <c r="AK20" s="6" t="s">
        <v>51</v>
      </c>
      <c r="AZ20" s="7" t="s">
        <v>1</v>
      </c>
    </row>
    <row r="21" spans="1:67" ht="13.5" customHeight="1">
      <c r="A21" s="281" t="s">
        <v>50</v>
      </c>
      <c r="B21" s="169"/>
      <c r="C21" s="169"/>
      <c r="D21" s="169"/>
      <c r="E21" s="169"/>
      <c r="F21" s="169"/>
      <c r="G21" s="170"/>
      <c r="H21" s="218"/>
      <c r="I21" s="149"/>
      <c r="J21" s="149"/>
      <c r="K21" s="149"/>
      <c r="L21" s="149"/>
      <c r="M21" s="149"/>
      <c r="N21" s="136" t="str">
        <f t="shared" si="2"/>
        <v>-</v>
      </c>
      <c r="O21" s="137"/>
      <c r="P21" s="138"/>
      <c r="Q21" s="218"/>
      <c r="R21" s="149"/>
      <c r="S21" s="149"/>
      <c r="T21" s="149"/>
      <c r="U21" s="149"/>
      <c r="V21" s="149"/>
      <c r="W21" s="136" t="str">
        <f t="shared" si="3"/>
        <v>-</v>
      </c>
      <c r="X21" s="137"/>
      <c r="Y21" s="138"/>
      <c r="Z21" s="218"/>
      <c r="AA21" s="149"/>
      <c r="AB21" s="149"/>
      <c r="AC21" s="149"/>
      <c r="AD21" s="149"/>
      <c r="AE21" s="149"/>
      <c r="AF21" s="136" t="str">
        <f t="shared" si="4"/>
        <v>-</v>
      </c>
      <c r="AG21" s="137"/>
      <c r="AH21" s="138"/>
      <c r="AK21" s="250"/>
      <c r="AL21" s="251"/>
      <c r="AM21" s="251"/>
      <c r="AN21" s="251"/>
      <c r="AO21" s="251"/>
      <c r="AP21" s="251"/>
      <c r="AQ21" s="252"/>
      <c r="AR21" s="253" t="s">
        <v>192</v>
      </c>
      <c r="AS21" s="244"/>
      <c r="AT21" s="245"/>
      <c r="AU21" s="243" t="s">
        <v>193</v>
      </c>
      <c r="AV21" s="244"/>
      <c r="AW21" s="245"/>
      <c r="AX21" s="243" t="s">
        <v>5</v>
      </c>
      <c r="AY21" s="244"/>
      <c r="AZ21" s="246"/>
    </row>
    <row r="22" spans="1:67" ht="13.5" customHeight="1">
      <c r="A22" s="281" t="s">
        <v>52</v>
      </c>
      <c r="B22" s="169"/>
      <c r="C22" s="169"/>
      <c r="D22" s="169"/>
      <c r="E22" s="169"/>
      <c r="F22" s="169"/>
      <c r="G22" s="170"/>
      <c r="H22" s="218"/>
      <c r="I22" s="149"/>
      <c r="J22" s="149"/>
      <c r="K22" s="149"/>
      <c r="L22" s="149"/>
      <c r="M22" s="149"/>
      <c r="N22" s="136" t="str">
        <f t="shared" si="2"/>
        <v>-</v>
      </c>
      <c r="O22" s="137"/>
      <c r="P22" s="138"/>
      <c r="Q22" s="218"/>
      <c r="R22" s="149"/>
      <c r="S22" s="149"/>
      <c r="T22" s="149"/>
      <c r="U22" s="149"/>
      <c r="V22" s="149"/>
      <c r="W22" s="136" t="str">
        <f t="shared" si="3"/>
        <v>-</v>
      </c>
      <c r="X22" s="137"/>
      <c r="Y22" s="138"/>
      <c r="Z22" s="218"/>
      <c r="AA22" s="149"/>
      <c r="AB22" s="149"/>
      <c r="AC22" s="149"/>
      <c r="AD22" s="149"/>
      <c r="AE22" s="149"/>
      <c r="AF22" s="136" t="str">
        <f t="shared" si="4"/>
        <v>-</v>
      </c>
      <c r="AG22" s="137"/>
      <c r="AH22" s="138"/>
      <c r="AK22" s="254" t="s">
        <v>4</v>
      </c>
      <c r="AL22" s="255"/>
      <c r="AM22" s="255"/>
      <c r="AN22" s="255"/>
      <c r="AO22" s="255"/>
      <c r="AP22" s="255"/>
      <c r="AQ22" s="256"/>
      <c r="AR22" s="231"/>
      <c r="AS22" s="232"/>
      <c r="AT22" s="232"/>
      <c r="AU22" s="141"/>
      <c r="AV22" s="141"/>
      <c r="AW22" s="141"/>
      <c r="AX22" s="240" t="str">
        <f>IF(AR22="-", "-", IF(AU22="-", "-", IF(ABS(AU22)=0, "-", ROUND(100*(AR22-AU22)/ABS(AU22),1))))</f>
        <v>-</v>
      </c>
      <c r="AY22" s="241"/>
      <c r="AZ22" s="242"/>
    </row>
    <row r="23" spans="1:67" ht="13.5" customHeight="1">
      <c r="A23" s="284" t="s">
        <v>53</v>
      </c>
      <c r="B23" s="285"/>
      <c r="C23" s="285"/>
      <c r="D23" s="285"/>
      <c r="E23" s="285"/>
      <c r="F23" s="285"/>
      <c r="G23" s="286"/>
      <c r="H23" s="161"/>
      <c r="I23" s="141"/>
      <c r="J23" s="141"/>
      <c r="K23" s="181"/>
      <c r="L23" s="181"/>
      <c r="M23" s="181"/>
      <c r="N23" s="182" t="str">
        <f t="shared" si="2"/>
        <v>-</v>
      </c>
      <c r="O23" s="183"/>
      <c r="P23" s="184"/>
      <c r="Q23" s="282"/>
      <c r="R23" s="283"/>
      <c r="S23" s="283"/>
      <c r="T23" s="181"/>
      <c r="U23" s="181"/>
      <c r="V23" s="181"/>
      <c r="W23" s="182" t="str">
        <f t="shared" si="3"/>
        <v>-</v>
      </c>
      <c r="X23" s="183"/>
      <c r="Y23" s="184"/>
      <c r="Z23" s="282"/>
      <c r="AA23" s="283"/>
      <c r="AB23" s="283"/>
      <c r="AC23" s="181"/>
      <c r="AD23" s="181"/>
      <c r="AE23" s="181"/>
      <c r="AF23" s="182" t="str">
        <f t="shared" si="4"/>
        <v>-</v>
      </c>
      <c r="AG23" s="183"/>
      <c r="AH23" s="184"/>
      <c r="AK23" s="86"/>
      <c r="AL23" s="168" t="s">
        <v>54</v>
      </c>
      <c r="AM23" s="169"/>
      <c r="AN23" s="169"/>
      <c r="AO23" s="169"/>
      <c r="AP23" s="169"/>
      <c r="AQ23" s="170"/>
      <c r="AR23" s="218"/>
      <c r="AS23" s="149"/>
      <c r="AT23" s="149"/>
      <c r="AU23" s="149"/>
      <c r="AV23" s="149"/>
      <c r="AW23" s="149"/>
      <c r="AX23" s="136" t="str">
        <f t="shared" ref="AX23:AX24" si="5">IF(AR23="-", "-", IF(AU23="-", "-", IF(ABS(AU23)=0, "-", ROUND(100*(AR23-AU23)/ABS(AU23),1))))</f>
        <v>-</v>
      </c>
      <c r="AY23" s="137"/>
      <c r="AZ23" s="138"/>
    </row>
    <row r="24" spans="1:67" ht="13.5" customHeight="1">
      <c r="A24" s="200" t="s">
        <v>4</v>
      </c>
      <c r="B24" s="201"/>
      <c r="C24" s="201"/>
      <c r="D24" s="201"/>
      <c r="E24" s="201"/>
      <c r="F24" s="201"/>
      <c r="G24" s="202"/>
      <c r="H24" s="204"/>
      <c r="I24" s="203"/>
      <c r="J24" s="203"/>
      <c r="K24" s="203"/>
      <c r="L24" s="203"/>
      <c r="M24" s="203"/>
      <c r="N24" s="182" t="str">
        <f t="shared" si="2"/>
        <v>-</v>
      </c>
      <c r="O24" s="183"/>
      <c r="P24" s="184"/>
      <c r="Q24" s="204"/>
      <c r="R24" s="203"/>
      <c r="S24" s="203"/>
      <c r="T24" s="203"/>
      <c r="U24" s="203"/>
      <c r="V24" s="203"/>
      <c r="W24" s="182" t="str">
        <f t="shared" si="3"/>
        <v>-</v>
      </c>
      <c r="X24" s="183"/>
      <c r="Y24" s="184"/>
      <c r="Z24" s="204"/>
      <c r="AA24" s="203"/>
      <c r="AB24" s="203"/>
      <c r="AC24" s="203"/>
      <c r="AD24" s="203"/>
      <c r="AE24" s="203"/>
      <c r="AF24" s="182" t="str">
        <f t="shared" si="4"/>
        <v>-</v>
      </c>
      <c r="AG24" s="183"/>
      <c r="AH24" s="184"/>
      <c r="AK24" s="24"/>
      <c r="AL24" s="177" t="s">
        <v>30</v>
      </c>
      <c r="AM24" s="178"/>
      <c r="AN24" s="178"/>
      <c r="AO24" s="178"/>
      <c r="AP24" s="178"/>
      <c r="AQ24" s="179"/>
      <c r="AR24" s="211"/>
      <c r="AS24" s="212"/>
      <c r="AT24" s="212"/>
      <c r="AU24" s="181"/>
      <c r="AV24" s="181"/>
      <c r="AW24" s="181"/>
      <c r="AX24" s="182" t="str">
        <f t="shared" si="5"/>
        <v>-</v>
      </c>
      <c r="AY24" s="183"/>
      <c r="AZ24" s="184"/>
    </row>
    <row r="25" spans="1:67" ht="13.5" customHeight="1">
      <c r="AK25" s="38"/>
      <c r="AL25" s="20"/>
      <c r="AM25" s="20"/>
      <c r="AN25" s="20"/>
      <c r="AO25" s="20"/>
      <c r="AP25" s="20"/>
      <c r="AQ25" s="20"/>
      <c r="AR25" s="87"/>
      <c r="AS25" s="88"/>
      <c r="AT25" s="88"/>
      <c r="AU25" s="87"/>
      <c r="AV25" s="88"/>
      <c r="AW25" s="88"/>
      <c r="AX25" s="89"/>
      <c r="AY25" s="89"/>
      <c r="AZ25" s="89"/>
    </row>
    <row r="26" spans="1:67" ht="13.5" customHeight="1">
      <c r="AK26" s="38"/>
      <c r="AL26" s="20"/>
      <c r="AM26" s="20"/>
      <c r="AN26" s="20"/>
      <c r="AO26" s="20"/>
      <c r="AP26" s="20"/>
      <c r="AQ26" s="20"/>
      <c r="AR26" s="87"/>
      <c r="AS26" s="88"/>
      <c r="AT26" s="88"/>
      <c r="AU26" s="87"/>
      <c r="AV26" s="88"/>
      <c r="AW26" s="88"/>
      <c r="AX26" s="89"/>
      <c r="AY26" s="89"/>
      <c r="AZ26" s="89"/>
    </row>
    <row r="27" spans="1:67" ht="13.5" customHeight="1">
      <c r="A27" s="6" t="s">
        <v>165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P27" s="23"/>
      <c r="Q27" s="23"/>
      <c r="S27" s="6" t="s">
        <v>166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I27" s="23"/>
      <c r="AK27" s="6" t="s">
        <v>167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Z27" s="7" t="s">
        <v>70</v>
      </c>
    </row>
    <row r="28" spans="1:67" ht="13.5" customHeight="1">
      <c r="A28" s="6" t="s">
        <v>168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P28" s="39" t="s">
        <v>70</v>
      </c>
      <c r="Q28" s="23"/>
      <c r="S28" s="6" t="s">
        <v>71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H28" s="7" t="s">
        <v>70</v>
      </c>
      <c r="AI28" s="23"/>
      <c r="AJ28" s="23"/>
      <c r="AK28" s="250"/>
      <c r="AL28" s="251"/>
      <c r="AM28" s="251"/>
      <c r="AN28" s="251"/>
      <c r="AO28" s="251"/>
      <c r="AP28" s="251"/>
      <c r="AQ28" s="252"/>
      <c r="AR28" s="253" t="s">
        <v>192</v>
      </c>
      <c r="AS28" s="244"/>
      <c r="AT28" s="245"/>
      <c r="AU28" s="243" t="s">
        <v>193</v>
      </c>
      <c r="AV28" s="244"/>
      <c r="AW28" s="245"/>
      <c r="AX28" s="243" t="s">
        <v>5</v>
      </c>
      <c r="AY28" s="244"/>
      <c r="AZ28" s="246"/>
    </row>
    <row r="29" spans="1:67" ht="13.5" customHeight="1">
      <c r="A29" s="250"/>
      <c r="B29" s="251"/>
      <c r="C29" s="251"/>
      <c r="D29" s="251"/>
      <c r="E29" s="251"/>
      <c r="F29" s="251"/>
      <c r="G29" s="252"/>
      <c r="H29" s="253" t="s">
        <v>192</v>
      </c>
      <c r="I29" s="244"/>
      <c r="J29" s="245"/>
      <c r="K29" s="243" t="s">
        <v>193</v>
      </c>
      <c r="L29" s="244"/>
      <c r="M29" s="245"/>
      <c r="N29" s="243" t="s">
        <v>5</v>
      </c>
      <c r="O29" s="244"/>
      <c r="P29" s="246"/>
      <c r="Q29" s="23"/>
      <c r="S29" s="250"/>
      <c r="T29" s="251"/>
      <c r="U29" s="251"/>
      <c r="V29" s="251"/>
      <c r="W29" s="251"/>
      <c r="X29" s="251"/>
      <c r="Y29" s="252"/>
      <c r="Z29" s="253" t="s">
        <v>192</v>
      </c>
      <c r="AA29" s="244"/>
      <c r="AB29" s="245"/>
      <c r="AC29" s="243" t="s">
        <v>193</v>
      </c>
      <c r="AD29" s="244"/>
      <c r="AE29" s="245"/>
      <c r="AF29" s="243" t="s">
        <v>5</v>
      </c>
      <c r="AG29" s="244"/>
      <c r="AH29" s="246"/>
      <c r="AJ29" s="23"/>
      <c r="AK29" s="287" t="s">
        <v>169</v>
      </c>
      <c r="AL29" s="288"/>
      <c r="AM29" s="288"/>
      <c r="AN29" s="288"/>
      <c r="AO29" s="288"/>
      <c r="AP29" s="288"/>
      <c r="AQ29" s="289"/>
      <c r="AR29" s="290"/>
      <c r="AS29" s="291"/>
      <c r="AT29" s="291"/>
      <c r="AU29" s="291"/>
      <c r="AV29" s="291"/>
      <c r="AW29" s="291"/>
      <c r="AX29" s="136" t="str">
        <f t="shared" ref="AX29:AX30" si="6">IF(AR29="-", "-", IF(AU29="-", "-", IF(ABS(AU29)=0, "-", ROUND(100*(AR29-AU29)/ABS(AU29),1))))</f>
        <v>-</v>
      </c>
      <c r="AY29" s="137"/>
      <c r="AZ29" s="138"/>
    </row>
    <row r="30" spans="1:67" ht="13.5" customHeight="1">
      <c r="A30" s="296" t="s">
        <v>210</v>
      </c>
      <c r="B30" s="297"/>
      <c r="C30" s="297"/>
      <c r="D30" s="297"/>
      <c r="E30" s="297"/>
      <c r="F30" s="297"/>
      <c r="G30" s="298"/>
      <c r="H30" s="299"/>
      <c r="I30" s="300"/>
      <c r="J30" s="300"/>
      <c r="K30" s="301"/>
      <c r="L30" s="301"/>
      <c r="M30" s="301"/>
      <c r="N30" s="136" t="str">
        <f t="shared" ref="N30:N43" si="7">IF(H30="-", "-", IF(K30="-", "-", IF(ABS(K30)=0, "-", ROUND(100*(H30-K30)/ABS(K30),1))))</f>
        <v>-</v>
      </c>
      <c r="O30" s="137"/>
      <c r="P30" s="138"/>
      <c r="Q30" s="23"/>
      <c r="S30" s="302" t="s">
        <v>170</v>
      </c>
      <c r="T30" s="276"/>
      <c r="U30" s="276"/>
      <c r="V30" s="276"/>
      <c r="W30" s="276"/>
      <c r="X30" s="276"/>
      <c r="Y30" s="277"/>
      <c r="Z30" s="299"/>
      <c r="AA30" s="300"/>
      <c r="AB30" s="300"/>
      <c r="AC30" s="239"/>
      <c r="AD30" s="237"/>
      <c r="AE30" s="238"/>
      <c r="AF30" s="136" t="str">
        <f t="shared" ref="AF30:AF33" si="8">IF(Z30="-", "-", IF(AC30="-", "-", IF(ABS(AC30)=0, "-", ROUND(100*(Z30-AC30)/ABS(AC30),1))))</f>
        <v>-</v>
      </c>
      <c r="AG30" s="137"/>
      <c r="AH30" s="138"/>
      <c r="AK30" s="292" t="s">
        <v>171</v>
      </c>
      <c r="AL30" s="178"/>
      <c r="AM30" s="178"/>
      <c r="AN30" s="178"/>
      <c r="AO30" s="178"/>
      <c r="AP30" s="178"/>
      <c r="AQ30" s="179"/>
      <c r="AR30" s="293"/>
      <c r="AS30" s="294"/>
      <c r="AT30" s="294"/>
      <c r="AU30" s="295"/>
      <c r="AV30" s="295"/>
      <c r="AW30" s="295"/>
      <c r="AX30" s="182" t="str">
        <f t="shared" si="6"/>
        <v>-</v>
      </c>
      <c r="AY30" s="183"/>
      <c r="AZ30" s="184"/>
    </row>
    <row r="31" spans="1:67" ht="13.5" customHeight="1">
      <c r="A31" s="303" t="s">
        <v>211</v>
      </c>
      <c r="B31" s="304"/>
      <c r="C31" s="304"/>
      <c r="D31" s="304"/>
      <c r="E31" s="304"/>
      <c r="F31" s="304"/>
      <c r="G31" s="305"/>
      <c r="H31" s="306"/>
      <c r="I31" s="307"/>
      <c r="J31" s="307"/>
      <c r="K31" s="307"/>
      <c r="L31" s="307"/>
      <c r="M31" s="307"/>
      <c r="N31" s="136" t="str">
        <f t="shared" si="7"/>
        <v>-</v>
      </c>
      <c r="O31" s="137"/>
      <c r="P31" s="138"/>
      <c r="Q31" s="23"/>
      <c r="S31" s="281" t="s">
        <v>172</v>
      </c>
      <c r="T31" s="169"/>
      <c r="U31" s="169"/>
      <c r="V31" s="169"/>
      <c r="W31" s="169"/>
      <c r="X31" s="169"/>
      <c r="Y31" s="170"/>
      <c r="Z31" s="306"/>
      <c r="AA31" s="307"/>
      <c r="AB31" s="307"/>
      <c r="AC31" s="263"/>
      <c r="AD31" s="261"/>
      <c r="AE31" s="262"/>
      <c r="AF31" s="136" t="str">
        <f t="shared" si="8"/>
        <v>-</v>
      </c>
      <c r="AG31" s="137"/>
      <c r="AH31" s="138"/>
    </row>
    <row r="32" spans="1:67" ht="13.5" customHeight="1">
      <c r="A32" s="303" t="s">
        <v>211</v>
      </c>
      <c r="B32" s="304"/>
      <c r="C32" s="304"/>
      <c r="D32" s="304"/>
      <c r="E32" s="304"/>
      <c r="F32" s="304"/>
      <c r="G32" s="305"/>
      <c r="H32" s="306"/>
      <c r="I32" s="307"/>
      <c r="J32" s="307"/>
      <c r="K32" s="307"/>
      <c r="L32" s="307"/>
      <c r="M32" s="307"/>
      <c r="N32" s="136" t="str">
        <f t="shared" si="7"/>
        <v>-</v>
      </c>
      <c r="O32" s="137"/>
      <c r="P32" s="138"/>
      <c r="Q32" s="23"/>
      <c r="S32" s="281" t="s">
        <v>173</v>
      </c>
      <c r="T32" s="169"/>
      <c r="U32" s="169"/>
      <c r="V32" s="169"/>
      <c r="W32" s="169"/>
      <c r="X32" s="169"/>
      <c r="Y32" s="170"/>
      <c r="Z32" s="306"/>
      <c r="AA32" s="307"/>
      <c r="AB32" s="307"/>
      <c r="AC32" s="263"/>
      <c r="AD32" s="261"/>
      <c r="AE32" s="262"/>
      <c r="AF32" s="136" t="str">
        <f t="shared" si="8"/>
        <v>-</v>
      </c>
      <c r="AG32" s="137"/>
      <c r="AH32" s="138"/>
      <c r="AK32" s="6" t="s">
        <v>174</v>
      </c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Z32" s="7" t="s">
        <v>70</v>
      </c>
    </row>
    <row r="33" spans="1:52" ht="13.5" customHeight="1">
      <c r="A33" s="303" t="s">
        <v>211</v>
      </c>
      <c r="B33" s="304"/>
      <c r="C33" s="304"/>
      <c r="D33" s="304"/>
      <c r="E33" s="304"/>
      <c r="F33" s="304"/>
      <c r="G33" s="305"/>
      <c r="H33" s="306"/>
      <c r="I33" s="307"/>
      <c r="J33" s="307"/>
      <c r="K33" s="307"/>
      <c r="L33" s="307"/>
      <c r="M33" s="307"/>
      <c r="N33" s="136" t="str">
        <f t="shared" si="7"/>
        <v>-</v>
      </c>
      <c r="O33" s="137"/>
      <c r="P33" s="138"/>
      <c r="Q33" s="23"/>
      <c r="S33" s="292" t="s">
        <v>175</v>
      </c>
      <c r="T33" s="178"/>
      <c r="U33" s="178"/>
      <c r="V33" s="178"/>
      <c r="W33" s="178"/>
      <c r="X33" s="178"/>
      <c r="Y33" s="179"/>
      <c r="Z33" s="293"/>
      <c r="AA33" s="294"/>
      <c r="AB33" s="294"/>
      <c r="AC33" s="270"/>
      <c r="AD33" s="268"/>
      <c r="AE33" s="269"/>
      <c r="AF33" s="182" t="str">
        <f t="shared" si="8"/>
        <v>-</v>
      </c>
      <c r="AG33" s="183"/>
      <c r="AH33" s="184"/>
      <c r="AK33" s="250"/>
      <c r="AL33" s="251"/>
      <c r="AM33" s="251"/>
      <c r="AN33" s="251"/>
      <c r="AO33" s="251"/>
      <c r="AP33" s="251"/>
      <c r="AQ33" s="252"/>
      <c r="AR33" s="253" t="s">
        <v>192</v>
      </c>
      <c r="AS33" s="244"/>
      <c r="AT33" s="245"/>
      <c r="AU33" s="243" t="s">
        <v>193</v>
      </c>
      <c r="AV33" s="244"/>
      <c r="AW33" s="245"/>
      <c r="AX33" s="243" t="s">
        <v>5</v>
      </c>
      <c r="AY33" s="244"/>
      <c r="AZ33" s="246"/>
    </row>
    <row r="34" spans="1:52" ht="13.5" customHeight="1">
      <c r="A34" s="303" t="s">
        <v>211</v>
      </c>
      <c r="B34" s="304"/>
      <c r="C34" s="304"/>
      <c r="D34" s="304"/>
      <c r="E34" s="304"/>
      <c r="F34" s="304"/>
      <c r="G34" s="305"/>
      <c r="H34" s="306"/>
      <c r="I34" s="307"/>
      <c r="J34" s="307"/>
      <c r="K34" s="307"/>
      <c r="L34" s="307"/>
      <c r="M34" s="307"/>
      <c r="N34" s="136" t="str">
        <f t="shared" si="7"/>
        <v>-</v>
      </c>
      <c r="O34" s="137"/>
      <c r="P34" s="138"/>
      <c r="Q34" s="23"/>
      <c r="R34" s="23"/>
      <c r="AK34" s="200" t="s">
        <v>176</v>
      </c>
      <c r="AL34" s="201"/>
      <c r="AM34" s="201"/>
      <c r="AN34" s="201"/>
      <c r="AO34" s="201"/>
      <c r="AP34" s="201"/>
      <c r="AQ34" s="202"/>
      <c r="AR34" s="293"/>
      <c r="AS34" s="294"/>
      <c r="AT34" s="294"/>
      <c r="AU34" s="308"/>
      <c r="AV34" s="309"/>
      <c r="AW34" s="310"/>
      <c r="AX34" s="182" t="str">
        <f t="shared" ref="AX34" si="9">IF(AR34="-", "-", IF(AU34="-", "-", IF(ABS(AU34)=0, "-", ROUND(100*(AR34-AU34)/ABS(AU34),1))))</f>
        <v>-</v>
      </c>
      <c r="AY34" s="183"/>
      <c r="AZ34" s="184"/>
    </row>
    <row r="35" spans="1:52" ht="13.5" customHeight="1">
      <c r="A35" s="303" t="s">
        <v>211</v>
      </c>
      <c r="B35" s="304"/>
      <c r="C35" s="304"/>
      <c r="D35" s="304"/>
      <c r="E35" s="304"/>
      <c r="F35" s="304"/>
      <c r="G35" s="305"/>
      <c r="H35" s="306"/>
      <c r="I35" s="307"/>
      <c r="J35" s="307"/>
      <c r="K35" s="307"/>
      <c r="L35" s="307"/>
      <c r="M35" s="307"/>
      <c r="N35" s="136" t="str">
        <f t="shared" si="7"/>
        <v>-</v>
      </c>
      <c r="O35" s="137"/>
      <c r="P35" s="138"/>
      <c r="Q35" s="23"/>
      <c r="R35" s="23"/>
    </row>
    <row r="36" spans="1:52" ht="13.5" customHeight="1">
      <c r="A36" s="303" t="s">
        <v>211</v>
      </c>
      <c r="B36" s="304"/>
      <c r="C36" s="304"/>
      <c r="D36" s="304"/>
      <c r="E36" s="304"/>
      <c r="F36" s="304"/>
      <c r="G36" s="305"/>
      <c r="H36" s="306"/>
      <c r="I36" s="307"/>
      <c r="J36" s="307"/>
      <c r="K36" s="307"/>
      <c r="L36" s="307"/>
      <c r="M36" s="307"/>
      <c r="N36" s="136" t="str">
        <f t="shared" si="7"/>
        <v>-</v>
      </c>
      <c r="O36" s="137"/>
      <c r="P36" s="138"/>
      <c r="Q36" s="23"/>
      <c r="R36" s="23"/>
    </row>
    <row r="37" spans="1:52" ht="13.5" customHeight="1">
      <c r="A37" s="303" t="s">
        <v>211</v>
      </c>
      <c r="B37" s="304"/>
      <c r="C37" s="304"/>
      <c r="D37" s="304"/>
      <c r="E37" s="304"/>
      <c r="F37" s="304"/>
      <c r="G37" s="305"/>
      <c r="H37" s="306"/>
      <c r="I37" s="307"/>
      <c r="J37" s="307"/>
      <c r="K37" s="307"/>
      <c r="L37" s="307"/>
      <c r="M37" s="307"/>
      <c r="N37" s="136" t="str">
        <f t="shared" si="7"/>
        <v>-</v>
      </c>
      <c r="O37" s="137"/>
      <c r="P37" s="138"/>
      <c r="Q37" s="23"/>
      <c r="R37" s="23"/>
    </row>
    <row r="38" spans="1:52" ht="13.5" customHeight="1">
      <c r="A38" s="303" t="s">
        <v>211</v>
      </c>
      <c r="B38" s="304"/>
      <c r="C38" s="304"/>
      <c r="D38" s="304"/>
      <c r="E38" s="304"/>
      <c r="F38" s="304"/>
      <c r="G38" s="305"/>
      <c r="H38" s="306"/>
      <c r="I38" s="307"/>
      <c r="J38" s="307"/>
      <c r="K38" s="307"/>
      <c r="L38" s="307"/>
      <c r="M38" s="307"/>
      <c r="N38" s="136" t="str">
        <f t="shared" si="7"/>
        <v>-</v>
      </c>
      <c r="O38" s="137"/>
      <c r="P38" s="138"/>
      <c r="Q38" s="23"/>
      <c r="R38" s="23"/>
    </row>
    <row r="39" spans="1:52" ht="13.5" customHeight="1">
      <c r="A39" s="303" t="s">
        <v>211</v>
      </c>
      <c r="B39" s="304"/>
      <c r="C39" s="304"/>
      <c r="D39" s="304"/>
      <c r="E39" s="304"/>
      <c r="F39" s="304"/>
      <c r="G39" s="305"/>
      <c r="H39" s="306"/>
      <c r="I39" s="307"/>
      <c r="J39" s="307"/>
      <c r="K39" s="307"/>
      <c r="L39" s="307"/>
      <c r="M39" s="307"/>
      <c r="N39" s="136" t="str">
        <f t="shared" si="7"/>
        <v>-</v>
      </c>
      <c r="O39" s="137"/>
      <c r="P39" s="138"/>
      <c r="Q39" s="23"/>
      <c r="R39" s="23"/>
    </row>
    <row r="40" spans="1:52" ht="13.5" customHeight="1">
      <c r="A40" s="303" t="s">
        <v>211</v>
      </c>
      <c r="B40" s="304"/>
      <c r="C40" s="304"/>
      <c r="D40" s="304"/>
      <c r="E40" s="304"/>
      <c r="F40" s="304"/>
      <c r="G40" s="305"/>
      <c r="H40" s="306"/>
      <c r="I40" s="307"/>
      <c r="J40" s="307"/>
      <c r="K40" s="307"/>
      <c r="L40" s="307"/>
      <c r="M40" s="307"/>
      <c r="N40" s="136" t="str">
        <f t="shared" si="7"/>
        <v>-</v>
      </c>
      <c r="O40" s="137"/>
      <c r="P40" s="138"/>
      <c r="Q40" s="23"/>
      <c r="R40" s="23"/>
    </row>
    <row r="41" spans="1:52" ht="13.5" customHeight="1">
      <c r="A41" s="303" t="s">
        <v>211</v>
      </c>
      <c r="B41" s="304"/>
      <c r="C41" s="304"/>
      <c r="D41" s="304"/>
      <c r="E41" s="304"/>
      <c r="F41" s="304"/>
      <c r="G41" s="305"/>
      <c r="H41" s="314"/>
      <c r="I41" s="301"/>
      <c r="J41" s="301"/>
      <c r="K41" s="307"/>
      <c r="L41" s="307"/>
      <c r="M41" s="307"/>
      <c r="N41" s="182" t="str">
        <f t="shared" si="7"/>
        <v>-</v>
      </c>
      <c r="O41" s="183"/>
      <c r="P41" s="184"/>
      <c r="Q41" s="23"/>
      <c r="R41" s="23"/>
    </row>
    <row r="42" spans="1:52" ht="13.5" customHeight="1">
      <c r="A42" s="135" t="s">
        <v>4</v>
      </c>
      <c r="B42" s="133"/>
      <c r="C42" s="133"/>
      <c r="D42" s="133"/>
      <c r="E42" s="133"/>
      <c r="F42" s="133"/>
      <c r="G42" s="134"/>
      <c r="H42" s="290"/>
      <c r="I42" s="291"/>
      <c r="J42" s="291"/>
      <c r="K42" s="291"/>
      <c r="L42" s="291"/>
      <c r="M42" s="291"/>
      <c r="N42" s="136" t="str">
        <f t="shared" si="7"/>
        <v>-</v>
      </c>
      <c r="O42" s="137"/>
      <c r="P42" s="138"/>
      <c r="Q42" s="23"/>
      <c r="R42" s="23"/>
    </row>
    <row r="43" spans="1:52" ht="13.5" customHeight="1">
      <c r="A43" s="311" t="s">
        <v>55</v>
      </c>
      <c r="B43" s="312"/>
      <c r="C43" s="312"/>
      <c r="D43" s="312"/>
      <c r="E43" s="312"/>
      <c r="F43" s="312"/>
      <c r="G43" s="313"/>
      <c r="H43" s="293"/>
      <c r="I43" s="294"/>
      <c r="J43" s="294"/>
      <c r="K43" s="295"/>
      <c r="L43" s="295"/>
      <c r="M43" s="295"/>
      <c r="N43" s="182" t="str">
        <f t="shared" si="7"/>
        <v>-</v>
      </c>
      <c r="O43" s="183"/>
      <c r="P43" s="184"/>
      <c r="Q43" s="23"/>
      <c r="R43" s="23"/>
    </row>
  </sheetData>
  <mergeCells count="251">
    <mergeCell ref="A42:G42"/>
    <mergeCell ref="H42:J42"/>
    <mergeCell ref="K42:M42"/>
    <mergeCell ref="N42:P42"/>
    <mergeCell ref="A43:G43"/>
    <mergeCell ref="H43:J43"/>
    <mergeCell ref="K43:M43"/>
    <mergeCell ref="N43:P43"/>
    <mergeCell ref="A40:G40"/>
    <mergeCell ref="H40:J40"/>
    <mergeCell ref="K40:M40"/>
    <mergeCell ref="N40:P40"/>
    <mergeCell ref="A41:G41"/>
    <mergeCell ref="H41:J41"/>
    <mergeCell ref="K41:M41"/>
    <mergeCell ref="N41:P41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U34:AW34"/>
    <mergeCell ref="AX34:AZ34"/>
    <mergeCell ref="A35:G35"/>
    <mergeCell ref="H35:J35"/>
    <mergeCell ref="K35:M35"/>
    <mergeCell ref="N35:P35"/>
    <mergeCell ref="A34:G34"/>
    <mergeCell ref="H34:J34"/>
    <mergeCell ref="K34:M34"/>
    <mergeCell ref="N34:P34"/>
    <mergeCell ref="AK34:AQ34"/>
    <mergeCell ref="AR34:AT34"/>
    <mergeCell ref="AC33:AE33"/>
    <mergeCell ref="AF33:AH33"/>
    <mergeCell ref="AK33:AQ33"/>
    <mergeCell ref="AR33:AT33"/>
    <mergeCell ref="AU33:AW33"/>
    <mergeCell ref="AX33:AZ33"/>
    <mergeCell ref="A33:G33"/>
    <mergeCell ref="H33:J33"/>
    <mergeCell ref="K33:M33"/>
    <mergeCell ref="N33:P33"/>
    <mergeCell ref="S33:Y33"/>
    <mergeCell ref="Z33:AB33"/>
    <mergeCell ref="AC31:AE31"/>
    <mergeCell ref="AF31:AH31"/>
    <mergeCell ref="A32:G32"/>
    <mergeCell ref="H32:J32"/>
    <mergeCell ref="K32:M32"/>
    <mergeCell ref="N32:P32"/>
    <mergeCell ref="S32:Y32"/>
    <mergeCell ref="Z32:AB32"/>
    <mergeCell ref="AC32:AE32"/>
    <mergeCell ref="AF32:AH32"/>
    <mergeCell ref="A31:G31"/>
    <mergeCell ref="H31:J31"/>
    <mergeCell ref="K31:M31"/>
    <mergeCell ref="N31:P31"/>
    <mergeCell ref="S31:Y31"/>
    <mergeCell ref="Z31:AB31"/>
    <mergeCell ref="AR30:AT30"/>
    <mergeCell ref="AU30:AW30"/>
    <mergeCell ref="AX30:AZ30"/>
    <mergeCell ref="A30:G30"/>
    <mergeCell ref="H30:J30"/>
    <mergeCell ref="K30:M30"/>
    <mergeCell ref="N30:P30"/>
    <mergeCell ref="S30:Y30"/>
    <mergeCell ref="Z30:AB30"/>
    <mergeCell ref="A29:G29"/>
    <mergeCell ref="H29:J29"/>
    <mergeCell ref="K29:M29"/>
    <mergeCell ref="N29:P29"/>
    <mergeCell ref="S29:Y29"/>
    <mergeCell ref="Z29:AB29"/>
    <mergeCell ref="AC30:AE30"/>
    <mergeCell ref="AF30:AH30"/>
    <mergeCell ref="AK30:AQ30"/>
    <mergeCell ref="AK28:AQ28"/>
    <mergeCell ref="AR28:AT28"/>
    <mergeCell ref="AU28:AW28"/>
    <mergeCell ref="AX28:AZ28"/>
    <mergeCell ref="AC29:AE29"/>
    <mergeCell ref="AF29:AH29"/>
    <mergeCell ref="AK29:AQ29"/>
    <mergeCell ref="AR29:AT29"/>
    <mergeCell ref="AU29:AW29"/>
    <mergeCell ref="AX29:AZ29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L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N23:P23"/>
    <mergeCell ref="Q23:S23"/>
    <mergeCell ref="T23:V23"/>
    <mergeCell ref="W23:Y23"/>
    <mergeCell ref="T22:V22"/>
    <mergeCell ref="W22:Y22"/>
    <mergeCell ref="AF21:AH21"/>
    <mergeCell ref="AK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AR22:AT22"/>
    <mergeCell ref="AU22:AW22"/>
    <mergeCell ref="AX22:AZ22"/>
    <mergeCell ref="Z22:AB22"/>
    <mergeCell ref="AC22:AE22"/>
    <mergeCell ref="AF22:AH22"/>
    <mergeCell ref="AK22:AQ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19:AH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R16:AT16"/>
    <mergeCell ref="AU16:AW16"/>
    <mergeCell ref="AX16:AZ16"/>
    <mergeCell ref="AX15:AZ15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AM17:AQ17"/>
    <mergeCell ref="AR17:AT17"/>
    <mergeCell ref="AU17:AW17"/>
    <mergeCell ref="AX17:AZ17"/>
    <mergeCell ref="H19:J19"/>
    <mergeCell ref="K19:M19"/>
    <mergeCell ref="N19:P19"/>
    <mergeCell ref="Q19:S19"/>
    <mergeCell ref="T19:V19"/>
    <mergeCell ref="W19:Y19"/>
    <mergeCell ref="Z19:AB19"/>
    <mergeCell ref="AC19:AE19"/>
    <mergeCell ref="AR14:AT14"/>
    <mergeCell ref="AU14:AW14"/>
    <mergeCell ref="AL15:AQ15"/>
    <mergeCell ref="AR15:AT15"/>
    <mergeCell ref="AU15:AW15"/>
    <mergeCell ref="AU12:AW12"/>
    <mergeCell ref="AX12:AZ12"/>
    <mergeCell ref="AX13:AZ13"/>
    <mergeCell ref="AX14:AZ14"/>
    <mergeCell ref="AL13:AQ13"/>
    <mergeCell ref="AR13:AT13"/>
    <mergeCell ref="AU13:AW13"/>
    <mergeCell ref="AL12:AQ12"/>
    <mergeCell ref="AR12:AT12"/>
    <mergeCell ref="A12:G12"/>
    <mergeCell ref="H12:J12"/>
    <mergeCell ref="K12:M12"/>
    <mergeCell ref="N12:P12"/>
    <mergeCell ref="A13:G13"/>
    <mergeCell ref="H13:J13"/>
    <mergeCell ref="K13:M13"/>
    <mergeCell ref="N13:P13"/>
    <mergeCell ref="AL14:AQ14"/>
    <mergeCell ref="AK13:AK18"/>
    <mergeCell ref="AM16:AQ16"/>
    <mergeCell ref="A9:G10"/>
    <mergeCell ref="AR10:AT10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AU9:AW9"/>
    <mergeCell ref="AX9:AZ9"/>
    <mergeCell ref="H10:J10"/>
    <mergeCell ref="K10:M10"/>
    <mergeCell ref="N10:P10"/>
    <mergeCell ref="H9:P9"/>
    <mergeCell ref="AK9:AQ9"/>
    <mergeCell ref="AR9:AT9"/>
    <mergeCell ref="AK10:AQ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23"/>
  </cols>
  <sheetData>
    <row r="1" spans="1:93" s="3" customFormat="1" ht="13.5" customHeight="1">
      <c r="A1" s="113" t="str">
        <f>IF(No.1!A1="","",No.1!A1)</f>
        <v/>
      </c>
      <c r="B1" s="114"/>
      <c r="C1" s="96" t="s">
        <v>218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93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2"/>
      <c r="AO2" s="72"/>
      <c r="AP2" s="72"/>
      <c r="AQ2" s="72"/>
      <c r="AR2" s="72"/>
      <c r="AS2" s="73"/>
      <c r="AT2" s="73"/>
      <c r="AU2" s="73"/>
      <c r="AV2" s="73"/>
      <c r="AW2" s="74"/>
      <c r="AX2" s="74"/>
      <c r="AY2" s="74"/>
      <c r="AZ2" s="74"/>
    </row>
    <row r="3" spans="1:93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93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93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93" s="98" customFormat="1" ht="13.5" customHeight="1">
      <c r="A6" s="100"/>
      <c r="H6" s="101"/>
    </row>
    <row r="7" spans="1:93" s="19" customFormat="1" ht="13.5" customHeight="1">
      <c r="A7" s="16" t="s">
        <v>164</v>
      </c>
      <c r="B7" s="17"/>
      <c r="C7" s="17"/>
      <c r="D7" s="17"/>
      <c r="E7" s="17"/>
      <c r="F7" s="17"/>
      <c r="G7" s="17"/>
      <c r="H7" s="17"/>
      <c r="I7" s="17"/>
      <c r="J7" s="50"/>
      <c r="K7" s="50"/>
      <c r="L7" s="50"/>
      <c r="M7" s="50"/>
      <c r="N7" s="50"/>
      <c r="O7" s="50"/>
      <c r="P7" s="50"/>
      <c r="Q7" s="50"/>
      <c r="R7" s="5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93" ht="13.5" customHeight="1">
      <c r="A8" s="6" t="s">
        <v>56</v>
      </c>
      <c r="L8" s="22"/>
      <c r="M8" s="22"/>
      <c r="N8" s="22"/>
      <c r="O8" s="22"/>
      <c r="P8" s="7" t="s">
        <v>177</v>
      </c>
      <c r="AK8" s="6" t="s">
        <v>57</v>
      </c>
      <c r="AL8" s="22"/>
      <c r="AM8" s="22"/>
      <c r="AN8" s="22"/>
      <c r="AO8" s="22"/>
      <c r="AP8" s="22"/>
      <c r="AQ8" s="22"/>
      <c r="AR8" s="40"/>
      <c r="AS8" s="40"/>
      <c r="AT8" s="40"/>
      <c r="AU8" s="40"/>
      <c r="AV8" s="40"/>
      <c r="AW8" s="40"/>
      <c r="AX8" s="40"/>
      <c r="AY8" s="40"/>
      <c r="AZ8" s="41" t="s">
        <v>1</v>
      </c>
      <c r="BS8" s="7"/>
    </row>
    <row r="9" spans="1:93" ht="13.5" customHeight="1">
      <c r="A9" s="127" t="s">
        <v>34</v>
      </c>
      <c r="B9" s="128"/>
      <c r="C9" s="128"/>
      <c r="D9" s="128"/>
      <c r="E9" s="128"/>
      <c r="F9" s="128"/>
      <c r="G9" s="129"/>
      <c r="H9" s="320" t="s">
        <v>4</v>
      </c>
      <c r="I9" s="321"/>
      <c r="J9" s="321"/>
      <c r="K9" s="321"/>
      <c r="L9" s="321"/>
      <c r="M9" s="321"/>
      <c r="N9" s="321"/>
      <c r="O9" s="321"/>
      <c r="P9" s="322"/>
      <c r="AK9" s="250" t="s">
        <v>34</v>
      </c>
      <c r="AL9" s="251"/>
      <c r="AM9" s="251"/>
      <c r="AN9" s="251"/>
      <c r="AO9" s="251"/>
      <c r="AP9" s="251"/>
      <c r="AQ9" s="252"/>
      <c r="AR9" s="125" t="s">
        <v>192</v>
      </c>
      <c r="AS9" s="123"/>
      <c r="AT9" s="126"/>
      <c r="AU9" s="122" t="s">
        <v>193</v>
      </c>
      <c r="AV9" s="123"/>
      <c r="AW9" s="126"/>
      <c r="AX9" s="122" t="s">
        <v>5</v>
      </c>
      <c r="AY9" s="123"/>
      <c r="AZ9" s="124"/>
    </row>
    <row r="10" spans="1:93" ht="13.5" customHeight="1">
      <c r="A10" s="130"/>
      <c r="B10" s="131"/>
      <c r="C10" s="131"/>
      <c r="D10" s="131"/>
      <c r="E10" s="131"/>
      <c r="F10" s="131"/>
      <c r="G10" s="132"/>
      <c r="H10" s="125" t="s">
        <v>192</v>
      </c>
      <c r="I10" s="123"/>
      <c r="J10" s="126"/>
      <c r="K10" s="122" t="s">
        <v>193</v>
      </c>
      <c r="L10" s="123"/>
      <c r="M10" s="126"/>
      <c r="N10" s="122" t="s">
        <v>5</v>
      </c>
      <c r="O10" s="123"/>
      <c r="P10" s="124"/>
      <c r="AK10" s="302" t="s">
        <v>58</v>
      </c>
      <c r="AL10" s="276"/>
      <c r="AM10" s="276"/>
      <c r="AN10" s="276"/>
      <c r="AO10" s="276"/>
      <c r="AP10" s="276"/>
      <c r="AQ10" s="277"/>
      <c r="AR10" s="231"/>
      <c r="AS10" s="232"/>
      <c r="AT10" s="232"/>
      <c r="AU10" s="140"/>
      <c r="AV10" s="140"/>
      <c r="AW10" s="140"/>
      <c r="AX10" s="136" t="str">
        <f t="shared" ref="AX10:AX16" si="0">IF(AR10="-", "-", IF(AU10="-", "-", IF(ABS(AU10)=0, "-", ROUND(100*(AR10-AU10)/ABS(AU10),1))))</f>
        <v>-</v>
      </c>
      <c r="AY10" s="137"/>
      <c r="AZ10" s="138"/>
    </row>
    <row r="11" spans="1:93" ht="13.5" customHeight="1">
      <c r="A11" s="315" t="s">
        <v>63</v>
      </c>
      <c r="B11" s="317" t="s">
        <v>178</v>
      </c>
      <c r="C11" s="318"/>
      <c r="D11" s="318"/>
      <c r="E11" s="318"/>
      <c r="F11" s="318"/>
      <c r="G11" s="319"/>
      <c r="H11" s="299"/>
      <c r="I11" s="300"/>
      <c r="J11" s="300"/>
      <c r="K11" s="301"/>
      <c r="L11" s="301"/>
      <c r="M11" s="301"/>
      <c r="N11" s="136" t="str">
        <f t="shared" ref="N11:N15" si="1">IF(H11="-", "-", IF(K11="-", "-", IF(ABS(K11)=0, "-", ROUND(100*(H11-K11)/ABS(K11),1))))</f>
        <v>-</v>
      </c>
      <c r="O11" s="137"/>
      <c r="P11" s="138"/>
      <c r="AK11" s="281" t="s">
        <v>59</v>
      </c>
      <c r="AL11" s="169"/>
      <c r="AM11" s="169"/>
      <c r="AN11" s="169"/>
      <c r="AO11" s="169"/>
      <c r="AP11" s="169"/>
      <c r="AQ11" s="170"/>
      <c r="AR11" s="218"/>
      <c r="AS11" s="149"/>
      <c r="AT11" s="149"/>
      <c r="AU11" s="149"/>
      <c r="AV11" s="149"/>
      <c r="AW11" s="149"/>
      <c r="AX11" s="136" t="str">
        <f t="shared" si="0"/>
        <v>-</v>
      </c>
      <c r="AY11" s="137"/>
      <c r="AZ11" s="138"/>
    </row>
    <row r="12" spans="1:93" ht="13.5" customHeight="1">
      <c r="A12" s="316"/>
      <c r="B12" s="168" t="s">
        <v>65</v>
      </c>
      <c r="C12" s="169"/>
      <c r="D12" s="169"/>
      <c r="E12" s="169"/>
      <c r="F12" s="169"/>
      <c r="G12" s="170"/>
      <c r="H12" s="306"/>
      <c r="I12" s="307"/>
      <c r="J12" s="307"/>
      <c r="K12" s="307"/>
      <c r="L12" s="307"/>
      <c r="M12" s="307"/>
      <c r="N12" s="136" t="str">
        <f t="shared" si="1"/>
        <v>-</v>
      </c>
      <c r="O12" s="137"/>
      <c r="P12" s="138"/>
      <c r="AK12" s="281" t="s">
        <v>60</v>
      </c>
      <c r="AL12" s="169"/>
      <c r="AM12" s="169"/>
      <c r="AN12" s="169"/>
      <c r="AO12" s="169"/>
      <c r="AP12" s="169"/>
      <c r="AQ12" s="170"/>
      <c r="AR12" s="218"/>
      <c r="AS12" s="149"/>
      <c r="AT12" s="149"/>
      <c r="AU12" s="149"/>
      <c r="AV12" s="149"/>
      <c r="AW12" s="149"/>
      <c r="AX12" s="136" t="str">
        <f t="shared" si="0"/>
        <v>-</v>
      </c>
      <c r="AY12" s="137"/>
      <c r="AZ12" s="138"/>
    </row>
    <row r="13" spans="1:93" ht="13.5" customHeight="1">
      <c r="A13" s="316"/>
      <c r="B13" s="168" t="s">
        <v>66</v>
      </c>
      <c r="C13" s="169"/>
      <c r="D13" s="169"/>
      <c r="E13" s="169"/>
      <c r="F13" s="169"/>
      <c r="G13" s="170"/>
      <c r="H13" s="306"/>
      <c r="I13" s="307"/>
      <c r="J13" s="307"/>
      <c r="K13" s="307"/>
      <c r="L13" s="307"/>
      <c r="M13" s="307"/>
      <c r="N13" s="136" t="str">
        <f t="shared" si="1"/>
        <v>-</v>
      </c>
      <c r="O13" s="137"/>
      <c r="P13" s="138"/>
      <c r="AK13" s="323" t="s">
        <v>62</v>
      </c>
      <c r="AL13" s="163"/>
      <c r="AM13" s="163"/>
      <c r="AN13" s="163"/>
      <c r="AO13" s="163"/>
      <c r="AP13" s="163"/>
      <c r="AQ13" s="164"/>
      <c r="AR13" s="218"/>
      <c r="AS13" s="149"/>
      <c r="AT13" s="149"/>
      <c r="AU13" s="149"/>
      <c r="AV13" s="149"/>
      <c r="AW13" s="149"/>
      <c r="AX13" s="136" t="str">
        <f t="shared" si="0"/>
        <v>-</v>
      </c>
      <c r="AY13" s="137"/>
      <c r="AZ13" s="138"/>
    </row>
    <row r="14" spans="1:93" ht="13.5" customHeight="1">
      <c r="A14" s="316"/>
      <c r="B14" s="177" t="s">
        <v>61</v>
      </c>
      <c r="C14" s="178"/>
      <c r="D14" s="178"/>
      <c r="E14" s="178"/>
      <c r="F14" s="178"/>
      <c r="G14" s="179"/>
      <c r="H14" s="161"/>
      <c r="I14" s="141"/>
      <c r="J14" s="141"/>
      <c r="K14" s="274"/>
      <c r="L14" s="274"/>
      <c r="M14" s="274"/>
      <c r="N14" s="182" t="str">
        <f t="shared" si="1"/>
        <v>-</v>
      </c>
      <c r="O14" s="183"/>
      <c r="P14" s="184"/>
      <c r="AK14" s="93"/>
      <c r="AL14" s="168" t="s">
        <v>64</v>
      </c>
      <c r="AM14" s="169"/>
      <c r="AN14" s="169"/>
      <c r="AO14" s="169"/>
      <c r="AP14" s="169"/>
      <c r="AQ14" s="170"/>
      <c r="AR14" s="218"/>
      <c r="AS14" s="149"/>
      <c r="AT14" s="149"/>
      <c r="AU14" s="149"/>
      <c r="AV14" s="149"/>
      <c r="AW14" s="149"/>
      <c r="AX14" s="136" t="str">
        <f t="shared" si="0"/>
        <v>-</v>
      </c>
      <c r="AY14" s="137"/>
      <c r="AZ14" s="138"/>
    </row>
    <row r="15" spans="1:93" ht="13.5" customHeight="1">
      <c r="A15" s="324" t="s">
        <v>68</v>
      </c>
      <c r="B15" s="325"/>
      <c r="C15" s="325"/>
      <c r="D15" s="325"/>
      <c r="E15" s="325"/>
      <c r="F15" s="325"/>
      <c r="G15" s="326"/>
      <c r="H15" s="327"/>
      <c r="I15" s="328"/>
      <c r="J15" s="328"/>
      <c r="K15" s="328"/>
      <c r="L15" s="328"/>
      <c r="M15" s="328"/>
      <c r="N15" s="182" t="str">
        <f t="shared" si="1"/>
        <v>-</v>
      </c>
      <c r="O15" s="183"/>
      <c r="P15" s="184"/>
      <c r="AK15" s="323" t="s">
        <v>212</v>
      </c>
      <c r="AL15" s="163"/>
      <c r="AM15" s="163"/>
      <c r="AN15" s="163"/>
      <c r="AO15" s="163"/>
      <c r="AP15" s="163"/>
      <c r="AQ15" s="164"/>
      <c r="AR15" s="218"/>
      <c r="AS15" s="149"/>
      <c r="AT15" s="149"/>
      <c r="AU15" s="149"/>
      <c r="AV15" s="149"/>
      <c r="AW15" s="149"/>
      <c r="AX15" s="165" t="str">
        <f t="shared" si="0"/>
        <v>-</v>
      </c>
      <c r="AY15" s="166"/>
      <c r="AZ15" s="167"/>
    </row>
    <row r="16" spans="1:93" ht="13.5" customHeight="1">
      <c r="A16" s="10" t="s">
        <v>179</v>
      </c>
      <c r="B16" s="28"/>
      <c r="C16" s="28"/>
      <c r="D16" s="28"/>
      <c r="E16" s="28"/>
      <c r="F16" s="28"/>
      <c r="G16" s="28"/>
      <c r="H16" s="10"/>
      <c r="I16" s="88"/>
      <c r="J16" s="88"/>
      <c r="K16" s="87"/>
      <c r="L16" s="88"/>
      <c r="M16" s="88"/>
      <c r="N16" s="89"/>
      <c r="O16" s="89"/>
      <c r="P16" s="89"/>
      <c r="AK16" s="90"/>
      <c r="AL16" s="177" t="s">
        <v>64</v>
      </c>
      <c r="AM16" s="178"/>
      <c r="AN16" s="178"/>
      <c r="AO16" s="178"/>
      <c r="AP16" s="178"/>
      <c r="AQ16" s="179"/>
      <c r="AR16" s="211"/>
      <c r="AS16" s="212"/>
      <c r="AT16" s="212"/>
      <c r="AU16" s="181"/>
      <c r="AV16" s="181"/>
      <c r="AW16" s="181"/>
      <c r="AX16" s="182" t="str">
        <f t="shared" si="0"/>
        <v>-</v>
      </c>
      <c r="AY16" s="183"/>
      <c r="AZ16" s="184"/>
      <c r="BX16" s="87"/>
      <c r="BY16" s="88"/>
      <c r="BZ16" s="88"/>
      <c r="CA16" s="87"/>
      <c r="CB16" s="88"/>
      <c r="CC16" s="88"/>
      <c r="CD16" s="89"/>
      <c r="CE16" s="89"/>
      <c r="CF16" s="89"/>
      <c r="CG16" s="87"/>
      <c r="CH16" s="88"/>
      <c r="CI16" s="88"/>
      <c r="CJ16" s="87"/>
      <c r="CK16" s="88"/>
      <c r="CL16" s="88"/>
      <c r="CM16" s="89"/>
      <c r="CN16" s="89"/>
      <c r="CO16" s="89"/>
    </row>
    <row r="17" spans="1:52" ht="13.5" customHeight="1">
      <c r="A17" s="28"/>
      <c r="B17" s="28"/>
      <c r="C17" s="28"/>
      <c r="D17" s="28"/>
      <c r="E17" s="28"/>
      <c r="F17" s="28"/>
      <c r="G17" s="28"/>
      <c r="H17" s="10"/>
      <c r="I17" s="88"/>
      <c r="J17" s="88"/>
      <c r="K17" s="87"/>
      <c r="L17" s="88"/>
      <c r="M17" s="88"/>
      <c r="N17" s="89"/>
      <c r="O17" s="89"/>
      <c r="P17" s="89"/>
      <c r="Q17" s="87"/>
      <c r="R17" s="88"/>
    </row>
    <row r="18" spans="1:52" ht="13.5" customHeight="1">
      <c r="A18" s="6" t="s">
        <v>180</v>
      </c>
      <c r="AH18" s="7" t="s">
        <v>73</v>
      </c>
      <c r="AK18" s="6" t="s">
        <v>67</v>
      </c>
      <c r="AR18" s="42"/>
      <c r="AS18" s="42"/>
      <c r="AT18" s="42"/>
      <c r="AU18" s="42"/>
      <c r="AV18" s="42"/>
      <c r="AW18" s="42"/>
      <c r="AX18" s="42"/>
      <c r="AY18" s="42"/>
      <c r="AZ18" s="41" t="s">
        <v>1</v>
      </c>
    </row>
    <row r="19" spans="1:52" ht="13.5" customHeight="1">
      <c r="A19" s="127" t="s">
        <v>34</v>
      </c>
      <c r="B19" s="128"/>
      <c r="C19" s="128"/>
      <c r="D19" s="128"/>
      <c r="E19" s="128"/>
      <c r="F19" s="128"/>
      <c r="G19" s="129"/>
      <c r="H19" s="329" t="s">
        <v>74</v>
      </c>
      <c r="I19" s="329"/>
      <c r="J19" s="329"/>
      <c r="K19" s="329"/>
      <c r="L19" s="329"/>
      <c r="M19" s="329"/>
      <c r="N19" s="329"/>
      <c r="O19" s="329"/>
      <c r="P19" s="329"/>
      <c r="Q19" s="330" t="s">
        <v>75</v>
      </c>
      <c r="R19" s="329"/>
      <c r="S19" s="329"/>
      <c r="T19" s="329"/>
      <c r="U19" s="329"/>
      <c r="V19" s="329"/>
      <c r="W19" s="329"/>
      <c r="X19" s="329"/>
      <c r="Y19" s="331"/>
      <c r="Z19" s="330" t="s">
        <v>76</v>
      </c>
      <c r="AA19" s="329"/>
      <c r="AB19" s="329"/>
      <c r="AC19" s="329"/>
      <c r="AD19" s="329"/>
      <c r="AE19" s="329"/>
      <c r="AF19" s="329"/>
      <c r="AG19" s="329"/>
      <c r="AH19" s="331"/>
      <c r="AK19" s="250" t="s">
        <v>34</v>
      </c>
      <c r="AL19" s="251"/>
      <c r="AM19" s="251"/>
      <c r="AN19" s="251"/>
      <c r="AO19" s="251"/>
      <c r="AP19" s="251"/>
      <c r="AQ19" s="252"/>
      <c r="AR19" s="125" t="s">
        <v>192</v>
      </c>
      <c r="AS19" s="123"/>
      <c r="AT19" s="126"/>
      <c r="AU19" s="122" t="s">
        <v>193</v>
      </c>
      <c r="AV19" s="123"/>
      <c r="AW19" s="126"/>
      <c r="AX19" s="122" t="s">
        <v>5</v>
      </c>
      <c r="AY19" s="123"/>
      <c r="AZ19" s="124"/>
    </row>
    <row r="20" spans="1:52" ht="13.5" customHeight="1">
      <c r="A20" s="130"/>
      <c r="B20" s="131"/>
      <c r="C20" s="131"/>
      <c r="D20" s="131"/>
      <c r="E20" s="131"/>
      <c r="F20" s="131"/>
      <c r="G20" s="132"/>
      <c r="H20" s="125" t="s">
        <v>192</v>
      </c>
      <c r="I20" s="123"/>
      <c r="J20" s="126"/>
      <c r="K20" s="122" t="s">
        <v>193</v>
      </c>
      <c r="L20" s="123"/>
      <c r="M20" s="126"/>
      <c r="N20" s="122" t="s">
        <v>5</v>
      </c>
      <c r="O20" s="123"/>
      <c r="P20" s="124"/>
      <c r="Q20" s="125" t="s">
        <v>192</v>
      </c>
      <c r="R20" s="123"/>
      <c r="S20" s="126"/>
      <c r="T20" s="122" t="s">
        <v>193</v>
      </c>
      <c r="U20" s="123"/>
      <c r="V20" s="126"/>
      <c r="W20" s="122" t="s">
        <v>5</v>
      </c>
      <c r="X20" s="123"/>
      <c r="Y20" s="124"/>
      <c r="Z20" s="125" t="s">
        <v>192</v>
      </c>
      <c r="AA20" s="123"/>
      <c r="AB20" s="126"/>
      <c r="AC20" s="122" t="s">
        <v>193</v>
      </c>
      <c r="AD20" s="123"/>
      <c r="AE20" s="126"/>
      <c r="AF20" s="122" t="s">
        <v>5</v>
      </c>
      <c r="AG20" s="123"/>
      <c r="AH20" s="124"/>
      <c r="AK20" s="332" t="s">
        <v>69</v>
      </c>
      <c r="AL20" s="333"/>
      <c r="AM20" s="333"/>
      <c r="AN20" s="333"/>
      <c r="AO20" s="333"/>
      <c r="AP20" s="333"/>
      <c r="AQ20" s="333"/>
      <c r="AR20" s="204"/>
      <c r="AS20" s="203"/>
      <c r="AT20" s="203"/>
      <c r="AU20" s="203"/>
      <c r="AV20" s="203"/>
      <c r="AW20" s="203"/>
      <c r="AX20" s="182" t="str">
        <f t="shared" ref="AX20" si="2">IF(AR20="-", "-", IF(AU20="-", "-", IF(ABS(AU20)=0, "-", ROUND(100*(AR20-AU20)/ABS(AU20),1))))</f>
        <v>-</v>
      </c>
      <c r="AY20" s="183"/>
      <c r="AZ20" s="184"/>
    </row>
    <row r="21" spans="1:52" ht="13.5" customHeight="1">
      <c r="A21" s="357" t="s">
        <v>77</v>
      </c>
      <c r="B21" s="340" t="s">
        <v>78</v>
      </c>
      <c r="C21" s="143"/>
      <c r="D21" s="143"/>
      <c r="E21" s="143"/>
      <c r="F21" s="143"/>
      <c r="G21" s="144"/>
      <c r="H21" s="299"/>
      <c r="I21" s="300"/>
      <c r="J21" s="300"/>
      <c r="K21" s="301"/>
      <c r="L21" s="301"/>
      <c r="M21" s="301"/>
      <c r="N21" s="136" t="str">
        <f t="shared" ref="N21:N29" si="3">IF(H21="-", "-", IF(K21="-", "-", IF(ABS(K21)=0, "-", ROUND(100*(H21-K21)/ABS(K21),1))))</f>
        <v>-</v>
      </c>
      <c r="O21" s="137"/>
      <c r="P21" s="138"/>
      <c r="Q21" s="231"/>
      <c r="R21" s="232"/>
      <c r="S21" s="232"/>
      <c r="T21" s="141"/>
      <c r="U21" s="141"/>
      <c r="V21" s="141"/>
      <c r="W21" s="136" t="str">
        <f t="shared" ref="W21:W23" si="4">IF(Q21="-", "-", IF(T21="-", "-", IF(ABS(T21)=0, "-", ROUND(100*(Q21-T21)/ABS(T21),1))))</f>
        <v>-</v>
      </c>
      <c r="X21" s="137"/>
      <c r="Y21" s="138"/>
      <c r="Z21" s="341"/>
      <c r="AA21" s="342"/>
      <c r="AB21" s="343"/>
      <c r="AC21" s="344"/>
      <c r="AD21" s="345"/>
      <c r="AE21" s="346"/>
      <c r="AF21" s="136" t="str">
        <f t="shared" ref="AF21:AF23" si="5">IF(Z21="-", "-", IF(AC21="-", "-", IF(ABS(AC21)=0, "-", ROUND(100*(Z21-AC21)/ABS(AC21),1))))</f>
        <v>-</v>
      </c>
      <c r="AG21" s="137"/>
      <c r="AH21" s="138"/>
    </row>
    <row r="22" spans="1:52" ht="13.5" customHeight="1">
      <c r="A22" s="357"/>
      <c r="B22" s="92"/>
      <c r="C22" s="168" t="s">
        <v>63</v>
      </c>
      <c r="D22" s="169"/>
      <c r="E22" s="169"/>
      <c r="F22" s="169"/>
      <c r="G22" s="170"/>
      <c r="H22" s="306"/>
      <c r="I22" s="307"/>
      <c r="J22" s="307"/>
      <c r="K22" s="307"/>
      <c r="L22" s="307"/>
      <c r="M22" s="307"/>
      <c r="N22" s="136" t="str">
        <f t="shared" si="3"/>
        <v>-</v>
      </c>
      <c r="O22" s="137"/>
      <c r="P22" s="138"/>
      <c r="Q22" s="218"/>
      <c r="R22" s="149"/>
      <c r="S22" s="149"/>
      <c r="T22" s="149"/>
      <c r="U22" s="149"/>
      <c r="V22" s="149"/>
      <c r="W22" s="136" t="str">
        <f t="shared" si="4"/>
        <v>-</v>
      </c>
      <c r="X22" s="137"/>
      <c r="Y22" s="138"/>
      <c r="Z22" s="347"/>
      <c r="AA22" s="348"/>
      <c r="AB22" s="349"/>
      <c r="AC22" s="350"/>
      <c r="AD22" s="351"/>
      <c r="AE22" s="352"/>
      <c r="AF22" s="136" t="str">
        <f t="shared" si="5"/>
        <v>-</v>
      </c>
      <c r="AG22" s="137"/>
      <c r="AH22" s="138"/>
    </row>
    <row r="23" spans="1:52" ht="13.5" customHeight="1">
      <c r="A23" s="357"/>
      <c r="B23" s="91"/>
      <c r="C23" s="168" t="s">
        <v>202</v>
      </c>
      <c r="D23" s="169"/>
      <c r="E23" s="169"/>
      <c r="F23" s="169"/>
      <c r="G23" s="170"/>
      <c r="H23" s="306"/>
      <c r="I23" s="307"/>
      <c r="J23" s="307"/>
      <c r="K23" s="307"/>
      <c r="L23" s="307"/>
      <c r="M23" s="307"/>
      <c r="N23" s="165" t="str">
        <f t="shared" si="3"/>
        <v>-</v>
      </c>
      <c r="O23" s="166"/>
      <c r="P23" s="167"/>
      <c r="Q23" s="282"/>
      <c r="R23" s="283"/>
      <c r="S23" s="283"/>
      <c r="T23" s="149"/>
      <c r="U23" s="149"/>
      <c r="V23" s="149"/>
      <c r="W23" s="165" t="str">
        <f t="shared" si="4"/>
        <v>-</v>
      </c>
      <c r="X23" s="166"/>
      <c r="Y23" s="167"/>
      <c r="Z23" s="347"/>
      <c r="AA23" s="348"/>
      <c r="AB23" s="349"/>
      <c r="AC23" s="350"/>
      <c r="AD23" s="351"/>
      <c r="AE23" s="352"/>
      <c r="AF23" s="165" t="str">
        <f t="shared" si="5"/>
        <v>-</v>
      </c>
      <c r="AG23" s="166"/>
      <c r="AH23" s="167"/>
    </row>
    <row r="24" spans="1:52" ht="13.5" customHeight="1">
      <c r="A24" s="357"/>
      <c r="B24" s="168" t="s">
        <v>79</v>
      </c>
      <c r="C24" s="169"/>
      <c r="D24" s="169"/>
      <c r="E24" s="169"/>
      <c r="F24" s="169"/>
      <c r="G24" s="170"/>
      <c r="H24" s="306"/>
      <c r="I24" s="307"/>
      <c r="J24" s="307"/>
      <c r="K24" s="307"/>
      <c r="L24" s="307"/>
      <c r="M24" s="307"/>
      <c r="N24" s="136" t="str">
        <f t="shared" si="3"/>
        <v>-</v>
      </c>
      <c r="O24" s="137"/>
      <c r="P24" s="138"/>
      <c r="Q24" s="213"/>
      <c r="R24" s="359"/>
      <c r="S24" s="359"/>
      <c r="T24" s="215"/>
      <c r="U24" s="360"/>
      <c r="V24" s="360"/>
      <c r="W24" s="158"/>
      <c r="X24" s="159"/>
      <c r="Y24" s="160"/>
      <c r="Z24" s="361"/>
      <c r="AA24" s="362"/>
      <c r="AB24" s="362"/>
      <c r="AC24" s="338"/>
      <c r="AD24" s="339"/>
      <c r="AE24" s="339"/>
      <c r="AF24" s="158"/>
      <c r="AG24" s="159"/>
      <c r="AH24" s="160"/>
    </row>
    <row r="25" spans="1:52" ht="13.5" customHeight="1">
      <c r="A25" s="358"/>
      <c r="B25" s="177" t="s">
        <v>80</v>
      </c>
      <c r="C25" s="178"/>
      <c r="D25" s="178"/>
      <c r="E25" s="178"/>
      <c r="F25" s="178"/>
      <c r="G25" s="179"/>
      <c r="H25" s="334"/>
      <c r="I25" s="335"/>
      <c r="J25" s="335"/>
      <c r="K25" s="295"/>
      <c r="L25" s="295"/>
      <c r="M25" s="295"/>
      <c r="N25" s="182" t="str">
        <f t="shared" si="3"/>
        <v>-</v>
      </c>
      <c r="O25" s="183"/>
      <c r="P25" s="184"/>
      <c r="Q25" s="222"/>
      <c r="R25" s="336"/>
      <c r="S25" s="336"/>
      <c r="T25" s="224"/>
      <c r="U25" s="337"/>
      <c r="V25" s="337"/>
      <c r="W25" s="188"/>
      <c r="X25" s="189"/>
      <c r="Y25" s="190"/>
      <c r="Z25" s="353"/>
      <c r="AA25" s="354"/>
      <c r="AB25" s="354"/>
      <c r="AC25" s="355"/>
      <c r="AD25" s="356"/>
      <c r="AE25" s="356"/>
      <c r="AF25" s="188"/>
      <c r="AG25" s="189"/>
      <c r="AH25" s="190"/>
    </row>
    <row r="26" spans="1:52" ht="13.5" customHeight="1">
      <c r="A26" s="302" t="s">
        <v>191</v>
      </c>
      <c r="B26" s="276"/>
      <c r="C26" s="276"/>
      <c r="D26" s="276"/>
      <c r="E26" s="276"/>
      <c r="F26" s="276"/>
      <c r="G26" s="277"/>
      <c r="H26" s="299"/>
      <c r="I26" s="300"/>
      <c r="J26" s="300"/>
      <c r="K26" s="301"/>
      <c r="L26" s="301"/>
      <c r="M26" s="301"/>
      <c r="N26" s="136" t="str">
        <f t="shared" si="3"/>
        <v>-</v>
      </c>
      <c r="O26" s="137"/>
      <c r="P26" s="138"/>
      <c r="Q26" s="139"/>
      <c r="R26" s="140"/>
      <c r="S26" s="140"/>
      <c r="T26" s="141"/>
      <c r="U26" s="141"/>
      <c r="V26" s="141"/>
      <c r="W26" s="136" t="str">
        <f t="shared" ref="W26:W30" si="6">IF(Q26="-", "-", IF(T26="-", "-", IF(ABS(T26)=0, "-", ROUND(100*(Q26-T26)/ABS(T26),1))))</f>
        <v>-</v>
      </c>
      <c r="X26" s="137"/>
      <c r="Y26" s="138"/>
      <c r="Z26" s="139"/>
      <c r="AA26" s="140"/>
      <c r="AB26" s="140"/>
      <c r="AC26" s="141"/>
      <c r="AD26" s="141"/>
      <c r="AE26" s="141"/>
      <c r="AF26" s="136" t="str">
        <f t="shared" ref="AF26:AF29" si="7">IF(Z26="-", "-", IF(AC26="-", "-", IF(ABS(AC26)=0, "-", ROUND(100*(Z26-AC26)/ABS(AC26),1))))</f>
        <v>-</v>
      </c>
      <c r="AG26" s="137"/>
      <c r="AH26" s="138"/>
    </row>
    <row r="27" spans="1:52" ht="13.5" customHeight="1">
      <c r="A27" s="281" t="s">
        <v>170</v>
      </c>
      <c r="B27" s="169"/>
      <c r="C27" s="169"/>
      <c r="D27" s="169"/>
      <c r="E27" s="169"/>
      <c r="F27" s="169"/>
      <c r="G27" s="170"/>
      <c r="H27" s="306"/>
      <c r="I27" s="307"/>
      <c r="J27" s="307"/>
      <c r="K27" s="301"/>
      <c r="L27" s="301"/>
      <c r="M27" s="301"/>
      <c r="N27" s="136" t="str">
        <f t="shared" si="3"/>
        <v>-</v>
      </c>
      <c r="O27" s="137"/>
      <c r="P27" s="138"/>
      <c r="Q27" s="161"/>
      <c r="R27" s="141"/>
      <c r="S27" s="141"/>
      <c r="T27" s="141"/>
      <c r="U27" s="141"/>
      <c r="V27" s="141"/>
      <c r="W27" s="136" t="str">
        <f t="shared" si="6"/>
        <v>-</v>
      </c>
      <c r="X27" s="137"/>
      <c r="Y27" s="138"/>
      <c r="Z27" s="161"/>
      <c r="AA27" s="141"/>
      <c r="AB27" s="141"/>
      <c r="AC27" s="141"/>
      <c r="AD27" s="141"/>
      <c r="AE27" s="141"/>
      <c r="AF27" s="136" t="str">
        <f t="shared" si="7"/>
        <v>-</v>
      </c>
      <c r="AG27" s="137"/>
      <c r="AH27" s="138"/>
    </row>
    <row r="28" spans="1:52" ht="13.5" customHeight="1">
      <c r="A28" s="281" t="s">
        <v>181</v>
      </c>
      <c r="B28" s="169"/>
      <c r="C28" s="169"/>
      <c r="D28" s="169"/>
      <c r="E28" s="169"/>
      <c r="F28" s="169"/>
      <c r="G28" s="170"/>
      <c r="H28" s="306"/>
      <c r="I28" s="307"/>
      <c r="J28" s="307"/>
      <c r="K28" s="301"/>
      <c r="L28" s="301"/>
      <c r="M28" s="301"/>
      <c r="N28" s="136" t="str">
        <f t="shared" si="3"/>
        <v>-</v>
      </c>
      <c r="O28" s="137"/>
      <c r="P28" s="138"/>
      <c r="Q28" s="161"/>
      <c r="R28" s="141"/>
      <c r="S28" s="141"/>
      <c r="T28" s="141"/>
      <c r="U28" s="141"/>
      <c r="V28" s="141"/>
      <c r="W28" s="136" t="str">
        <f t="shared" si="6"/>
        <v>-</v>
      </c>
      <c r="X28" s="137"/>
      <c r="Y28" s="138"/>
      <c r="Z28" s="161"/>
      <c r="AA28" s="141"/>
      <c r="AB28" s="141"/>
      <c r="AC28" s="141"/>
      <c r="AD28" s="141"/>
      <c r="AE28" s="141"/>
      <c r="AF28" s="136" t="str">
        <f t="shared" si="7"/>
        <v>-</v>
      </c>
      <c r="AG28" s="137"/>
      <c r="AH28" s="138"/>
    </row>
    <row r="29" spans="1:52" ht="13.5" customHeight="1">
      <c r="A29" s="292" t="s">
        <v>182</v>
      </c>
      <c r="B29" s="178"/>
      <c r="C29" s="178"/>
      <c r="D29" s="178"/>
      <c r="E29" s="178"/>
      <c r="F29" s="178"/>
      <c r="G29" s="179"/>
      <c r="H29" s="334"/>
      <c r="I29" s="335"/>
      <c r="J29" s="335"/>
      <c r="K29" s="301"/>
      <c r="L29" s="301"/>
      <c r="M29" s="301"/>
      <c r="N29" s="182" t="str">
        <f t="shared" si="3"/>
        <v>-</v>
      </c>
      <c r="O29" s="183"/>
      <c r="P29" s="184"/>
      <c r="Q29" s="180"/>
      <c r="R29" s="181"/>
      <c r="S29" s="181"/>
      <c r="T29" s="141"/>
      <c r="U29" s="141"/>
      <c r="V29" s="141"/>
      <c r="W29" s="182" t="str">
        <f t="shared" si="6"/>
        <v>-</v>
      </c>
      <c r="X29" s="183"/>
      <c r="Y29" s="184"/>
      <c r="Z29" s="180"/>
      <c r="AA29" s="181"/>
      <c r="AB29" s="181"/>
      <c r="AC29" s="141"/>
      <c r="AD29" s="141"/>
      <c r="AE29" s="141"/>
      <c r="AF29" s="182" t="str">
        <f t="shared" si="7"/>
        <v>-</v>
      </c>
      <c r="AG29" s="183"/>
      <c r="AH29" s="184"/>
    </row>
    <row r="30" spans="1:52" ht="13.5" customHeight="1">
      <c r="A30" s="363" t="s">
        <v>81</v>
      </c>
      <c r="B30" s="364"/>
      <c r="C30" s="364"/>
      <c r="D30" s="364"/>
      <c r="E30" s="364"/>
      <c r="F30" s="364"/>
      <c r="G30" s="365"/>
      <c r="H30" s="366"/>
      <c r="I30" s="206"/>
      <c r="J30" s="206"/>
      <c r="K30" s="367"/>
      <c r="L30" s="206"/>
      <c r="M30" s="206"/>
      <c r="N30" s="368"/>
      <c r="O30" s="369"/>
      <c r="P30" s="370"/>
      <c r="Q30" s="211"/>
      <c r="R30" s="212"/>
      <c r="S30" s="212"/>
      <c r="T30" s="203"/>
      <c r="U30" s="203"/>
      <c r="V30" s="203"/>
      <c r="W30" s="182" t="str">
        <f t="shared" si="6"/>
        <v>-</v>
      </c>
      <c r="X30" s="183"/>
      <c r="Y30" s="184"/>
      <c r="Z30" s="371"/>
      <c r="AA30" s="372"/>
      <c r="AB30" s="372"/>
      <c r="AC30" s="373"/>
      <c r="AD30" s="372"/>
      <c r="AE30" s="372"/>
      <c r="AF30" s="207"/>
      <c r="AG30" s="208"/>
      <c r="AH30" s="209"/>
    </row>
  </sheetData>
  <mergeCells count="194">
    <mergeCell ref="Z26:AB26"/>
    <mergeCell ref="AC26:AE26"/>
    <mergeCell ref="Z27:AB27"/>
    <mergeCell ref="AC27:AE27"/>
    <mergeCell ref="Z28:AB28"/>
    <mergeCell ref="AC28:AE28"/>
    <mergeCell ref="Z29:AB29"/>
    <mergeCell ref="AC29:AE29"/>
    <mergeCell ref="AC30:AE30"/>
    <mergeCell ref="AF30:AH30"/>
    <mergeCell ref="W29:Y29"/>
    <mergeCell ref="AF29:AH29"/>
    <mergeCell ref="A30:G30"/>
    <mergeCell ref="H30:J30"/>
    <mergeCell ref="K30:M30"/>
    <mergeCell ref="N30:P30"/>
    <mergeCell ref="Q30:S30"/>
    <mergeCell ref="T30:V30"/>
    <mergeCell ref="W30:Y30"/>
    <mergeCell ref="Z30:AB30"/>
    <mergeCell ref="A29:G29"/>
    <mergeCell ref="H29:J29"/>
    <mergeCell ref="K29:M29"/>
    <mergeCell ref="N29:P29"/>
    <mergeCell ref="Q29:S29"/>
    <mergeCell ref="T29:V29"/>
    <mergeCell ref="W27:Y27"/>
    <mergeCell ref="AF27:AH27"/>
    <mergeCell ref="A28:G28"/>
    <mergeCell ref="H28:J28"/>
    <mergeCell ref="K28:M28"/>
    <mergeCell ref="N28:P28"/>
    <mergeCell ref="Q28:S28"/>
    <mergeCell ref="T28:V28"/>
    <mergeCell ref="W28:Y28"/>
    <mergeCell ref="AF28:AH28"/>
    <mergeCell ref="A27:G27"/>
    <mergeCell ref="H27:J27"/>
    <mergeCell ref="K27:M27"/>
    <mergeCell ref="N27:P27"/>
    <mergeCell ref="Q27:S27"/>
    <mergeCell ref="T27:V27"/>
    <mergeCell ref="Z25:AB25"/>
    <mergeCell ref="AC25:AE25"/>
    <mergeCell ref="AF25:AH25"/>
    <mergeCell ref="A26:G26"/>
    <mergeCell ref="H26:J26"/>
    <mergeCell ref="K26:M26"/>
    <mergeCell ref="N26:P26"/>
    <mergeCell ref="Q26:S26"/>
    <mergeCell ref="T26:V26"/>
    <mergeCell ref="W26:Y26"/>
    <mergeCell ref="AF26:AH26"/>
    <mergeCell ref="A21:A25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C23:G23"/>
    <mergeCell ref="H23:J23"/>
    <mergeCell ref="K23:M23"/>
    <mergeCell ref="AC24:AE24"/>
    <mergeCell ref="AF24:AH24"/>
    <mergeCell ref="AF21:AH21"/>
    <mergeCell ref="C22:G22"/>
    <mergeCell ref="H22:J22"/>
    <mergeCell ref="K22:M22"/>
    <mergeCell ref="N22:P22"/>
    <mergeCell ref="Q22:S22"/>
    <mergeCell ref="T22:V22"/>
    <mergeCell ref="W22:Y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22:AB22"/>
    <mergeCell ref="AC22:AE22"/>
    <mergeCell ref="Z23:AB23"/>
    <mergeCell ref="AC23:AE23"/>
    <mergeCell ref="A19:G20"/>
    <mergeCell ref="W23:Y23"/>
    <mergeCell ref="B25:G25"/>
    <mergeCell ref="H25:J25"/>
    <mergeCell ref="K25:M25"/>
    <mergeCell ref="N25:P25"/>
    <mergeCell ref="Q25:S25"/>
    <mergeCell ref="T25:V25"/>
    <mergeCell ref="W25:Y25"/>
    <mergeCell ref="N23:P23"/>
    <mergeCell ref="Q23:S23"/>
    <mergeCell ref="T23:V23"/>
    <mergeCell ref="AU19:AW19"/>
    <mergeCell ref="AX19:AZ19"/>
    <mergeCell ref="H20:J20"/>
    <mergeCell ref="K20:M20"/>
    <mergeCell ref="N20:P20"/>
    <mergeCell ref="Q20:S20"/>
    <mergeCell ref="T20:V20"/>
    <mergeCell ref="W20:Y20"/>
    <mergeCell ref="Z20:AB20"/>
    <mergeCell ref="AC20:AE20"/>
    <mergeCell ref="H19:P19"/>
    <mergeCell ref="Q19:Y19"/>
    <mergeCell ref="Z19:AH19"/>
    <mergeCell ref="AK19:AQ19"/>
    <mergeCell ref="AR19:AT19"/>
    <mergeCell ref="AF20:AH20"/>
    <mergeCell ref="AK20:AQ20"/>
    <mergeCell ref="AR20:AT20"/>
    <mergeCell ref="AU20:AW20"/>
    <mergeCell ref="AX20:AZ20"/>
    <mergeCell ref="AU15:AW15"/>
    <mergeCell ref="AX15:AZ15"/>
    <mergeCell ref="AL16:AQ16"/>
    <mergeCell ref="AR16:AT16"/>
    <mergeCell ref="AU16:AW16"/>
    <mergeCell ref="AX16:AZ16"/>
    <mergeCell ref="A15:G15"/>
    <mergeCell ref="H15:J15"/>
    <mergeCell ref="K15:M15"/>
    <mergeCell ref="N15:P15"/>
    <mergeCell ref="AK15:AQ15"/>
    <mergeCell ref="AR15:AT15"/>
    <mergeCell ref="K12:M12"/>
    <mergeCell ref="N12:P12"/>
    <mergeCell ref="AK12:AQ12"/>
    <mergeCell ref="AR12:AT12"/>
    <mergeCell ref="AU12:AW12"/>
    <mergeCell ref="AX12:AZ12"/>
    <mergeCell ref="AU13:AW13"/>
    <mergeCell ref="AX13:AZ13"/>
    <mergeCell ref="B14:G14"/>
    <mergeCell ref="H14:J14"/>
    <mergeCell ref="K14:M14"/>
    <mergeCell ref="N14:P14"/>
    <mergeCell ref="AL14:AQ14"/>
    <mergeCell ref="AR14:AT14"/>
    <mergeCell ref="AU14:AW14"/>
    <mergeCell ref="AX14:AZ14"/>
    <mergeCell ref="B13:G13"/>
    <mergeCell ref="H13:J13"/>
    <mergeCell ref="K13:M13"/>
    <mergeCell ref="N13:P13"/>
    <mergeCell ref="AK13:AQ13"/>
    <mergeCell ref="AR13:AT13"/>
    <mergeCell ref="AR10:AT10"/>
    <mergeCell ref="AU10:AW10"/>
    <mergeCell ref="AX10:AZ10"/>
    <mergeCell ref="AU9:AW9"/>
    <mergeCell ref="AX9:AZ9"/>
    <mergeCell ref="A11:A14"/>
    <mergeCell ref="B11:G11"/>
    <mergeCell ref="H11:J11"/>
    <mergeCell ref="K11:M11"/>
    <mergeCell ref="N11:P11"/>
    <mergeCell ref="AK11:AQ11"/>
    <mergeCell ref="AR11:AT11"/>
    <mergeCell ref="A9:G10"/>
    <mergeCell ref="H9:P9"/>
    <mergeCell ref="AK9:AQ9"/>
    <mergeCell ref="AR9:AT9"/>
    <mergeCell ref="H10:J10"/>
    <mergeCell ref="K10:M10"/>
    <mergeCell ref="N10:P10"/>
    <mergeCell ref="AK10:AQ10"/>
    <mergeCell ref="AU11:AW11"/>
    <mergeCell ref="AX11:AZ11"/>
    <mergeCell ref="B12:G12"/>
    <mergeCell ref="H12:J12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23"/>
  </cols>
  <sheetData>
    <row r="1" spans="1:52" s="3" customFormat="1" ht="13.5" customHeight="1">
      <c r="A1" s="113" t="str">
        <f>IF(No.1!A1="","",No.1!A1)</f>
        <v/>
      </c>
      <c r="B1" s="114"/>
      <c r="C1" s="96" t="s">
        <v>219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2"/>
      <c r="AO2" s="72"/>
      <c r="AP2" s="72"/>
      <c r="AQ2" s="72"/>
      <c r="AR2" s="72"/>
      <c r="AS2" s="73"/>
      <c r="AT2" s="73"/>
      <c r="AU2" s="73"/>
      <c r="AV2" s="73"/>
      <c r="AW2" s="74"/>
      <c r="AX2" s="74"/>
      <c r="AY2" s="74"/>
      <c r="AZ2" s="74"/>
    </row>
    <row r="3" spans="1:52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52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52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52" s="98" customFormat="1" ht="13.5" customHeight="1">
      <c r="A6" s="100"/>
      <c r="H6" s="101"/>
    </row>
    <row r="7" spans="1:52" s="19" customFormat="1" ht="13.5" customHeight="1">
      <c r="A7" s="16" t="s">
        <v>164</v>
      </c>
      <c r="B7" s="17"/>
      <c r="C7" s="17"/>
      <c r="D7" s="17"/>
      <c r="E7" s="17"/>
      <c r="F7" s="17"/>
      <c r="G7" s="17"/>
      <c r="H7" s="17"/>
      <c r="I7" s="17"/>
      <c r="J7" s="50"/>
      <c r="K7" s="50"/>
      <c r="L7" s="50"/>
      <c r="M7" s="50"/>
      <c r="N7" s="50"/>
      <c r="O7" s="50"/>
      <c r="P7" s="50"/>
      <c r="Q7" s="50"/>
      <c r="R7" s="5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52" s="10" customFormat="1" ht="13.5" customHeight="1">
      <c r="A8" s="6" t="s">
        <v>82</v>
      </c>
      <c r="B8" s="23"/>
      <c r="C8" s="23"/>
      <c r="D8" s="23"/>
      <c r="E8" s="23"/>
      <c r="F8" s="23"/>
      <c r="G8" s="23"/>
      <c r="AH8" s="7"/>
      <c r="AQ8" s="7" t="s">
        <v>83</v>
      </c>
    </row>
    <row r="9" spans="1:52" ht="13.5" customHeight="1">
      <c r="A9" s="127"/>
      <c r="B9" s="128"/>
      <c r="C9" s="128"/>
      <c r="D9" s="128"/>
      <c r="E9" s="128"/>
      <c r="F9" s="128"/>
      <c r="G9" s="129"/>
      <c r="H9" s="280" t="s">
        <v>84</v>
      </c>
      <c r="I9" s="278"/>
      <c r="J9" s="278"/>
      <c r="K9" s="278"/>
      <c r="L9" s="278"/>
      <c r="M9" s="278"/>
      <c r="N9" s="278"/>
      <c r="O9" s="278"/>
      <c r="P9" s="279"/>
      <c r="Q9" s="280" t="s">
        <v>85</v>
      </c>
      <c r="R9" s="278"/>
      <c r="S9" s="278"/>
      <c r="T9" s="278"/>
      <c r="U9" s="278"/>
      <c r="V9" s="278"/>
      <c r="W9" s="278"/>
      <c r="X9" s="278"/>
      <c r="Y9" s="279"/>
      <c r="Z9" s="280" t="s">
        <v>86</v>
      </c>
      <c r="AA9" s="278"/>
      <c r="AB9" s="278"/>
      <c r="AC9" s="278"/>
      <c r="AD9" s="278"/>
      <c r="AE9" s="278"/>
      <c r="AF9" s="278"/>
      <c r="AG9" s="278"/>
      <c r="AH9" s="278"/>
      <c r="AI9" s="390" t="s">
        <v>87</v>
      </c>
      <c r="AJ9" s="329"/>
      <c r="AK9" s="331"/>
      <c r="AL9" s="320" t="s">
        <v>88</v>
      </c>
      <c r="AM9" s="321"/>
      <c r="AN9" s="321"/>
      <c r="AO9" s="321"/>
      <c r="AP9" s="321"/>
      <c r="AQ9" s="322"/>
      <c r="AR9" s="97"/>
      <c r="AS9" s="97"/>
      <c r="AT9" s="97"/>
    </row>
    <row r="10" spans="1:52" ht="13.5" customHeight="1">
      <c r="A10" s="130"/>
      <c r="B10" s="131"/>
      <c r="C10" s="131"/>
      <c r="D10" s="131"/>
      <c r="E10" s="131"/>
      <c r="F10" s="131"/>
      <c r="G10" s="132"/>
      <c r="H10" s="125" t="s">
        <v>192</v>
      </c>
      <c r="I10" s="123"/>
      <c r="J10" s="126"/>
      <c r="K10" s="122" t="s">
        <v>193</v>
      </c>
      <c r="L10" s="123"/>
      <c r="M10" s="126"/>
      <c r="N10" s="122" t="s">
        <v>5</v>
      </c>
      <c r="O10" s="123"/>
      <c r="P10" s="124"/>
      <c r="Q10" s="125" t="s">
        <v>192</v>
      </c>
      <c r="R10" s="123"/>
      <c r="S10" s="126"/>
      <c r="T10" s="122" t="s">
        <v>193</v>
      </c>
      <c r="U10" s="123"/>
      <c r="V10" s="126"/>
      <c r="W10" s="122" t="s">
        <v>5</v>
      </c>
      <c r="X10" s="123"/>
      <c r="Y10" s="124"/>
      <c r="Z10" s="125" t="s">
        <v>192</v>
      </c>
      <c r="AA10" s="123"/>
      <c r="AB10" s="126"/>
      <c r="AC10" s="122" t="s">
        <v>193</v>
      </c>
      <c r="AD10" s="123"/>
      <c r="AE10" s="126"/>
      <c r="AF10" s="122" t="s">
        <v>5</v>
      </c>
      <c r="AG10" s="123"/>
      <c r="AH10" s="124"/>
      <c r="AI10" s="391"/>
      <c r="AJ10" s="392"/>
      <c r="AK10" s="393"/>
      <c r="AL10" s="125" t="s">
        <v>192</v>
      </c>
      <c r="AM10" s="123"/>
      <c r="AN10" s="126"/>
      <c r="AO10" s="122" t="s">
        <v>193</v>
      </c>
      <c r="AP10" s="123"/>
      <c r="AQ10" s="124"/>
      <c r="AR10" s="97"/>
      <c r="AS10" s="97"/>
      <c r="AT10" s="97"/>
    </row>
    <row r="11" spans="1:52" s="10" customFormat="1" ht="13.5" customHeight="1">
      <c r="A11" s="142" t="s">
        <v>89</v>
      </c>
      <c r="B11" s="143"/>
      <c r="C11" s="143"/>
      <c r="D11" s="143"/>
      <c r="E11" s="143"/>
      <c r="F11" s="143"/>
      <c r="G11" s="144"/>
      <c r="H11" s="299"/>
      <c r="I11" s="300"/>
      <c r="J11" s="300"/>
      <c r="K11" s="301"/>
      <c r="L11" s="301"/>
      <c r="M11" s="301"/>
      <c r="N11" s="136" t="str">
        <f t="shared" ref="N11:N24" si="0">IF(H11="-", "-", IF(K11="-", "-", IF(ABS(K11)=0, "-", ROUND(100*(H11-K11)/ABS(K11),1))))</f>
        <v>-</v>
      </c>
      <c r="O11" s="137"/>
      <c r="P11" s="138"/>
      <c r="Q11" s="231"/>
      <c r="R11" s="232"/>
      <c r="S11" s="232"/>
      <c r="T11" s="141"/>
      <c r="U11" s="141"/>
      <c r="V11" s="141"/>
      <c r="W11" s="136" t="str">
        <f t="shared" ref="W11:W26" si="1">IF(Q11="-", "-", IF(T11="-", "-", IF(ABS(T11)=0, "-", ROUND(100*(Q11-T11)/ABS(T11),1))))</f>
        <v>-</v>
      </c>
      <c r="X11" s="137"/>
      <c r="Y11" s="138"/>
      <c r="Z11" s="387"/>
      <c r="AA11" s="388"/>
      <c r="AB11" s="388"/>
      <c r="AC11" s="389"/>
      <c r="AD11" s="388"/>
      <c r="AE11" s="388"/>
      <c r="AF11" s="394"/>
      <c r="AG11" s="395"/>
      <c r="AH11" s="396"/>
      <c r="AI11" s="397"/>
      <c r="AJ11" s="398"/>
      <c r="AK11" s="399"/>
      <c r="AL11" s="400"/>
      <c r="AM11" s="398"/>
      <c r="AN11" s="398"/>
      <c r="AO11" s="398"/>
      <c r="AP11" s="398"/>
      <c r="AQ11" s="399"/>
      <c r="AR11" s="97"/>
      <c r="AS11" s="97"/>
      <c r="AT11" s="97"/>
    </row>
    <row r="12" spans="1:52" s="10" customFormat="1" ht="13.5" customHeight="1">
      <c r="A12" s="29"/>
      <c r="B12" s="168" t="s">
        <v>90</v>
      </c>
      <c r="C12" s="169"/>
      <c r="D12" s="169"/>
      <c r="E12" s="169"/>
      <c r="F12" s="169"/>
      <c r="G12" s="170"/>
      <c r="H12" s="306"/>
      <c r="I12" s="307"/>
      <c r="J12" s="307"/>
      <c r="K12" s="307"/>
      <c r="L12" s="307"/>
      <c r="M12" s="307"/>
      <c r="N12" s="136" t="str">
        <f t="shared" si="0"/>
        <v>-</v>
      </c>
      <c r="O12" s="137"/>
      <c r="P12" s="138"/>
      <c r="Q12" s="218"/>
      <c r="R12" s="149"/>
      <c r="S12" s="149"/>
      <c r="T12" s="149"/>
      <c r="U12" s="149"/>
      <c r="V12" s="149"/>
      <c r="W12" s="136" t="str">
        <f t="shared" si="1"/>
        <v>-</v>
      </c>
      <c r="X12" s="137"/>
      <c r="Y12" s="138"/>
      <c r="Z12" s="385"/>
      <c r="AA12" s="386"/>
      <c r="AB12" s="386"/>
      <c r="AC12" s="381"/>
      <c r="AD12" s="381"/>
      <c r="AE12" s="381"/>
      <c r="AF12" s="136" t="str">
        <f t="shared" ref="AF12:AF16" si="2">IF(Z12="-", "-", IF(AC12="-", "-", IF(ABS(AC12)=0, "-", ROUND(100*(Z12-AC12)/ABS(AC12),1))))</f>
        <v>-</v>
      </c>
      <c r="AG12" s="137"/>
      <c r="AH12" s="138"/>
      <c r="AI12" s="382">
        <v>70.599999999999994</v>
      </c>
      <c r="AJ12" s="383"/>
      <c r="AK12" s="384"/>
      <c r="AL12" s="260"/>
      <c r="AM12" s="261"/>
      <c r="AN12" s="262"/>
      <c r="AO12" s="263"/>
      <c r="AP12" s="261"/>
      <c r="AQ12" s="466"/>
    </row>
    <row r="13" spans="1:52" s="10" customFormat="1" ht="13.5" customHeight="1">
      <c r="A13" s="29"/>
      <c r="B13" s="168" t="s">
        <v>91</v>
      </c>
      <c r="C13" s="169"/>
      <c r="D13" s="169"/>
      <c r="E13" s="169"/>
      <c r="F13" s="169"/>
      <c r="G13" s="170"/>
      <c r="H13" s="306"/>
      <c r="I13" s="307"/>
      <c r="J13" s="307"/>
      <c r="K13" s="307"/>
      <c r="L13" s="307"/>
      <c r="M13" s="307"/>
      <c r="N13" s="165" t="str">
        <f t="shared" si="0"/>
        <v>-</v>
      </c>
      <c r="O13" s="166"/>
      <c r="P13" s="167"/>
      <c r="Q13" s="218"/>
      <c r="R13" s="149"/>
      <c r="S13" s="149"/>
      <c r="T13" s="149"/>
      <c r="U13" s="149"/>
      <c r="V13" s="149"/>
      <c r="W13" s="165" t="str">
        <f t="shared" si="1"/>
        <v>-</v>
      </c>
      <c r="X13" s="166"/>
      <c r="Y13" s="167"/>
      <c r="Z13" s="380"/>
      <c r="AA13" s="381"/>
      <c r="AB13" s="381"/>
      <c r="AC13" s="381"/>
      <c r="AD13" s="381"/>
      <c r="AE13" s="381"/>
      <c r="AF13" s="165" t="str">
        <f t="shared" si="2"/>
        <v>-</v>
      </c>
      <c r="AG13" s="166"/>
      <c r="AH13" s="167"/>
      <c r="AI13" s="382">
        <v>70.400000000000006</v>
      </c>
      <c r="AJ13" s="383"/>
      <c r="AK13" s="384"/>
      <c r="AL13" s="260"/>
      <c r="AM13" s="261"/>
      <c r="AN13" s="262"/>
      <c r="AO13" s="263"/>
      <c r="AP13" s="261"/>
      <c r="AQ13" s="466"/>
    </row>
    <row r="14" spans="1:52" s="10" customFormat="1" ht="13.5" customHeight="1">
      <c r="A14" s="29"/>
      <c r="B14" s="168" t="s">
        <v>92</v>
      </c>
      <c r="C14" s="169"/>
      <c r="D14" s="169"/>
      <c r="E14" s="169"/>
      <c r="F14" s="169"/>
      <c r="G14" s="170"/>
      <c r="H14" s="306"/>
      <c r="I14" s="307"/>
      <c r="J14" s="307"/>
      <c r="K14" s="307"/>
      <c r="L14" s="307"/>
      <c r="M14" s="307"/>
      <c r="N14" s="136" t="str">
        <f t="shared" si="0"/>
        <v>-</v>
      </c>
      <c r="O14" s="137"/>
      <c r="P14" s="138"/>
      <c r="Q14" s="218"/>
      <c r="R14" s="149"/>
      <c r="S14" s="149"/>
      <c r="T14" s="149"/>
      <c r="U14" s="149"/>
      <c r="V14" s="149"/>
      <c r="W14" s="136" t="str">
        <f t="shared" si="1"/>
        <v>-</v>
      </c>
      <c r="X14" s="137"/>
      <c r="Y14" s="138"/>
      <c r="Z14" s="380"/>
      <c r="AA14" s="381"/>
      <c r="AB14" s="381"/>
      <c r="AC14" s="381"/>
      <c r="AD14" s="381"/>
      <c r="AE14" s="381"/>
      <c r="AF14" s="136" t="str">
        <f t="shared" si="2"/>
        <v>-</v>
      </c>
      <c r="AG14" s="137"/>
      <c r="AH14" s="138"/>
      <c r="AI14" s="382">
        <v>80.8</v>
      </c>
      <c r="AJ14" s="383"/>
      <c r="AK14" s="384"/>
      <c r="AL14" s="260"/>
      <c r="AM14" s="261"/>
      <c r="AN14" s="262"/>
      <c r="AO14" s="263"/>
      <c r="AP14" s="261"/>
      <c r="AQ14" s="466"/>
    </row>
    <row r="15" spans="1:52" s="10" customFormat="1" ht="13.5" customHeight="1">
      <c r="A15" s="29"/>
      <c r="B15" s="168" t="s">
        <v>93</v>
      </c>
      <c r="C15" s="169"/>
      <c r="D15" s="169"/>
      <c r="E15" s="169"/>
      <c r="F15" s="169"/>
      <c r="G15" s="170"/>
      <c r="H15" s="306"/>
      <c r="I15" s="307"/>
      <c r="J15" s="307"/>
      <c r="K15" s="307"/>
      <c r="L15" s="307"/>
      <c r="M15" s="307"/>
      <c r="N15" s="136" t="str">
        <f t="shared" si="0"/>
        <v>-</v>
      </c>
      <c r="O15" s="137"/>
      <c r="P15" s="138"/>
      <c r="Q15" s="218"/>
      <c r="R15" s="149"/>
      <c r="S15" s="149"/>
      <c r="T15" s="149"/>
      <c r="U15" s="149"/>
      <c r="V15" s="149"/>
      <c r="W15" s="136" t="str">
        <f t="shared" si="1"/>
        <v>-</v>
      </c>
      <c r="X15" s="137"/>
      <c r="Y15" s="138"/>
      <c r="Z15" s="380"/>
      <c r="AA15" s="381"/>
      <c r="AB15" s="381"/>
      <c r="AC15" s="381"/>
      <c r="AD15" s="381"/>
      <c r="AE15" s="381"/>
      <c r="AF15" s="136" t="str">
        <f t="shared" si="2"/>
        <v>-</v>
      </c>
      <c r="AG15" s="137"/>
      <c r="AH15" s="138"/>
      <c r="AI15" s="382">
        <v>82</v>
      </c>
      <c r="AJ15" s="383"/>
      <c r="AK15" s="384"/>
      <c r="AL15" s="260"/>
      <c r="AM15" s="261"/>
      <c r="AN15" s="262"/>
      <c r="AO15" s="263"/>
      <c r="AP15" s="261"/>
      <c r="AQ15" s="466"/>
    </row>
    <row r="16" spans="1:52" s="10" customFormat="1" ht="13.5" customHeight="1">
      <c r="A16" s="30"/>
      <c r="B16" s="177" t="s">
        <v>72</v>
      </c>
      <c r="C16" s="178"/>
      <c r="D16" s="178"/>
      <c r="E16" s="178"/>
      <c r="F16" s="178"/>
      <c r="G16" s="179"/>
      <c r="H16" s="334"/>
      <c r="I16" s="335"/>
      <c r="J16" s="335"/>
      <c r="K16" s="295"/>
      <c r="L16" s="295"/>
      <c r="M16" s="295"/>
      <c r="N16" s="182" t="str">
        <f t="shared" si="0"/>
        <v>-</v>
      </c>
      <c r="O16" s="183"/>
      <c r="P16" s="184"/>
      <c r="Q16" s="282"/>
      <c r="R16" s="283"/>
      <c r="S16" s="283"/>
      <c r="T16" s="181"/>
      <c r="U16" s="181"/>
      <c r="V16" s="181"/>
      <c r="W16" s="182" t="str">
        <f t="shared" si="1"/>
        <v>-</v>
      </c>
      <c r="X16" s="183"/>
      <c r="Y16" s="184"/>
      <c r="Z16" s="385"/>
      <c r="AA16" s="386"/>
      <c r="AB16" s="386"/>
      <c r="AC16" s="401"/>
      <c r="AD16" s="401"/>
      <c r="AE16" s="401"/>
      <c r="AF16" s="182" t="str">
        <f t="shared" si="2"/>
        <v>-</v>
      </c>
      <c r="AG16" s="183"/>
      <c r="AH16" s="184"/>
      <c r="AI16" s="402">
        <v>79.599999999999994</v>
      </c>
      <c r="AJ16" s="403"/>
      <c r="AK16" s="404"/>
      <c r="AL16" s="267"/>
      <c r="AM16" s="268"/>
      <c r="AN16" s="269"/>
      <c r="AO16" s="270"/>
      <c r="AP16" s="268"/>
      <c r="AQ16" s="467"/>
    </row>
    <row r="17" spans="1:48" s="10" customFormat="1" ht="13.5" customHeight="1">
      <c r="A17" s="194" t="s">
        <v>94</v>
      </c>
      <c r="B17" s="195"/>
      <c r="C17" s="195"/>
      <c r="D17" s="195"/>
      <c r="E17" s="195"/>
      <c r="F17" s="195"/>
      <c r="G17" s="196"/>
      <c r="H17" s="299"/>
      <c r="I17" s="300"/>
      <c r="J17" s="300"/>
      <c r="K17" s="291"/>
      <c r="L17" s="291"/>
      <c r="M17" s="291"/>
      <c r="N17" s="136" t="str">
        <f t="shared" si="0"/>
        <v>-</v>
      </c>
      <c r="O17" s="137"/>
      <c r="P17" s="138"/>
      <c r="Q17" s="231"/>
      <c r="R17" s="232"/>
      <c r="S17" s="232"/>
      <c r="T17" s="140"/>
      <c r="U17" s="140"/>
      <c r="V17" s="140"/>
      <c r="W17" s="136" t="str">
        <f t="shared" si="1"/>
        <v>-</v>
      </c>
      <c r="X17" s="137"/>
      <c r="Y17" s="138"/>
      <c r="Z17" s="407"/>
      <c r="AA17" s="408"/>
      <c r="AB17" s="408"/>
      <c r="AC17" s="389"/>
      <c r="AD17" s="388"/>
      <c r="AE17" s="388"/>
      <c r="AF17" s="394"/>
      <c r="AG17" s="395"/>
      <c r="AH17" s="396"/>
      <c r="AI17" s="397"/>
      <c r="AJ17" s="398"/>
      <c r="AK17" s="399"/>
      <c r="AL17" s="405"/>
      <c r="AM17" s="406"/>
      <c r="AN17" s="406"/>
      <c r="AO17" s="398"/>
      <c r="AP17" s="398"/>
      <c r="AQ17" s="399"/>
    </row>
    <row r="18" spans="1:48" s="10" customFormat="1" ht="13.5" customHeight="1">
      <c r="A18" s="29"/>
      <c r="B18" s="168" t="s">
        <v>95</v>
      </c>
      <c r="C18" s="169"/>
      <c r="D18" s="169"/>
      <c r="E18" s="169"/>
      <c r="F18" s="169"/>
      <c r="G18" s="170"/>
      <c r="H18" s="306"/>
      <c r="I18" s="307"/>
      <c r="J18" s="307"/>
      <c r="K18" s="307"/>
      <c r="L18" s="307"/>
      <c r="M18" s="307"/>
      <c r="N18" s="136" t="str">
        <f t="shared" si="0"/>
        <v>-</v>
      </c>
      <c r="O18" s="137"/>
      <c r="P18" s="138"/>
      <c r="Q18" s="218"/>
      <c r="R18" s="149"/>
      <c r="S18" s="149"/>
      <c r="T18" s="149"/>
      <c r="U18" s="149"/>
      <c r="V18" s="149"/>
      <c r="W18" s="136" t="str">
        <f t="shared" si="1"/>
        <v>-</v>
      </c>
      <c r="X18" s="137"/>
      <c r="Y18" s="138"/>
      <c r="Z18" s="380"/>
      <c r="AA18" s="381"/>
      <c r="AB18" s="381"/>
      <c r="AC18" s="381"/>
      <c r="AD18" s="381"/>
      <c r="AE18" s="381"/>
      <c r="AF18" s="136" t="str">
        <f t="shared" ref="AF18:AF24" si="3">IF(Z18="-", "-", IF(AC18="-", "-", IF(ABS(AC18)=0, "-", ROUND(100*(Z18-AC18)/ABS(AC18),1))))</f>
        <v>-</v>
      </c>
      <c r="AG18" s="137"/>
      <c r="AH18" s="138"/>
      <c r="AI18" s="382">
        <v>68.3</v>
      </c>
      <c r="AJ18" s="383"/>
      <c r="AK18" s="384"/>
      <c r="AL18" s="260"/>
      <c r="AM18" s="261"/>
      <c r="AN18" s="262"/>
      <c r="AO18" s="263"/>
      <c r="AP18" s="261"/>
      <c r="AQ18" s="466"/>
    </row>
    <row r="19" spans="1:48" s="10" customFormat="1" ht="13.5" customHeight="1">
      <c r="A19" s="30"/>
      <c r="B19" s="177" t="s">
        <v>72</v>
      </c>
      <c r="C19" s="178"/>
      <c r="D19" s="178"/>
      <c r="E19" s="178"/>
      <c r="F19" s="178"/>
      <c r="G19" s="179"/>
      <c r="H19" s="334"/>
      <c r="I19" s="335"/>
      <c r="J19" s="335"/>
      <c r="K19" s="295"/>
      <c r="L19" s="295"/>
      <c r="M19" s="295"/>
      <c r="N19" s="182" t="str">
        <f t="shared" si="0"/>
        <v>-</v>
      </c>
      <c r="O19" s="183"/>
      <c r="P19" s="184"/>
      <c r="Q19" s="282"/>
      <c r="R19" s="283"/>
      <c r="S19" s="283"/>
      <c r="T19" s="181"/>
      <c r="U19" s="181"/>
      <c r="V19" s="181"/>
      <c r="W19" s="182" t="str">
        <f t="shared" si="1"/>
        <v>-</v>
      </c>
      <c r="X19" s="183"/>
      <c r="Y19" s="184"/>
      <c r="Z19" s="409"/>
      <c r="AA19" s="410"/>
      <c r="AB19" s="410"/>
      <c r="AC19" s="401"/>
      <c r="AD19" s="401"/>
      <c r="AE19" s="401"/>
      <c r="AF19" s="182" t="str">
        <f t="shared" si="3"/>
        <v>-</v>
      </c>
      <c r="AG19" s="183"/>
      <c r="AH19" s="184"/>
      <c r="AI19" s="402">
        <v>63</v>
      </c>
      <c r="AJ19" s="403"/>
      <c r="AK19" s="404"/>
      <c r="AL19" s="267"/>
      <c r="AM19" s="268"/>
      <c r="AN19" s="269"/>
      <c r="AO19" s="270"/>
      <c r="AP19" s="268"/>
      <c r="AQ19" s="467"/>
    </row>
    <row r="20" spans="1:48" s="10" customFormat="1" ht="13.5" customHeight="1">
      <c r="A20" s="194" t="s">
        <v>183</v>
      </c>
      <c r="B20" s="195"/>
      <c r="C20" s="195"/>
      <c r="D20" s="195"/>
      <c r="E20" s="195"/>
      <c r="F20" s="195"/>
      <c r="G20" s="196"/>
      <c r="H20" s="299"/>
      <c r="I20" s="300"/>
      <c r="J20" s="300"/>
      <c r="K20" s="291"/>
      <c r="L20" s="291"/>
      <c r="M20" s="291"/>
      <c r="N20" s="182" t="str">
        <f t="shared" si="0"/>
        <v>-</v>
      </c>
      <c r="O20" s="183"/>
      <c r="P20" s="184"/>
      <c r="Q20" s="231"/>
      <c r="R20" s="232"/>
      <c r="S20" s="232"/>
      <c r="T20" s="140"/>
      <c r="U20" s="140"/>
      <c r="V20" s="140"/>
      <c r="W20" s="182" t="str">
        <f t="shared" si="1"/>
        <v>-</v>
      </c>
      <c r="X20" s="183"/>
      <c r="Y20" s="184"/>
      <c r="Z20" s="411"/>
      <c r="AA20" s="412"/>
      <c r="AB20" s="412"/>
      <c r="AC20" s="416"/>
      <c r="AD20" s="416"/>
      <c r="AE20" s="416"/>
      <c r="AF20" s="182" t="str">
        <f t="shared" si="3"/>
        <v>-</v>
      </c>
      <c r="AG20" s="183"/>
      <c r="AH20" s="184"/>
      <c r="AI20" s="413">
        <v>71.099999999999994</v>
      </c>
      <c r="AJ20" s="414"/>
      <c r="AK20" s="415"/>
      <c r="AL20" s="468"/>
      <c r="AM20" s="309"/>
      <c r="AN20" s="310"/>
      <c r="AO20" s="308"/>
      <c r="AP20" s="309"/>
      <c r="AQ20" s="469"/>
    </row>
    <row r="21" spans="1:48" s="10" customFormat="1" ht="13.5" customHeight="1">
      <c r="A21" s="200" t="s">
        <v>96</v>
      </c>
      <c r="B21" s="201"/>
      <c r="C21" s="201"/>
      <c r="D21" s="201"/>
      <c r="E21" s="201"/>
      <c r="F21" s="201"/>
      <c r="G21" s="202"/>
      <c r="H21" s="299"/>
      <c r="I21" s="300"/>
      <c r="J21" s="300"/>
      <c r="K21" s="328"/>
      <c r="L21" s="328"/>
      <c r="M21" s="328"/>
      <c r="N21" s="182" t="str">
        <f t="shared" si="0"/>
        <v>-</v>
      </c>
      <c r="O21" s="183"/>
      <c r="P21" s="184"/>
      <c r="Q21" s="231"/>
      <c r="R21" s="232"/>
      <c r="S21" s="232"/>
      <c r="T21" s="203"/>
      <c r="U21" s="203"/>
      <c r="V21" s="203"/>
      <c r="W21" s="182" t="str">
        <f t="shared" si="1"/>
        <v>-</v>
      </c>
      <c r="X21" s="183"/>
      <c r="Y21" s="184"/>
      <c r="Z21" s="411"/>
      <c r="AA21" s="412"/>
      <c r="AB21" s="412"/>
      <c r="AC21" s="412"/>
      <c r="AD21" s="412"/>
      <c r="AE21" s="412"/>
      <c r="AF21" s="182" t="str">
        <f t="shared" si="3"/>
        <v>-</v>
      </c>
      <c r="AG21" s="183"/>
      <c r="AH21" s="184"/>
      <c r="AI21" s="413">
        <v>76.400000000000006</v>
      </c>
      <c r="AJ21" s="414"/>
      <c r="AK21" s="415"/>
      <c r="AL21" s="468"/>
      <c r="AM21" s="309"/>
      <c r="AN21" s="310"/>
      <c r="AO21" s="308"/>
      <c r="AP21" s="309"/>
      <c r="AQ21" s="469"/>
    </row>
    <row r="22" spans="1:48" s="10" customFormat="1" ht="13.5" customHeight="1">
      <c r="A22" s="200" t="s">
        <v>184</v>
      </c>
      <c r="B22" s="201"/>
      <c r="C22" s="201"/>
      <c r="D22" s="201"/>
      <c r="E22" s="201"/>
      <c r="F22" s="201"/>
      <c r="G22" s="202"/>
      <c r="H22" s="299"/>
      <c r="I22" s="300"/>
      <c r="J22" s="300"/>
      <c r="K22" s="328"/>
      <c r="L22" s="328"/>
      <c r="M22" s="328"/>
      <c r="N22" s="182" t="str">
        <f t="shared" si="0"/>
        <v>-</v>
      </c>
      <c r="O22" s="183"/>
      <c r="P22" s="184"/>
      <c r="Q22" s="231"/>
      <c r="R22" s="232"/>
      <c r="S22" s="232"/>
      <c r="T22" s="203"/>
      <c r="U22" s="203"/>
      <c r="V22" s="203"/>
      <c r="W22" s="182" t="str">
        <f t="shared" si="1"/>
        <v>-</v>
      </c>
      <c r="X22" s="183"/>
      <c r="Y22" s="184"/>
      <c r="Z22" s="411"/>
      <c r="AA22" s="412"/>
      <c r="AB22" s="412"/>
      <c r="AC22" s="412"/>
      <c r="AD22" s="412"/>
      <c r="AE22" s="412"/>
      <c r="AF22" s="182" t="str">
        <f t="shared" si="3"/>
        <v>-</v>
      </c>
      <c r="AG22" s="183"/>
      <c r="AH22" s="184"/>
      <c r="AI22" s="413">
        <v>51.8</v>
      </c>
      <c r="AJ22" s="414"/>
      <c r="AK22" s="415"/>
      <c r="AL22" s="468"/>
      <c r="AM22" s="309"/>
      <c r="AN22" s="310"/>
      <c r="AO22" s="308"/>
      <c r="AP22" s="309"/>
      <c r="AQ22" s="469"/>
    </row>
    <row r="23" spans="1:48" s="10" customFormat="1" ht="13.5" customHeight="1">
      <c r="A23" s="200" t="s">
        <v>185</v>
      </c>
      <c r="B23" s="201"/>
      <c r="C23" s="201"/>
      <c r="D23" s="201"/>
      <c r="E23" s="201"/>
      <c r="F23" s="201"/>
      <c r="G23" s="202"/>
      <c r="H23" s="299"/>
      <c r="I23" s="300"/>
      <c r="J23" s="300"/>
      <c r="K23" s="328"/>
      <c r="L23" s="328"/>
      <c r="M23" s="328"/>
      <c r="N23" s="182" t="str">
        <f t="shared" si="0"/>
        <v>-</v>
      </c>
      <c r="O23" s="183"/>
      <c r="P23" s="184"/>
      <c r="Q23" s="231"/>
      <c r="R23" s="232"/>
      <c r="S23" s="232"/>
      <c r="T23" s="203"/>
      <c r="U23" s="203"/>
      <c r="V23" s="203"/>
      <c r="W23" s="182" t="str">
        <f t="shared" si="1"/>
        <v>-</v>
      </c>
      <c r="X23" s="183"/>
      <c r="Y23" s="184"/>
      <c r="Z23" s="411"/>
      <c r="AA23" s="412"/>
      <c r="AB23" s="412"/>
      <c r="AC23" s="412"/>
      <c r="AD23" s="412"/>
      <c r="AE23" s="412"/>
      <c r="AF23" s="182" t="str">
        <f t="shared" si="3"/>
        <v>-</v>
      </c>
      <c r="AG23" s="183"/>
      <c r="AH23" s="184"/>
      <c r="AI23" s="413">
        <v>82.7</v>
      </c>
      <c r="AJ23" s="414"/>
      <c r="AK23" s="415"/>
      <c r="AL23" s="468"/>
      <c r="AM23" s="309"/>
      <c r="AN23" s="310"/>
      <c r="AO23" s="308"/>
      <c r="AP23" s="309"/>
      <c r="AQ23" s="469"/>
      <c r="AV23" s="47"/>
    </row>
    <row r="24" spans="1:48" s="10" customFormat="1" ht="13.5" customHeight="1">
      <c r="A24" s="200" t="s">
        <v>97</v>
      </c>
      <c r="B24" s="201"/>
      <c r="C24" s="201"/>
      <c r="D24" s="201"/>
      <c r="E24" s="201"/>
      <c r="F24" s="201"/>
      <c r="G24" s="202"/>
      <c r="H24" s="299"/>
      <c r="I24" s="300"/>
      <c r="J24" s="300"/>
      <c r="K24" s="328"/>
      <c r="L24" s="328"/>
      <c r="M24" s="328"/>
      <c r="N24" s="182" t="str">
        <f t="shared" si="0"/>
        <v>-</v>
      </c>
      <c r="O24" s="183"/>
      <c r="P24" s="184"/>
      <c r="Q24" s="231"/>
      <c r="R24" s="232"/>
      <c r="S24" s="232"/>
      <c r="T24" s="203"/>
      <c r="U24" s="203"/>
      <c r="V24" s="203"/>
      <c r="W24" s="182" t="str">
        <f t="shared" si="1"/>
        <v>-</v>
      </c>
      <c r="X24" s="183"/>
      <c r="Y24" s="184"/>
      <c r="Z24" s="385"/>
      <c r="AA24" s="386"/>
      <c r="AB24" s="386"/>
      <c r="AC24" s="412"/>
      <c r="AD24" s="412"/>
      <c r="AE24" s="412"/>
      <c r="AF24" s="182" t="str">
        <f t="shared" si="3"/>
        <v>-</v>
      </c>
      <c r="AG24" s="183"/>
      <c r="AH24" s="184"/>
      <c r="AI24" s="413">
        <v>12.3</v>
      </c>
      <c r="AJ24" s="414"/>
      <c r="AK24" s="415"/>
      <c r="AL24" s="468"/>
      <c r="AM24" s="309"/>
      <c r="AN24" s="310"/>
      <c r="AO24" s="308"/>
      <c r="AP24" s="309"/>
      <c r="AQ24" s="469"/>
    </row>
    <row r="25" spans="1:48" s="10" customFormat="1" ht="13.5" customHeight="1">
      <c r="A25" s="200" t="s">
        <v>72</v>
      </c>
      <c r="B25" s="201"/>
      <c r="C25" s="201"/>
      <c r="D25" s="201"/>
      <c r="E25" s="201"/>
      <c r="F25" s="201"/>
      <c r="G25" s="202"/>
      <c r="H25" s="366"/>
      <c r="I25" s="367"/>
      <c r="J25" s="367"/>
      <c r="K25" s="367"/>
      <c r="L25" s="206"/>
      <c r="M25" s="206"/>
      <c r="N25" s="207"/>
      <c r="O25" s="208"/>
      <c r="P25" s="209"/>
      <c r="Q25" s="231"/>
      <c r="R25" s="232"/>
      <c r="S25" s="232"/>
      <c r="T25" s="203"/>
      <c r="U25" s="203"/>
      <c r="V25" s="203"/>
      <c r="W25" s="182" t="str">
        <f t="shared" si="1"/>
        <v>-</v>
      </c>
      <c r="X25" s="183"/>
      <c r="Y25" s="184"/>
      <c r="Z25" s="371"/>
      <c r="AA25" s="372"/>
      <c r="AB25" s="372"/>
      <c r="AC25" s="373"/>
      <c r="AD25" s="372"/>
      <c r="AE25" s="372"/>
      <c r="AF25" s="207"/>
      <c r="AG25" s="208"/>
      <c r="AH25" s="427"/>
      <c r="AI25" s="428"/>
      <c r="AJ25" s="429"/>
      <c r="AK25" s="430"/>
      <c r="AL25" s="366"/>
      <c r="AM25" s="206"/>
      <c r="AN25" s="206"/>
      <c r="AO25" s="367"/>
      <c r="AP25" s="206"/>
      <c r="AQ25" s="417"/>
    </row>
    <row r="26" spans="1:48" s="10" customFormat="1" ht="13.5" customHeight="1">
      <c r="A26" s="200" t="s">
        <v>98</v>
      </c>
      <c r="B26" s="201"/>
      <c r="C26" s="201"/>
      <c r="D26" s="201"/>
      <c r="E26" s="201"/>
      <c r="F26" s="201"/>
      <c r="G26" s="202"/>
      <c r="H26" s="418"/>
      <c r="I26" s="419"/>
      <c r="J26" s="419"/>
      <c r="K26" s="420"/>
      <c r="L26" s="419"/>
      <c r="M26" s="419"/>
      <c r="N26" s="421"/>
      <c r="O26" s="422"/>
      <c r="P26" s="423"/>
      <c r="Q26" s="204"/>
      <c r="R26" s="203"/>
      <c r="S26" s="203"/>
      <c r="T26" s="424"/>
      <c r="U26" s="424"/>
      <c r="V26" s="424"/>
      <c r="W26" s="182" t="str">
        <f t="shared" si="1"/>
        <v>-</v>
      </c>
      <c r="X26" s="183"/>
      <c r="Y26" s="184"/>
      <c r="Z26" s="425"/>
      <c r="AA26" s="426"/>
      <c r="AB26" s="426"/>
      <c r="AC26" s="431"/>
      <c r="AD26" s="426"/>
      <c r="AE26" s="426"/>
      <c r="AF26" s="421"/>
      <c r="AG26" s="422"/>
      <c r="AH26" s="422"/>
      <c r="AI26" s="432"/>
      <c r="AJ26" s="433"/>
      <c r="AK26" s="434"/>
      <c r="AL26" s="438"/>
      <c r="AM26" s="433"/>
      <c r="AN26" s="433"/>
      <c r="AO26" s="433"/>
      <c r="AP26" s="433"/>
      <c r="AQ26" s="434"/>
    </row>
    <row r="27" spans="1:48" s="10" customFormat="1" ht="13.5" customHeight="1">
      <c r="A27" s="23"/>
      <c r="B27" s="23"/>
      <c r="C27" s="23"/>
      <c r="D27" s="23"/>
      <c r="E27" s="23"/>
      <c r="F27" s="23"/>
      <c r="G27" s="23"/>
      <c r="AI27" s="439" t="s">
        <v>194</v>
      </c>
      <c r="AJ27" s="440"/>
      <c r="AK27" s="441"/>
      <c r="AL27" s="442">
        <f>SUM(AL28:AN29)</f>
        <v>0</v>
      </c>
      <c r="AM27" s="443"/>
      <c r="AN27" s="443"/>
      <c r="AO27" s="443">
        <f>SUM(AO28:AQ29)</f>
        <v>0</v>
      </c>
      <c r="AP27" s="443"/>
      <c r="AQ27" s="444"/>
    </row>
    <row r="28" spans="1:48" s="10" customFormat="1" ht="13.5" customHeight="1">
      <c r="A28" s="6" t="s">
        <v>213</v>
      </c>
      <c r="B28" s="23"/>
      <c r="C28" s="23"/>
      <c r="D28" s="23"/>
      <c r="E28" s="23"/>
      <c r="F28" s="23"/>
      <c r="G28" s="23"/>
      <c r="H28" s="43"/>
      <c r="I28" s="43"/>
      <c r="J28" s="43"/>
      <c r="K28" s="43"/>
      <c r="L28" s="43"/>
      <c r="M28" s="43"/>
      <c r="N28" s="43"/>
      <c r="O28" s="43"/>
      <c r="P28" s="44" t="s">
        <v>1</v>
      </c>
      <c r="AH28" s="7"/>
      <c r="AI28" s="445" t="s">
        <v>195</v>
      </c>
      <c r="AJ28" s="446"/>
      <c r="AK28" s="447"/>
      <c r="AL28" s="448">
        <f>SUM(AL12:AL16,AL18:AL23)</f>
        <v>0</v>
      </c>
      <c r="AM28" s="449"/>
      <c r="AN28" s="449"/>
      <c r="AO28" s="449">
        <f>SUM(AO12:AO16,AO18:AO23)</f>
        <v>0</v>
      </c>
      <c r="AP28" s="449"/>
      <c r="AQ28" s="450"/>
    </row>
    <row r="29" spans="1:48" ht="13.5" customHeight="1">
      <c r="A29" s="250"/>
      <c r="B29" s="251"/>
      <c r="C29" s="251"/>
      <c r="D29" s="251"/>
      <c r="E29" s="251"/>
      <c r="F29" s="251"/>
      <c r="G29" s="252"/>
      <c r="H29" s="125" t="s">
        <v>192</v>
      </c>
      <c r="I29" s="123"/>
      <c r="J29" s="126"/>
      <c r="K29" s="122" t="s">
        <v>193</v>
      </c>
      <c r="L29" s="123"/>
      <c r="M29" s="126"/>
      <c r="N29" s="122" t="s">
        <v>5</v>
      </c>
      <c r="O29" s="123"/>
      <c r="P29" s="124"/>
      <c r="AI29" s="374" t="s">
        <v>196</v>
      </c>
      <c r="AJ29" s="375"/>
      <c r="AK29" s="376"/>
      <c r="AL29" s="377">
        <f>SUM(AL24)</f>
        <v>0</v>
      </c>
      <c r="AM29" s="378"/>
      <c r="AN29" s="378"/>
      <c r="AO29" s="378">
        <f>SUM(AO24)</f>
        <v>0</v>
      </c>
      <c r="AP29" s="378"/>
      <c r="AQ29" s="379"/>
    </row>
    <row r="30" spans="1:48" s="10" customFormat="1" ht="13.5" customHeight="1">
      <c r="A30" s="200" t="s">
        <v>186</v>
      </c>
      <c r="B30" s="201"/>
      <c r="C30" s="201"/>
      <c r="D30" s="201"/>
      <c r="E30" s="201"/>
      <c r="F30" s="201"/>
      <c r="G30" s="202"/>
      <c r="H30" s="204"/>
      <c r="I30" s="203"/>
      <c r="J30" s="203"/>
      <c r="K30" s="203"/>
      <c r="L30" s="203"/>
      <c r="M30" s="203"/>
      <c r="N30" s="182" t="str">
        <f t="shared" ref="N30" si="4">IF(H30="-", "-", IF(K30="-", "-", IF(ABS(K30)=0, "-", ROUND(100*(H30-K30)/ABS(K30),1))))</f>
        <v>-</v>
      </c>
      <c r="O30" s="183"/>
      <c r="P30" s="184"/>
    </row>
    <row r="33" spans="1:52" ht="13.5" customHeight="1">
      <c r="A33" s="6" t="s">
        <v>145</v>
      </c>
      <c r="B33" s="20"/>
      <c r="C33" s="20"/>
      <c r="D33" s="20"/>
      <c r="E33" s="20"/>
      <c r="F33" s="20"/>
      <c r="G33" s="20"/>
      <c r="H33" s="20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7"/>
      <c r="AI33" s="26"/>
      <c r="AJ33" s="26"/>
      <c r="AZ33" s="7" t="s">
        <v>146</v>
      </c>
    </row>
    <row r="34" spans="1:52" ht="13.5" customHeight="1">
      <c r="A34" s="127"/>
      <c r="B34" s="128"/>
      <c r="C34" s="128"/>
      <c r="D34" s="128"/>
      <c r="E34" s="128"/>
      <c r="F34" s="128"/>
      <c r="G34" s="129"/>
      <c r="H34" s="278" t="s">
        <v>148</v>
      </c>
      <c r="I34" s="278"/>
      <c r="J34" s="278"/>
      <c r="K34" s="278"/>
      <c r="L34" s="278"/>
      <c r="M34" s="278"/>
      <c r="N34" s="278"/>
      <c r="O34" s="278"/>
      <c r="P34" s="279"/>
      <c r="Q34" s="435" t="s">
        <v>149</v>
      </c>
      <c r="R34" s="436"/>
      <c r="S34" s="436"/>
      <c r="T34" s="436"/>
      <c r="U34" s="436"/>
      <c r="V34" s="436"/>
      <c r="W34" s="436"/>
      <c r="X34" s="436"/>
      <c r="Y34" s="437"/>
      <c r="Z34" s="435" t="s">
        <v>150</v>
      </c>
      <c r="AA34" s="436"/>
      <c r="AB34" s="436"/>
      <c r="AC34" s="436"/>
      <c r="AD34" s="436"/>
      <c r="AE34" s="436"/>
      <c r="AF34" s="436"/>
      <c r="AG34" s="436"/>
      <c r="AH34" s="437"/>
      <c r="AI34" s="280" t="s">
        <v>158</v>
      </c>
      <c r="AJ34" s="278"/>
      <c r="AK34" s="278"/>
      <c r="AL34" s="278"/>
      <c r="AM34" s="278"/>
      <c r="AN34" s="278"/>
      <c r="AO34" s="278"/>
      <c r="AP34" s="278"/>
      <c r="AQ34" s="279"/>
      <c r="AR34" s="280" t="s">
        <v>4</v>
      </c>
      <c r="AS34" s="278"/>
      <c r="AT34" s="278"/>
      <c r="AU34" s="278"/>
      <c r="AV34" s="278"/>
      <c r="AW34" s="278"/>
      <c r="AX34" s="278"/>
      <c r="AY34" s="278"/>
      <c r="AZ34" s="279"/>
    </row>
    <row r="35" spans="1:52" ht="13.5" customHeight="1">
      <c r="A35" s="130"/>
      <c r="B35" s="131"/>
      <c r="C35" s="131"/>
      <c r="D35" s="131"/>
      <c r="E35" s="131"/>
      <c r="F35" s="131"/>
      <c r="G35" s="132"/>
      <c r="H35" s="125" t="s">
        <v>192</v>
      </c>
      <c r="I35" s="123"/>
      <c r="J35" s="126"/>
      <c r="K35" s="122" t="s">
        <v>193</v>
      </c>
      <c r="L35" s="123"/>
      <c r="M35" s="126"/>
      <c r="N35" s="122" t="s">
        <v>5</v>
      </c>
      <c r="O35" s="123"/>
      <c r="P35" s="124"/>
      <c r="Q35" s="125" t="s">
        <v>192</v>
      </c>
      <c r="R35" s="123"/>
      <c r="S35" s="126"/>
      <c r="T35" s="122" t="s">
        <v>193</v>
      </c>
      <c r="U35" s="123"/>
      <c r="V35" s="126"/>
      <c r="W35" s="122" t="s">
        <v>5</v>
      </c>
      <c r="X35" s="123"/>
      <c r="Y35" s="124"/>
      <c r="Z35" s="125" t="s">
        <v>192</v>
      </c>
      <c r="AA35" s="123"/>
      <c r="AB35" s="126"/>
      <c r="AC35" s="122" t="s">
        <v>193</v>
      </c>
      <c r="AD35" s="123"/>
      <c r="AE35" s="126"/>
      <c r="AF35" s="122" t="s">
        <v>5</v>
      </c>
      <c r="AG35" s="123"/>
      <c r="AH35" s="124"/>
      <c r="AI35" s="125" t="s">
        <v>192</v>
      </c>
      <c r="AJ35" s="123"/>
      <c r="AK35" s="126"/>
      <c r="AL35" s="122" t="s">
        <v>193</v>
      </c>
      <c r="AM35" s="123"/>
      <c r="AN35" s="126"/>
      <c r="AO35" s="122" t="s">
        <v>5</v>
      </c>
      <c r="AP35" s="123"/>
      <c r="AQ35" s="124"/>
      <c r="AR35" s="125" t="s">
        <v>192</v>
      </c>
      <c r="AS35" s="123"/>
      <c r="AT35" s="126"/>
      <c r="AU35" s="122" t="s">
        <v>193</v>
      </c>
      <c r="AV35" s="123"/>
      <c r="AW35" s="126"/>
      <c r="AX35" s="122" t="s">
        <v>5</v>
      </c>
      <c r="AY35" s="123"/>
      <c r="AZ35" s="124"/>
    </row>
    <row r="36" spans="1:52" s="10" customFormat="1" ht="13.5" customHeight="1">
      <c r="A36" s="272" t="s">
        <v>152</v>
      </c>
      <c r="B36" s="317" t="s">
        <v>153</v>
      </c>
      <c r="C36" s="318"/>
      <c r="D36" s="318"/>
      <c r="E36" s="318"/>
      <c r="F36" s="318"/>
      <c r="G36" s="319"/>
      <c r="H36" s="299"/>
      <c r="I36" s="300"/>
      <c r="J36" s="300"/>
      <c r="K36" s="301"/>
      <c r="L36" s="301"/>
      <c r="M36" s="301"/>
      <c r="N36" s="136" t="str">
        <f t="shared" ref="N36:N41" si="5">IF(H36="-", "-", IF(K36="-", "-", IF(ABS(K36)=0, "-", ROUND(100*(H36-K36)/ABS(K36),1))))</f>
        <v>-</v>
      </c>
      <c r="O36" s="137"/>
      <c r="P36" s="138"/>
      <c r="Q36" s="290"/>
      <c r="R36" s="291"/>
      <c r="S36" s="291"/>
      <c r="T36" s="301"/>
      <c r="U36" s="301"/>
      <c r="V36" s="301"/>
      <c r="W36" s="136" t="str">
        <f t="shared" ref="W36:W41" si="6">IF(Q36="-", "-", IF(T36="-", "-", IF(ABS(T36)=0, "-", ROUND(100*(Q36-T36)/ABS(T36),1))))</f>
        <v>-</v>
      </c>
      <c r="X36" s="137"/>
      <c r="Y36" s="138"/>
      <c r="Z36" s="451"/>
      <c r="AA36" s="452"/>
      <c r="AB36" s="453"/>
      <c r="AC36" s="301"/>
      <c r="AD36" s="301"/>
      <c r="AE36" s="301"/>
      <c r="AF36" s="136" t="str">
        <f t="shared" ref="AF36:AF41" si="7">IF(Z36="-", "-", IF(AC36="-", "-", IF(ABS(AC36)=0, "-", ROUND(100*(Z36-AC36)/ABS(AC36),1))))</f>
        <v>-</v>
      </c>
      <c r="AG36" s="137"/>
      <c r="AH36" s="138"/>
      <c r="AI36" s="451"/>
      <c r="AJ36" s="452"/>
      <c r="AK36" s="453"/>
      <c r="AL36" s="301"/>
      <c r="AM36" s="301"/>
      <c r="AN36" s="301"/>
      <c r="AO36" s="136" t="str">
        <f t="shared" ref="AO36:AO41" si="8">IF(AI36="-", "-", IF(AL36="-", "-", IF(ABS(AL36)=0, "-", ROUND(100*(AI36-AL36)/ABS(AL36),1))))</f>
        <v>-</v>
      </c>
      <c r="AP36" s="137"/>
      <c r="AQ36" s="138"/>
      <c r="AR36" s="451"/>
      <c r="AS36" s="452"/>
      <c r="AT36" s="453"/>
      <c r="AU36" s="301"/>
      <c r="AV36" s="301"/>
      <c r="AW36" s="301"/>
      <c r="AX36" s="136" t="str">
        <f t="shared" ref="AX36:AX41" si="9">IF(AR36="-", "-", IF(AU36="-", "-", IF(ABS(AU36)=0, "-", ROUND(100*(AR36-AU36)/ABS(AU36),1))))</f>
        <v>-</v>
      </c>
      <c r="AY36" s="137"/>
      <c r="AZ36" s="138"/>
    </row>
    <row r="37" spans="1:52" s="10" customFormat="1" ht="13.5" customHeight="1">
      <c r="A37" s="272"/>
      <c r="B37" s="168" t="s">
        <v>155</v>
      </c>
      <c r="C37" s="169"/>
      <c r="D37" s="169"/>
      <c r="E37" s="169"/>
      <c r="F37" s="169"/>
      <c r="G37" s="170"/>
      <c r="H37" s="218"/>
      <c r="I37" s="149"/>
      <c r="J37" s="149"/>
      <c r="K37" s="149"/>
      <c r="L37" s="149"/>
      <c r="M37" s="149"/>
      <c r="N37" s="136" t="str">
        <f t="shared" si="5"/>
        <v>-</v>
      </c>
      <c r="O37" s="137"/>
      <c r="P37" s="138"/>
      <c r="Q37" s="161"/>
      <c r="R37" s="141"/>
      <c r="S37" s="141"/>
      <c r="T37" s="149"/>
      <c r="U37" s="149"/>
      <c r="V37" s="149"/>
      <c r="W37" s="136" t="str">
        <f t="shared" si="6"/>
        <v>-</v>
      </c>
      <c r="X37" s="137"/>
      <c r="Y37" s="138"/>
      <c r="Z37" s="454"/>
      <c r="AA37" s="455"/>
      <c r="AB37" s="456"/>
      <c r="AC37" s="149"/>
      <c r="AD37" s="149"/>
      <c r="AE37" s="149"/>
      <c r="AF37" s="136" t="str">
        <f t="shared" si="7"/>
        <v>-</v>
      </c>
      <c r="AG37" s="137"/>
      <c r="AH37" s="138"/>
      <c r="AI37" s="454"/>
      <c r="AJ37" s="455"/>
      <c r="AK37" s="456"/>
      <c r="AL37" s="149"/>
      <c r="AM37" s="149"/>
      <c r="AN37" s="149"/>
      <c r="AO37" s="136" t="str">
        <f t="shared" si="8"/>
        <v>-</v>
      </c>
      <c r="AP37" s="137"/>
      <c r="AQ37" s="138"/>
      <c r="AR37" s="454"/>
      <c r="AS37" s="455"/>
      <c r="AT37" s="456"/>
      <c r="AU37" s="149"/>
      <c r="AV37" s="149"/>
      <c r="AW37" s="149"/>
      <c r="AX37" s="136" t="str">
        <f t="shared" si="9"/>
        <v>-</v>
      </c>
      <c r="AY37" s="137"/>
      <c r="AZ37" s="138"/>
    </row>
    <row r="38" spans="1:52" s="10" customFormat="1" ht="13.5" customHeight="1">
      <c r="A38" s="272"/>
      <c r="B38" s="162" t="s">
        <v>156</v>
      </c>
      <c r="C38" s="163"/>
      <c r="D38" s="163"/>
      <c r="E38" s="163"/>
      <c r="F38" s="163"/>
      <c r="G38" s="164"/>
      <c r="H38" s="282"/>
      <c r="I38" s="283"/>
      <c r="J38" s="283"/>
      <c r="K38" s="274"/>
      <c r="L38" s="274"/>
      <c r="M38" s="274"/>
      <c r="N38" s="457" t="str">
        <f t="shared" si="5"/>
        <v>-</v>
      </c>
      <c r="O38" s="458"/>
      <c r="P38" s="459"/>
      <c r="Q38" s="180"/>
      <c r="R38" s="181"/>
      <c r="S38" s="181"/>
      <c r="T38" s="274"/>
      <c r="U38" s="274"/>
      <c r="V38" s="274"/>
      <c r="W38" s="457" t="str">
        <f t="shared" si="6"/>
        <v>-</v>
      </c>
      <c r="X38" s="458"/>
      <c r="Y38" s="459"/>
      <c r="Z38" s="460"/>
      <c r="AA38" s="461"/>
      <c r="AB38" s="462"/>
      <c r="AC38" s="274"/>
      <c r="AD38" s="274"/>
      <c r="AE38" s="274"/>
      <c r="AF38" s="457" t="str">
        <f t="shared" si="7"/>
        <v>-</v>
      </c>
      <c r="AG38" s="458"/>
      <c r="AH38" s="459"/>
      <c r="AI38" s="463"/>
      <c r="AJ38" s="464"/>
      <c r="AK38" s="465"/>
      <c r="AL38" s="274"/>
      <c r="AM38" s="274"/>
      <c r="AN38" s="274"/>
      <c r="AO38" s="457" t="str">
        <f t="shared" si="8"/>
        <v>-</v>
      </c>
      <c r="AP38" s="458"/>
      <c r="AQ38" s="459"/>
      <c r="AR38" s="463"/>
      <c r="AS38" s="464"/>
      <c r="AT38" s="465"/>
      <c r="AU38" s="274"/>
      <c r="AV38" s="274"/>
      <c r="AW38" s="274"/>
      <c r="AX38" s="457" t="str">
        <f t="shared" si="9"/>
        <v>-</v>
      </c>
      <c r="AY38" s="458"/>
      <c r="AZ38" s="459"/>
    </row>
    <row r="39" spans="1:52" s="10" customFormat="1" ht="13.5" customHeight="1">
      <c r="A39" s="271" t="s">
        <v>157</v>
      </c>
      <c r="B39" s="275" t="s">
        <v>153</v>
      </c>
      <c r="C39" s="276"/>
      <c r="D39" s="276"/>
      <c r="E39" s="276"/>
      <c r="F39" s="276"/>
      <c r="G39" s="277"/>
      <c r="H39" s="299"/>
      <c r="I39" s="300"/>
      <c r="J39" s="300"/>
      <c r="K39" s="291"/>
      <c r="L39" s="291"/>
      <c r="M39" s="291"/>
      <c r="N39" s="136" t="str">
        <f t="shared" si="5"/>
        <v>-</v>
      </c>
      <c r="O39" s="137"/>
      <c r="P39" s="138"/>
      <c r="Q39" s="314"/>
      <c r="R39" s="301"/>
      <c r="S39" s="301"/>
      <c r="T39" s="291"/>
      <c r="U39" s="291"/>
      <c r="V39" s="291"/>
      <c r="W39" s="136" t="str">
        <f t="shared" si="6"/>
        <v>-</v>
      </c>
      <c r="X39" s="137"/>
      <c r="Y39" s="138"/>
      <c r="Z39" s="451"/>
      <c r="AA39" s="452"/>
      <c r="AB39" s="453"/>
      <c r="AC39" s="291"/>
      <c r="AD39" s="291"/>
      <c r="AE39" s="291"/>
      <c r="AF39" s="136" t="str">
        <f t="shared" si="7"/>
        <v>-</v>
      </c>
      <c r="AG39" s="137"/>
      <c r="AH39" s="138"/>
      <c r="AI39" s="451"/>
      <c r="AJ39" s="452"/>
      <c r="AK39" s="453"/>
      <c r="AL39" s="291"/>
      <c r="AM39" s="291"/>
      <c r="AN39" s="291"/>
      <c r="AO39" s="136" t="str">
        <f t="shared" si="8"/>
        <v>-</v>
      </c>
      <c r="AP39" s="137"/>
      <c r="AQ39" s="138"/>
      <c r="AR39" s="451"/>
      <c r="AS39" s="452"/>
      <c r="AT39" s="453"/>
      <c r="AU39" s="291"/>
      <c r="AV39" s="291"/>
      <c r="AW39" s="291"/>
      <c r="AX39" s="136" t="str">
        <f t="shared" si="9"/>
        <v>-</v>
      </c>
      <c r="AY39" s="137"/>
      <c r="AZ39" s="138"/>
    </row>
    <row r="40" spans="1:52" s="10" customFormat="1" ht="13.5" customHeight="1">
      <c r="A40" s="272"/>
      <c r="B40" s="168" t="s">
        <v>155</v>
      </c>
      <c r="C40" s="169"/>
      <c r="D40" s="169"/>
      <c r="E40" s="169"/>
      <c r="F40" s="169"/>
      <c r="G40" s="170"/>
      <c r="H40" s="218"/>
      <c r="I40" s="149"/>
      <c r="J40" s="149"/>
      <c r="K40" s="149"/>
      <c r="L40" s="149"/>
      <c r="M40" s="149"/>
      <c r="N40" s="136" t="str">
        <f t="shared" si="5"/>
        <v>-</v>
      </c>
      <c r="O40" s="137"/>
      <c r="P40" s="138"/>
      <c r="Q40" s="161"/>
      <c r="R40" s="141"/>
      <c r="S40" s="141"/>
      <c r="T40" s="149"/>
      <c r="U40" s="149"/>
      <c r="V40" s="149"/>
      <c r="W40" s="136" t="str">
        <f t="shared" si="6"/>
        <v>-</v>
      </c>
      <c r="X40" s="137"/>
      <c r="Y40" s="138"/>
      <c r="Z40" s="454"/>
      <c r="AA40" s="455"/>
      <c r="AB40" s="456"/>
      <c r="AC40" s="149"/>
      <c r="AD40" s="149"/>
      <c r="AE40" s="149"/>
      <c r="AF40" s="136" t="str">
        <f t="shared" si="7"/>
        <v>-</v>
      </c>
      <c r="AG40" s="137"/>
      <c r="AH40" s="138"/>
      <c r="AI40" s="454"/>
      <c r="AJ40" s="455"/>
      <c r="AK40" s="456"/>
      <c r="AL40" s="149"/>
      <c r="AM40" s="149"/>
      <c r="AN40" s="149"/>
      <c r="AO40" s="136" t="str">
        <f t="shared" si="8"/>
        <v>-</v>
      </c>
      <c r="AP40" s="137"/>
      <c r="AQ40" s="138"/>
      <c r="AR40" s="454"/>
      <c r="AS40" s="455"/>
      <c r="AT40" s="456"/>
      <c r="AU40" s="149"/>
      <c r="AV40" s="149"/>
      <c r="AW40" s="149"/>
      <c r="AX40" s="136" t="str">
        <f t="shared" si="9"/>
        <v>-</v>
      </c>
      <c r="AY40" s="137"/>
      <c r="AZ40" s="138"/>
    </row>
    <row r="41" spans="1:52" s="10" customFormat="1" ht="13.5" customHeight="1">
      <c r="A41" s="273"/>
      <c r="B41" s="177" t="s">
        <v>156</v>
      </c>
      <c r="C41" s="178"/>
      <c r="D41" s="178"/>
      <c r="E41" s="178"/>
      <c r="F41" s="178"/>
      <c r="G41" s="179"/>
      <c r="H41" s="211"/>
      <c r="I41" s="212"/>
      <c r="J41" s="212"/>
      <c r="K41" s="181"/>
      <c r="L41" s="181"/>
      <c r="M41" s="181"/>
      <c r="N41" s="457" t="str">
        <f t="shared" si="5"/>
        <v>-</v>
      </c>
      <c r="O41" s="458"/>
      <c r="P41" s="459"/>
      <c r="Q41" s="211"/>
      <c r="R41" s="212"/>
      <c r="S41" s="212"/>
      <c r="T41" s="181"/>
      <c r="U41" s="181"/>
      <c r="V41" s="181"/>
      <c r="W41" s="457" t="str">
        <f t="shared" si="6"/>
        <v>-</v>
      </c>
      <c r="X41" s="458"/>
      <c r="Y41" s="459"/>
      <c r="Z41" s="460"/>
      <c r="AA41" s="461"/>
      <c r="AB41" s="462"/>
      <c r="AC41" s="181"/>
      <c r="AD41" s="181"/>
      <c r="AE41" s="181"/>
      <c r="AF41" s="457" t="str">
        <f t="shared" si="7"/>
        <v>-</v>
      </c>
      <c r="AG41" s="458"/>
      <c r="AH41" s="459"/>
      <c r="AI41" s="460"/>
      <c r="AJ41" s="461"/>
      <c r="AK41" s="462"/>
      <c r="AL41" s="181"/>
      <c r="AM41" s="181"/>
      <c r="AN41" s="181"/>
      <c r="AO41" s="457" t="str">
        <f t="shared" si="8"/>
        <v>-</v>
      </c>
      <c r="AP41" s="458"/>
      <c r="AQ41" s="459"/>
      <c r="AR41" s="460"/>
      <c r="AS41" s="461"/>
      <c r="AT41" s="462"/>
      <c r="AU41" s="181"/>
      <c r="AV41" s="181"/>
      <c r="AW41" s="181"/>
      <c r="AX41" s="457" t="str">
        <f t="shared" si="9"/>
        <v>-</v>
      </c>
      <c r="AY41" s="458"/>
      <c r="AZ41" s="459"/>
    </row>
  </sheetData>
  <mergeCells count="375">
    <mergeCell ref="AL23:AN23"/>
    <mergeCell ref="AO23:AQ23"/>
    <mergeCell ref="AL24:AN24"/>
    <mergeCell ref="AO24:AQ24"/>
    <mergeCell ref="AL18:AN18"/>
    <mergeCell ref="AO18:AQ18"/>
    <mergeCell ref="AL19:AN19"/>
    <mergeCell ref="AO19:AQ19"/>
    <mergeCell ref="AL20:AN20"/>
    <mergeCell ref="AO20:AQ20"/>
    <mergeCell ref="AL21:AN21"/>
    <mergeCell ref="AO21:AQ21"/>
    <mergeCell ref="AL22:AN22"/>
    <mergeCell ref="AO22:AQ22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41:AN41"/>
    <mergeCell ref="AO41:AQ41"/>
    <mergeCell ref="AR41:AT41"/>
    <mergeCell ref="AU41:AW41"/>
    <mergeCell ref="AX41:AZ41"/>
    <mergeCell ref="W40:Y40"/>
    <mergeCell ref="B41:G41"/>
    <mergeCell ref="H41:J41"/>
    <mergeCell ref="K41:M41"/>
    <mergeCell ref="N41:P41"/>
    <mergeCell ref="Q41:S41"/>
    <mergeCell ref="T41:V41"/>
    <mergeCell ref="AF41:AH41"/>
    <mergeCell ref="AI41:AK41"/>
    <mergeCell ref="AF40:AH40"/>
    <mergeCell ref="AI40:AK40"/>
    <mergeCell ref="AL40:AN40"/>
    <mergeCell ref="AO40:AQ40"/>
    <mergeCell ref="AR40:AT40"/>
    <mergeCell ref="AU40:AW40"/>
    <mergeCell ref="AX40:AZ40"/>
    <mergeCell ref="T40:V40"/>
    <mergeCell ref="Z40:AB40"/>
    <mergeCell ref="AC40:AE40"/>
    <mergeCell ref="T39:V39"/>
    <mergeCell ref="W39:Y39"/>
    <mergeCell ref="Z39:AB39"/>
    <mergeCell ref="AC39:AE39"/>
    <mergeCell ref="W38:Y38"/>
    <mergeCell ref="Z38:AB38"/>
    <mergeCell ref="AC38:AE38"/>
    <mergeCell ref="AX37:AZ37"/>
    <mergeCell ref="AF37:AH37"/>
    <mergeCell ref="AL38:AN38"/>
    <mergeCell ref="AL39:AN39"/>
    <mergeCell ref="AO39:AQ39"/>
    <mergeCell ref="AR39:AT39"/>
    <mergeCell ref="AU39:AW39"/>
    <mergeCell ref="AX39:AZ39"/>
    <mergeCell ref="AF39:AH39"/>
    <mergeCell ref="AI39:AK39"/>
    <mergeCell ref="AO38:AQ38"/>
    <mergeCell ref="AR38:AT38"/>
    <mergeCell ref="AU38:AW38"/>
    <mergeCell ref="AX38:AZ38"/>
    <mergeCell ref="AF38:AH38"/>
    <mergeCell ref="AI38:AK38"/>
    <mergeCell ref="AI37:AK37"/>
    <mergeCell ref="W41:Y41"/>
    <mergeCell ref="Z41:AB41"/>
    <mergeCell ref="AC41:AE41"/>
    <mergeCell ref="A36:A38"/>
    <mergeCell ref="B36:G36"/>
    <mergeCell ref="H36:J36"/>
    <mergeCell ref="K36:M36"/>
    <mergeCell ref="W37:Y37"/>
    <mergeCell ref="Z37:AB37"/>
    <mergeCell ref="AC37:AE37"/>
    <mergeCell ref="Q36:S36"/>
    <mergeCell ref="T36:V36"/>
    <mergeCell ref="B40:G40"/>
    <mergeCell ref="H40:J40"/>
    <mergeCell ref="K40:M40"/>
    <mergeCell ref="N40:P40"/>
    <mergeCell ref="Q40:S40"/>
    <mergeCell ref="B38:G38"/>
    <mergeCell ref="H38:J38"/>
    <mergeCell ref="K38:M38"/>
    <mergeCell ref="N38:P38"/>
    <mergeCell ref="Q38:S38"/>
    <mergeCell ref="T38:V38"/>
    <mergeCell ref="A39:A41"/>
    <mergeCell ref="B39:G39"/>
    <mergeCell ref="H39:J39"/>
    <mergeCell ref="K39:M39"/>
    <mergeCell ref="N39:P39"/>
    <mergeCell ref="Q39:S39"/>
    <mergeCell ref="AO36:AQ36"/>
    <mergeCell ref="AR36:AT36"/>
    <mergeCell ref="AU36:AW36"/>
    <mergeCell ref="AX36:AZ36"/>
    <mergeCell ref="B37:G37"/>
    <mergeCell ref="H37:J37"/>
    <mergeCell ref="K37:M37"/>
    <mergeCell ref="N37:P37"/>
    <mergeCell ref="Q37:S37"/>
    <mergeCell ref="T37:V37"/>
    <mergeCell ref="W36:Y36"/>
    <mergeCell ref="Z36:AB36"/>
    <mergeCell ref="AC36:AE36"/>
    <mergeCell ref="AF36:AH36"/>
    <mergeCell ref="AI36:AK36"/>
    <mergeCell ref="AL36:AN36"/>
    <mergeCell ref="AO37:AQ37"/>
    <mergeCell ref="AR37:AT37"/>
    <mergeCell ref="AU37:AW37"/>
    <mergeCell ref="AL37:AN37"/>
    <mergeCell ref="AR34:AZ34"/>
    <mergeCell ref="H35:J35"/>
    <mergeCell ref="K35:M35"/>
    <mergeCell ref="N35:P35"/>
    <mergeCell ref="Q35:S35"/>
    <mergeCell ref="T35:V35"/>
    <mergeCell ref="W35:Y35"/>
    <mergeCell ref="AR35:AT35"/>
    <mergeCell ref="AU35:AW35"/>
    <mergeCell ref="AX35:AZ35"/>
    <mergeCell ref="AF35:AH35"/>
    <mergeCell ref="AI35:AK35"/>
    <mergeCell ref="AL35:AN35"/>
    <mergeCell ref="AO35:AQ35"/>
    <mergeCell ref="Z35:AB35"/>
    <mergeCell ref="AC35:AE35"/>
    <mergeCell ref="N36:P36"/>
    <mergeCell ref="A30:G30"/>
    <mergeCell ref="H30:J30"/>
    <mergeCell ref="K30:M30"/>
    <mergeCell ref="N30:P30"/>
    <mergeCell ref="A34:G35"/>
    <mergeCell ref="H34:P34"/>
    <mergeCell ref="AC26:AE26"/>
    <mergeCell ref="AF26:AH26"/>
    <mergeCell ref="AI26:AK26"/>
    <mergeCell ref="Q34:Y34"/>
    <mergeCell ref="Z34:AH34"/>
    <mergeCell ref="AI34:AQ34"/>
    <mergeCell ref="AL26:AN26"/>
    <mergeCell ref="AO26:AQ26"/>
    <mergeCell ref="A29:G29"/>
    <mergeCell ref="H29:J29"/>
    <mergeCell ref="K29:M29"/>
    <mergeCell ref="N29:P29"/>
    <mergeCell ref="AI27:AK27"/>
    <mergeCell ref="AL27:AN27"/>
    <mergeCell ref="AO27:AQ27"/>
    <mergeCell ref="AI28:AK28"/>
    <mergeCell ref="AL28:AN28"/>
    <mergeCell ref="AO28:AQ28"/>
    <mergeCell ref="AL25:AN25"/>
    <mergeCell ref="AO25:AQ25"/>
    <mergeCell ref="A26:G26"/>
    <mergeCell ref="H26:J26"/>
    <mergeCell ref="K26:M26"/>
    <mergeCell ref="N26:P26"/>
    <mergeCell ref="Q26:S26"/>
    <mergeCell ref="T26:V26"/>
    <mergeCell ref="W26:Y26"/>
    <mergeCell ref="Z26:AB26"/>
    <mergeCell ref="T25:V25"/>
    <mergeCell ref="W25:Y25"/>
    <mergeCell ref="Z25:AB25"/>
    <mergeCell ref="AC25:AE25"/>
    <mergeCell ref="AF25:AH25"/>
    <mergeCell ref="AI25:AK25"/>
    <mergeCell ref="W24:Y24"/>
    <mergeCell ref="Z24:AB24"/>
    <mergeCell ref="AC24:AE24"/>
    <mergeCell ref="AF24:AH24"/>
    <mergeCell ref="AI24:AK24"/>
    <mergeCell ref="A25:G25"/>
    <mergeCell ref="H25:J25"/>
    <mergeCell ref="K25:M25"/>
    <mergeCell ref="N25:P25"/>
    <mergeCell ref="Q25:S25"/>
    <mergeCell ref="A24:G24"/>
    <mergeCell ref="H24:J24"/>
    <mergeCell ref="K24:M24"/>
    <mergeCell ref="N24:P24"/>
    <mergeCell ref="Q24:S24"/>
    <mergeCell ref="T24:V24"/>
    <mergeCell ref="T23:V23"/>
    <mergeCell ref="W23:Y23"/>
    <mergeCell ref="Z23:AB23"/>
    <mergeCell ref="AC23:AE23"/>
    <mergeCell ref="AF23:AH23"/>
    <mergeCell ref="AI23:AK23"/>
    <mergeCell ref="W22:Y22"/>
    <mergeCell ref="Z22:AB22"/>
    <mergeCell ref="AC22:AE22"/>
    <mergeCell ref="AF22:AH22"/>
    <mergeCell ref="AI22:AK22"/>
    <mergeCell ref="T22:V22"/>
    <mergeCell ref="A23:G23"/>
    <mergeCell ref="H23:J23"/>
    <mergeCell ref="K23:M23"/>
    <mergeCell ref="N23:P23"/>
    <mergeCell ref="Q23:S23"/>
    <mergeCell ref="A22:G22"/>
    <mergeCell ref="H22:J22"/>
    <mergeCell ref="K22:M22"/>
    <mergeCell ref="N22:P22"/>
    <mergeCell ref="Q22:S22"/>
    <mergeCell ref="Z21:AB21"/>
    <mergeCell ref="AC21:AE21"/>
    <mergeCell ref="AF21:AH21"/>
    <mergeCell ref="AI21:AK21"/>
    <mergeCell ref="W20:Y20"/>
    <mergeCell ref="Z20:AB20"/>
    <mergeCell ref="AC20:AE20"/>
    <mergeCell ref="AF20:AH20"/>
    <mergeCell ref="AI20:AK20"/>
    <mergeCell ref="Z19:AB19"/>
    <mergeCell ref="AC19:AE19"/>
    <mergeCell ref="AF19:AH19"/>
    <mergeCell ref="AI19:AK19"/>
    <mergeCell ref="A20:G20"/>
    <mergeCell ref="H20:J20"/>
    <mergeCell ref="K20:M20"/>
    <mergeCell ref="N20:P20"/>
    <mergeCell ref="Q20:S20"/>
    <mergeCell ref="T20:V20"/>
    <mergeCell ref="B19:G19"/>
    <mergeCell ref="H19:J19"/>
    <mergeCell ref="K19:M19"/>
    <mergeCell ref="N19:P19"/>
    <mergeCell ref="Q19:S19"/>
    <mergeCell ref="T19:V19"/>
    <mergeCell ref="W19:Y19"/>
    <mergeCell ref="A21:G21"/>
    <mergeCell ref="H21:J21"/>
    <mergeCell ref="K21:M21"/>
    <mergeCell ref="N21:P21"/>
    <mergeCell ref="Q21:S21"/>
    <mergeCell ref="T21:V21"/>
    <mergeCell ref="W21:Y21"/>
    <mergeCell ref="AL17:AN17"/>
    <mergeCell ref="AO17:AQ17"/>
    <mergeCell ref="B18:G18"/>
    <mergeCell ref="H18:J18"/>
    <mergeCell ref="K18:M18"/>
    <mergeCell ref="N18:P18"/>
    <mergeCell ref="Q18:S18"/>
    <mergeCell ref="T18:V18"/>
    <mergeCell ref="W18:Y18"/>
    <mergeCell ref="Z18:AB18"/>
    <mergeCell ref="T17:V17"/>
    <mergeCell ref="W17:Y17"/>
    <mergeCell ref="Z17:AB17"/>
    <mergeCell ref="AC17:AE17"/>
    <mergeCell ref="AF17:AH17"/>
    <mergeCell ref="AI17:AK17"/>
    <mergeCell ref="AC18:AE18"/>
    <mergeCell ref="A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4:V14"/>
    <mergeCell ref="AF18:AH18"/>
    <mergeCell ref="AI18:AK18"/>
    <mergeCell ref="W16:Y16"/>
    <mergeCell ref="Z16:AB16"/>
    <mergeCell ref="AC16:AE16"/>
    <mergeCell ref="AF16:AH16"/>
    <mergeCell ref="AI16:AK16"/>
    <mergeCell ref="T16:V16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I29:AK29"/>
    <mergeCell ref="AL29:AN29"/>
    <mergeCell ref="AO29:AQ29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T15:V15"/>
    <mergeCell ref="W15:Y15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23"/>
    <col min="9" max="16384" width="2.625" style="10"/>
  </cols>
  <sheetData>
    <row r="1" spans="1:52" s="3" customFormat="1" ht="13.5" customHeight="1">
      <c r="A1" s="113" t="str">
        <f>IF(No.1!A1="","",No.1!A1)</f>
        <v/>
      </c>
      <c r="B1" s="114"/>
      <c r="C1" s="96" t="s">
        <v>220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2"/>
      <c r="AO2" s="72"/>
      <c r="AP2" s="72"/>
      <c r="AQ2" s="72"/>
      <c r="AR2" s="72"/>
      <c r="AS2" s="73"/>
      <c r="AT2" s="73"/>
      <c r="AU2" s="73"/>
      <c r="AV2" s="73"/>
      <c r="AW2" s="74"/>
      <c r="AX2" s="74"/>
      <c r="AY2" s="74"/>
      <c r="AZ2" s="74"/>
    </row>
    <row r="3" spans="1:52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52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52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52" s="98" customFormat="1" ht="13.5" customHeight="1">
      <c r="A6" s="100"/>
      <c r="H6" s="101"/>
    </row>
    <row r="7" spans="1:52" s="19" customFormat="1" ht="13.5" customHeight="1">
      <c r="A7" s="16" t="s">
        <v>164</v>
      </c>
      <c r="P7" s="50"/>
      <c r="Q7" s="50"/>
      <c r="R7" s="5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52" s="19" customFormat="1" ht="13.5" customHeight="1">
      <c r="A8" s="6" t="s">
        <v>140</v>
      </c>
      <c r="P8" s="7" t="s">
        <v>1</v>
      </c>
      <c r="Q8" s="10"/>
      <c r="R8" s="10"/>
      <c r="S8" s="10"/>
      <c r="T8" s="10"/>
      <c r="U8" s="10"/>
      <c r="V8" s="10"/>
      <c r="W8" s="10"/>
      <c r="X8" s="10"/>
      <c r="Y8" s="10"/>
      <c r="Z8" s="18"/>
      <c r="AA8" s="18"/>
      <c r="AB8" s="6" t="s">
        <v>147</v>
      </c>
      <c r="AC8" s="6"/>
      <c r="AD8" s="6"/>
      <c r="AE8" s="6"/>
      <c r="AF8" s="6"/>
      <c r="AG8" s="6"/>
      <c r="AH8" s="6"/>
      <c r="AI8" s="45"/>
      <c r="AJ8" s="45"/>
      <c r="AK8" s="45"/>
      <c r="AL8" s="45"/>
      <c r="AM8" s="45"/>
      <c r="AN8" s="45"/>
      <c r="AO8" s="45"/>
      <c r="AP8" s="41"/>
      <c r="AQ8" s="41" t="s">
        <v>1</v>
      </c>
      <c r="AR8" s="15"/>
      <c r="AS8" s="15"/>
      <c r="AT8" s="15"/>
      <c r="AU8" s="15"/>
      <c r="AV8" s="15"/>
      <c r="AW8" s="15"/>
    </row>
    <row r="9" spans="1:52" s="19" customFormat="1" ht="13.5" customHeight="1">
      <c r="A9" s="250" t="s">
        <v>34</v>
      </c>
      <c r="B9" s="251"/>
      <c r="C9" s="251"/>
      <c r="D9" s="251"/>
      <c r="E9" s="251"/>
      <c r="F9" s="251"/>
      <c r="G9" s="252"/>
      <c r="H9" s="253" t="s">
        <v>192</v>
      </c>
      <c r="I9" s="244"/>
      <c r="J9" s="245"/>
      <c r="K9" s="243" t="s">
        <v>193</v>
      </c>
      <c r="L9" s="244"/>
      <c r="M9" s="245"/>
      <c r="N9" s="243" t="s">
        <v>5</v>
      </c>
      <c r="O9" s="244"/>
      <c r="P9" s="246"/>
      <c r="Q9" s="10"/>
      <c r="R9" s="10"/>
      <c r="S9" s="10"/>
      <c r="T9" s="10"/>
      <c r="U9" s="10"/>
      <c r="V9" s="10"/>
      <c r="W9" s="10"/>
      <c r="X9" s="10"/>
      <c r="Y9" s="10"/>
      <c r="Z9" s="18"/>
      <c r="AA9" s="18"/>
      <c r="AB9" s="250"/>
      <c r="AC9" s="251"/>
      <c r="AD9" s="251"/>
      <c r="AE9" s="251"/>
      <c r="AF9" s="251"/>
      <c r="AG9" s="251"/>
      <c r="AH9" s="252"/>
      <c r="AI9" s="125" t="s">
        <v>192</v>
      </c>
      <c r="AJ9" s="123"/>
      <c r="AK9" s="126"/>
      <c r="AL9" s="122" t="s">
        <v>193</v>
      </c>
      <c r="AM9" s="123"/>
      <c r="AN9" s="126"/>
      <c r="AO9" s="122" t="s">
        <v>5</v>
      </c>
      <c r="AP9" s="123"/>
      <c r="AQ9" s="124"/>
      <c r="AR9" s="15"/>
      <c r="AS9" s="15"/>
      <c r="AT9" s="15"/>
      <c r="AU9" s="15"/>
      <c r="AV9" s="15"/>
      <c r="AW9" s="15"/>
    </row>
    <row r="10" spans="1:52" s="19" customFormat="1" ht="13.5" customHeight="1">
      <c r="A10" s="254" t="s">
        <v>141</v>
      </c>
      <c r="B10" s="255"/>
      <c r="C10" s="255"/>
      <c r="D10" s="255"/>
      <c r="E10" s="255"/>
      <c r="F10" s="255"/>
      <c r="G10" s="256"/>
      <c r="H10" s="139"/>
      <c r="I10" s="140"/>
      <c r="J10" s="140"/>
      <c r="K10" s="470"/>
      <c r="L10" s="471"/>
      <c r="M10" s="472"/>
      <c r="N10" s="136" t="str">
        <f t="shared" ref="N10:N12" si="0">IF(H10="-", "-", IF(K10="-", "-", IF(ABS(K10)=0, "-", ROUND(100*(H10-K10)/ABS(K10),1))))</f>
        <v>-</v>
      </c>
      <c r="O10" s="137"/>
      <c r="P10" s="138"/>
      <c r="Q10" s="10"/>
      <c r="R10" s="10"/>
      <c r="S10" s="10"/>
      <c r="T10" s="10"/>
      <c r="U10" s="10"/>
      <c r="V10" s="10"/>
      <c r="W10" s="10"/>
      <c r="X10" s="10"/>
      <c r="Y10" s="10"/>
      <c r="Z10" s="18"/>
      <c r="AA10" s="18"/>
      <c r="AB10" s="302" t="s">
        <v>151</v>
      </c>
      <c r="AC10" s="276"/>
      <c r="AD10" s="276"/>
      <c r="AE10" s="276"/>
      <c r="AF10" s="276"/>
      <c r="AG10" s="276"/>
      <c r="AH10" s="277"/>
      <c r="AI10" s="231"/>
      <c r="AJ10" s="232"/>
      <c r="AK10" s="232"/>
      <c r="AL10" s="141"/>
      <c r="AM10" s="141"/>
      <c r="AN10" s="141"/>
      <c r="AO10" s="136" t="str">
        <f t="shared" ref="AO10:AO13" si="1">IF(AI10="-", "-", IF(AL10="-", "-", IF(ABS(AL10)=0, "-", ROUND(100*(AI10-AL10)/ABS(AL10),1))))</f>
        <v>-</v>
      </c>
      <c r="AP10" s="137"/>
      <c r="AQ10" s="138"/>
      <c r="AR10" s="15"/>
      <c r="AS10" s="15"/>
      <c r="AT10" s="15"/>
      <c r="AU10" s="15"/>
      <c r="AV10" s="15"/>
      <c r="AW10" s="15"/>
    </row>
    <row r="11" spans="1:52" s="19" customFormat="1" ht="13.5" customHeight="1">
      <c r="A11" s="476" t="s">
        <v>142</v>
      </c>
      <c r="B11" s="477"/>
      <c r="C11" s="477"/>
      <c r="D11" s="477"/>
      <c r="E11" s="477"/>
      <c r="F11" s="477"/>
      <c r="G11" s="478"/>
      <c r="H11" s="282"/>
      <c r="I11" s="283"/>
      <c r="J11" s="283"/>
      <c r="K11" s="479"/>
      <c r="L11" s="480"/>
      <c r="M11" s="481"/>
      <c r="N11" s="457" t="str">
        <f t="shared" si="0"/>
        <v>-</v>
      </c>
      <c r="O11" s="458"/>
      <c r="P11" s="459"/>
      <c r="Q11" s="10"/>
      <c r="R11" s="10"/>
      <c r="S11" s="10"/>
      <c r="T11" s="10"/>
      <c r="U11" s="10"/>
      <c r="V11" s="10"/>
      <c r="W11" s="10"/>
      <c r="X11" s="10"/>
      <c r="Y11" s="10"/>
      <c r="Z11" s="18"/>
      <c r="AA11" s="18"/>
      <c r="AB11" s="482" t="s">
        <v>154</v>
      </c>
      <c r="AC11" s="147"/>
      <c r="AD11" s="147"/>
      <c r="AE11" s="147"/>
      <c r="AF11" s="147"/>
      <c r="AG11" s="147"/>
      <c r="AH11" s="148"/>
      <c r="AI11" s="218"/>
      <c r="AJ11" s="149"/>
      <c r="AK11" s="149"/>
      <c r="AL11" s="149"/>
      <c r="AM11" s="149"/>
      <c r="AN11" s="149"/>
      <c r="AO11" s="165" t="str">
        <f t="shared" si="1"/>
        <v>-</v>
      </c>
      <c r="AP11" s="166"/>
      <c r="AQ11" s="167"/>
      <c r="AR11" s="15"/>
      <c r="AS11" s="15"/>
      <c r="AT11" s="15"/>
      <c r="AU11" s="15"/>
      <c r="AV11" s="15"/>
      <c r="AW11" s="15"/>
    </row>
    <row r="12" spans="1:52" s="19" customFormat="1" ht="13.5" customHeight="1">
      <c r="A12" s="473" t="s">
        <v>4</v>
      </c>
      <c r="B12" s="474"/>
      <c r="C12" s="474"/>
      <c r="D12" s="474"/>
      <c r="E12" s="474"/>
      <c r="F12" s="474"/>
      <c r="G12" s="475"/>
      <c r="H12" s="204"/>
      <c r="I12" s="203"/>
      <c r="J12" s="203"/>
      <c r="K12" s="203"/>
      <c r="L12" s="203"/>
      <c r="M12" s="203"/>
      <c r="N12" s="182" t="str">
        <f t="shared" si="0"/>
        <v>-</v>
      </c>
      <c r="O12" s="183"/>
      <c r="P12" s="184"/>
      <c r="Q12" s="10"/>
      <c r="R12" s="10"/>
      <c r="S12" s="10"/>
      <c r="T12" s="10"/>
      <c r="U12" s="10"/>
      <c r="V12" s="10"/>
      <c r="W12" s="10"/>
      <c r="X12" s="10"/>
      <c r="Y12" s="10"/>
      <c r="Z12" s="18"/>
      <c r="AA12" s="18"/>
      <c r="AB12" s="281" t="s">
        <v>21</v>
      </c>
      <c r="AC12" s="169"/>
      <c r="AD12" s="169"/>
      <c r="AE12" s="169"/>
      <c r="AF12" s="169"/>
      <c r="AG12" s="169"/>
      <c r="AH12" s="170"/>
      <c r="AI12" s="161"/>
      <c r="AJ12" s="141"/>
      <c r="AK12" s="141"/>
      <c r="AL12" s="149"/>
      <c r="AM12" s="149"/>
      <c r="AN12" s="149"/>
      <c r="AO12" s="182" t="str">
        <f t="shared" si="1"/>
        <v>-</v>
      </c>
      <c r="AP12" s="183"/>
      <c r="AQ12" s="184"/>
      <c r="AR12" s="15"/>
      <c r="AS12" s="15"/>
      <c r="AT12" s="15"/>
      <c r="AU12" s="15"/>
      <c r="AV12" s="15"/>
      <c r="AW12" s="15"/>
    </row>
    <row r="13" spans="1:52" s="19" customFormat="1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8"/>
      <c r="AA13" s="18"/>
      <c r="AB13" s="473" t="s">
        <v>4</v>
      </c>
      <c r="AC13" s="474"/>
      <c r="AD13" s="474"/>
      <c r="AE13" s="474"/>
      <c r="AF13" s="474"/>
      <c r="AG13" s="474"/>
      <c r="AH13" s="475"/>
      <c r="AI13" s="204"/>
      <c r="AJ13" s="203"/>
      <c r="AK13" s="203"/>
      <c r="AL13" s="203"/>
      <c r="AM13" s="203"/>
      <c r="AN13" s="203"/>
      <c r="AO13" s="182" t="str">
        <f t="shared" si="1"/>
        <v>-</v>
      </c>
      <c r="AP13" s="183"/>
      <c r="AQ13" s="184"/>
      <c r="AR13" s="15"/>
      <c r="AS13" s="15"/>
      <c r="AT13" s="15"/>
      <c r="AU13" s="15"/>
      <c r="AV13" s="15"/>
      <c r="AW13" s="15"/>
    </row>
    <row r="14" spans="1:52" s="19" customFormat="1" ht="13.5" customHeight="1">
      <c r="A14" s="6" t="s">
        <v>143</v>
      </c>
      <c r="Y14" s="7" t="s">
        <v>1</v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52" s="19" customFormat="1" ht="13.5" customHeight="1">
      <c r="A15" s="483" t="s">
        <v>34</v>
      </c>
      <c r="B15" s="483"/>
      <c r="C15" s="483"/>
      <c r="D15" s="483"/>
      <c r="E15" s="483"/>
      <c r="F15" s="483"/>
      <c r="G15" s="483"/>
      <c r="H15" s="133" t="s">
        <v>214</v>
      </c>
      <c r="I15" s="133"/>
      <c r="J15" s="133"/>
      <c r="K15" s="133"/>
      <c r="L15" s="133"/>
      <c r="M15" s="133"/>
      <c r="N15" s="133"/>
      <c r="O15" s="133"/>
      <c r="P15" s="134"/>
      <c r="Q15" s="135" t="s">
        <v>54</v>
      </c>
      <c r="R15" s="133"/>
      <c r="S15" s="133"/>
      <c r="T15" s="133"/>
      <c r="U15" s="133"/>
      <c r="V15" s="133"/>
      <c r="W15" s="133"/>
      <c r="X15" s="133"/>
      <c r="Y15" s="134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52" s="19" customFormat="1" ht="13.5" customHeight="1">
      <c r="A16" s="483"/>
      <c r="B16" s="483"/>
      <c r="C16" s="483"/>
      <c r="D16" s="483"/>
      <c r="E16" s="483"/>
      <c r="F16" s="483"/>
      <c r="G16" s="483"/>
      <c r="H16" s="125" t="s">
        <v>192</v>
      </c>
      <c r="I16" s="123"/>
      <c r="J16" s="126"/>
      <c r="K16" s="122" t="s">
        <v>193</v>
      </c>
      <c r="L16" s="123"/>
      <c r="M16" s="126"/>
      <c r="N16" s="122" t="s">
        <v>5</v>
      </c>
      <c r="O16" s="123"/>
      <c r="P16" s="124"/>
      <c r="Q16" s="125" t="s">
        <v>192</v>
      </c>
      <c r="R16" s="123"/>
      <c r="S16" s="126"/>
      <c r="T16" s="122" t="s">
        <v>193</v>
      </c>
      <c r="U16" s="123"/>
      <c r="V16" s="126"/>
      <c r="W16" s="122" t="s">
        <v>5</v>
      </c>
      <c r="X16" s="123"/>
      <c r="Y16" s="124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52" s="19" customFormat="1" ht="13.5" customHeight="1">
      <c r="A17" s="200" t="s">
        <v>144</v>
      </c>
      <c r="B17" s="201"/>
      <c r="C17" s="201"/>
      <c r="D17" s="201"/>
      <c r="E17" s="201"/>
      <c r="F17" s="201"/>
      <c r="G17" s="202"/>
      <c r="H17" s="204"/>
      <c r="I17" s="203"/>
      <c r="J17" s="203"/>
      <c r="K17" s="212"/>
      <c r="L17" s="212"/>
      <c r="M17" s="212"/>
      <c r="N17" s="182" t="str">
        <f t="shared" ref="N17" si="2">IF(H17="-", "-", IF(K17="-", "-", IF(ABS(K17)=0, "-", ROUND(100*(H17-K17)/ABS(K17),1))))</f>
        <v>-</v>
      </c>
      <c r="O17" s="183"/>
      <c r="P17" s="184"/>
      <c r="Q17" s="204"/>
      <c r="R17" s="203"/>
      <c r="S17" s="203"/>
      <c r="T17" s="212"/>
      <c r="U17" s="212"/>
      <c r="V17" s="212"/>
      <c r="W17" s="182" t="str">
        <f t="shared" ref="W17" si="3">IF(Q17="-", "-", IF(T17="-", "-", IF(ABS(T17)=0, "-", ROUND(100*(Q17-T17)/ABS(T17),1))))</f>
        <v>-</v>
      </c>
      <c r="X17" s="183"/>
      <c r="Y17" s="184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52" s="19" customFormat="1" ht="13.5" customHeight="1">
      <c r="A18" s="16"/>
      <c r="B18" s="17"/>
      <c r="C18" s="17"/>
      <c r="D18" s="17"/>
      <c r="E18" s="17"/>
      <c r="F18" s="17"/>
      <c r="G18" s="17"/>
      <c r="H18" s="17"/>
      <c r="I18" s="17"/>
      <c r="J18" s="50"/>
      <c r="K18" s="50"/>
      <c r="L18" s="50"/>
      <c r="M18" s="50"/>
      <c r="N18" s="50"/>
      <c r="O18" s="50"/>
      <c r="P18" s="50"/>
      <c r="Q18" s="50"/>
      <c r="R18" s="50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52" ht="13.5" customHeight="1">
      <c r="A19" s="31" t="s">
        <v>99</v>
      </c>
      <c r="B19" s="22"/>
      <c r="C19" s="22"/>
      <c r="D19" s="22"/>
      <c r="E19" s="22"/>
      <c r="F19" s="22"/>
      <c r="G19" s="22"/>
      <c r="H19" s="22"/>
      <c r="I19" s="15"/>
      <c r="J19" s="15"/>
      <c r="K19" s="15"/>
      <c r="L19" s="15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U19" s="19"/>
      <c r="AV19" s="19"/>
      <c r="AW19" s="19"/>
      <c r="AX19" s="19"/>
    </row>
    <row r="20" spans="1:52" s="23" customFormat="1" ht="13.5" customHeight="1">
      <c r="A20" s="6" t="s">
        <v>100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 t="s">
        <v>1</v>
      </c>
      <c r="Z20" s="7"/>
      <c r="AA20" s="7"/>
      <c r="AB20" s="9" t="s">
        <v>124</v>
      </c>
      <c r="AC20" s="22"/>
      <c r="AD20" s="22"/>
      <c r="AE20" s="22"/>
      <c r="AF20" s="22"/>
      <c r="AG20" s="22"/>
      <c r="AH20" s="22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7" t="s">
        <v>102</v>
      </c>
    </row>
    <row r="21" spans="1:52" s="23" customFormat="1" ht="13.5" customHeight="1">
      <c r="A21" s="127" t="s">
        <v>34</v>
      </c>
      <c r="B21" s="128"/>
      <c r="C21" s="128"/>
      <c r="D21" s="128"/>
      <c r="E21" s="128"/>
      <c r="F21" s="129"/>
      <c r="G21" s="329" t="s">
        <v>103</v>
      </c>
      <c r="H21" s="329"/>
      <c r="I21" s="329"/>
      <c r="J21" s="329"/>
      <c r="K21" s="329"/>
      <c r="L21" s="329"/>
      <c r="M21" s="329"/>
      <c r="N21" s="329"/>
      <c r="O21" s="329"/>
      <c r="P21" s="331"/>
      <c r="Q21" s="280" t="s">
        <v>104</v>
      </c>
      <c r="R21" s="278"/>
      <c r="S21" s="278"/>
      <c r="T21" s="278"/>
      <c r="U21" s="278"/>
      <c r="V21" s="278"/>
      <c r="W21" s="278"/>
      <c r="X21" s="278"/>
      <c r="Y21" s="279"/>
      <c r="Z21" s="32"/>
      <c r="AB21" s="127" t="s">
        <v>34</v>
      </c>
      <c r="AC21" s="128"/>
      <c r="AD21" s="128"/>
      <c r="AE21" s="128"/>
      <c r="AF21" s="128"/>
      <c r="AG21" s="128"/>
      <c r="AH21" s="129"/>
      <c r="AI21" s="278" t="s">
        <v>105</v>
      </c>
      <c r="AJ21" s="278"/>
      <c r="AK21" s="278"/>
      <c r="AL21" s="278"/>
      <c r="AM21" s="278"/>
      <c r="AN21" s="278"/>
      <c r="AO21" s="278"/>
      <c r="AP21" s="278"/>
      <c r="AQ21" s="279"/>
      <c r="AR21" s="278" t="s">
        <v>104</v>
      </c>
      <c r="AS21" s="278"/>
      <c r="AT21" s="278"/>
      <c r="AU21" s="278"/>
      <c r="AV21" s="278"/>
      <c r="AW21" s="278"/>
      <c r="AX21" s="278"/>
      <c r="AY21" s="278"/>
      <c r="AZ21" s="279"/>
    </row>
    <row r="22" spans="1:52" s="23" customFormat="1" ht="13.5" customHeight="1">
      <c r="A22" s="484"/>
      <c r="B22" s="485"/>
      <c r="C22" s="485"/>
      <c r="D22" s="485"/>
      <c r="E22" s="485"/>
      <c r="F22" s="486"/>
      <c r="G22" s="487" t="s">
        <v>106</v>
      </c>
      <c r="H22" s="488" t="s">
        <v>192</v>
      </c>
      <c r="I22" s="489"/>
      <c r="J22" s="490"/>
      <c r="K22" s="494" t="s">
        <v>193</v>
      </c>
      <c r="L22" s="495"/>
      <c r="M22" s="496"/>
      <c r="N22" s="500" t="s">
        <v>5</v>
      </c>
      <c r="O22" s="501"/>
      <c r="P22" s="502"/>
      <c r="Q22" s="508" t="s">
        <v>192</v>
      </c>
      <c r="R22" s="489"/>
      <c r="S22" s="490"/>
      <c r="T22" s="494" t="s">
        <v>193</v>
      </c>
      <c r="U22" s="495"/>
      <c r="V22" s="496"/>
      <c r="W22" s="500" t="s">
        <v>5</v>
      </c>
      <c r="X22" s="501"/>
      <c r="Y22" s="502"/>
      <c r="Z22" s="33"/>
      <c r="AB22" s="130"/>
      <c r="AC22" s="131"/>
      <c r="AD22" s="131"/>
      <c r="AE22" s="131"/>
      <c r="AF22" s="131"/>
      <c r="AG22" s="131"/>
      <c r="AH22" s="132"/>
      <c r="AI22" s="125" t="s">
        <v>192</v>
      </c>
      <c r="AJ22" s="123"/>
      <c r="AK22" s="126"/>
      <c r="AL22" s="122" t="s">
        <v>193</v>
      </c>
      <c r="AM22" s="123"/>
      <c r="AN22" s="126"/>
      <c r="AO22" s="122" t="s">
        <v>5</v>
      </c>
      <c r="AP22" s="123"/>
      <c r="AQ22" s="124"/>
      <c r="AR22" s="125" t="s">
        <v>192</v>
      </c>
      <c r="AS22" s="123"/>
      <c r="AT22" s="126"/>
      <c r="AU22" s="122" t="s">
        <v>193</v>
      </c>
      <c r="AV22" s="123"/>
      <c r="AW22" s="126"/>
      <c r="AX22" s="122" t="s">
        <v>5</v>
      </c>
      <c r="AY22" s="123"/>
      <c r="AZ22" s="124"/>
    </row>
    <row r="23" spans="1:52" ht="13.5" customHeight="1">
      <c r="A23" s="130"/>
      <c r="B23" s="131"/>
      <c r="C23" s="131"/>
      <c r="D23" s="131"/>
      <c r="E23" s="131"/>
      <c r="F23" s="132"/>
      <c r="G23" s="273"/>
      <c r="H23" s="491"/>
      <c r="I23" s="492"/>
      <c r="J23" s="493"/>
      <c r="K23" s="497"/>
      <c r="L23" s="498"/>
      <c r="M23" s="499"/>
      <c r="N23" s="503"/>
      <c r="O23" s="504"/>
      <c r="P23" s="505"/>
      <c r="Q23" s="509"/>
      <c r="R23" s="492"/>
      <c r="S23" s="493"/>
      <c r="T23" s="497"/>
      <c r="U23" s="498"/>
      <c r="V23" s="499"/>
      <c r="W23" s="503"/>
      <c r="X23" s="504"/>
      <c r="Y23" s="505"/>
      <c r="Z23" s="89"/>
      <c r="AB23" s="506" t="s">
        <v>126</v>
      </c>
      <c r="AC23" s="318"/>
      <c r="AD23" s="318"/>
      <c r="AE23" s="318"/>
      <c r="AF23" s="318"/>
      <c r="AG23" s="318"/>
      <c r="AH23" s="319"/>
      <c r="AI23" s="507"/>
      <c r="AJ23" s="301"/>
      <c r="AK23" s="301"/>
      <c r="AL23" s="301"/>
      <c r="AM23" s="301"/>
      <c r="AN23" s="301"/>
      <c r="AO23" s="136" t="str">
        <f t="shared" ref="AO23" si="4">IF(AI23="-", "-", IF(AL23="-", "-", IF(ABS(AL23)=0, "-", ROUND(100*(AI23-AL23)/ABS(AL23),1))))</f>
        <v>-</v>
      </c>
      <c r="AP23" s="137"/>
      <c r="AQ23" s="138"/>
      <c r="AR23" s="145"/>
      <c r="AS23" s="141"/>
      <c r="AT23" s="141"/>
      <c r="AU23" s="141"/>
      <c r="AV23" s="141"/>
      <c r="AW23" s="141"/>
      <c r="AX23" s="136" t="str">
        <f t="shared" ref="AX23:AX25" si="5">IF(AR23="-", "-", IF(AU23="-", "-", IF(ABS(AU23)=0, "-", ROUND(100*(AR23-AU23)/ABS(AU23),1))))</f>
        <v>-</v>
      </c>
      <c r="AY23" s="137"/>
      <c r="AZ23" s="138"/>
    </row>
    <row r="24" spans="1:52" ht="13.5" customHeight="1">
      <c r="A24" s="142" t="s">
        <v>108</v>
      </c>
      <c r="B24" s="143"/>
      <c r="C24" s="143"/>
      <c r="D24" s="143"/>
      <c r="E24" s="143"/>
      <c r="F24" s="144"/>
      <c r="G24" s="46" t="s">
        <v>109</v>
      </c>
      <c r="H24" s="453"/>
      <c r="I24" s="300"/>
      <c r="J24" s="300"/>
      <c r="K24" s="301"/>
      <c r="L24" s="301"/>
      <c r="M24" s="301"/>
      <c r="N24" s="136" t="str">
        <f t="shared" ref="N24:N30" si="6">IF(H24="-", "-", IF(K24="-", "-", IF(ABS(K24)=0, "-", ROUND(100*(H24-K24)/ABS(K24),1))))</f>
        <v>-</v>
      </c>
      <c r="O24" s="137"/>
      <c r="P24" s="138"/>
      <c r="Q24" s="231"/>
      <c r="R24" s="232"/>
      <c r="S24" s="232"/>
      <c r="T24" s="141"/>
      <c r="U24" s="141"/>
      <c r="V24" s="141"/>
      <c r="W24" s="136" t="str">
        <f t="shared" ref="W24:W32" si="7">IF(Q24="-", "-", IF(T24="-", "-", IF(ABS(T24)=0, "-", ROUND(100*(Q24-T24)/ABS(T24),1))))</f>
        <v>-</v>
      </c>
      <c r="X24" s="137"/>
      <c r="Y24" s="138"/>
      <c r="Z24" s="89"/>
      <c r="AB24" s="292" t="s">
        <v>72</v>
      </c>
      <c r="AC24" s="178"/>
      <c r="AD24" s="178"/>
      <c r="AE24" s="178"/>
      <c r="AF24" s="178"/>
      <c r="AG24" s="178"/>
      <c r="AH24" s="179"/>
      <c r="AI24" s="513"/>
      <c r="AJ24" s="514"/>
      <c r="AK24" s="514"/>
      <c r="AL24" s="515"/>
      <c r="AM24" s="514"/>
      <c r="AN24" s="514"/>
      <c r="AO24" s="188"/>
      <c r="AP24" s="189"/>
      <c r="AQ24" s="190"/>
      <c r="AR24" s="180"/>
      <c r="AS24" s="181"/>
      <c r="AT24" s="181"/>
      <c r="AU24" s="181"/>
      <c r="AV24" s="181"/>
      <c r="AW24" s="181"/>
      <c r="AX24" s="457" t="str">
        <f t="shared" si="5"/>
        <v>-</v>
      </c>
      <c r="AY24" s="458"/>
      <c r="AZ24" s="459"/>
    </row>
    <row r="25" spans="1:52" ht="13.5" customHeight="1">
      <c r="A25" s="281" t="s">
        <v>111</v>
      </c>
      <c r="B25" s="169"/>
      <c r="C25" s="169"/>
      <c r="D25" s="169"/>
      <c r="E25" s="169"/>
      <c r="F25" s="170"/>
      <c r="G25" s="34" t="s">
        <v>109</v>
      </c>
      <c r="H25" s="262"/>
      <c r="I25" s="307"/>
      <c r="J25" s="307"/>
      <c r="K25" s="307"/>
      <c r="L25" s="307"/>
      <c r="M25" s="307"/>
      <c r="N25" s="136" t="str">
        <f t="shared" si="6"/>
        <v>-</v>
      </c>
      <c r="O25" s="137"/>
      <c r="P25" s="138"/>
      <c r="Q25" s="218"/>
      <c r="R25" s="149"/>
      <c r="S25" s="149"/>
      <c r="T25" s="149"/>
      <c r="U25" s="149"/>
      <c r="V25" s="149"/>
      <c r="W25" s="136" t="str">
        <f t="shared" si="7"/>
        <v>-</v>
      </c>
      <c r="X25" s="137"/>
      <c r="Y25" s="138"/>
      <c r="Z25" s="89"/>
      <c r="AB25" s="200" t="s">
        <v>4</v>
      </c>
      <c r="AC25" s="201"/>
      <c r="AD25" s="201"/>
      <c r="AE25" s="201"/>
      <c r="AF25" s="201"/>
      <c r="AG25" s="201"/>
      <c r="AH25" s="202"/>
      <c r="AI25" s="510"/>
      <c r="AJ25" s="511"/>
      <c r="AK25" s="511"/>
      <c r="AL25" s="512"/>
      <c r="AM25" s="511"/>
      <c r="AN25" s="511"/>
      <c r="AO25" s="207"/>
      <c r="AP25" s="208"/>
      <c r="AQ25" s="209"/>
      <c r="AR25" s="204"/>
      <c r="AS25" s="203"/>
      <c r="AT25" s="203"/>
      <c r="AU25" s="203"/>
      <c r="AV25" s="203"/>
      <c r="AW25" s="203"/>
      <c r="AX25" s="182" t="str">
        <f t="shared" si="5"/>
        <v>-</v>
      </c>
      <c r="AY25" s="183"/>
      <c r="AZ25" s="184"/>
    </row>
    <row r="26" spans="1:52" ht="13.5" customHeight="1">
      <c r="A26" s="281" t="s">
        <v>113</v>
      </c>
      <c r="B26" s="169"/>
      <c r="C26" s="169"/>
      <c r="D26" s="169"/>
      <c r="E26" s="169"/>
      <c r="F26" s="170"/>
      <c r="G26" s="34" t="s">
        <v>114</v>
      </c>
      <c r="H26" s="262"/>
      <c r="I26" s="307"/>
      <c r="J26" s="307"/>
      <c r="K26" s="307"/>
      <c r="L26" s="307"/>
      <c r="M26" s="307"/>
      <c r="N26" s="136" t="str">
        <f t="shared" si="6"/>
        <v>-</v>
      </c>
      <c r="O26" s="137"/>
      <c r="P26" s="138"/>
      <c r="Q26" s="218"/>
      <c r="R26" s="149"/>
      <c r="S26" s="149"/>
      <c r="T26" s="149"/>
      <c r="U26" s="149"/>
      <c r="V26" s="149"/>
      <c r="W26" s="136" t="str">
        <f t="shared" si="7"/>
        <v>-</v>
      </c>
      <c r="X26" s="137"/>
      <c r="Y26" s="138"/>
      <c r="Z26" s="89"/>
      <c r="AB26" s="10" t="s">
        <v>125</v>
      </c>
      <c r="AC26" s="23"/>
      <c r="AD26" s="23"/>
      <c r="AE26" s="23"/>
      <c r="AF26" s="23"/>
      <c r="AG26" s="23"/>
      <c r="AH26" s="23"/>
    </row>
    <row r="27" spans="1:52" ht="13.5" customHeight="1">
      <c r="A27" s="281" t="s">
        <v>187</v>
      </c>
      <c r="B27" s="169"/>
      <c r="C27" s="169"/>
      <c r="D27" s="169"/>
      <c r="E27" s="169"/>
      <c r="F27" s="170"/>
      <c r="G27" s="34" t="s">
        <v>114</v>
      </c>
      <c r="H27" s="262"/>
      <c r="I27" s="307"/>
      <c r="J27" s="307"/>
      <c r="K27" s="307"/>
      <c r="L27" s="307"/>
      <c r="M27" s="307"/>
      <c r="N27" s="136" t="str">
        <f t="shared" si="6"/>
        <v>-</v>
      </c>
      <c r="O27" s="137"/>
      <c r="P27" s="138"/>
      <c r="Q27" s="218"/>
      <c r="R27" s="149"/>
      <c r="S27" s="149"/>
      <c r="T27" s="149"/>
      <c r="U27" s="149"/>
      <c r="V27" s="149"/>
      <c r="W27" s="136" t="str">
        <f t="shared" si="7"/>
        <v>-</v>
      </c>
      <c r="X27" s="137"/>
      <c r="Y27" s="138"/>
      <c r="Z27" s="89"/>
      <c r="AU27" s="19"/>
      <c r="AV27" s="19"/>
      <c r="AW27" s="19"/>
      <c r="AX27" s="19"/>
    </row>
    <row r="28" spans="1:52" ht="13.5" customHeight="1">
      <c r="A28" s="281" t="s">
        <v>188</v>
      </c>
      <c r="B28" s="169"/>
      <c r="C28" s="169"/>
      <c r="D28" s="169"/>
      <c r="E28" s="169"/>
      <c r="F28" s="170"/>
      <c r="G28" s="34" t="s">
        <v>114</v>
      </c>
      <c r="H28" s="262"/>
      <c r="I28" s="307"/>
      <c r="J28" s="307"/>
      <c r="K28" s="307"/>
      <c r="L28" s="307"/>
      <c r="M28" s="307"/>
      <c r="N28" s="136" t="str">
        <f t="shared" si="6"/>
        <v>-</v>
      </c>
      <c r="O28" s="137"/>
      <c r="P28" s="138"/>
      <c r="Q28" s="218"/>
      <c r="R28" s="149"/>
      <c r="S28" s="149"/>
      <c r="T28" s="149"/>
      <c r="U28" s="149"/>
      <c r="V28" s="149"/>
      <c r="W28" s="136" t="str">
        <f t="shared" si="7"/>
        <v>-</v>
      </c>
      <c r="X28" s="137"/>
      <c r="Y28" s="138"/>
      <c r="Z28" s="89"/>
      <c r="AB28" s="9" t="s">
        <v>101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7" t="s">
        <v>102</v>
      </c>
    </row>
    <row r="29" spans="1:52" ht="13.5" customHeight="1">
      <c r="A29" s="281" t="s">
        <v>189</v>
      </c>
      <c r="B29" s="169"/>
      <c r="C29" s="169"/>
      <c r="D29" s="169"/>
      <c r="E29" s="169"/>
      <c r="F29" s="170"/>
      <c r="G29" s="34" t="s">
        <v>114</v>
      </c>
      <c r="H29" s="262"/>
      <c r="I29" s="307"/>
      <c r="J29" s="307"/>
      <c r="K29" s="307"/>
      <c r="L29" s="307"/>
      <c r="M29" s="307"/>
      <c r="N29" s="136" t="str">
        <f t="shared" si="6"/>
        <v>-</v>
      </c>
      <c r="O29" s="137"/>
      <c r="P29" s="138"/>
      <c r="Q29" s="218"/>
      <c r="R29" s="149"/>
      <c r="S29" s="149"/>
      <c r="T29" s="149"/>
      <c r="U29" s="149"/>
      <c r="V29" s="149"/>
      <c r="W29" s="136" t="str">
        <f t="shared" si="7"/>
        <v>-</v>
      </c>
      <c r="X29" s="137"/>
      <c r="Y29" s="138"/>
      <c r="Z29" s="89"/>
      <c r="AB29" s="127" t="s">
        <v>34</v>
      </c>
      <c r="AC29" s="128"/>
      <c r="AD29" s="128"/>
      <c r="AE29" s="128"/>
      <c r="AF29" s="128"/>
      <c r="AG29" s="128"/>
      <c r="AH29" s="129"/>
      <c r="AI29" s="278" t="s">
        <v>105</v>
      </c>
      <c r="AJ29" s="278"/>
      <c r="AK29" s="278"/>
      <c r="AL29" s="278"/>
      <c r="AM29" s="278"/>
      <c r="AN29" s="278"/>
      <c r="AO29" s="278"/>
      <c r="AP29" s="278"/>
      <c r="AQ29" s="278"/>
      <c r="AR29" s="280" t="s">
        <v>104</v>
      </c>
      <c r="AS29" s="278"/>
      <c r="AT29" s="278"/>
      <c r="AU29" s="278"/>
      <c r="AV29" s="278"/>
      <c r="AW29" s="278"/>
      <c r="AX29" s="278"/>
      <c r="AY29" s="278"/>
      <c r="AZ29" s="279"/>
    </row>
    <row r="30" spans="1:52" ht="13.5" customHeight="1">
      <c r="A30" s="281" t="s">
        <v>117</v>
      </c>
      <c r="B30" s="169"/>
      <c r="C30" s="169"/>
      <c r="D30" s="169"/>
      <c r="E30" s="169"/>
      <c r="F30" s="170"/>
      <c r="G30" s="34" t="s">
        <v>114</v>
      </c>
      <c r="H30" s="507"/>
      <c r="I30" s="301"/>
      <c r="J30" s="301"/>
      <c r="K30" s="307"/>
      <c r="L30" s="307"/>
      <c r="M30" s="307"/>
      <c r="N30" s="136" t="str">
        <f t="shared" si="6"/>
        <v>-</v>
      </c>
      <c r="O30" s="137"/>
      <c r="P30" s="138"/>
      <c r="Q30" s="218"/>
      <c r="R30" s="149"/>
      <c r="S30" s="149"/>
      <c r="T30" s="149"/>
      <c r="U30" s="149"/>
      <c r="V30" s="149"/>
      <c r="W30" s="165" t="str">
        <f t="shared" si="7"/>
        <v>-</v>
      </c>
      <c r="X30" s="166"/>
      <c r="Y30" s="167"/>
      <c r="Z30" s="89"/>
      <c r="AB30" s="130"/>
      <c r="AC30" s="131"/>
      <c r="AD30" s="131"/>
      <c r="AE30" s="131"/>
      <c r="AF30" s="131"/>
      <c r="AG30" s="131"/>
      <c r="AH30" s="132"/>
      <c r="AI30" s="125" t="s">
        <v>192</v>
      </c>
      <c r="AJ30" s="123"/>
      <c r="AK30" s="126"/>
      <c r="AL30" s="122" t="s">
        <v>193</v>
      </c>
      <c r="AM30" s="123"/>
      <c r="AN30" s="126"/>
      <c r="AO30" s="122" t="s">
        <v>5</v>
      </c>
      <c r="AP30" s="123"/>
      <c r="AQ30" s="124"/>
      <c r="AR30" s="125" t="s">
        <v>192</v>
      </c>
      <c r="AS30" s="123"/>
      <c r="AT30" s="126"/>
      <c r="AU30" s="122" t="s">
        <v>193</v>
      </c>
      <c r="AV30" s="123"/>
      <c r="AW30" s="126"/>
      <c r="AX30" s="122" t="s">
        <v>5</v>
      </c>
      <c r="AY30" s="123"/>
      <c r="AZ30" s="124"/>
    </row>
    <row r="31" spans="1:52" ht="13.5" customHeight="1">
      <c r="A31" s="292" t="s">
        <v>72</v>
      </c>
      <c r="B31" s="178"/>
      <c r="C31" s="178"/>
      <c r="D31" s="178"/>
      <c r="E31" s="178"/>
      <c r="F31" s="179"/>
      <c r="G31" s="35" t="s">
        <v>118</v>
      </c>
      <c r="H31" s="516"/>
      <c r="I31" s="517"/>
      <c r="J31" s="517"/>
      <c r="K31" s="516"/>
      <c r="L31" s="517"/>
      <c r="M31" s="517"/>
      <c r="N31" s="518"/>
      <c r="O31" s="518"/>
      <c r="P31" s="519"/>
      <c r="Q31" s="282"/>
      <c r="R31" s="283"/>
      <c r="S31" s="283"/>
      <c r="T31" s="274"/>
      <c r="U31" s="274"/>
      <c r="V31" s="274"/>
      <c r="W31" s="182" t="str">
        <f t="shared" si="7"/>
        <v>-</v>
      </c>
      <c r="X31" s="183"/>
      <c r="Y31" s="184"/>
      <c r="Z31" s="89"/>
      <c r="AB31" s="281" t="s">
        <v>107</v>
      </c>
      <c r="AC31" s="169"/>
      <c r="AD31" s="169"/>
      <c r="AE31" s="169"/>
      <c r="AF31" s="169"/>
      <c r="AG31" s="169"/>
      <c r="AH31" s="170"/>
      <c r="AI31" s="299"/>
      <c r="AJ31" s="300"/>
      <c r="AK31" s="300"/>
      <c r="AL31" s="307"/>
      <c r="AM31" s="307"/>
      <c r="AN31" s="307"/>
      <c r="AO31" s="136" t="str">
        <f t="shared" ref="AO31:AO40" si="8">IF(AI31="-", "-", IF(AL31="-", "-", IF(ABS(AL31)=0, "-", ROUND(100*(AI31-AL31)/ABS(AL31),1))))</f>
        <v>-</v>
      </c>
      <c r="AP31" s="137"/>
      <c r="AQ31" s="138"/>
      <c r="AR31" s="231"/>
      <c r="AS31" s="232"/>
      <c r="AT31" s="232"/>
      <c r="AU31" s="149"/>
      <c r="AV31" s="149"/>
      <c r="AW31" s="149"/>
      <c r="AX31" s="136" t="str">
        <f t="shared" ref="AX31:AX42" si="9">IF(AR31="-", "-", IF(AU31="-", "-", IF(ABS(AU31)=0, "-", ROUND(100*(AR31-AU31)/ABS(AU31),1))))</f>
        <v>-</v>
      </c>
      <c r="AY31" s="137"/>
      <c r="AZ31" s="138"/>
    </row>
    <row r="32" spans="1:52" ht="13.5" customHeight="1">
      <c r="A32" s="200" t="s">
        <v>4</v>
      </c>
      <c r="B32" s="201"/>
      <c r="C32" s="201"/>
      <c r="D32" s="201"/>
      <c r="E32" s="201"/>
      <c r="F32" s="202"/>
      <c r="G32" s="36" t="s">
        <v>118</v>
      </c>
      <c r="H32" s="512"/>
      <c r="I32" s="511"/>
      <c r="J32" s="511"/>
      <c r="K32" s="512"/>
      <c r="L32" s="511"/>
      <c r="M32" s="511"/>
      <c r="N32" s="520"/>
      <c r="O32" s="520"/>
      <c r="P32" s="521"/>
      <c r="Q32" s="204"/>
      <c r="R32" s="203"/>
      <c r="S32" s="203"/>
      <c r="T32" s="203"/>
      <c r="U32" s="203"/>
      <c r="V32" s="203"/>
      <c r="W32" s="182" t="str">
        <f t="shared" si="7"/>
        <v>-</v>
      </c>
      <c r="X32" s="183"/>
      <c r="Y32" s="184"/>
      <c r="Z32" s="89"/>
      <c r="AB32" s="281" t="s">
        <v>110</v>
      </c>
      <c r="AC32" s="169"/>
      <c r="AD32" s="169"/>
      <c r="AE32" s="169"/>
      <c r="AF32" s="169"/>
      <c r="AG32" s="169"/>
      <c r="AH32" s="170"/>
      <c r="AI32" s="306"/>
      <c r="AJ32" s="307"/>
      <c r="AK32" s="307"/>
      <c r="AL32" s="307"/>
      <c r="AM32" s="307"/>
      <c r="AN32" s="307"/>
      <c r="AO32" s="136" t="str">
        <f t="shared" si="8"/>
        <v>-</v>
      </c>
      <c r="AP32" s="137"/>
      <c r="AQ32" s="138"/>
      <c r="AR32" s="218"/>
      <c r="AS32" s="149"/>
      <c r="AT32" s="149"/>
      <c r="AU32" s="149"/>
      <c r="AV32" s="149"/>
      <c r="AW32" s="149"/>
      <c r="AX32" s="136" t="str">
        <f t="shared" si="9"/>
        <v>-</v>
      </c>
      <c r="AY32" s="137"/>
      <c r="AZ32" s="138"/>
    </row>
    <row r="33" spans="1:52" ht="13.5" customHeight="1">
      <c r="A33" s="10" t="s">
        <v>121</v>
      </c>
      <c r="H33" s="10"/>
      <c r="Z33" s="89"/>
      <c r="AB33" s="281" t="s">
        <v>190</v>
      </c>
      <c r="AC33" s="169"/>
      <c r="AD33" s="169"/>
      <c r="AE33" s="169"/>
      <c r="AF33" s="169"/>
      <c r="AG33" s="169"/>
      <c r="AH33" s="170"/>
      <c r="AI33" s="306"/>
      <c r="AJ33" s="307"/>
      <c r="AK33" s="307"/>
      <c r="AL33" s="307"/>
      <c r="AM33" s="307"/>
      <c r="AN33" s="307"/>
      <c r="AO33" s="136" t="str">
        <f t="shared" si="8"/>
        <v>-</v>
      </c>
      <c r="AP33" s="137"/>
      <c r="AQ33" s="138"/>
      <c r="AR33" s="218"/>
      <c r="AS33" s="149"/>
      <c r="AT33" s="149"/>
      <c r="AU33" s="149"/>
      <c r="AV33" s="149"/>
      <c r="AW33" s="149"/>
      <c r="AX33" s="136" t="str">
        <f t="shared" si="9"/>
        <v>-</v>
      </c>
      <c r="AY33" s="137"/>
      <c r="AZ33" s="138"/>
    </row>
    <row r="34" spans="1:52" ht="13.5" customHeight="1">
      <c r="Z34" s="89"/>
      <c r="AB34" s="281" t="s">
        <v>112</v>
      </c>
      <c r="AC34" s="169"/>
      <c r="AD34" s="169"/>
      <c r="AE34" s="169"/>
      <c r="AF34" s="169"/>
      <c r="AG34" s="169"/>
      <c r="AH34" s="170"/>
      <c r="AI34" s="306"/>
      <c r="AJ34" s="307"/>
      <c r="AK34" s="307"/>
      <c r="AL34" s="307"/>
      <c r="AM34" s="307"/>
      <c r="AN34" s="307"/>
      <c r="AO34" s="136" t="str">
        <f t="shared" si="8"/>
        <v>-</v>
      </c>
      <c r="AP34" s="137"/>
      <c r="AQ34" s="138"/>
      <c r="AR34" s="218"/>
      <c r="AS34" s="149"/>
      <c r="AT34" s="149"/>
      <c r="AU34" s="149"/>
      <c r="AV34" s="149"/>
      <c r="AW34" s="149"/>
      <c r="AX34" s="136" t="str">
        <f t="shared" si="9"/>
        <v>-</v>
      </c>
      <c r="AY34" s="137"/>
      <c r="AZ34" s="138"/>
    </row>
    <row r="35" spans="1:52" ht="13.5" customHeight="1">
      <c r="A35" s="6" t="s">
        <v>127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Z35" s="89"/>
      <c r="AB35" s="281" t="s">
        <v>115</v>
      </c>
      <c r="AC35" s="169"/>
      <c r="AD35" s="169"/>
      <c r="AE35" s="169"/>
      <c r="AF35" s="169"/>
      <c r="AG35" s="169"/>
      <c r="AH35" s="170"/>
      <c r="AI35" s="306"/>
      <c r="AJ35" s="307"/>
      <c r="AK35" s="307"/>
      <c r="AL35" s="307"/>
      <c r="AM35" s="307"/>
      <c r="AN35" s="307"/>
      <c r="AO35" s="136" t="str">
        <f t="shared" si="8"/>
        <v>-</v>
      </c>
      <c r="AP35" s="137"/>
      <c r="AQ35" s="138"/>
      <c r="AR35" s="218"/>
      <c r="AS35" s="149"/>
      <c r="AT35" s="149"/>
      <c r="AU35" s="149"/>
      <c r="AV35" s="149"/>
      <c r="AW35" s="149"/>
      <c r="AX35" s="136" t="str">
        <f t="shared" si="9"/>
        <v>-</v>
      </c>
      <c r="AY35" s="137"/>
      <c r="AZ35" s="138"/>
    </row>
    <row r="36" spans="1:52" ht="13.5" customHeight="1">
      <c r="A36" s="250" t="s">
        <v>34</v>
      </c>
      <c r="B36" s="251"/>
      <c r="C36" s="251"/>
      <c r="D36" s="251"/>
      <c r="E36" s="251"/>
      <c r="F36" s="251"/>
      <c r="G36" s="252"/>
      <c r="H36" s="253" t="s">
        <v>192</v>
      </c>
      <c r="I36" s="244"/>
      <c r="J36" s="245"/>
      <c r="K36" s="243" t="s">
        <v>193</v>
      </c>
      <c r="L36" s="244"/>
      <c r="M36" s="245"/>
      <c r="N36" s="243" t="s">
        <v>5</v>
      </c>
      <c r="O36" s="244"/>
      <c r="P36" s="246"/>
      <c r="Z36" s="89"/>
      <c r="AB36" s="281" t="s">
        <v>116</v>
      </c>
      <c r="AC36" s="169"/>
      <c r="AD36" s="169"/>
      <c r="AE36" s="169"/>
      <c r="AF36" s="169"/>
      <c r="AG36" s="169"/>
      <c r="AH36" s="170"/>
      <c r="AI36" s="306"/>
      <c r="AJ36" s="307"/>
      <c r="AK36" s="307"/>
      <c r="AL36" s="307"/>
      <c r="AM36" s="307"/>
      <c r="AN36" s="307"/>
      <c r="AO36" s="136" t="str">
        <f t="shared" si="8"/>
        <v>-</v>
      </c>
      <c r="AP36" s="137"/>
      <c r="AQ36" s="138"/>
      <c r="AR36" s="218"/>
      <c r="AS36" s="149"/>
      <c r="AT36" s="149"/>
      <c r="AU36" s="149"/>
      <c r="AV36" s="149"/>
      <c r="AW36" s="149"/>
      <c r="AX36" s="136" t="str">
        <f t="shared" si="9"/>
        <v>-</v>
      </c>
      <c r="AY36" s="137"/>
      <c r="AZ36" s="138"/>
    </row>
    <row r="37" spans="1:52" ht="13.5" customHeight="1">
      <c r="A37" s="506" t="s">
        <v>42</v>
      </c>
      <c r="B37" s="318"/>
      <c r="C37" s="318"/>
      <c r="D37" s="318"/>
      <c r="E37" s="318"/>
      <c r="F37" s="318"/>
      <c r="G37" s="319"/>
      <c r="H37" s="231"/>
      <c r="I37" s="232"/>
      <c r="J37" s="232"/>
      <c r="K37" s="141"/>
      <c r="L37" s="141"/>
      <c r="M37" s="141"/>
      <c r="N37" s="136" t="str">
        <f t="shared" ref="N37:N40" si="10">IF(H37="-", "-", IF(K37="-", "-", IF(ABS(K37)=0, "-", ROUND(100*(H37-K37)/ABS(K37),1))))</f>
        <v>-</v>
      </c>
      <c r="O37" s="137"/>
      <c r="P37" s="138"/>
      <c r="AB37" s="281" t="s">
        <v>119</v>
      </c>
      <c r="AC37" s="169"/>
      <c r="AD37" s="169"/>
      <c r="AE37" s="169"/>
      <c r="AF37" s="169"/>
      <c r="AG37" s="169"/>
      <c r="AH37" s="170"/>
      <c r="AI37" s="306"/>
      <c r="AJ37" s="307"/>
      <c r="AK37" s="307"/>
      <c r="AL37" s="307"/>
      <c r="AM37" s="307"/>
      <c r="AN37" s="307"/>
      <c r="AO37" s="165" t="str">
        <f t="shared" si="8"/>
        <v>-</v>
      </c>
      <c r="AP37" s="166"/>
      <c r="AQ37" s="167"/>
      <c r="AR37" s="218"/>
      <c r="AS37" s="149"/>
      <c r="AT37" s="149"/>
      <c r="AU37" s="149"/>
      <c r="AV37" s="149"/>
      <c r="AW37" s="149"/>
      <c r="AX37" s="165" t="str">
        <f t="shared" si="9"/>
        <v>-</v>
      </c>
      <c r="AY37" s="166"/>
      <c r="AZ37" s="167"/>
    </row>
    <row r="38" spans="1:52" ht="13.5" customHeight="1">
      <c r="A38" s="281" t="s">
        <v>45</v>
      </c>
      <c r="B38" s="169"/>
      <c r="C38" s="169"/>
      <c r="D38" s="169"/>
      <c r="E38" s="169"/>
      <c r="F38" s="169"/>
      <c r="G38" s="170"/>
      <c r="H38" s="218"/>
      <c r="I38" s="149"/>
      <c r="J38" s="149"/>
      <c r="K38" s="149"/>
      <c r="L38" s="149"/>
      <c r="M38" s="149"/>
      <c r="N38" s="136" t="str">
        <f t="shared" si="10"/>
        <v>-</v>
      </c>
      <c r="O38" s="137"/>
      <c r="P38" s="138"/>
      <c r="AB38" s="281" t="s">
        <v>120</v>
      </c>
      <c r="AC38" s="169"/>
      <c r="AD38" s="169"/>
      <c r="AE38" s="169"/>
      <c r="AF38" s="169"/>
      <c r="AG38" s="169"/>
      <c r="AH38" s="170"/>
      <c r="AI38" s="306"/>
      <c r="AJ38" s="307"/>
      <c r="AK38" s="307"/>
      <c r="AL38" s="307"/>
      <c r="AM38" s="307"/>
      <c r="AN38" s="307"/>
      <c r="AO38" s="165" t="str">
        <f t="shared" si="8"/>
        <v>-</v>
      </c>
      <c r="AP38" s="166"/>
      <c r="AQ38" s="167"/>
      <c r="AR38" s="218"/>
      <c r="AS38" s="149"/>
      <c r="AT38" s="149"/>
      <c r="AU38" s="149"/>
      <c r="AV38" s="149"/>
      <c r="AW38" s="149"/>
      <c r="AX38" s="165" t="str">
        <f t="shared" si="9"/>
        <v>-</v>
      </c>
      <c r="AY38" s="166"/>
      <c r="AZ38" s="167"/>
    </row>
    <row r="39" spans="1:52" ht="13.5" customHeight="1">
      <c r="A39" s="281" t="s">
        <v>48</v>
      </c>
      <c r="B39" s="169"/>
      <c r="C39" s="169"/>
      <c r="D39" s="169"/>
      <c r="E39" s="169"/>
      <c r="F39" s="169"/>
      <c r="G39" s="170"/>
      <c r="H39" s="218"/>
      <c r="I39" s="149"/>
      <c r="J39" s="149"/>
      <c r="K39" s="149"/>
      <c r="L39" s="149"/>
      <c r="M39" s="149"/>
      <c r="N39" s="165" t="str">
        <f t="shared" si="10"/>
        <v>-</v>
      </c>
      <c r="O39" s="166"/>
      <c r="P39" s="167"/>
      <c r="AB39" s="281" t="s">
        <v>122</v>
      </c>
      <c r="AC39" s="169"/>
      <c r="AD39" s="169"/>
      <c r="AE39" s="169"/>
      <c r="AF39" s="169"/>
      <c r="AG39" s="169"/>
      <c r="AH39" s="170"/>
      <c r="AI39" s="306"/>
      <c r="AJ39" s="307"/>
      <c r="AK39" s="307"/>
      <c r="AL39" s="307"/>
      <c r="AM39" s="307"/>
      <c r="AN39" s="307"/>
      <c r="AO39" s="165" t="str">
        <f t="shared" si="8"/>
        <v>-</v>
      </c>
      <c r="AP39" s="166"/>
      <c r="AQ39" s="167"/>
      <c r="AR39" s="218"/>
      <c r="AS39" s="149"/>
      <c r="AT39" s="149"/>
      <c r="AU39" s="149"/>
      <c r="AV39" s="149"/>
      <c r="AW39" s="149"/>
      <c r="AX39" s="165" t="str">
        <f t="shared" si="9"/>
        <v>-</v>
      </c>
      <c r="AY39" s="166"/>
      <c r="AZ39" s="167"/>
    </row>
    <row r="40" spans="1:52" ht="13.5" customHeight="1">
      <c r="A40" s="292" t="s">
        <v>128</v>
      </c>
      <c r="B40" s="178"/>
      <c r="C40" s="178"/>
      <c r="D40" s="178"/>
      <c r="E40" s="178"/>
      <c r="F40" s="178"/>
      <c r="G40" s="179"/>
      <c r="H40" s="211"/>
      <c r="I40" s="212"/>
      <c r="J40" s="212"/>
      <c r="K40" s="181"/>
      <c r="L40" s="181"/>
      <c r="M40" s="181"/>
      <c r="N40" s="182" t="str">
        <f t="shared" si="10"/>
        <v>-</v>
      </c>
      <c r="O40" s="183"/>
      <c r="P40" s="184"/>
      <c r="AB40" s="281" t="s">
        <v>123</v>
      </c>
      <c r="AC40" s="169"/>
      <c r="AD40" s="169"/>
      <c r="AE40" s="169"/>
      <c r="AF40" s="169"/>
      <c r="AG40" s="169"/>
      <c r="AH40" s="170"/>
      <c r="AI40" s="334"/>
      <c r="AJ40" s="335"/>
      <c r="AK40" s="335"/>
      <c r="AL40" s="307"/>
      <c r="AM40" s="307"/>
      <c r="AN40" s="307"/>
      <c r="AO40" s="165" t="str">
        <f t="shared" si="8"/>
        <v>-</v>
      </c>
      <c r="AP40" s="166"/>
      <c r="AQ40" s="167"/>
      <c r="AR40" s="218"/>
      <c r="AS40" s="149"/>
      <c r="AT40" s="149"/>
      <c r="AU40" s="149"/>
      <c r="AV40" s="149"/>
      <c r="AW40" s="149"/>
      <c r="AX40" s="165" t="str">
        <f t="shared" si="9"/>
        <v>-</v>
      </c>
      <c r="AY40" s="166"/>
      <c r="AZ40" s="167"/>
    </row>
    <row r="41" spans="1:52" ht="13.5" customHeight="1">
      <c r="AB41" s="323" t="s">
        <v>72</v>
      </c>
      <c r="AC41" s="163"/>
      <c r="AD41" s="163"/>
      <c r="AE41" s="163"/>
      <c r="AF41" s="163"/>
      <c r="AG41" s="163"/>
      <c r="AH41" s="164"/>
      <c r="AI41" s="523"/>
      <c r="AJ41" s="517"/>
      <c r="AK41" s="517"/>
      <c r="AL41" s="516"/>
      <c r="AM41" s="517"/>
      <c r="AN41" s="517"/>
      <c r="AO41" s="524"/>
      <c r="AP41" s="525"/>
      <c r="AQ41" s="526"/>
      <c r="AR41" s="282"/>
      <c r="AS41" s="283"/>
      <c r="AT41" s="283"/>
      <c r="AU41" s="274"/>
      <c r="AV41" s="274"/>
      <c r="AW41" s="274"/>
      <c r="AX41" s="182" t="str">
        <f t="shared" si="9"/>
        <v>-</v>
      </c>
      <c r="AY41" s="183"/>
      <c r="AZ41" s="184"/>
    </row>
    <row r="42" spans="1:52" ht="13.5" customHeight="1">
      <c r="AB42" s="200" t="s">
        <v>4</v>
      </c>
      <c r="AC42" s="201"/>
      <c r="AD42" s="201"/>
      <c r="AE42" s="201"/>
      <c r="AF42" s="201"/>
      <c r="AG42" s="201"/>
      <c r="AH42" s="202"/>
      <c r="AI42" s="522"/>
      <c r="AJ42" s="511"/>
      <c r="AK42" s="511"/>
      <c r="AL42" s="512"/>
      <c r="AM42" s="511"/>
      <c r="AN42" s="511"/>
      <c r="AO42" s="207"/>
      <c r="AP42" s="208"/>
      <c r="AQ42" s="209"/>
      <c r="AR42" s="204"/>
      <c r="AS42" s="203"/>
      <c r="AT42" s="203"/>
      <c r="AU42" s="203"/>
      <c r="AV42" s="203"/>
      <c r="AW42" s="203"/>
      <c r="AX42" s="182" t="str">
        <f t="shared" si="9"/>
        <v>-</v>
      </c>
      <c r="AY42" s="183"/>
      <c r="AZ42" s="184"/>
    </row>
    <row r="43" spans="1:52" ht="13.5" customHeight="1">
      <c r="AB43" s="10" t="s">
        <v>125</v>
      </c>
    </row>
    <row r="49" spans="1:8" ht="13.5" customHeight="1">
      <c r="A49" s="10"/>
      <c r="B49" s="10"/>
      <c r="C49" s="10"/>
      <c r="D49" s="10"/>
      <c r="E49" s="10"/>
      <c r="F49" s="10"/>
      <c r="G49" s="10"/>
      <c r="H49" s="10"/>
    </row>
    <row r="50" spans="1:8" ht="13.5" customHeight="1">
      <c r="A50" s="10"/>
      <c r="B50" s="10"/>
      <c r="C50" s="10"/>
      <c r="D50" s="10"/>
      <c r="E50" s="10"/>
      <c r="F50" s="10"/>
      <c r="G50" s="10"/>
      <c r="H50" s="10"/>
    </row>
    <row r="51" spans="1:8" ht="13.5" customHeight="1">
      <c r="A51" s="10"/>
      <c r="B51" s="10"/>
      <c r="C51" s="10"/>
      <c r="D51" s="10"/>
      <c r="E51" s="10"/>
      <c r="F51" s="10"/>
      <c r="G51" s="10"/>
      <c r="H51" s="10"/>
    </row>
    <row r="52" spans="1:8" ht="13.5" customHeight="1">
      <c r="A52" s="10"/>
      <c r="B52" s="10"/>
      <c r="C52" s="10"/>
      <c r="D52" s="10"/>
      <c r="E52" s="10"/>
      <c r="F52" s="10"/>
      <c r="G52" s="10"/>
      <c r="H52" s="10"/>
    </row>
    <row r="53" spans="1:8" ht="13.5" customHeight="1">
      <c r="A53" s="10"/>
      <c r="B53" s="10"/>
      <c r="C53" s="10"/>
      <c r="D53" s="10"/>
      <c r="E53" s="10"/>
      <c r="F53" s="10"/>
      <c r="G53" s="10"/>
      <c r="H53" s="10"/>
    </row>
    <row r="54" spans="1:8" ht="13.5" customHeight="1">
      <c r="A54" s="10"/>
      <c r="B54" s="10"/>
      <c r="C54" s="10"/>
      <c r="D54" s="10"/>
      <c r="E54" s="10"/>
      <c r="F54" s="10"/>
      <c r="G54" s="10"/>
      <c r="H54" s="10"/>
    </row>
    <row r="55" spans="1:8" ht="13.5" customHeight="1">
      <c r="A55" s="10"/>
      <c r="B55" s="10"/>
      <c r="C55" s="10"/>
      <c r="D55" s="10"/>
      <c r="E55" s="10"/>
      <c r="F55" s="10"/>
      <c r="G55" s="10"/>
      <c r="H55" s="10"/>
    </row>
    <row r="56" spans="1:8" ht="13.5" customHeight="1">
      <c r="A56" s="10"/>
      <c r="B56" s="10"/>
      <c r="C56" s="10"/>
      <c r="D56" s="10"/>
      <c r="E56" s="10"/>
      <c r="F56" s="10"/>
      <c r="G56" s="10"/>
      <c r="H56" s="10"/>
    </row>
    <row r="57" spans="1:8" ht="13.5" customHeight="1">
      <c r="A57" s="10"/>
      <c r="B57" s="10"/>
      <c r="C57" s="10"/>
      <c r="D57" s="10"/>
      <c r="E57" s="10"/>
      <c r="F57" s="10"/>
      <c r="G57" s="10"/>
      <c r="H57" s="10"/>
    </row>
    <row r="58" spans="1:8" ht="13.5" customHeight="1">
      <c r="A58" s="10"/>
      <c r="B58" s="10"/>
      <c r="C58" s="10"/>
      <c r="D58" s="10"/>
      <c r="E58" s="10"/>
      <c r="F58" s="10"/>
      <c r="G58" s="10"/>
      <c r="H58" s="10"/>
    </row>
  </sheetData>
  <mergeCells count="282">
    <mergeCell ref="AU39:AW39"/>
    <mergeCell ref="AX39:AZ39"/>
    <mergeCell ref="AX41:AZ41"/>
    <mergeCell ref="AB42:AH42"/>
    <mergeCell ref="AI42:AK42"/>
    <mergeCell ref="AL42:AN42"/>
    <mergeCell ref="AO42:AQ42"/>
    <mergeCell ref="AR42:AT42"/>
    <mergeCell ref="AU42:AW42"/>
    <mergeCell ref="AX42:AZ42"/>
    <mergeCell ref="AB41:AH41"/>
    <mergeCell ref="AI41:AK41"/>
    <mergeCell ref="AL41:AN41"/>
    <mergeCell ref="AO41:AQ41"/>
    <mergeCell ref="AR41:AT41"/>
    <mergeCell ref="AU41:AW41"/>
    <mergeCell ref="A40:G40"/>
    <mergeCell ref="H40:J40"/>
    <mergeCell ref="K40:M40"/>
    <mergeCell ref="N40:P40"/>
    <mergeCell ref="AB40:AH40"/>
    <mergeCell ref="AO38:AQ38"/>
    <mergeCell ref="AR38:AT38"/>
    <mergeCell ref="AU38:AW38"/>
    <mergeCell ref="AX38:AZ38"/>
    <mergeCell ref="A39:G39"/>
    <mergeCell ref="H39:J39"/>
    <mergeCell ref="K39:M39"/>
    <mergeCell ref="N39:P39"/>
    <mergeCell ref="AB39:AH39"/>
    <mergeCell ref="AI39:AK39"/>
    <mergeCell ref="AI40:AK40"/>
    <mergeCell ref="AL40:AN40"/>
    <mergeCell ref="AO40:AQ40"/>
    <mergeCell ref="AR40:AT40"/>
    <mergeCell ref="AU40:AW40"/>
    <mergeCell ref="AX40:AZ40"/>
    <mergeCell ref="AL39:AN39"/>
    <mergeCell ref="AO39:AQ39"/>
    <mergeCell ref="AR39:AT39"/>
    <mergeCell ref="AU37:AW37"/>
    <mergeCell ref="AX37:AZ37"/>
    <mergeCell ref="A38:G38"/>
    <mergeCell ref="H38:J38"/>
    <mergeCell ref="K38:M38"/>
    <mergeCell ref="N38:P38"/>
    <mergeCell ref="AB38:AH38"/>
    <mergeCell ref="AI38:AK38"/>
    <mergeCell ref="AL38:AN38"/>
    <mergeCell ref="A37:G37"/>
    <mergeCell ref="H37:J37"/>
    <mergeCell ref="K37:M37"/>
    <mergeCell ref="N37:P37"/>
    <mergeCell ref="AB37:AH37"/>
    <mergeCell ref="AI37:AK37"/>
    <mergeCell ref="AL37:AN37"/>
    <mergeCell ref="AO37:AQ37"/>
    <mergeCell ref="AR37:AT37"/>
    <mergeCell ref="AX35:AZ35"/>
    <mergeCell ref="A36:G36"/>
    <mergeCell ref="H36:J36"/>
    <mergeCell ref="K36:M36"/>
    <mergeCell ref="N36:P36"/>
    <mergeCell ref="AB36:AH36"/>
    <mergeCell ref="AI36:AK36"/>
    <mergeCell ref="AL36:AN36"/>
    <mergeCell ref="AO36:AQ36"/>
    <mergeCell ref="AR36:AT36"/>
    <mergeCell ref="AB35:AH35"/>
    <mergeCell ref="AI35:AK35"/>
    <mergeCell ref="AL35:AN35"/>
    <mergeCell ref="AO35:AQ35"/>
    <mergeCell ref="AR35:AT35"/>
    <mergeCell ref="AU35:AW35"/>
    <mergeCell ref="AU36:AW36"/>
    <mergeCell ref="AX36:AZ36"/>
    <mergeCell ref="AX33:AZ33"/>
    <mergeCell ref="AB34:AH34"/>
    <mergeCell ref="AI34:AK34"/>
    <mergeCell ref="AL34:AN34"/>
    <mergeCell ref="AO34:AQ34"/>
    <mergeCell ref="AR34:AT34"/>
    <mergeCell ref="AU34:AW34"/>
    <mergeCell ref="AX34:AZ34"/>
    <mergeCell ref="AB33:AH33"/>
    <mergeCell ref="AI33:AK33"/>
    <mergeCell ref="AL33:AN33"/>
    <mergeCell ref="AO33:AQ33"/>
    <mergeCell ref="AR33:AT33"/>
    <mergeCell ref="AU33:AW33"/>
    <mergeCell ref="AI32:AK32"/>
    <mergeCell ref="AL32:AN32"/>
    <mergeCell ref="AO32:AQ32"/>
    <mergeCell ref="AR32:AT32"/>
    <mergeCell ref="AU32:AW32"/>
    <mergeCell ref="AX32:AZ32"/>
    <mergeCell ref="AU31:AW31"/>
    <mergeCell ref="AX31:AZ31"/>
    <mergeCell ref="A32:F32"/>
    <mergeCell ref="H32:J32"/>
    <mergeCell ref="K32:M32"/>
    <mergeCell ref="N32:P32"/>
    <mergeCell ref="Q32:S32"/>
    <mergeCell ref="T32:V32"/>
    <mergeCell ref="W32:Y32"/>
    <mergeCell ref="AB32:AH32"/>
    <mergeCell ref="W31:Y31"/>
    <mergeCell ref="AB31:AH31"/>
    <mergeCell ref="AI31:AK31"/>
    <mergeCell ref="AL31:AN31"/>
    <mergeCell ref="AO31:AQ31"/>
    <mergeCell ref="AR31:AT31"/>
    <mergeCell ref="A31:F31"/>
    <mergeCell ref="H31:J31"/>
    <mergeCell ref="K31:M31"/>
    <mergeCell ref="N31:P31"/>
    <mergeCell ref="Q31:S31"/>
    <mergeCell ref="T31:V31"/>
    <mergeCell ref="AI30:AK30"/>
    <mergeCell ref="AL30:AN30"/>
    <mergeCell ref="AO30:AQ30"/>
    <mergeCell ref="AR30:AT30"/>
    <mergeCell ref="AU30:AW30"/>
    <mergeCell ref="AX30:AZ30"/>
    <mergeCell ref="AB29:AH30"/>
    <mergeCell ref="AI29:AQ29"/>
    <mergeCell ref="AR29:AZ29"/>
    <mergeCell ref="A30:F30"/>
    <mergeCell ref="H30:J30"/>
    <mergeCell ref="K30:M30"/>
    <mergeCell ref="N30:P30"/>
    <mergeCell ref="Q30:S30"/>
    <mergeCell ref="T30:V30"/>
    <mergeCell ref="W30:Y30"/>
    <mergeCell ref="W28:Y28"/>
    <mergeCell ref="A29:F29"/>
    <mergeCell ref="H29:J29"/>
    <mergeCell ref="K29:M29"/>
    <mergeCell ref="N29:P29"/>
    <mergeCell ref="Q29:S29"/>
    <mergeCell ref="T29:V29"/>
    <mergeCell ref="W29:Y29"/>
    <mergeCell ref="A28:F28"/>
    <mergeCell ref="H28:J28"/>
    <mergeCell ref="K28:M28"/>
    <mergeCell ref="N28:P28"/>
    <mergeCell ref="Q28:S28"/>
    <mergeCell ref="T28:V28"/>
    <mergeCell ref="W26:Y26"/>
    <mergeCell ref="A27:F27"/>
    <mergeCell ref="H27:J27"/>
    <mergeCell ref="K27:M27"/>
    <mergeCell ref="N27:P27"/>
    <mergeCell ref="Q27:S27"/>
    <mergeCell ref="T27:V27"/>
    <mergeCell ref="W27:Y27"/>
    <mergeCell ref="A26:F26"/>
    <mergeCell ref="H26:J26"/>
    <mergeCell ref="K26:M26"/>
    <mergeCell ref="N26:P26"/>
    <mergeCell ref="Q26:S26"/>
    <mergeCell ref="T26:V26"/>
    <mergeCell ref="A25:F25"/>
    <mergeCell ref="H25:J25"/>
    <mergeCell ref="K25:M25"/>
    <mergeCell ref="N25:P25"/>
    <mergeCell ref="Q25:S25"/>
    <mergeCell ref="T25:V25"/>
    <mergeCell ref="W25:Y25"/>
    <mergeCell ref="AB25:AH25"/>
    <mergeCell ref="W24:Y24"/>
    <mergeCell ref="AB24:AH24"/>
    <mergeCell ref="A24:F24"/>
    <mergeCell ref="H24:J24"/>
    <mergeCell ref="AI22:AK22"/>
    <mergeCell ref="AL22:AN22"/>
    <mergeCell ref="AO22:AQ22"/>
    <mergeCell ref="AI25:AK25"/>
    <mergeCell ref="AL25:AN25"/>
    <mergeCell ref="AO25:AQ25"/>
    <mergeCell ref="AR25:AT25"/>
    <mergeCell ref="AU25:AW25"/>
    <mergeCell ref="AX25:AZ25"/>
    <mergeCell ref="AU24:AW24"/>
    <mergeCell ref="AX24:AZ24"/>
    <mergeCell ref="AI24:AK24"/>
    <mergeCell ref="AL24:AN24"/>
    <mergeCell ref="AO24:AQ24"/>
    <mergeCell ref="AR24:AT24"/>
    <mergeCell ref="AB21:AH22"/>
    <mergeCell ref="AI21:AQ21"/>
    <mergeCell ref="AR21:AZ21"/>
    <mergeCell ref="G22:G23"/>
    <mergeCell ref="H22:J23"/>
    <mergeCell ref="K22:M23"/>
    <mergeCell ref="N22:P23"/>
    <mergeCell ref="K24:M24"/>
    <mergeCell ref="N24:P24"/>
    <mergeCell ref="Q24:S24"/>
    <mergeCell ref="T24:V24"/>
    <mergeCell ref="AR22:AT22"/>
    <mergeCell ref="AU22:AW22"/>
    <mergeCell ref="AX22:AZ22"/>
    <mergeCell ref="AB23:AH23"/>
    <mergeCell ref="AI23:AK23"/>
    <mergeCell ref="AL23:AN23"/>
    <mergeCell ref="AO23:AQ23"/>
    <mergeCell ref="AR23:AT23"/>
    <mergeCell ref="AU23:AW23"/>
    <mergeCell ref="AX23:AZ23"/>
    <mergeCell ref="Q22:S23"/>
    <mergeCell ref="T22:V23"/>
    <mergeCell ref="W22:Y23"/>
    <mergeCell ref="A17:G17"/>
    <mergeCell ref="H17:J17"/>
    <mergeCell ref="K17:M17"/>
    <mergeCell ref="N17:P17"/>
    <mergeCell ref="Q17:S17"/>
    <mergeCell ref="T17:V17"/>
    <mergeCell ref="W17:Y17"/>
    <mergeCell ref="A21:F23"/>
    <mergeCell ref="G21:P21"/>
    <mergeCell ref="Q21:Y21"/>
    <mergeCell ref="AB13:AH13"/>
    <mergeCell ref="AI13:AK13"/>
    <mergeCell ref="AL13:AN13"/>
    <mergeCell ref="AO13:AQ13"/>
    <mergeCell ref="A15:G16"/>
    <mergeCell ref="H15:P15"/>
    <mergeCell ref="Q15:Y15"/>
    <mergeCell ref="H16:J16"/>
    <mergeCell ref="K16:M16"/>
    <mergeCell ref="N16:P16"/>
    <mergeCell ref="Q16:S16"/>
    <mergeCell ref="T16:V16"/>
    <mergeCell ref="W16:Y16"/>
    <mergeCell ref="AL11:AN11"/>
    <mergeCell ref="AO11:AQ11"/>
    <mergeCell ref="A12:G12"/>
    <mergeCell ref="H12:J12"/>
    <mergeCell ref="K12:M12"/>
    <mergeCell ref="N12:P12"/>
    <mergeCell ref="AB12:AH12"/>
    <mergeCell ref="AI12:AK12"/>
    <mergeCell ref="AL12:AN12"/>
    <mergeCell ref="AO12:AQ12"/>
    <mergeCell ref="A11:G11"/>
    <mergeCell ref="H11:J11"/>
    <mergeCell ref="K11:M11"/>
    <mergeCell ref="N11:P11"/>
    <mergeCell ref="AB11:AH11"/>
    <mergeCell ref="AI11:AK11"/>
    <mergeCell ref="AL9:AN9"/>
    <mergeCell ref="AO9:AQ9"/>
    <mergeCell ref="A10:G10"/>
    <mergeCell ref="H10:J10"/>
    <mergeCell ref="K10:M10"/>
    <mergeCell ref="N10:P10"/>
    <mergeCell ref="AB10:AH10"/>
    <mergeCell ref="AI10:AK10"/>
    <mergeCell ref="AL10:AN10"/>
    <mergeCell ref="AO10:AQ10"/>
    <mergeCell ref="A9:G9"/>
    <mergeCell ref="H9:J9"/>
    <mergeCell ref="K9:M9"/>
    <mergeCell ref="N9:P9"/>
    <mergeCell ref="AB9:AH9"/>
    <mergeCell ref="AI9:AK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37" customWidth="1"/>
    <col min="8" max="9" width="2.375" style="23" customWidth="1"/>
    <col min="10" max="13" width="2.375" style="10" customWidth="1"/>
    <col min="14" max="15" width="2.875" style="10" customWidth="1"/>
    <col min="16" max="21" width="2.375" style="10" customWidth="1"/>
    <col min="22" max="23" width="2.875" style="10" customWidth="1"/>
    <col min="24" max="29" width="2.375" style="10" customWidth="1"/>
    <col min="30" max="31" width="2.875" style="10" customWidth="1"/>
    <col min="32" max="37" width="2.375" style="10" customWidth="1"/>
    <col min="38" max="39" width="2.875" style="10" customWidth="1"/>
    <col min="40" max="45" width="2.375" style="10" customWidth="1"/>
    <col min="46" max="47" width="2.875" style="10" customWidth="1"/>
    <col min="48" max="53" width="2.375" style="10" customWidth="1"/>
    <col min="54" max="55" width="2.875" style="10" customWidth="1"/>
    <col min="56" max="16384" width="2.625" style="10"/>
  </cols>
  <sheetData>
    <row r="1" spans="1:55" s="3" customFormat="1" ht="13.5" customHeight="1">
      <c r="A1" s="113" t="str">
        <f>IF(No.1!A1="","",No.1!A1)</f>
        <v/>
      </c>
      <c r="B1" s="113"/>
      <c r="C1" s="113"/>
      <c r="D1" s="96" t="s">
        <v>221</v>
      </c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55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S2" s="4"/>
      <c r="T2" s="4"/>
      <c r="U2" s="4"/>
      <c r="AQ2" s="72"/>
      <c r="AR2" s="72"/>
      <c r="AS2" s="72"/>
      <c r="AT2" s="72"/>
      <c r="AU2" s="72"/>
      <c r="AV2" s="73"/>
      <c r="AW2" s="73"/>
      <c r="AX2" s="73"/>
      <c r="AY2" s="73"/>
      <c r="AZ2" s="74"/>
      <c r="BA2" s="74"/>
      <c r="BB2" s="74"/>
      <c r="BC2" s="74"/>
    </row>
    <row r="3" spans="1:55" s="98" customFormat="1" ht="13.5" customHeight="1">
      <c r="A3" s="115"/>
      <c r="B3" s="115"/>
      <c r="C3" s="115"/>
      <c r="D3" s="115"/>
      <c r="E3" s="115"/>
      <c r="F3" s="116" t="s">
        <v>222</v>
      </c>
      <c r="G3" s="116"/>
      <c r="H3" s="116"/>
      <c r="I3" s="117" t="s">
        <v>223</v>
      </c>
      <c r="J3" s="117"/>
      <c r="K3" s="117"/>
      <c r="L3" s="117"/>
      <c r="M3" s="117"/>
      <c r="N3" s="117"/>
      <c r="O3" s="117"/>
      <c r="P3" s="112"/>
      <c r="Q3" s="112"/>
      <c r="R3" s="112"/>
      <c r="T3" s="118" t="s">
        <v>224</v>
      </c>
      <c r="U3" s="118"/>
      <c r="V3" s="118"/>
      <c r="W3" s="118"/>
      <c r="X3" s="118"/>
      <c r="Y3" s="118" t="s">
        <v>225</v>
      </c>
      <c r="Z3" s="119"/>
      <c r="AA3" s="119"/>
      <c r="AB3" s="119"/>
      <c r="AC3" s="119"/>
      <c r="AD3" s="119"/>
      <c r="AE3" s="119"/>
    </row>
    <row r="4" spans="1:55" s="98" customFormat="1" ht="13.5" customHeight="1">
      <c r="A4" s="111" t="s">
        <v>307</v>
      </c>
      <c r="B4" s="111"/>
      <c r="C4" s="111"/>
      <c r="D4" s="111"/>
      <c r="E4" s="111"/>
      <c r="F4" s="111" t="str">
        <f>IF(No.1!F4="","",No.1!F4)</f>
        <v/>
      </c>
      <c r="G4" s="111"/>
      <c r="H4" s="111"/>
      <c r="I4" s="111" t="str">
        <f>IF(No.1!I4="","",No.1!I4)</f>
        <v/>
      </c>
      <c r="J4" s="111"/>
      <c r="K4" s="111"/>
      <c r="L4" s="111"/>
      <c r="M4" s="111"/>
      <c r="N4" s="111"/>
      <c r="O4" s="111"/>
      <c r="P4" s="112"/>
      <c r="Q4" s="112"/>
      <c r="R4" s="112"/>
      <c r="T4" s="99" t="str">
        <f>IF(No.1!T4="","",No.1!T4)</f>
        <v/>
      </c>
      <c r="U4" s="120" t="str">
        <f>IF(No.1!U4="","",No.1!U4)</f>
        <v/>
      </c>
      <c r="V4" s="120"/>
      <c r="W4" s="120"/>
      <c r="X4" s="120"/>
      <c r="Y4" s="99" t="str">
        <f>IF(No.1!Y4="","",No.1!Y4)</f>
        <v/>
      </c>
      <c r="Z4" s="121" t="str">
        <f>IF(No.1!Z4="","",No.1!Z4)</f>
        <v/>
      </c>
      <c r="AA4" s="119"/>
      <c r="AB4" s="119"/>
      <c r="AC4" s="119"/>
      <c r="AD4" s="119"/>
      <c r="AE4" s="119"/>
    </row>
    <row r="5" spans="1:55" s="98" customFormat="1" ht="13.5" customHeight="1">
      <c r="A5" s="111" t="s">
        <v>193</v>
      </c>
      <c r="B5" s="111"/>
      <c r="C5" s="111"/>
      <c r="D5" s="111"/>
      <c r="E5" s="111"/>
      <c r="F5" s="111" t="str">
        <f>IF(No.1!F5="","",No.1!F5)</f>
        <v/>
      </c>
      <c r="G5" s="111"/>
      <c r="H5" s="111"/>
      <c r="I5" s="111" t="str">
        <f>IF(No.1!I5="","",No.1!I5)</f>
        <v/>
      </c>
      <c r="J5" s="111"/>
      <c r="K5" s="111"/>
      <c r="L5" s="111"/>
      <c r="M5" s="111"/>
      <c r="N5" s="111"/>
      <c r="O5" s="111"/>
      <c r="P5" s="112"/>
      <c r="Q5" s="112"/>
      <c r="R5" s="112"/>
    </row>
    <row r="6" spans="1:55" s="98" customFormat="1" ht="13.5" customHeight="1">
      <c r="A6" s="100"/>
      <c r="H6" s="101"/>
    </row>
    <row r="7" spans="1:55" ht="13.5" customHeight="1">
      <c r="A7" s="16" t="s">
        <v>164</v>
      </c>
      <c r="B7" s="22"/>
      <c r="C7" s="22"/>
      <c r="D7" s="22"/>
      <c r="E7" s="22"/>
      <c r="F7" s="22"/>
      <c r="G7" s="22"/>
      <c r="H7" s="22"/>
      <c r="I7" s="22"/>
      <c r="J7" s="15"/>
      <c r="K7" s="15"/>
      <c r="L7" s="15"/>
      <c r="M7" s="15"/>
      <c r="N7" s="15"/>
      <c r="O7" s="15"/>
      <c r="P7" s="18"/>
      <c r="Q7" s="18"/>
      <c r="R7" s="18"/>
      <c r="S7" s="18"/>
      <c r="T7" s="18"/>
      <c r="U7" s="18"/>
      <c r="V7" s="18"/>
      <c r="W7" s="18"/>
      <c r="X7" s="18"/>
      <c r="Y7" s="18"/>
      <c r="AP7" s="19"/>
      <c r="AQ7" s="19"/>
      <c r="AR7" s="19"/>
      <c r="AS7" s="19"/>
    </row>
    <row r="8" spans="1:55" ht="13.5" customHeight="1">
      <c r="A8" s="110" t="s">
        <v>306</v>
      </c>
      <c r="B8" s="52"/>
      <c r="C8" s="52"/>
      <c r="D8" s="52"/>
      <c r="E8" s="52"/>
      <c r="F8" s="52"/>
      <c r="G8" s="52"/>
      <c r="H8" s="53"/>
      <c r="I8" s="53"/>
      <c r="J8" s="53"/>
      <c r="K8" s="53"/>
      <c r="L8" s="53"/>
      <c r="M8" s="53"/>
      <c r="N8" s="48"/>
      <c r="O8" s="48"/>
      <c r="P8" s="48"/>
      <c r="Q8" s="48"/>
      <c r="R8" s="48"/>
      <c r="S8" s="48"/>
      <c r="T8" s="48"/>
      <c r="U8" s="48"/>
      <c r="V8" s="48"/>
      <c r="W8" s="48"/>
      <c r="X8" s="54"/>
      <c r="Y8" s="54"/>
      <c r="Z8" s="54"/>
      <c r="AA8" s="54"/>
      <c r="AB8" s="54"/>
      <c r="AC8" s="54"/>
      <c r="AD8" s="54"/>
      <c r="AE8" s="55" t="s">
        <v>129</v>
      </c>
      <c r="AF8" s="48"/>
      <c r="AG8" s="48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</row>
    <row r="9" spans="1:55" ht="13.5" customHeight="1">
      <c r="A9" s="225"/>
      <c r="B9" s="226"/>
      <c r="C9" s="226"/>
      <c r="D9" s="226"/>
      <c r="E9" s="226"/>
      <c r="F9" s="226"/>
      <c r="G9" s="227"/>
      <c r="H9" s="557" t="s">
        <v>203</v>
      </c>
      <c r="I9" s="558"/>
      <c r="J9" s="558"/>
      <c r="K9" s="558"/>
      <c r="L9" s="558"/>
      <c r="M9" s="558"/>
      <c r="N9" s="558"/>
      <c r="O9" s="559"/>
      <c r="P9" s="557" t="s">
        <v>204</v>
      </c>
      <c r="Q9" s="558"/>
      <c r="R9" s="558"/>
      <c r="S9" s="558"/>
      <c r="T9" s="558"/>
      <c r="U9" s="558"/>
      <c r="V9" s="558"/>
      <c r="W9" s="559"/>
      <c r="X9" s="558" t="s">
        <v>205</v>
      </c>
      <c r="Y9" s="558"/>
      <c r="Z9" s="558"/>
      <c r="AA9" s="558"/>
      <c r="AB9" s="558"/>
      <c r="AC9" s="558"/>
      <c r="AD9" s="558"/>
      <c r="AE9" s="559"/>
      <c r="AF9" s="84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spans="1:55" ht="13.5" customHeight="1">
      <c r="A10" s="228"/>
      <c r="B10" s="229"/>
      <c r="C10" s="229"/>
      <c r="D10" s="229"/>
      <c r="E10" s="229"/>
      <c r="F10" s="229"/>
      <c r="G10" s="230"/>
      <c r="H10" s="125" t="s">
        <v>192</v>
      </c>
      <c r="I10" s="123"/>
      <c r="J10" s="126"/>
      <c r="K10" s="122" t="s">
        <v>208</v>
      </c>
      <c r="L10" s="123"/>
      <c r="M10" s="126"/>
      <c r="N10" s="560" t="s">
        <v>5</v>
      </c>
      <c r="O10" s="561"/>
      <c r="P10" s="125" t="s">
        <v>192</v>
      </c>
      <c r="Q10" s="123"/>
      <c r="R10" s="126"/>
      <c r="S10" s="122" t="s">
        <v>208</v>
      </c>
      <c r="T10" s="123"/>
      <c r="U10" s="126"/>
      <c r="V10" s="560" t="s">
        <v>5</v>
      </c>
      <c r="W10" s="561"/>
      <c r="X10" s="125" t="s">
        <v>192</v>
      </c>
      <c r="Y10" s="123"/>
      <c r="Z10" s="126"/>
      <c r="AA10" s="122" t="s">
        <v>208</v>
      </c>
      <c r="AB10" s="123"/>
      <c r="AC10" s="126"/>
      <c r="AD10" s="560" t="s">
        <v>5</v>
      </c>
      <c r="AE10" s="561"/>
      <c r="AF10" s="81"/>
      <c r="AG10" s="76"/>
      <c r="AH10" s="76"/>
      <c r="AI10" s="76"/>
      <c r="AJ10" s="76"/>
      <c r="AK10" s="76"/>
      <c r="AL10" s="82"/>
      <c r="AM10" s="82"/>
      <c r="AN10" s="83"/>
      <c r="AO10" s="76"/>
      <c r="AP10" s="76"/>
      <c r="AQ10" s="76"/>
      <c r="AR10" s="76"/>
      <c r="AS10" s="76"/>
      <c r="AT10" s="82"/>
      <c r="AU10" s="82"/>
      <c r="AV10" s="83"/>
      <c r="AW10" s="76"/>
      <c r="AX10" s="76"/>
      <c r="AY10" s="76"/>
      <c r="AZ10" s="76"/>
      <c r="BA10" s="76"/>
      <c r="BB10" s="82"/>
      <c r="BC10" s="82"/>
    </row>
    <row r="11" spans="1:55" ht="13.5" customHeight="1">
      <c r="A11" s="585" t="s">
        <v>130</v>
      </c>
      <c r="B11" s="586"/>
      <c r="C11" s="586"/>
      <c r="D11" s="586"/>
      <c r="E11" s="586"/>
      <c r="F11" s="586"/>
      <c r="G11" s="587"/>
      <c r="H11" s="550"/>
      <c r="I11" s="345"/>
      <c r="J11" s="346"/>
      <c r="K11" s="344"/>
      <c r="L11" s="345"/>
      <c r="M11" s="346"/>
      <c r="N11" s="534" t="str">
        <f>IF(H11="-", "-", IF(K11="-", "-", IF(ABS(K11)=0, "-", ROUND(100*(H11-K11)/ABS(K11),1))))</f>
        <v>-</v>
      </c>
      <c r="O11" s="535"/>
      <c r="P11" s="550"/>
      <c r="Q11" s="345"/>
      <c r="R11" s="346"/>
      <c r="S11" s="344"/>
      <c r="T11" s="345"/>
      <c r="U11" s="346"/>
      <c r="V11" s="534" t="str">
        <f>IF(P11="-", "-", IF(S11="-", "-", IF(ABS(S11)=0, "-", ROUND(100*(P11-S11)/ABS(S11),1))))</f>
        <v>-</v>
      </c>
      <c r="W11" s="535"/>
      <c r="X11" s="550"/>
      <c r="Y11" s="345"/>
      <c r="Z11" s="346"/>
      <c r="AA11" s="344"/>
      <c r="AB11" s="345"/>
      <c r="AC11" s="346"/>
      <c r="AD11" s="534" t="str">
        <f>IF(X11="-", "-", IF(AA11="-", "-", IF(ABS(AA11)=0, "-", ROUND(100*(X11-AA11)/ABS(AA11),1))))</f>
        <v>-</v>
      </c>
      <c r="AE11" s="535"/>
      <c r="AF11" s="80"/>
      <c r="AG11" s="79"/>
      <c r="AH11" s="79"/>
      <c r="AI11" s="78"/>
      <c r="AJ11" s="78"/>
      <c r="AK11" s="78"/>
      <c r="AL11" s="78"/>
      <c r="AM11" s="78"/>
      <c r="AN11" s="79"/>
      <c r="AO11" s="79"/>
      <c r="AP11" s="79"/>
      <c r="AQ11" s="78"/>
      <c r="AR11" s="78"/>
      <c r="AS11" s="78"/>
      <c r="AT11" s="78"/>
      <c r="AU11" s="78"/>
      <c r="AV11" s="79"/>
      <c r="AW11" s="79"/>
      <c r="AX11" s="79"/>
      <c r="AY11" s="78"/>
      <c r="AZ11" s="78"/>
      <c r="BA11" s="78"/>
      <c r="BB11" s="78"/>
      <c r="BC11" s="78"/>
    </row>
    <row r="12" spans="1:55" ht="13.5" customHeight="1">
      <c r="A12" s="94"/>
      <c r="B12" s="591" t="s">
        <v>131</v>
      </c>
      <c r="C12" s="592"/>
      <c r="D12" s="592"/>
      <c r="E12" s="592"/>
      <c r="F12" s="592"/>
      <c r="G12" s="593"/>
      <c r="H12" s="562"/>
      <c r="I12" s="351"/>
      <c r="J12" s="352"/>
      <c r="K12" s="350"/>
      <c r="L12" s="351"/>
      <c r="M12" s="352"/>
      <c r="N12" s="165" t="str">
        <f t="shared" ref="N12:N20" si="0">IF(H12="-", "-", IF(K12="-", "-", IF(ABS(K12)=0, "-", ROUND(100*(H12-K12)/ABS(K12),1))))</f>
        <v>-</v>
      </c>
      <c r="O12" s="167"/>
      <c r="P12" s="562"/>
      <c r="Q12" s="351"/>
      <c r="R12" s="352"/>
      <c r="S12" s="350"/>
      <c r="T12" s="351"/>
      <c r="U12" s="352"/>
      <c r="V12" s="165" t="str">
        <f t="shared" ref="V12:V20" si="1">IF(P12="-", "-", IF(S12="-", "-", IF(ABS(S12)=0, "-", ROUND(100*(P12-S12)/ABS(S12),1))))</f>
        <v>-</v>
      </c>
      <c r="W12" s="167"/>
      <c r="X12" s="562"/>
      <c r="Y12" s="351"/>
      <c r="Z12" s="352"/>
      <c r="AA12" s="350"/>
      <c r="AB12" s="351"/>
      <c r="AC12" s="352"/>
      <c r="AD12" s="165" t="str">
        <f t="shared" ref="AD12:AD20" si="2">IF(X12="-", "-", IF(AA12="-", "-", IF(ABS(AA12)=0, "-", ROUND(100*(X12-AA12)/ABS(AA12),1))))</f>
        <v>-</v>
      </c>
      <c r="AE12" s="167"/>
      <c r="AF12" s="80"/>
      <c r="AG12" s="79"/>
      <c r="AH12" s="79"/>
      <c r="AI12" s="78"/>
      <c r="AJ12" s="78"/>
      <c r="AK12" s="78"/>
      <c r="AL12" s="78"/>
      <c r="AM12" s="78"/>
      <c r="AN12" s="79"/>
      <c r="AO12" s="79"/>
      <c r="AP12" s="79"/>
      <c r="AQ12" s="78"/>
      <c r="AR12" s="78"/>
      <c r="AS12" s="78"/>
      <c r="AT12" s="78"/>
      <c r="AU12" s="78"/>
      <c r="AV12" s="79"/>
      <c r="AW12" s="79"/>
      <c r="AX12" s="79"/>
      <c r="AY12" s="78"/>
      <c r="AZ12" s="78"/>
      <c r="BA12" s="78"/>
      <c r="BB12" s="78"/>
      <c r="BC12" s="78"/>
    </row>
    <row r="13" spans="1:55" ht="13.5" customHeight="1">
      <c r="A13" s="94"/>
      <c r="B13" s="588" t="s">
        <v>132</v>
      </c>
      <c r="C13" s="589"/>
      <c r="D13" s="589"/>
      <c r="E13" s="589"/>
      <c r="F13" s="589"/>
      <c r="G13" s="590"/>
      <c r="H13" s="562"/>
      <c r="I13" s="351"/>
      <c r="J13" s="352"/>
      <c r="K13" s="350"/>
      <c r="L13" s="351"/>
      <c r="M13" s="352"/>
      <c r="N13" s="165" t="str">
        <f t="shared" si="0"/>
        <v>-</v>
      </c>
      <c r="O13" s="167"/>
      <c r="P13" s="562"/>
      <c r="Q13" s="351"/>
      <c r="R13" s="352"/>
      <c r="S13" s="350"/>
      <c r="T13" s="351"/>
      <c r="U13" s="352"/>
      <c r="V13" s="165" t="str">
        <f t="shared" si="1"/>
        <v>-</v>
      </c>
      <c r="W13" s="167"/>
      <c r="X13" s="562"/>
      <c r="Y13" s="351"/>
      <c r="Z13" s="352"/>
      <c r="AA13" s="350"/>
      <c r="AB13" s="351"/>
      <c r="AC13" s="352"/>
      <c r="AD13" s="165" t="str">
        <f t="shared" si="2"/>
        <v>-</v>
      </c>
      <c r="AE13" s="167"/>
      <c r="AF13" s="80"/>
      <c r="AG13" s="79"/>
      <c r="AH13" s="79"/>
      <c r="AI13" s="78"/>
      <c r="AJ13" s="78"/>
      <c r="AK13" s="78"/>
      <c r="AL13" s="78"/>
      <c r="AM13" s="78"/>
      <c r="AN13" s="79"/>
      <c r="AO13" s="79"/>
      <c r="AP13" s="79"/>
      <c r="AQ13" s="78"/>
      <c r="AR13" s="78"/>
      <c r="AS13" s="78"/>
      <c r="AT13" s="78"/>
      <c r="AU13" s="78"/>
      <c r="AV13" s="79"/>
      <c r="AW13" s="79"/>
      <c r="AX13" s="79"/>
      <c r="AY13" s="78"/>
      <c r="AZ13" s="78"/>
      <c r="BA13" s="78"/>
      <c r="BB13" s="78"/>
      <c r="BC13" s="78"/>
    </row>
    <row r="14" spans="1:55" ht="13.5" customHeight="1">
      <c r="A14" s="94"/>
      <c r="B14" s="579" t="s">
        <v>72</v>
      </c>
      <c r="C14" s="580"/>
      <c r="D14" s="580"/>
      <c r="E14" s="580"/>
      <c r="F14" s="580"/>
      <c r="G14" s="581"/>
      <c r="H14" s="546"/>
      <c r="I14" s="547"/>
      <c r="J14" s="548"/>
      <c r="K14" s="549"/>
      <c r="L14" s="547"/>
      <c r="M14" s="548"/>
      <c r="N14" s="136" t="str">
        <f t="shared" si="0"/>
        <v>-</v>
      </c>
      <c r="O14" s="138"/>
      <c r="P14" s="546"/>
      <c r="Q14" s="547"/>
      <c r="R14" s="548"/>
      <c r="S14" s="549"/>
      <c r="T14" s="547"/>
      <c r="U14" s="548"/>
      <c r="V14" s="136" t="str">
        <f t="shared" si="1"/>
        <v>-</v>
      </c>
      <c r="W14" s="138"/>
      <c r="X14" s="562"/>
      <c r="Y14" s="351"/>
      <c r="Z14" s="352"/>
      <c r="AA14" s="549"/>
      <c r="AB14" s="547"/>
      <c r="AC14" s="548"/>
      <c r="AD14" s="136" t="str">
        <f t="shared" si="2"/>
        <v>-</v>
      </c>
      <c r="AE14" s="138"/>
      <c r="AF14" s="80"/>
      <c r="AG14" s="79"/>
      <c r="AH14" s="79"/>
      <c r="AI14" s="78"/>
      <c r="AJ14" s="78"/>
      <c r="AK14" s="78"/>
      <c r="AL14" s="78"/>
      <c r="AM14" s="78"/>
      <c r="AN14" s="79"/>
      <c r="AO14" s="79"/>
      <c r="AP14" s="79"/>
      <c r="AQ14" s="78"/>
      <c r="AR14" s="78"/>
      <c r="AS14" s="78"/>
      <c r="AT14" s="78"/>
      <c r="AU14" s="78"/>
      <c r="AV14" s="79"/>
      <c r="AW14" s="79"/>
      <c r="AX14" s="79"/>
      <c r="AY14" s="78"/>
      <c r="AZ14" s="78"/>
      <c r="BA14" s="78"/>
      <c r="BB14" s="78"/>
      <c r="BC14" s="78"/>
    </row>
    <row r="15" spans="1:55" ht="13.5" customHeight="1">
      <c r="A15" s="566" t="s">
        <v>133</v>
      </c>
      <c r="B15" s="567"/>
      <c r="C15" s="567"/>
      <c r="D15" s="567"/>
      <c r="E15" s="567"/>
      <c r="F15" s="567"/>
      <c r="G15" s="568"/>
      <c r="H15" s="550"/>
      <c r="I15" s="345"/>
      <c r="J15" s="346"/>
      <c r="K15" s="563"/>
      <c r="L15" s="564"/>
      <c r="M15" s="565"/>
      <c r="N15" s="240" t="str">
        <f t="shared" si="0"/>
        <v>-</v>
      </c>
      <c r="O15" s="242"/>
      <c r="P15" s="550"/>
      <c r="Q15" s="345"/>
      <c r="R15" s="346"/>
      <c r="S15" s="563"/>
      <c r="T15" s="564"/>
      <c r="U15" s="565"/>
      <c r="V15" s="240" t="str">
        <f t="shared" si="1"/>
        <v>-</v>
      </c>
      <c r="W15" s="242"/>
      <c r="X15" s="550"/>
      <c r="Y15" s="345"/>
      <c r="Z15" s="346"/>
      <c r="AA15" s="563"/>
      <c r="AB15" s="564"/>
      <c r="AC15" s="565"/>
      <c r="AD15" s="240" t="str">
        <f t="shared" si="2"/>
        <v>-</v>
      </c>
      <c r="AE15" s="242"/>
      <c r="AF15" s="80"/>
      <c r="AG15" s="79"/>
      <c r="AH15" s="79"/>
      <c r="AI15" s="78"/>
      <c r="AJ15" s="78"/>
      <c r="AK15" s="78"/>
      <c r="AL15" s="78"/>
      <c r="AM15" s="78"/>
      <c r="AN15" s="79"/>
      <c r="AO15" s="79"/>
      <c r="AP15" s="79"/>
      <c r="AQ15" s="78"/>
      <c r="AR15" s="78"/>
      <c r="AS15" s="78"/>
      <c r="AT15" s="78"/>
      <c r="AU15" s="78"/>
      <c r="AV15" s="79"/>
      <c r="AW15" s="79"/>
      <c r="AX15" s="79"/>
      <c r="AY15" s="78"/>
      <c r="AZ15" s="78"/>
      <c r="BA15" s="78"/>
      <c r="BB15" s="78"/>
      <c r="BC15" s="78"/>
    </row>
    <row r="16" spans="1:55" ht="13.5" customHeight="1">
      <c r="A16" s="582" t="s">
        <v>206</v>
      </c>
      <c r="B16" s="583"/>
      <c r="C16" s="583"/>
      <c r="D16" s="583"/>
      <c r="E16" s="583"/>
      <c r="F16" s="583"/>
      <c r="G16" s="584"/>
      <c r="H16" s="575"/>
      <c r="I16" s="576"/>
      <c r="J16" s="577"/>
      <c r="K16" s="578"/>
      <c r="L16" s="576"/>
      <c r="M16" s="577"/>
      <c r="N16" s="240" t="str">
        <f t="shared" si="0"/>
        <v>-</v>
      </c>
      <c r="O16" s="242"/>
      <c r="P16" s="575"/>
      <c r="Q16" s="576"/>
      <c r="R16" s="577"/>
      <c r="S16" s="578"/>
      <c r="T16" s="576"/>
      <c r="U16" s="577"/>
      <c r="V16" s="240" t="str">
        <f t="shared" si="1"/>
        <v>-</v>
      </c>
      <c r="W16" s="242"/>
      <c r="X16" s="575"/>
      <c r="Y16" s="576"/>
      <c r="Z16" s="577"/>
      <c r="AA16" s="578"/>
      <c r="AB16" s="576"/>
      <c r="AC16" s="577"/>
      <c r="AD16" s="240" t="str">
        <f t="shared" si="2"/>
        <v>-</v>
      </c>
      <c r="AE16" s="242"/>
      <c r="AF16" s="80"/>
      <c r="AG16" s="79"/>
      <c r="AH16" s="79"/>
      <c r="AI16" s="78"/>
      <c r="AJ16" s="78"/>
      <c r="AK16" s="78"/>
      <c r="AL16" s="78"/>
      <c r="AM16" s="78"/>
      <c r="AN16" s="79"/>
      <c r="AO16" s="79"/>
      <c r="AP16" s="79"/>
      <c r="AQ16" s="78"/>
      <c r="AR16" s="78"/>
      <c r="AS16" s="78"/>
      <c r="AT16" s="78"/>
      <c r="AU16" s="78"/>
      <c r="AV16" s="79"/>
      <c r="AW16" s="79"/>
      <c r="AX16" s="79"/>
      <c r="AY16" s="78"/>
      <c r="AZ16" s="78"/>
      <c r="BA16" s="78"/>
      <c r="BB16" s="78"/>
      <c r="BC16" s="78"/>
    </row>
    <row r="17" spans="1:55" ht="13.5" customHeight="1">
      <c r="A17" s="566" t="s">
        <v>21</v>
      </c>
      <c r="B17" s="567"/>
      <c r="C17" s="567"/>
      <c r="D17" s="567"/>
      <c r="E17" s="567"/>
      <c r="F17" s="567"/>
      <c r="G17" s="568"/>
      <c r="H17" s="533"/>
      <c r="I17" s="471"/>
      <c r="J17" s="472"/>
      <c r="K17" s="569"/>
      <c r="L17" s="570"/>
      <c r="M17" s="145"/>
      <c r="N17" s="534" t="str">
        <f t="shared" si="0"/>
        <v>-</v>
      </c>
      <c r="O17" s="535"/>
      <c r="P17" s="571"/>
      <c r="Q17" s="572"/>
      <c r="R17" s="573"/>
      <c r="S17" s="574"/>
      <c r="T17" s="572"/>
      <c r="U17" s="573"/>
      <c r="V17" s="534" t="str">
        <f t="shared" si="1"/>
        <v>-</v>
      </c>
      <c r="W17" s="535"/>
      <c r="X17" s="571"/>
      <c r="Y17" s="572"/>
      <c r="Z17" s="573"/>
      <c r="AA17" s="574"/>
      <c r="AB17" s="572"/>
      <c r="AC17" s="573"/>
      <c r="AD17" s="534" t="str">
        <f t="shared" si="2"/>
        <v>-</v>
      </c>
      <c r="AE17" s="535"/>
      <c r="AF17" s="80"/>
      <c r="AG17" s="79"/>
      <c r="AH17" s="79"/>
      <c r="AI17" s="78"/>
      <c r="AJ17" s="78"/>
      <c r="AK17" s="78"/>
      <c r="AL17" s="78"/>
      <c r="AM17" s="78"/>
      <c r="AN17" s="79"/>
      <c r="AO17" s="79"/>
      <c r="AP17" s="79"/>
      <c r="AQ17" s="78"/>
      <c r="AR17" s="78"/>
      <c r="AS17" s="78"/>
      <c r="AT17" s="78"/>
      <c r="AU17" s="78"/>
      <c r="AV17" s="79"/>
      <c r="AW17" s="79"/>
      <c r="AX17" s="79"/>
      <c r="AY17" s="78"/>
      <c r="AZ17" s="78"/>
      <c r="BA17" s="78"/>
      <c r="BB17" s="78"/>
      <c r="BC17" s="78"/>
    </row>
    <row r="18" spans="1:55" ht="13.5" customHeight="1">
      <c r="A18" s="68"/>
      <c r="B18" s="594" t="s">
        <v>22</v>
      </c>
      <c r="C18" s="595"/>
      <c r="D18" s="595"/>
      <c r="E18" s="595"/>
      <c r="F18" s="595"/>
      <c r="G18" s="596"/>
      <c r="H18" s="454"/>
      <c r="I18" s="455"/>
      <c r="J18" s="456"/>
      <c r="K18" s="536"/>
      <c r="L18" s="455"/>
      <c r="M18" s="456"/>
      <c r="N18" s="165" t="str">
        <f t="shared" si="0"/>
        <v>-</v>
      </c>
      <c r="O18" s="167"/>
      <c r="P18" s="454"/>
      <c r="Q18" s="455"/>
      <c r="R18" s="456"/>
      <c r="S18" s="536"/>
      <c r="T18" s="455"/>
      <c r="U18" s="456"/>
      <c r="V18" s="165" t="str">
        <f t="shared" si="1"/>
        <v>-</v>
      </c>
      <c r="W18" s="167"/>
      <c r="X18" s="454"/>
      <c r="Y18" s="455"/>
      <c r="Z18" s="456"/>
      <c r="AA18" s="536"/>
      <c r="AB18" s="455"/>
      <c r="AC18" s="456"/>
      <c r="AD18" s="165" t="str">
        <f t="shared" si="2"/>
        <v>-</v>
      </c>
      <c r="AE18" s="167"/>
      <c r="AF18" s="80"/>
      <c r="AG18" s="79"/>
      <c r="AH18" s="79"/>
      <c r="AI18" s="78"/>
      <c r="AJ18" s="78"/>
      <c r="AK18" s="78"/>
      <c r="AL18" s="78"/>
      <c r="AM18" s="78"/>
      <c r="AN18" s="79"/>
      <c r="AO18" s="79"/>
      <c r="AP18" s="79"/>
      <c r="AQ18" s="78"/>
      <c r="AR18" s="78"/>
      <c r="AS18" s="78"/>
      <c r="AT18" s="78"/>
      <c r="AU18" s="78"/>
      <c r="AV18" s="79"/>
      <c r="AW18" s="79"/>
      <c r="AX18" s="79"/>
      <c r="AY18" s="78"/>
      <c r="AZ18" s="78"/>
      <c r="BA18" s="78"/>
      <c r="BB18" s="78"/>
      <c r="BC18" s="78"/>
    </row>
    <row r="19" spans="1:55" ht="13.5" customHeight="1">
      <c r="A19" s="94"/>
      <c r="B19" s="69"/>
      <c r="C19" s="604" t="s">
        <v>132</v>
      </c>
      <c r="D19" s="605"/>
      <c r="E19" s="605"/>
      <c r="F19" s="605"/>
      <c r="G19" s="606"/>
      <c r="H19" s="454"/>
      <c r="I19" s="455"/>
      <c r="J19" s="456"/>
      <c r="K19" s="536"/>
      <c r="L19" s="455"/>
      <c r="M19" s="456"/>
      <c r="N19" s="165" t="str">
        <f t="shared" si="0"/>
        <v>-</v>
      </c>
      <c r="O19" s="167"/>
      <c r="P19" s="597"/>
      <c r="Q19" s="598"/>
      <c r="R19" s="599"/>
      <c r="S19" s="600"/>
      <c r="T19" s="601"/>
      <c r="U19" s="602"/>
      <c r="V19" s="600"/>
      <c r="W19" s="603"/>
      <c r="X19" s="597"/>
      <c r="Y19" s="598"/>
      <c r="Z19" s="599"/>
      <c r="AA19" s="600"/>
      <c r="AB19" s="601"/>
      <c r="AC19" s="602"/>
      <c r="AD19" s="600"/>
      <c r="AE19" s="603"/>
      <c r="AF19" s="80"/>
      <c r="AG19" s="79"/>
      <c r="AH19" s="79"/>
      <c r="AI19" s="78"/>
      <c r="AJ19" s="78"/>
      <c r="AK19" s="78"/>
      <c r="AL19" s="78"/>
      <c r="AM19" s="78"/>
      <c r="AN19" s="79"/>
      <c r="AO19" s="79"/>
      <c r="AP19" s="79"/>
      <c r="AQ19" s="78"/>
      <c r="AR19" s="78"/>
      <c r="AS19" s="78"/>
      <c r="AT19" s="78"/>
      <c r="AU19" s="78"/>
      <c r="AV19" s="79"/>
      <c r="AW19" s="79"/>
      <c r="AX19" s="79"/>
      <c r="AY19" s="78"/>
      <c r="AZ19" s="78"/>
      <c r="BA19" s="78"/>
      <c r="BB19" s="78"/>
      <c r="BC19" s="78"/>
    </row>
    <row r="20" spans="1:55" ht="13.5" customHeight="1">
      <c r="A20" s="70"/>
      <c r="B20" s="579" t="s">
        <v>23</v>
      </c>
      <c r="C20" s="580"/>
      <c r="D20" s="580"/>
      <c r="E20" s="580"/>
      <c r="F20" s="580"/>
      <c r="G20" s="581"/>
      <c r="H20" s="545"/>
      <c r="I20" s="480"/>
      <c r="J20" s="481"/>
      <c r="K20" s="479"/>
      <c r="L20" s="480"/>
      <c r="M20" s="481"/>
      <c r="N20" s="457" t="str">
        <f t="shared" si="0"/>
        <v>-</v>
      </c>
      <c r="O20" s="459"/>
      <c r="P20" s="545"/>
      <c r="Q20" s="480"/>
      <c r="R20" s="481"/>
      <c r="S20" s="479"/>
      <c r="T20" s="480"/>
      <c r="U20" s="481"/>
      <c r="V20" s="457" t="str">
        <f t="shared" si="1"/>
        <v>-</v>
      </c>
      <c r="W20" s="459"/>
      <c r="X20" s="545"/>
      <c r="Y20" s="480"/>
      <c r="Z20" s="481"/>
      <c r="AA20" s="479"/>
      <c r="AB20" s="480"/>
      <c r="AC20" s="481"/>
      <c r="AD20" s="457" t="str">
        <f t="shared" si="2"/>
        <v>-</v>
      </c>
      <c r="AE20" s="459"/>
      <c r="AF20" s="80"/>
      <c r="AG20" s="79"/>
      <c r="AH20" s="79"/>
      <c r="AI20" s="78"/>
      <c r="AJ20" s="78"/>
      <c r="AK20" s="78"/>
      <c r="AL20" s="78"/>
      <c r="AM20" s="78"/>
      <c r="AN20" s="79"/>
      <c r="AO20" s="79"/>
      <c r="AP20" s="79"/>
      <c r="AQ20" s="78"/>
      <c r="AR20" s="78"/>
      <c r="AS20" s="78"/>
      <c r="AT20" s="78"/>
      <c r="AU20" s="78"/>
      <c r="AV20" s="79"/>
      <c r="AW20" s="79"/>
      <c r="AX20" s="79"/>
      <c r="AY20" s="78"/>
      <c r="AZ20" s="78"/>
      <c r="BA20" s="78"/>
      <c r="BB20" s="78"/>
      <c r="BC20" s="78"/>
    </row>
    <row r="21" spans="1:55" ht="13.5" customHeight="1">
      <c r="A21" s="95"/>
      <c r="B21" s="52"/>
      <c r="C21" s="52"/>
      <c r="D21" s="52"/>
      <c r="E21" s="52"/>
      <c r="F21" s="52"/>
      <c r="G21" s="52"/>
      <c r="H21" s="56"/>
      <c r="I21" s="56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79"/>
      <c r="AG21" s="79"/>
      <c r="AH21" s="79"/>
      <c r="AI21" s="78"/>
      <c r="AJ21" s="78"/>
      <c r="AK21" s="78"/>
      <c r="AL21" s="78"/>
      <c r="AM21" s="78"/>
      <c r="AN21" s="79"/>
      <c r="AO21" s="79"/>
      <c r="AP21" s="79"/>
      <c r="AQ21" s="78"/>
      <c r="AR21" s="78"/>
      <c r="AS21" s="78"/>
      <c r="AT21" s="78"/>
      <c r="AU21" s="78"/>
      <c r="AV21" s="79"/>
      <c r="AW21" s="79"/>
      <c r="AX21" s="79"/>
      <c r="AY21" s="78"/>
      <c r="AZ21" s="78"/>
      <c r="BA21" s="78"/>
      <c r="BB21" s="78"/>
      <c r="BC21" s="78"/>
    </row>
    <row r="22" spans="1:55" ht="13.5" customHeight="1">
      <c r="A22" s="95"/>
      <c r="B22" s="95"/>
      <c r="C22" s="82"/>
      <c r="D22" s="82"/>
      <c r="E22" s="82"/>
      <c r="F22" s="82"/>
      <c r="G22" s="82"/>
      <c r="H22" s="79"/>
      <c r="I22" s="79"/>
      <c r="J22" s="79"/>
      <c r="K22" s="78"/>
      <c r="L22" s="78"/>
      <c r="M22" s="78"/>
      <c r="N22" s="78"/>
      <c r="O22" s="78"/>
      <c r="P22" s="79"/>
      <c r="Q22" s="79"/>
      <c r="R22" s="79"/>
      <c r="S22" s="78"/>
      <c r="T22" s="78"/>
      <c r="U22" s="78"/>
      <c r="V22" s="78"/>
      <c r="W22" s="78"/>
      <c r="X22" s="79"/>
      <c r="Y22" s="79"/>
      <c r="Z22" s="79"/>
      <c r="AA22" s="78"/>
      <c r="AB22" s="78"/>
      <c r="AC22" s="78"/>
      <c r="AD22" s="78"/>
      <c r="AE22" s="78"/>
      <c r="AF22" s="79"/>
      <c r="AG22" s="79"/>
      <c r="AH22" s="79"/>
      <c r="AI22" s="78"/>
      <c r="AJ22" s="78"/>
      <c r="AK22" s="78"/>
      <c r="AL22" s="78"/>
      <c r="AM22" s="78"/>
      <c r="AN22" s="79"/>
      <c r="AO22" s="79"/>
      <c r="AP22" s="79"/>
      <c r="AQ22" s="78"/>
      <c r="AR22" s="78"/>
      <c r="AS22" s="78"/>
      <c r="AT22" s="78"/>
      <c r="AU22" s="78"/>
      <c r="AV22" s="79"/>
      <c r="AW22" s="79"/>
      <c r="AX22" s="79"/>
      <c r="AY22" s="78"/>
      <c r="AZ22" s="78"/>
      <c r="BA22" s="78"/>
      <c r="BB22" s="78"/>
      <c r="BC22" s="78"/>
    </row>
    <row r="23" spans="1:55" ht="13.5" customHeight="1">
      <c r="A23" s="110" t="s">
        <v>308</v>
      </c>
      <c r="B23" s="51"/>
      <c r="C23" s="51"/>
      <c r="D23" s="51"/>
      <c r="E23" s="51"/>
      <c r="F23" s="51"/>
      <c r="G23" s="51"/>
      <c r="H23" s="58"/>
      <c r="I23" s="58"/>
      <c r="J23" s="58"/>
      <c r="K23" s="58"/>
      <c r="L23" s="58"/>
      <c r="M23" s="58"/>
      <c r="N23" s="59"/>
      <c r="O23" s="59"/>
      <c r="P23" s="58"/>
      <c r="Q23" s="58"/>
      <c r="R23" s="58"/>
      <c r="S23" s="58"/>
      <c r="T23" s="58"/>
      <c r="U23" s="58"/>
      <c r="V23" s="59"/>
      <c r="W23" s="59"/>
      <c r="X23" s="58"/>
      <c r="Y23" s="58"/>
      <c r="Z23" s="58"/>
      <c r="AA23" s="58"/>
      <c r="AB23" s="58"/>
      <c r="AC23" s="58"/>
      <c r="AD23" s="59"/>
      <c r="AE23" s="55" t="s">
        <v>129</v>
      </c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</row>
    <row r="24" spans="1:55" ht="13.5" customHeight="1">
      <c r="A24" s="551"/>
      <c r="B24" s="552"/>
      <c r="C24" s="552"/>
      <c r="D24" s="552"/>
      <c r="E24" s="552"/>
      <c r="F24" s="552"/>
      <c r="G24" s="553"/>
      <c r="H24" s="557" t="s">
        <v>305</v>
      </c>
      <c r="I24" s="558"/>
      <c r="J24" s="558"/>
      <c r="K24" s="558"/>
      <c r="L24" s="558"/>
      <c r="M24" s="558"/>
      <c r="N24" s="558"/>
      <c r="O24" s="559"/>
      <c r="P24" s="557" t="s">
        <v>138</v>
      </c>
      <c r="Q24" s="558"/>
      <c r="R24" s="558"/>
      <c r="S24" s="558"/>
      <c r="T24" s="558"/>
      <c r="U24" s="558"/>
      <c r="V24" s="558"/>
      <c r="W24" s="559"/>
      <c r="X24" s="557" t="s">
        <v>207</v>
      </c>
      <c r="Y24" s="558"/>
      <c r="Z24" s="558"/>
      <c r="AA24" s="558"/>
      <c r="AB24" s="558"/>
      <c r="AC24" s="558"/>
      <c r="AD24" s="558"/>
      <c r="AE24" s="559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</row>
    <row r="25" spans="1:55" ht="13.5" customHeight="1">
      <c r="A25" s="554"/>
      <c r="B25" s="555"/>
      <c r="C25" s="555"/>
      <c r="D25" s="555"/>
      <c r="E25" s="555"/>
      <c r="F25" s="555"/>
      <c r="G25" s="556"/>
      <c r="H25" s="125" t="s">
        <v>192</v>
      </c>
      <c r="I25" s="123"/>
      <c r="J25" s="126"/>
      <c r="K25" s="122" t="s">
        <v>208</v>
      </c>
      <c r="L25" s="123"/>
      <c r="M25" s="126"/>
      <c r="N25" s="560" t="s">
        <v>5</v>
      </c>
      <c r="O25" s="561"/>
      <c r="P25" s="125" t="s">
        <v>192</v>
      </c>
      <c r="Q25" s="123"/>
      <c r="R25" s="126"/>
      <c r="S25" s="122" t="s">
        <v>208</v>
      </c>
      <c r="T25" s="123"/>
      <c r="U25" s="126"/>
      <c r="V25" s="560" t="s">
        <v>5</v>
      </c>
      <c r="W25" s="561"/>
      <c r="X25" s="125" t="s">
        <v>192</v>
      </c>
      <c r="Y25" s="123"/>
      <c r="Z25" s="126"/>
      <c r="AA25" s="122" t="s">
        <v>208</v>
      </c>
      <c r="AB25" s="123"/>
      <c r="AC25" s="126"/>
      <c r="AD25" s="560" t="s">
        <v>5</v>
      </c>
      <c r="AE25" s="561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ht="13.5" customHeight="1">
      <c r="A26" s="529" t="s">
        <v>134</v>
      </c>
      <c r="B26" s="530"/>
      <c r="C26" s="530"/>
      <c r="D26" s="531"/>
      <c r="E26" s="531"/>
      <c r="F26" s="531"/>
      <c r="G26" s="532"/>
      <c r="H26" s="550"/>
      <c r="I26" s="345"/>
      <c r="J26" s="346"/>
      <c r="K26" s="344"/>
      <c r="L26" s="345"/>
      <c r="M26" s="346"/>
      <c r="N26" s="534" t="str">
        <f>IF(H26="-", "-", IF(K26="-", "-", IF(ABS(K26)=0, "-", ROUND(100*(H26-K26)/ABS(K26),1))))</f>
        <v>-</v>
      </c>
      <c r="O26" s="535"/>
      <c r="P26" s="607"/>
      <c r="Q26" s="608"/>
      <c r="R26" s="608"/>
      <c r="S26" s="611"/>
      <c r="T26" s="612"/>
      <c r="U26" s="613"/>
      <c r="V26" s="534" t="str">
        <f>IF(P26="-", "-", IF(S26="-", "-", IF(ABS(S26)=0, "-", ROUND(100*(P26-S26)/ABS(S26),1))))</f>
        <v>-</v>
      </c>
      <c r="W26" s="535"/>
      <c r="X26" s="533"/>
      <c r="Y26" s="471"/>
      <c r="Z26" s="472"/>
      <c r="AA26" s="470"/>
      <c r="AB26" s="471"/>
      <c r="AC26" s="472"/>
      <c r="AD26" s="534" t="str">
        <f>IF(X26="-", "-", IF(AA26="-", "-", IF(ABS(AA26)=0, "-", ROUND(100*(X26-AA26)/ABS(AA26),1))))</f>
        <v>-</v>
      </c>
      <c r="AE26" s="535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ht="13.5" customHeight="1">
      <c r="A27" s="537" t="s">
        <v>135</v>
      </c>
      <c r="B27" s="538"/>
      <c r="C27" s="538"/>
      <c r="D27" s="539"/>
      <c r="E27" s="539"/>
      <c r="F27" s="539"/>
      <c r="G27" s="540"/>
      <c r="H27" s="562"/>
      <c r="I27" s="351"/>
      <c r="J27" s="352"/>
      <c r="K27" s="350"/>
      <c r="L27" s="351"/>
      <c r="M27" s="352"/>
      <c r="N27" s="165" t="str">
        <f t="shared" ref="N27:N30" si="3">IF(H27="-", "-", IF(K27="-", "-", IF(ABS(K27)=0, "-", ROUND(100*(H27-K27)/ABS(K27),1))))</f>
        <v>-</v>
      </c>
      <c r="O27" s="167"/>
      <c r="P27" s="609"/>
      <c r="Q27" s="610"/>
      <c r="R27" s="610"/>
      <c r="S27" s="614"/>
      <c r="T27" s="615"/>
      <c r="U27" s="616"/>
      <c r="V27" s="165" t="str">
        <f t="shared" ref="V27:V30" si="4">IF(P27="-", "-", IF(S27="-", "-", IF(ABS(S27)=0, "-", ROUND(100*(P27-S27)/ABS(S27),1))))</f>
        <v>-</v>
      </c>
      <c r="W27" s="167"/>
      <c r="X27" s="454"/>
      <c r="Y27" s="455"/>
      <c r="Z27" s="456"/>
      <c r="AA27" s="536"/>
      <c r="AB27" s="455"/>
      <c r="AC27" s="456"/>
      <c r="AD27" s="165" t="str">
        <f t="shared" ref="AD27:AD30" si="5">IF(X27="-", "-", IF(AA27="-", "-", IF(ABS(AA27)=0, "-", ROUND(100*(X27-AA27)/ABS(AA27),1))))</f>
        <v>-</v>
      </c>
      <c r="AE27" s="167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ht="13.5" customHeight="1">
      <c r="A28" s="537" t="s">
        <v>136</v>
      </c>
      <c r="B28" s="538"/>
      <c r="C28" s="538"/>
      <c r="D28" s="539"/>
      <c r="E28" s="539"/>
      <c r="F28" s="539"/>
      <c r="G28" s="540"/>
      <c r="H28" s="562"/>
      <c r="I28" s="351"/>
      <c r="J28" s="352"/>
      <c r="K28" s="350"/>
      <c r="L28" s="351"/>
      <c r="M28" s="352"/>
      <c r="N28" s="165" t="str">
        <f t="shared" si="3"/>
        <v>-</v>
      </c>
      <c r="O28" s="167"/>
      <c r="P28" s="609"/>
      <c r="Q28" s="610"/>
      <c r="R28" s="610"/>
      <c r="S28" s="614"/>
      <c r="T28" s="615"/>
      <c r="U28" s="616"/>
      <c r="V28" s="165" t="str">
        <f t="shared" si="4"/>
        <v>-</v>
      </c>
      <c r="W28" s="167"/>
      <c r="X28" s="454"/>
      <c r="Y28" s="455"/>
      <c r="Z28" s="456"/>
      <c r="AA28" s="536"/>
      <c r="AB28" s="455"/>
      <c r="AC28" s="456"/>
      <c r="AD28" s="165" t="str">
        <f t="shared" si="5"/>
        <v>-</v>
      </c>
      <c r="AE28" s="167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</row>
    <row r="29" spans="1:55" ht="13.5" customHeight="1">
      <c r="A29" s="537" t="s">
        <v>137</v>
      </c>
      <c r="B29" s="538"/>
      <c r="C29" s="538"/>
      <c r="D29" s="539"/>
      <c r="E29" s="539"/>
      <c r="F29" s="539"/>
      <c r="G29" s="540"/>
      <c r="H29" s="562"/>
      <c r="I29" s="351"/>
      <c r="J29" s="352"/>
      <c r="K29" s="350"/>
      <c r="L29" s="351"/>
      <c r="M29" s="352"/>
      <c r="N29" s="165" t="str">
        <f t="shared" si="3"/>
        <v>-</v>
      </c>
      <c r="O29" s="167"/>
      <c r="P29" s="609"/>
      <c r="Q29" s="610"/>
      <c r="R29" s="610"/>
      <c r="S29" s="614"/>
      <c r="T29" s="615"/>
      <c r="U29" s="616"/>
      <c r="V29" s="165" t="str">
        <f t="shared" si="4"/>
        <v>-</v>
      </c>
      <c r="W29" s="167"/>
      <c r="X29" s="454"/>
      <c r="Y29" s="455"/>
      <c r="Z29" s="456"/>
      <c r="AA29" s="536"/>
      <c r="AB29" s="455"/>
      <c r="AC29" s="456"/>
      <c r="AD29" s="165" t="str">
        <f t="shared" si="5"/>
        <v>-</v>
      </c>
      <c r="AE29" s="167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</row>
    <row r="30" spans="1:55" ht="13.5" customHeight="1">
      <c r="A30" s="541" t="s">
        <v>4</v>
      </c>
      <c r="B30" s="542"/>
      <c r="C30" s="542"/>
      <c r="D30" s="543"/>
      <c r="E30" s="543"/>
      <c r="F30" s="543"/>
      <c r="G30" s="544"/>
      <c r="H30" s="546"/>
      <c r="I30" s="547"/>
      <c r="J30" s="548"/>
      <c r="K30" s="549"/>
      <c r="L30" s="547"/>
      <c r="M30" s="548"/>
      <c r="N30" s="136" t="str">
        <f t="shared" si="3"/>
        <v>-</v>
      </c>
      <c r="O30" s="138"/>
      <c r="P30" s="527"/>
      <c r="Q30" s="528"/>
      <c r="R30" s="528"/>
      <c r="S30" s="617"/>
      <c r="T30" s="618"/>
      <c r="U30" s="619"/>
      <c r="V30" s="136" t="str">
        <f t="shared" si="4"/>
        <v>-</v>
      </c>
      <c r="W30" s="138"/>
      <c r="X30" s="545"/>
      <c r="Y30" s="480"/>
      <c r="Z30" s="481"/>
      <c r="AA30" s="479"/>
      <c r="AB30" s="480"/>
      <c r="AC30" s="481"/>
      <c r="AD30" s="136" t="str">
        <f t="shared" si="5"/>
        <v>-</v>
      </c>
      <c r="AE30" s="138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</row>
    <row r="31" spans="1:55" ht="13.5" customHeight="1">
      <c r="A31" s="61" t="s">
        <v>139</v>
      </c>
      <c r="B31" s="62"/>
      <c r="C31" s="62"/>
      <c r="D31" s="62"/>
      <c r="E31" s="63"/>
      <c r="F31" s="63"/>
      <c r="G31" s="63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</row>
    <row r="32" spans="1:55" ht="13.5" customHeight="1">
      <c r="A32" s="65"/>
      <c r="B32" s="65"/>
      <c r="C32" s="65"/>
      <c r="D32" s="65"/>
      <c r="E32" s="65"/>
      <c r="F32" s="65"/>
      <c r="G32" s="65"/>
      <c r="H32" s="60"/>
      <c r="I32" s="60"/>
      <c r="J32" s="54"/>
      <c r="K32" s="54"/>
      <c r="L32" s="54"/>
      <c r="M32" s="54"/>
      <c r="N32" s="54"/>
      <c r="O32" s="54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</row>
    <row r="33" spans="1:55" ht="13.5" customHeight="1">
      <c r="A33" s="65"/>
      <c r="B33" s="65"/>
      <c r="C33" s="65"/>
      <c r="D33" s="65"/>
      <c r="E33" s="65"/>
      <c r="F33" s="65"/>
      <c r="G33" s="65"/>
      <c r="H33" s="60"/>
      <c r="I33" s="60"/>
      <c r="J33" s="54"/>
      <c r="K33" s="54"/>
      <c r="L33" s="54"/>
      <c r="M33" s="54"/>
      <c r="N33" s="54"/>
      <c r="O33" s="54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</row>
    <row r="34" spans="1:55" ht="13.5" customHeight="1">
      <c r="A34" s="65"/>
      <c r="B34" s="65"/>
      <c r="C34" s="65"/>
      <c r="D34" s="65"/>
      <c r="E34" s="65"/>
      <c r="F34" s="65"/>
      <c r="G34" s="65"/>
      <c r="H34" s="60"/>
      <c r="I34" s="60"/>
      <c r="J34" s="54"/>
      <c r="K34" s="54"/>
      <c r="L34" s="54"/>
      <c r="M34" s="54"/>
      <c r="N34" s="54"/>
      <c r="O34" s="54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</row>
    <row r="35" spans="1:55" ht="13.5" customHeight="1">
      <c r="A35" s="65"/>
      <c r="B35" s="65"/>
      <c r="C35" s="65"/>
      <c r="D35" s="65"/>
      <c r="E35" s="65"/>
      <c r="F35" s="65"/>
      <c r="G35" s="65"/>
      <c r="H35" s="60"/>
      <c r="I35" s="60"/>
      <c r="J35" s="54"/>
      <c r="K35" s="54"/>
      <c r="L35" s="54"/>
      <c r="M35" s="54"/>
      <c r="N35" s="54"/>
      <c r="O35" s="54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</row>
  </sheetData>
  <mergeCells count="190">
    <mergeCell ref="H27:J27"/>
    <mergeCell ref="K27:M27"/>
    <mergeCell ref="N27:O27"/>
    <mergeCell ref="V26:W26"/>
    <mergeCell ref="V27:W27"/>
    <mergeCell ref="V28:W28"/>
    <mergeCell ref="V29:W29"/>
    <mergeCell ref="P26:R26"/>
    <mergeCell ref="S26:U26"/>
    <mergeCell ref="P27:R27"/>
    <mergeCell ref="S27:U27"/>
    <mergeCell ref="P28:R28"/>
    <mergeCell ref="S28:U28"/>
    <mergeCell ref="P29:R29"/>
    <mergeCell ref="S29:U29"/>
    <mergeCell ref="N28:O28"/>
    <mergeCell ref="B20:G20"/>
    <mergeCell ref="H20:J20"/>
    <mergeCell ref="K20:M20"/>
    <mergeCell ref="N20:O20"/>
    <mergeCell ref="P20:R20"/>
    <mergeCell ref="AA19:AC19"/>
    <mergeCell ref="AD19:AE19"/>
    <mergeCell ref="C19:G19"/>
    <mergeCell ref="S20:U20"/>
    <mergeCell ref="V20:W20"/>
    <mergeCell ref="X20:Z20"/>
    <mergeCell ref="AA20:AC20"/>
    <mergeCell ref="AD20:AE20"/>
    <mergeCell ref="B18:G18"/>
    <mergeCell ref="H18:J18"/>
    <mergeCell ref="K18:M18"/>
    <mergeCell ref="N18:O18"/>
    <mergeCell ref="P18:R18"/>
    <mergeCell ref="AA17:AC17"/>
    <mergeCell ref="AD17:AE17"/>
    <mergeCell ref="A17:G17"/>
    <mergeCell ref="P19:R19"/>
    <mergeCell ref="S19:U19"/>
    <mergeCell ref="V19:W19"/>
    <mergeCell ref="X19:Z19"/>
    <mergeCell ref="S18:U18"/>
    <mergeCell ref="V18:W18"/>
    <mergeCell ref="X18:Z18"/>
    <mergeCell ref="AA18:AC18"/>
    <mergeCell ref="AD18:AE18"/>
    <mergeCell ref="H19:J19"/>
    <mergeCell ref="K19:M19"/>
    <mergeCell ref="N19:O19"/>
    <mergeCell ref="X9:AE9"/>
    <mergeCell ref="H10:J10"/>
    <mergeCell ref="K10:M10"/>
    <mergeCell ref="N10:O10"/>
    <mergeCell ref="P10:R10"/>
    <mergeCell ref="S10:U10"/>
    <mergeCell ref="V10:W10"/>
    <mergeCell ref="S11:U11"/>
    <mergeCell ref="V11:W11"/>
    <mergeCell ref="X11:Z11"/>
    <mergeCell ref="AA11:AC11"/>
    <mergeCell ref="AD11:AE11"/>
    <mergeCell ref="X10:Z10"/>
    <mergeCell ref="AA10:AC10"/>
    <mergeCell ref="AD10:AE10"/>
    <mergeCell ref="A9:G10"/>
    <mergeCell ref="H9:O9"/>
    <mergeCell ref="P9:W9"/>
    <mergeCell ref="B13:G13"/>
    <mergeCell ref="H13:J13"/>
    <mergeCell ref="K13:M13"/>
    <mergeCell ref="N13:O13"/>
    <mergeCell ref="P13:R13"/>
    <mergeCell ref="B12:G12"/>
    <mergeCell ref="S13:U13"/>
    <mergeCell ref="V13:W13"/>
    <mergeCell ref="H12:J12"/>
    <mergeCell ref="N12:O12"/>
    <mergeCell ref="P12:R12"/>
    <mergeCell ref="S12:U12"/>
    <mergeCell ref="V12:W12"/>
    <mergeCell ref="AA12:AC12"/>
    <mergeCell ref="AD12:AE12"/>
    <mergeCell ref="X13:Z13"/>
    <mergeCell ref="AA13:AC13"/>
    <mergeCell ref="AD13:AE13"/>
    <mergeCell ref="B14:G14"/>
    <mergeCell ref="A16:G16"/>
    <mergeCell ref="A11:G11"/>
    <mergeCell ref="H11:J11"/>
    <mergeCell ref="K11:M11"/>
    <mergeCell ref="N11:O11"/>
    <mergeCell ref="P11:R11"/>
    <mergeCell ref="H14:J14"/>
    <mergeCell ref="K14:M14"/>
    <mergeCell ref="N14:O14"/>
    <mergeCell ref="P14:R14"/>
    <mergeCell ref="H15:J15"/>
    <mergeCell ref="S15:U15"/>
    <mergeCell ref="V15:W15"/>
    <mergeCell ref="X15:Z15"/>
    <mergeCell ref="S14:U14"/>
    <mergeCell ref="V14:W14"/>
    <mergeCell ref="X14:Z14"/>
    <mergeCell ref="K12:M12"/>
    <mergeCell ref="X12:Z12"/>
    <mergeCell ref="AA14:AC14"/>
    <mergeCell ref="AD14:AE14"/>
    <mergeCell ref="AA15:AC15"/>
    <mergeCell ref="AD15:AE15"/>
    <mergeCell ref="A15:G15"/>
    <mergeCell ref="H17:J17"/>
    <mergeCell ref="K17:M17"/>
    <mergeCell ref="N17:O17"/>
    <mergeCell ref="P17:R17"/>
    <mergeCell ref="S17:U17"/>
    <mergeCell ref="V17:W17"/>
    <mergeCell ref="X17:Z17"/>
    <mergeCell ref="AD16:AE16"/>
    <mergeCell ref="H16:J16"/>
    <mergeCell ref="K16:M16"/>
    <mergeCell ref="N16:O16"/>
    <mergeCell ref="P16:R16"/>
    <mergeCell ref="S16:U16"/>
    <mergeCell ref="V16:W16"/>
    <mergeCell ref="X16:Z16"/>
    <mergeCell ref="AA16:AC16"/>
    <mergeCell ref="K15:M15"/>
    <mergeCell ref="N15:O15"/>
    <mergeCell ref="P15:R15"/>
    <mergeCell ref="N30:O30"/>
    <mergeCell ref="V30:W30"/>
    <mergeCell ref="A24:G25"/>
    <mergeCell ref="H24:O24"/>
    <mergeCell ref="P24:W24"/>
    <mergeCell ref="X24:AE24"/>
    <mergeCell ref="H25:J25"/>
    <mergeCell ref="K25:M25"/>
    <mergeCell ref="N25:O25"/>
    <mergeCell ref="P25:R25"/>
    <mergeCell ref="S25:U25"/>
    <mergeCell ref="V25:W25"/>
    <mergeCell ref="X25:Z25"/>
    <mergeCell ref="AA25:AC25"/>
    <mergeCell ref="AD25:AE25"/>
    <mergeCell ref="H26:J26"/>
    <mergeCell ref="K26:M26"/>
    <mergeCell ref="N26:O26"/>
    <mergeCell ref="H29:J29"/>
    <mergeCell ref="K29:M29"/>
    <mergeCell ref="N29:O29"/>
    <mergeCell ref="H28:J28"/>
    <mergeCell ref="K28:M28"/>
    <mergeCell ref="P30:R30"/>
    <mergeCell ref="S30:U30"/>
    <mergeCell ref="A26:G26"/>
    <mergeCell ref="X26:Z26"/>
    <mergeCell ref="AA26:AC26"/>
    <mergeCell ref="AD26:AE26"/>
    <mergeCell ref="X27:Z27"/>
    <mergeCell ref="AA27:AC27"/>
    <mergeCell ref="AD27:AE27"/>
    <mergeCell ref="A27:G27"/>
    <mergeCell ref="A30:G30"/>
    <mergeCell ref="X30:Z30"/>
    <mergeCell ref="AA30:AC30"/>
    <mergeCell ref="AD30:AE30"/>
    <mergeCell ref="A28:G28"/>
    <mergeCell ref="X28:Z28"/>
    <mergeCell ref="AA28:AC28"/>
    <mergeCell ref="AD28:AE28"/>
    <mergeCell ref="A29:G29"/>
    <mergeCell ref="X29:Z29"/>
    <mergeCell ref="AA29:AC29"/>
    <mergeCell ref="AD29:AE29"/>
    <mergeCell ref="H30:J30"/>
    <mergeCell ref="K30:M30"/>
    <mergeCell ref="A1:C1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/>
  </sheetViews>
  <sheetFormatPr defaultRowHeight="13.5"/>
  <cols>
    <col min="1" max="1" width="16.875" style="107" bestFit="1" customWidth="1"/>
    <col min="2" max="2" width="9" style="107"/>
    <col min="4" max="4" width="20.5" bestFit="1" customWidth="1"/>
  </cols>
  <sheetData>
    <row r="2" spans="1:5">
      <c r="A2" s="102" t="s">
        <v>226</v>
      </c>
      <c r="B2" s="102" t="s">
        <v>227</v>
      </c>
      <c r="D2" s="103" t="s">
        <v>228</v>
      </c>
      <c r="E2" s="103" t="s">
        <v>229</v>
      </c>
    </row>
    <row r="3" spans="1:5">
      <c r="A3" s="102" t="s">
        <v>230</v>
      </c>
      <c r="B3" s="102">
        <v>0</v>
      </c>
      <c r="D3" s="103" t="s">
        <v>309</v>
      </c>
      <c r="E3" s="103">
        <v>0</v>
      </c>
    </row>
    <row r="4" spans="1:5">
      <c r="A4" s="102" t="s">
        <v>231</v>
      </c>
      <c r="B4" s="102">
        <v>60</v>
      </c>
      <c r="D4" s="103" t="s">
        <v>301</v>
      </c>
      <c r="E4" s="103">
        <v>1</v>
      </c>
    </row>
    <row r="5" spans="1:5">
      <c r="A5" s="102" t="s">
        <v>232</v>
      </c>
      <c r="B5" s="102">
        <v>1</v>
      </c>
      <c r="D5" s="103" t="s">
        <v>302</v>
      </c>
      <c r="E5" s="103">
        <v>2</v>
      </c>
    </row>
    <row r="6" spans="1:5">
      <c r="A6" s="102" t="s">
        <v>233</v>
      </c>
      <c r="B6" s="102">
        <v>61</v>
      </c>
      <c r="D6" s="103" t="s">
        <v>303</v>
      </c>
      <c r="E6" s="103">
        <v>3</v>
      </c>
    </row>
    <row r="7" spans="1:5">
      <c r="A7" s="102" t="s">
        <v>234</v>
      </c>
      <c r="B7" s="102">
        <v>62</v>
      </c>
      <c r="D7" s="103" t="s">
        <v>304</v>
      </c>
      <c r="E7" s="103">
        <v>4</v>
      </c>
    </row>
    <row r="8" spans="1:5">
      <c r="A8" s="102" t="s">
        <v>235</v>
      </c>
      <c r="B8" s="102">
        <v>63</v>
      </c>
      <c r="D8" s="104"/>
      <c r="E8" s="104"/>
    </row>
    <row r="9" spans="1:5">
      <c r="A9" s="102" t="s">
        <v>236</v>
      </c>
      <c r="B9" s="102">
        <v>67</v>
      </c>
      <c r="D9" s="104"/>
      <c r="E9" s="105" t="s">
        <v>238</v>
      </c>
    </row>
    <row r="10" spans="1:5">
      <c r="A10" s="102" t="s">
        <v>237</v>
      </c>
      <c r="B10" s="102">
        <v>68</v>
      </c>
      <c r="D10" s="104"/>
      <c r="E10" s="106" t="str">
        <f>"="&amp;No.1!Y4</f>
        <v>=</v>
      </c>
    </row>
    <row r="11" spans="1:5">
      <c r="A11" s="102" t="s">
        <v>239</v>
      </c>
      <c r="B11" s="102">
        <v>71</v>
      </c>
    </row>
    <row r="12" spans="1:5">
      <c r="A12" s="102" t="s">
        <v>240</v>
      </c>
      <c r="B12" s="102">
        <v>74</v>
      </c>
    </row>
    <row r="13" spans="1:5">
      <c r="A13" s="102" t="s">
        <v>241</v>
      </c>
      <c r="B13" s="102">
        <v>75</v>
      </c>
    </row>
    <row r="14" spans="1:5">
      <c r="A14" s="102" t="s">
        <v>242</v>
      </c>
      <c r="B14" s="102">
        <v>47</v>
      </c>
    </row>
    <row r="15" spans="1:5">
      <c r="A15" s="102" t="s">
        <v>243</v>
      </c>
      <c r="B15" s="102">
        <v>64</v>
      </c>
    </row>
    <row r="16" spans="1:5">
      <c r="A16" s="102" t="s">
        <v>244</v>
      </c>
      <c r="B16" s="102">
        <v>65</v>
      </c>
    </row>
    <row r="17" spans="1:2">
      <c r="A17" s="102" t="s">
        <v>245</v>
      </c>
      <c r="B17" s="102">
        <v>66</v>
      </c>
    </row>
    <row r="18" spans="1:2">
      <c r="A18" s="102" t="s">
        <v>246</v>
      </c>
      <c r="B18" s="102">
        <v>69</v>
      </c>
    </row>
    <row r="19" spans="1:2">
      <c r="A19" s="102" t="s">
        <v>247</v>
      </c>
      <c r="B19" s="102">
        <v>70</v>
      </c>
    </row>
    <row r="20" spans="1:2">
      <c r="A20" s="102" t="s">
        <v>248</v>
      </c>
      <c r="B20" s="102">
        <v>72</v>
      </c>
    </row>
    <row r="21" spans="1:2">
      <c r="A21" s="102" t="s">
        <v>249</v>
      </c>
      <c r="B21" s="102">
        <v>73</v>
      </c>
    </row>
    <row r="22" spans="1:2">
      <c r="A22" s="102" t="s">
        <v>250</v>
      </c>
      <c r="B22" s="102">
        <v>76</v>
      </c>
    </row>
    <row r="23" spans="1:2">
      <c r="A23" s="102" t="s">
        <v>251</v>
      </c>
      <c r="B23" s="102">
        <v>77</v>
      </c>
    </row>
    <row r="24" spans="1:2">
      <c r="A24" s="102" t="s">
        <v>252</v>
      </c>
      <c r="B24" s="102">
        <v>93</v>
      </c>
    </row>
    <row r="25" spans="1:2">
      <c r="A25" s="102" t="s">
        <v>253</v>
      </c>
      <c r="B25" s="102">
        <v>94</v>
      </c>
    </row>
    <row r="26" spans="1:2">
      <c r="A26" s="102" t="s">
        <v>254</v>
      </c>
      <c r="B26" s="102">
        <v>95</v>
      </c>
    </row>
    <row r="27" spans="1:2">
      <c r="A27" s="102" t="s">
        <v>255</v>
      </c>
      <c r="B27" s="102">
        <v>2</v>
      </c>
    </row>
    <row r="28" spans="1:2">
      <c r="A28" s="102" t="s">
        <v>256</v>
      </c>
      <c r="B28" s="102">
        <v>3</v>
      </c>
    </row>
    <row r="29" spans="1:2">
      <c r="A29" s="102" t="s">
        <v>257</v>
      </c>
      <c r="B29" s="102">
        <v>4</v>
      </c>
    </row>
    <row r="30" spans="1:2">
      <c r="A30" s="102" t="s">
        <v>258</v>
      </c>
      <c r="B30" s="102">
        <v>5</v>
      </c>
    </row>
    <row r="31" spans="1:2">
      <c r="A31" s="102" t="s">
        <v>259</v>
      </c>
      <c r="B31" s="102">
        <v>6</v>
      </c>
    </row>
    <row r="32" spans="1:2">
      <c r="A32" s="102" t="s">
        <v>260</v>
      </c>
      <c r="B32" s="102">
        <v>7</v>
      </c>
    </row>
    <row r="33" spans="1:2">
      <c r="A33" s="102" t="s">
        <v>261</v>
      </c>
      <c r="B33" s="102">
        <v>8</v>
      </c>
    </row>
    <row r="34" spans="1:2">
      <c r="A34" s="102" t="s">
        <v>262</v>
      </c>
      <c r="B34" s="102">
        <v>9</v>
      </c>
    </row>
    <row r="35" spans="1:2">
      <c r="A35" s="102" t="s">
        <v>263</v>
      </c>
      <c r="B35" s="102">
        <v>10</v>
      </c>
    </row>
    <row r="36" spans="1:2">
      <c r="A36" s="102" t="s">
        <v>264</v>
      </c>
      <c r="B36" s="102">
        <v>11</v>
      </c>
    </row>
    <row r="37" spans="1:2">
      <c r="A37" s="102" t="s">
        <v>265</v>
      </c>
      <c r="B37" s="102">
        <v>12</v>
      </c>
    </row>
    <row r="38" spans="1:2">
      <c r="A38" s="102" t="s">
        <v>266</v>
      </c>
      <c r="B38" s="102">
        <v>13</v>
      </c>
    </row>
    <row r="39" spans="1:2">
      <c r="A39" s="102" t="s">
        <v>267</v>
      </c>
      <c r="B39" s="102">
        <v>14</v>
      </c>
    </row>
    <row r="40" spans="1:2">
      <c r="A40" s="102" t="s">
        <v>268</v>
      </c>
      <c r="B40" s="102">
        <v>15</v>
      </c>
    </row>
    <row r="41" spans="1:2">
      <c r="A41" s="102" t="s">
        <v>269</v>
      </c>
      <c r="B41" s="102">
        <v>16</v>
      </c>
    </row>
    <row r="42" spans="1:2">
      <c r="A42" s="102" t="s">
        <v>270</v>
      </c>
      <c r="B42" s="102">
        <v>17</v>
      </c>
    </row>
    <row r="43" spans="1:2">
      <c r="A43" s="102" t="s">
        <v>271</v>
      </c>
      <c r="B43" s="102">
        <v>18</v>
      </c>
    </row>
    <row r="44" spans="1:2">
      <c r="A44" s="102" t="s">
        <v>272</v>
      </c>
      <c r="B44" s="102">
        <v>19</v>
      </c>
    </row>
    <row r="45" spans="1:2">
      <c r="A45" s="102" t="s">
        <v>273</v>
      </c>
      <c r="B45" s="102">
        <v>20</v>
      </c>
    </row>
    <row r="46" spans="1:2">
      <c r="A46" s="102" t="s">
        <v>274</v>
      </c>
      <c r="B46" s="102">
        <v>21</v>
      </c>
    </row>
    <row r="47" spans="1:2">
      <c r="A47" s="102" t="s">
        <v>275</v>
      </c>
      <c r="B47" s="102">
        <v>22</v>
      </c>
    </row>
    <row r="48" spans="1:2">
      <c r="A48" s="102" t="s">
        <v>276</v>
      </c>
      <c r="B48" s="102">
        <v>23</v>
      </c>
    </row>
    <row r="49" spans="1:2">
      <c r="A49" s="102" t="s">
        <v>277</v>
      </c>
      <c r="B49" s="102">
        <v>24</v>
      </c>
    </row>
    <row r="50" spans="1:2">
      <c r="A50" s="102" t="s">
        <v>278</v>
      </c>
      <c r="B50" s="102">
        <v>25</v>
      </c>
    </row>
    <row r="51" spans="1:2">
      <c r="A51" s="102" t="s">
        <v>279</v>
      </c>
      <c r="B51" s="102">
        <v>26</v>
      </c>
    </row>
    <row r="52" spans="1:2">
      <c r="A52" s="102" t="s">
        <v>280</v>
      </c>
      <c r="B52" s="102">
        <v>27</v>
      </c>
    </row>
    <row r="53" spans="1:2">
      <c r="A53" s="102" t="s">
        <v>281</v>
      </c>
      <c r="B53" s="102">
        <v>28</v>
      </c>
    </row>
    <row r="54" spans="1:2">
      <c r="A54" s="102" t="s">
        <v>282</v>
      </c>
      <c r="B54" s="102">
        <v>29</v>
      </c>
    </row>
    <row r="55" spans="1:2">
      <c r="A55" s="102" t="s">
        <v>283</v>
      </c>
      <c r="B55" s="102">
        <v>30</v>
      </c>
    </row>
    <row r="56" spans="1:2">
      <c r="A56" s="102" t="s">
        <v>284</v>
      </c>
      <c r="B56" s="102">
        <v>31</v>
      </c>
    </row>
    <row r="57" spans="1:2">
      <c r="A57" s="102" t="s">
        <v>285</v>
      </c>
      <c r="B57" s="102">
        <v>32</v>
      </c>
    </row>
    <row r="58" spans="1:2">
      <c r="A58" s="102" t="s">
        <v>286</v>
      </c>
      <c r="B58" s="102">
        <v>33</v>
      </c>
    </row>
    <row r="59" spans="1:2">
      <c r="A59" s="102" t="s">
        <v>287</v>
      </c>
      <c r="B59" s="102">
        <v>34</v>
      </c>
    </row>
    <row r="60" spans="1:2">
      <c r="A60" s="102" t="s">
        <v>288</v>
      </c>
      <c r="B60" s="102">
        <v>35</v>
      </c>
    </row>
    <row r="61" spans="1:2">
      <c r="A61" s="102" t="s">
        <v>289</v>
      </c>
      <c r="B61" s="102">
        <v>36</v>
      </c>
    </row>
    <row r="62" spans="1:2">
      <c r="A62" s="102" t="s">
        <v>290</v>
      </c>
      <c r="B62" s="102">
        <v>37</v>
      </c>
    </row>
    <row r="63" spans="1:2">
      <c r="A63" s="102" t="s">
        <v>291</v>
      </c>
      <c r="B63" s="102">
        <v>38</v>
      </c>
    </row>
    <row r="64" spans="1:2">
      <c r="A64" s="102" t="s">
        <v>292</v>
      </c>
      <c r="B64" s="102">
        <v>39</v>
      </c>
    </row>
    <row r="65" spans="1:2">
      <c r="A65" s="102" t="s">
        <v>293</v>
      </c>
      <c r="B65" s="102">
        <v>40</v>
      </c>
    </row>
    <row r="66" spans="1:2">
      <c r="A66" s="102" t="s">
        <v>294</v>
      </c>
      <c r="B66" s="102">
        <v>41</v>
      </c>
    </row>
    <row r="67" spans="1:2">
      <c r="A67" s="102" t="s">
        <v>295</v>
      </c>
      <c r="B67" s="102">
        <v>42</v>
      </c>
    </row>
    <row r="68" spans="1:2">
      <c r="A68" s="102" t="s">
        <v>296</v>
      </c>
      <c r="B68" s="102">
        <v>43</v>
      </c>
    </row>
    <row r="69" spans="1:2">
      <c r="A69" s="102" t="s">
        <v>297</v>
      </c>
      <c r="B69" s="102">
        <v>44</v>
      </c>
    </row>
    <row r="70" spans="1:2">
      <c r="A70" s="102" t="s">
        <v>298</v>
      </c>
      <c r="B70" s="102">
        <v>45</v>
      </c>
    </row>
    <row r="71" spans="1:2">
      <c r="A71" s="102" t="s">
        <v>299</v>
      </c>
      <c r="B71" s="102">
        <v>46</v>
      </c>
    </row>
    <row r="73" spans="1:2">
      <c r="B73" s="108" t="s">
        <v>300</v>
      </c>
    </row>
    <row r="74" spans="1:2">
      <c r="B74" s="109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No.1</vt:lpstr>
      <vt:lpstr>No.2</vt:lpstr>
      <vt:lpstr>No.3</vt:lpstr>
      <vt:lpstr>No.4</vt:lpstr>
      <vt:lpstr>No.5</vt:lpstr>
      <vt:lpstr>No.6</vt:lpstr>
      <vt:lpstr>No.7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2020-03-16T06:01:09Z</dcterms:modified>
  <cp:category/>
</cp:coreProperties>
</file>