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fo.tsp-net.co.jp/sys01/nousui_keiei/Shared Documents/02.設計書/03.製造/Phase3/Excel/"/>
    </mc:Choice>
  </mc:AlternateContent>
  <xr:revisionPtr revIDLastSave="0" documentId="13_ncr:1_{BAF44432-EDB1-4D54-ADAB-C725601DEBA6}" xr6:coauthVersionLast="36" xr6:coauthVersionMax="36" xr10:uidLastSave="{00000000-0000-0000-0000-000000000000}"/>
  <bookViews>
    <workbookView xWindow="0" yWindow="0" windowWidth="13215" windowHeight="7755" activeTab="5" xr2:uid="{00000000-000D-0000-FFFF-FFFF00000000}"/>
  </bookViews>
  <sheets>
    <sheet name="No.1" sheetId="18" r:id="rId1"/>
    <sheet name="No.2" sheetId="19" r:id="rId2"/>
    <sheet name="No.3" sheetId="21" r:id="rId3"/>
    <sheet name="No.4" sheetId="29" r:id="rId4"/>
    <sheet name="No.5" sheetId="28" r:id="rId5"/>
    <sheet name="No.6" sheetId="30" r:id="rId6"/>
  </sheets>
  <definedNames>
    <definedName name="_xlnm._FilterDatabase" localSheetId="0" hidden="1">No.1!$A$1</definedName>
    <definedName name="_xlnm._FilterDatabase" localSheetId="5" hidden="1">No.6!$A$1</definedName>
    <definedName name="_xlnm.Print_Area" localSheetId="0">No.1!$A$1:$Q$45</definedName>
    <definedName name="_xlnm.Print_Area" localSheetId="1">No.2!$A$1:$AT$41</definedName>
    <definedName name="_xlnm.Print_Area" localSheetId="2">No.3!$A$1:$O$48</definedName>
    <definedName name="_xlnm.Print_Area" localSheetId="3">No.4!$A$1:$N$46</definedName>
    <definedName name="_xlnm.Print_Area" localSheetId="4">No.5!$A$1:$AO$48</definedName>
    <definedName name="_xlnm.Print_Area" localSheetId="5">No.6!$A$1:$O$28</definedName>
  </definedNames>
  <calcPr calcId="191029"/>
</workbook>
</file>

<file path=xl/calcChain.xml><?xml version="1.0" encoding="utf-8"?>
<calcChain xmlns="http://schemas.openxmlformats.org/spreadsheetml/2006/main">
  <c r="AE41" i="19" l="1"/>
  <c r="AE40" i="19"/>
  <c r="AE39" i="19"/>
  <c r="AE38" i="19"/>
  <c r="AE37" i="19"/>
  <c r="AE36" i="19"/>
  <c r="AE35" i="19"/>
  <c r="AE34" i="19"/>
  <c r="V41" i="19"/>
  <c r="V40" i="19"/>
  <c r="V39" i="19"/>
  <c r="V38" i="19"/>
  <c r="V37" i="19"/>
  <c r="V36" i="19"/>
  <c r="V35" i="19"/>
  <c r="V34" i="19"/>
  <c r="M41" i="19"/>
  <c r="M37" i="19"/>
  <c r="M38" i="19"/>
  <c r="M39" i="19"/>
  <c r="M40" i="19"/>
  <c r="M36" i="19"/>
  <c r="M35" i="19"/>
  <c r="M34" i="19"/>
  <c r="AR14" i="19"/>
  <c r="AR13" i="19"/>
  <c r="AR12" i="19"/>
  <c r="AR11" i="19"/>
  <c r="AR10" i="19"/>
  <c r="AR9" i="19"/>
  <c r="AR8" i="19"/>
  <c r="AR7" i="19"/>
  <c r="AC23" i="19"/>
  <c r="AC22" i="19"/>
  <c r="AC21" i="19"/>
  <c r="AC20" i="19"/>
  <c r="AC19" i="19"/>
  <c r="AC17" i="19"/>
  <c r="AC16" i="19"/>
  <c r="AC15" i="19"/>
  <c r="AC14" i="19"/>
  <c r="AC13" i="19"/>
  <c r="AC12" i="19"/>
  <c r="AC11" i="19"/>
  <c r="AC10" i="19"/>
  <c r="AC9" i="19"/>
  <c r="AC8" i="19"/>
  <c r="AC7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7" i="19"/>
  <c r="M9" i="19"/>
  <c r="M8" i="19"/>
  <c r="M2" i="30" l="1"/>
  <c r="AH2" i="28"/>
  <c r="L2" i="29"/>
  <c r="M2" i="21"/>
  <c r="AJ2" i="19"/>
  <c r="K28" i="30"/>
  <c r="J28" i="30"/>
  <c r="K27" i="30"/>
  <c r="J27" i="30"/>
  <c r="K26" i="30"/>
  <c r="J26" i="30"/>
  <c r="K25" i="30"/>
  <c r="J25" i="30"/>
  <c r="K24" i="30"/>
  <c r="J24" i="30"/>
  <c r="K23" i="30"/>
  <c r="J23" i="30"/>
  <c r="K22" i="30"/>
  <c r="J22" i="30"/>
  <c r="K21" i="30"/>
  <c r="J21" i="30"/>
  <c r="K20" i="30"/>
  <c r="J20" i="30"/>
  <c r="K19" i="30"/>
  <c r="J19" i="30"/>
  <c r="K18" i="30"/>
  <c r="J18" i="30"/>
  <c r="K17" i="30"/>
  <c r="J17" i="30"/>
  <c r="K16" i="30"/>
  <c r="J16" i="30"/>
  <c r="K15" i="30"/>
  <c r="J15" i="30"/>
  <c r="K14" i="30"/>
  <c r="J14" i="30"/>
  <c r="K13" i="30"/>
  <c r="J13" i="30"/>
  <c r="K12" i="30"/>
  <c r="J12" i="30"/>
  <c r="K11" i="30"/>
  <c r="J11" i="30"/>
  <c r="K10" i="30"/>
  <c r="J10" i="30"/>
  <c r="K9" i="30"/>
  <c r="J9" i="30"/>
  <c r="K8" i="30"/>
  <c r="J8" i="30"/>
  <c r="K7" i="30"/>
  <c r="J7" i="30"/>
  <c r="AM48" i="28"/>
  <c r="AM47" i="28"/>
  <c r="AM46" i="28"/>
  <c r="AM45" i="28"/>
  <c r="AM44" i="28"/>
  <c r="AM43" i="28"/>
  <c r="AM42" i="28"/>
  <c r="AM41" i="28"/>
  <c r="AM40" i="28"/>
  <c r="AM39" i="28"/>
  <c r="AM38" i="28"/>
  <c r="AM37" i="28"/>
  <c r="AM36" i="28"/>
  <c r="AM35" i="28"/>
  <c r="AM34" i="28"/>
  <c r="AM33" i="28"/>
  <c r="AM32" i="28"/>
  <c r="AM31" i="28"/>
  <c r="AM30" i="28"/>
  <c r="AM29" i="28"/>
  <c r="AM28" i="28"/>
  <c r="AM27" i="28"/>
  <c r="AM26" i="28"/>
  <c r="AM25" i="28"/>
  <c r="AM24" i="28"/>
  <c r="AM23" i="28"/>
  <c r="AM22" i="28"/>
  <c r="AM21" i="28"/>
  <c r="AM20" i="28"/>
  <c r="AM19" i="28"/>
  <c r="AM18" i="28"/>
  <c r="AM17" i="28"/>
  <c r="AM16" i="28"/>
  <c r="AM15" i="28"/>
  <c r="AM14" i="28"/>
  <c r="AM13" i="28"/>
  <c r="AM12" i="28"/>
  <c r="AM11" i="28"/>
  <c r="AM10" i="28"/>
  <c r="AM9" i="28"/>
  <c r="AM8" i="28"/>
  <c r="AD45" i="28"/>
  <c r="AD44" i="28"/>
  <c r="AD43" i="28"/>
  <c r="AD42" i="28"/>
  <c r="AD41" i="28"/>
  <c r="AD40" i="28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21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46" i="29"/>
  <c r="N45" i="29"/>
  <c r="M45" i="29"/>
  <c r="L45" i="29"/>
  <c r="N44" i="29"/>
  <c r="M44" i="29"/>
  <c r="L44" i="29"/>
  <c r="N43" i="29"/>
  <c r="M43" i="29"/>
  <c r="L43" i="29"/>
  <c r="N42" i="29"/>
  <c r="M42" i="29"/>
  <c r="L42" i="29"/>
  <c r="N41" i="29"/>
  <c r="M41" i="29"/>
  <c r="L41" i="29"/>
  <c r="N40" i="29"/>
  <c r="M40" i="29"/>
  <c r="L40" i="29"/>
  <c r="N39" i="29"/>
  <c r="M39" i="29"/>
  <c r="L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N25" i="29"/>
  <c r="M25" i="29"/>
  <c r="L25" i="29"/>
  <c r="M24" i="29"/>
  <c r="M23" i="29"/>
  <c r="M22" i="29"/>
  <c r="M21" i="29"/>
  <c r="N20" i="29"/>
  <c r="M20" i="29"/>
  <c r="L20" i="29"/>
  <c r="N19" i="29"/>
  <c r="M19" i="29"/>
  <c r="L19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M14" i="29"/>
  <c r="M13" i="29"/>
  <c r="M12" i="29"/>
  <c r="M11" i="29"/>
  <c r="M10" i="29"/>
  <c r="M9" i="29"/>
  <c r="M8" i="29"/>
  <c r="N48" i="21"/>
  <c r="O47" i="21"/>
  <c r="N47" i="21"/>
  <c r="M47" i="21"/>
  <c r="O46" i="21"/>
  <c r="N46" i="21"/>
  <c r="M46" i="21"/>
  <c r="O45" i="21"/>
  <c r="N45" i="21"/>
  <c r="M45" i="21"/>
  <c r="N44" i="21"/>
  <c r="O43" i="21"/>
  <c r="N43" i="21"/>
  <c r="M43" i="21"/>
  <c r="N42" i="21"/>
  <c r="O41" i="21"/>
  <c r="N41" i="21"/>
  <c r="M41" i="21"/>
  <c r="O40" i="21"/>
  <c r="N40" i="21"/>
  <c r="M40" i="21"/>
  <c r="O39" i="21"/>
  <c r="N39" i="21"/>
  <c r="M39" i="21"/>
  <c r="O38" i="21"/>
  <c r="N38" i="21"/>
  <c r="M38" i="21"/>
  <c r="O37" i="21"/>
  <c r="N37" i="21"/>
  <c r="M37" i="21"/>
  <c r="O36" i="21"/>
  <c r="N36" i="21"/>
  <c r="M36" i="21"/>
  <c r="N35" i="21"/>
  <c r="O34" i="21"/>
  <c r="N34" i="21"/>
  <c r="M34" i="21"/>
  <c r="O33" i="21"/>
  <c r="N33" i="21"/>
  <c r="M33" i="21"/>
  <c r="O32" i="21"/>
  <c r="N32" i="21"/>
  <c r="M32" i="21"/>
  <c r="N31" i="21"/>
  <c r="N25" i="21"/>
  <c r="O24" i="21"/>
  <c r="N24" i="21"/>
  <c r="M24" i="21"/>
  <c r="O23" i="21"/>
  <c r="N23" i="21"/>
  <c r="M23" i="21"/>
  <c r="N22" i="21"/>
  <c r="M22" i="21"/>
  <c r="M21" i="21"/>
  <c r="O20" i="21"/>
  <c r="N20" i="21"/>
  <c r="M20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45" i="18"/>
  <c r="L45" i="18"/>
  <c r="M44" i="18"/>
  <c r="L44" i="18"/>
  <c r="M43" i="18"/>
  <c r="L43" i="18"/>
  <c r="M42" i="18"/>
  <c r="L42" i="18"/>
  <c r="M41" i="18"/>
  <c r="L41" i="18"/>
  <c r="M40" i="18"/>
  <c r="L40" i="18"/>
  <c r="M39" i="18"/>
  <c r="L39" i="18"/>
  <c r="M38" i="18"/>
  <c r="L38" i="18"/>
  <c r="M37" i="18"/>
  <c r="L37" i="18"/>
  <c r="M36" i="18"/>
  <c r="L36" i="18"/>
  <c r="M35" i="18"/>
  <c r="L35" i="18"/>
  <c r="M34" i="18"/>
  <c r="L34" i="18"/>
  <c r="M33" i="18"/>
  <c r="L33" i="18"/>
  <c r="M32" i="18"/>
  <c r="L32" i="18"/>
  <c r="M31" i="18"/>
  <c r="L31" i="18"/>
  <c r="M30" i="18"/>
  <c r="L30" i="18"/>
  <c r="M29" i="18"/>
  <c r="L29" i="18"/>
  <c r="K29" i="18"/>
  <c r="M28" i="18"/>
  <c r="L28" i="18"/>
  <c r="K28" i="18"/>
  <c r="M27" i="18"/>
  <c r="L27" i="18"/>
  <c r="K27" i="18"/>
  <c r="M26" i="18"/>
  <c r="L26" i="18"/>
  <c r="K26" i="18"/>
  <c r="M25" i="18"/>
  <c r="L25" i="18"/>
  <c r="K25" i="18"/>
  <c r="M24" i="18"/>
  <c r="L24" i="18"/>
  <c r="K24" i="18"/>
  <c r="M23" i="18"/>
  <c r="L23" i="18"/>
  <c r="K23" i="18"/>
  <c r="M22" i="18"/>
  <c r="L22" i="18"/>
  <c r="K22" i="18"/>
  <c r="M21" i="18"/>
  <c r="L21" i="18"/>
  <c r="K21" i="18"/>
  <c r="M20" i="18"/>
  <c r="L20" i="18"/>
  <c r="K20" i="18"/>
  <c r="M19" i="18"/>
  <c r="L19" i="18"/>
  <c r="K19" i="18"/>
  <c r="M18" i="18"/>
  <c r="L18" i="18"/>
  <c r="K18" i="18"/>
  <c r="M17" i="18"/>
  <c r="L17" i="18"/>
  <c r="K17" i="18"/>
  <c r="M16" i="18"/>
  <c r="L16" i="18"/>
  <c r="K16" i="18"/>
  <c r="M15" i="18"/>
  <c r="L15" i="18"/>
  <c r="K15" i="18"/>
  <c r="M14" i="18"/>
  <c r="L14" i="18"/>
  <c r="K14" i="18"/>
  <c r="M13" i="18"/>
  <c r="L13" i="18"/>
  <c r="K13" i="18"/>
  <c r="M12" i="18"/>
  <c r="L12" i="18"/>
  <c r="K12" i="18"/>
  <c r="M11" i="18"/>
  <c r="L11" i="18"/>
  <c r="K11" i="18"/>
  <c r="M10" i="18"/>
  <c r="L10" i="18"/>
  <c r="K10" i="18"/>
  <c r="M9" i="18"/>
  <c r="L9" i="18"/>
  <c r="K9" i="18"/>
  <c r="M8" i="18"/>
  <c r="L8" i="18"/>
  <c r="K8" i="18"/>
  <c r="M7" i="18"/>
  <c r="L7" i="18"/>
  <c r="K7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A1" i="30"/>
  <c r="A1" i="28"/>
  <c r="A1" i="29"/>
  <c r="A1" i="21"/>
  <c r="A1" i="19"/>
  <c r="H5" i="18"/>
  <c r="G5" i="21" s="1"/>
  <c r="G5" i="19"/>
  <c r="Y32" i="19" s="1"/>
  <c r="J5" i="19"/>
  <c r="S32" i="19" s="1"/>
  <c r="G32" i="19"/>
  <c r="W5" i="19"/>
  <c r="AL5" i="19"/>
  <c r="P32" i="19"/>
  <c r="J5" i="21" l="1"/>
  <c r="J28" i="21" s="1"/>
  <c r="G28" i="21"/>
  <c r="J32" i="19"/>
  <c r="AO5" i="19"/>
  <c r="F5" i="29"/>
  <c r="I5" i="29" s="1"/>
  <c r="G5" i="28"/>
  <c r="Z5" i="19"/>
  <c r="H5" i="30"/>
  <c r="I5" i="30" s="1"/>
  <c r="J5" i="18"/>
  <c r="AB32" i="19"/>
  <c r="AG6" i="28" l="1"/>
  <c r="X6" i="28"/>
  <c r="J5" i="28"/>
  <c r="AJ6" i="28" l="1"/>
  <c r="AA6" i="28"/>
</calcChain>
</file>

<file path=xl/sharedStrings.xml><?xml version="1.0" encoding="utf-8"?>
<sst xmlns="http://schemas.openxmlformats.org/spreadsheetml/2006/main" count="499" uniqueCount="294">
  <si>
    <t>増減率</t>
    <rPh sb="0" eb="3">
      <t>ゾウゲンリツ</t>
    </rPh>
    <phoneticPr fontId="4"/>
  </si>
  <si>
    <t>（円）</t>
    <rPh sb="1" eb="2">
      <t>エン</t>
    </rPh>
    <phoneticPr fontId="4"/>
  </si>
  <si>
    <t>種苗費</t>
    <rPh sb="0" eb="3">
      <t>シュビョウヒ</t>
    </rPh>
    <phoneticPr fontId="4"/>
  </si>
  <si>
    <t>肥料費</t>
    <rPh sb="0" eb="3">
      <t>ヒリョウヒ</t>
    </rPh>
    <phoneticPr fontId="4"/>
  </si>
  <si>
    <t>農業薬剤費</t>
    <rPh sb="0" eb="2">
      <t>ノウギョウ</t>
    </rPh>
    <rPh sb="2" eb="5">
      <t>ヤクザイヒ</t>
    </rPh>
    <phoneticPr fontId="4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</si>
  <si>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</si>
  <si>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</si>
  <si>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</si>
  <si>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</si>
  <si>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</si>
  <si>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</si>
  <si>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</si>
  <si>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</si>
  <si>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</si>
  <si>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</si>
  <si>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副産物</t>
    <rPh sb="0" eb="3">
      <t>フクサンブツ</t>
    </rPh>
    <phoneticPr fontId="4"/>
  </si>
  <si>
    <t>くず米</t>
    <rPh sb="2" eb="3">
      <t>マイ</t>
    </rPh>
    <phoneticPr fontId="4"/>
  </si>
  <si>
    <t>育苗</t>
    <rPh sb="0" eb="2">
      <t>イクビョウ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</si>
  <si>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</si>
  <si>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</si>
  <si>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直まき</t>
    <rPh sb="0" eb="1">
      <t>ジカ</t>
    </rPh>
    <phoneticPr fontId="4"/>
  </si>
  <si>
    <t>粗収益</t>
    <rPh sb="0" eb="3">
      <t>ソシュウエキ</t>
    </rPh>
    <phoneticPr fontId="4"/>
  </si>
  <si>
    <t>田植</t>
    <rPh sb="0" eb="2">
      <t>タウ</t>
    </rPh>
    <phoneticPr fontId="4"/>
  </si>
  <si>
    <t>所得</t>
    <rPh sb="0" eb="2">
      <t>ショトク</t>
    </rPh>
    <phoneticPr fontId="4"/>
  </si>
  <si>
    <t>追肥</t>
    <rPh sb="0" eb="2">
      <t>ツイヒ</t>
    </rPh>
    <phoneticPr fontId="4"/>
  </si>
  <si>
    <t>１日当たり</t>
    <rPh sb="1" eb="2">
      <t>ニチ</t>
    </rPh>
    <rPh sb="2" eb="3">
      <t>ア</t>
    </rPh>
    <phoneticPr fontId="4"/>
  </si>
  <si>
    <t>除草</t>
    <rPh sb="0" eb="2">
      <t>チュウコウジョソウ</t>
    </rPh>
    <phoneticPr fontId="4"/>
  </si>
  <si>
    <t>家族労働報酬</t>
    <rPh sb="0" eb="2">
      <t>カゾク</t>
    </rPh>
    <rPh sb="2" eb="4">
      <t>ロウドウ</t>
    </rPh>
    <rPh sb="4" eb="6">
      <t>ホウシュウ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</si>
  <si>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</si>
  <si>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</si>
  <si>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</si>
  <si>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</si>
  <si>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</si>
  <si>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</si>
  <si>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自作地</t>
    <rPh sb="0" eb="3">
      <t>ジサクチ</t>
    </rPh>
    <phoneticPr fontId="4"/>
  </si>
  <si>
    <t>家族労働時間</t>
    <rPh sb="0" eb="2">
      <t>カゾク</t>
    </rPh>
    <rPh sb="2" eb="4">
      <t>ロウドウ</t>
    </rPh>
    <rPh sb="4" eb="6">
      <t>ジカン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</si>
  <si>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</si>
  <si>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</si>
  <si>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</si>
  <si>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【費用の内訳（10ａ当たり）】</t>
    <rPh sb="1" eb="3">
      <t>ヒヨウ</t>
    </rPh>
    <rPh sb="4" eb="6">
      <t>ウチワケ</t>
    </rPh>
    <rPh sb="10" eb="11">
      <t>ア</t>
    </rPh>
    <phoneticPr fontId="4"/>
  </si>
  <si>
    <t>増　　減　　率</t>
    <rPh sb="0" eb="7">
      <t>ゾウゲンリツ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</si>
  <si>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</si>
  <si>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</si>
  <si>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種子もみ</t>
    <rPh sb="0" eb="2">
      <t>シュシ</t>
    </rPh>
    <phoneticPr fontId="4"/>
  </si>
  <si>
    <t>購入</t>
    <rPh sb="0" eb="2">
      <t>コウニュウ</t>
    </rPh>
    <phoneticPr fontId="4"/>
  </si>
  <si>
    <t>自給</t>
    <rPh sb="0" eb="2">
      <t>ジキュウ</t>
    </rPh>
    <phoneticPr fontId="4"/>
  </si>
  <si>
    <t>苗</t>
    <rPh sb="0" eb="1">
      <t>ナエ</t>
    </rPh>
    <phoneticPr fontId="4"/>
  </si>
  <si>
    <t>炭酸カルシウム（石灰含む）</t>
    <rPh sb="0" eb="2">
      <t>タンサン</t>
    </rPh>
    <rPh sb="8" eb="10">
      <t>セッカイ</t>
    </rPh>
    <rPh sb="10" eb="11">
      <t>フク</t>
    </rPh>
    <phoneticPr fontId="4"/>
  </si>
  <si>
    <t>土壌改良資材</t>
    <rPh sb="0" eb="2">
      <t>ドジョウ</t>
    </rPh>
    <rPh sb="2" eb="4">
      <t>カイリョウ</t>
    </rPh>
    <rPh sb="4" eb="6">
      <t>シザイ</t>
    </rPh>
    <phoneticPr fontId="4"/>
  </si>
  <si>
    <t>たい肥・きゅう肥</t>
    <rPh sb="2" eb="3">
      <t>ヒ</t>
    </rPh>
    <rPh sb="7" eb="8">
      <t>ヒ</t>
    </rPh>
    <phoneticPr fontId="4"/>
  </si>
  <si>
    <t>その他</t>
    <rPh sb="2" eb="3">
      <t>タ</t>
    </rPh>
    <phoneticPr fontId="4"/>
  </si>
  <si>
    <t>たい肥</t>
    <rPh sb="2" eb="3">
      <t>ヒ</t>
    </rPh>
    <phoneticPr fontId="4"/>
  </si>
  <si>
    <t>きゅう肥</t>
    <rPh sb="3" eb="4">
      <t>ヒ</t>
    </rPh>
    <phoneticPr fontId="4"/>
  </si>
  <si>
    <t>稲・麦わら</t>
    <rPh sb="0" eb="1">
      <t>イネ</t>
    </rPh>
    <rPh sb="2" eb="3">
      <t>ムギ</t>
    </rPh>
    <phoneticPr fontId="4"/>
  </si>
  <si>
    <t>殺虫剤</t>
    <rPh sb="0" eb="3">
      <t>サッチュウザイ</t>
    </rPh>
    <phoneticPr fontId="4"/>
  </si>
  <si>
    <t>殺菌剤</t>
    <rPh sb="0" eb="3">
      <t>サッキンザイ</t>
    </rPh>
    <phoneticPr fontId="4"/>
  </si>
  <si>
    <t>殺虫殺菌剤</t>
    <rPh sb="0" eb="2">
      <t>サッチュウ</t>
    </rPh>
    <rPh sb="2" eb="5">
      <t>サッキンザイ</t>
    </rPh>
    <phoneticPr fontId="4"/>
  </si>
  <si>
    <t>除草剤</t>
    <rPh sb="0" eb="3">
      <t>ジョソウザイ</t>
    </rPh>
    <phoneticPr fontId="4"/>
  </si>
  <si>
    <t>増　　　減　　　率</t>
    <rPh sb="0" eb="9">
      <t>ゾウゲンリツ</t>
    </rPh>
    <phoneticPr fontId="4"/>
  </si>
  <si>
    <t>光熱動力費</t>
    <rPh sb="0" eb="2">
      <t>コウネツ</t>
    </rPh>
    <rPh sb="2" eb="5">
      <t>ドウリョクヒ</t>
    </rPh>
    <phoneticPr fontId="4"/>
  </si>
  <si>
    <t>動力燃料</t>
    <rPh sb="0" eb="2">
      <t>ドウリョク</t>
    </rPh>
    <rPh sb="2" eb="4">
      <t>ネンリョウ</t>
    </rPh>
    <phoneticPr fontId="4"/>
  </si>
  <si>
    <t>重油</t>
    <rPh sb="0" eb="2">
      <t>ジュウユ</t>
    </rPh>
    <phoneticPr fontId="4"/>
  </si>
  <si>
    <t>軽油</t>
    <rPh sb="0" eb="2">
      <t>ケイユ</t>
    </rPh>
    <phoneticPr fontId="4"/>
  </si>
  <si>
    <t>灯油</t>
    <rPh sb="0" eb="2">
      <t>トウユ</t>
    </rPh>
    <phoneticPr fontId="4"/>
  </si>
  <si>
    <t>潤滑油</t>
    <rPh sb="0" eb="3">
      <t>ジュンカツユ</t>
    </rPh>
    <phoneticPr fontId="4"/>
  </si>
  <si>
    <t>混合油</t>
    <rPh sb="0" eb="3">
      <t>コンゴウユ</t>
    </rPh>
    <phoneticPr fontId="4"/>
  </si>
  <si>
    <t>電力料</t>
    <rPh sb="0" eb="3">
      <t>デンリョクリョウ</t>
    </rPh>
    <phoneticPr fontId="4"/>
  </si>
  <si>
    <t>維持負担金</t>
    <rPh sb="0" eb="2">
      <t>イジ</t>
    </rPh>
    <rPh sb="2" eb="5">
      <t>フタンキン</t>
    </rPh>
    <phoneticPr fontId="4"/>
  </si>
  <si>
    <t>償還金</t>
    <rPh sb="0" eb="3">
      <t>ショウカンキン</t>
    </rPh>
    <phoneticPr fontId="4"/>
  </si>
  <si>
    <t>水利組合費</t>
    <rPh sb="0" eb="2">
      <t>スイリ</t>
    </rPh>
    <rPh sb="2" eb="5">
      <t>クミアイヒ</t>
    </rPh>
    <phoneticPr fontId="4"/>
  </si>
  <si>
    <t>揚水ポンプ組合費</t>
    <rPh sb="0" eb="2">
      <t>ヨウスイ</t>
    </rPh>
    <rPh sb="5" eb="8">
      <t>クミアイヒ</t>
    </rPh>
    <phoneticPr fontId="4"/>
  </si>
  <si>
    <t>共　同
負担金</t>
    <rPh sb="0" eb="3">
      <t>キョウドウ</t>
    </rPh>
    <phoneticPr fontId="4"/>
  </si>
  <si>
    <t>薬剤散布</t>
    <rPh sb="0" eb="2">
      <t>ヤクザイ</t>
    </rPh>
    <rPh sb="2" eb="4">
      <t>サンプ</t>
    </rPh>
    <phoneticPr fontId="4"/>
  </si>
  <si>
    <t>共同施設</t>
    <rPh sb="0" eb="2">
      <t>キョウドウ</t>
    </rPh>
    <rPh sb="2" eb="4">
      <t>シセツ</t>
    </rPh>
    <phoneticPr fontId="4"/>
  </si>
  <si>
    <t>共同苗代</t>
    <rPh sb="0" eb="2">
      <t>キョウドウ</t>
    </rPh>
    <rPh sb="2" eb="4">
      <t>ナワシロ</t>
    </rPh>
    <phoneticPr fontId="4"/>
  </si>
  <si>
    <t>農機具借料</t>
    <rPh sb="0" eb="3">
      <t>ノウキグ</t>
    </rPh>
    <rPh sb="3" eb="5">
      <t>シャクリョウ</t>
    </rPh>
    <phoneticPr fontId="4"/>
  </si>
  <si>
    <t>航空防除賃</t>
    <rPh sb="0" eb="2">
      <t>コウクウ</t>
    </rPh>
    <rPh sb="2" eb="4">
      <t>ボウジョ</t>
    </rPh>
    <rPh sb="4" eb="5">
      <t>チン</t>
    </rPh>
    <phoneticPr fontId="4"/>
  </si>
  <si>
    <t>賃耕料</t>
    <rPh sb="0" eb="1">
      <t>チン</t>
    </rPh>
    <rPh sb="1" eb="2">
      <t>コウ</t>
    </rPh>
    <rPh sb="2" eb="3">
      <t>リョウ</t>
    </rPh>
    <phoneticPr fontId="4"/>
  </si>
  <si>
    <t>は種・田植賃</t>
    <rPh sb="1" eb="2">
      <t>シュ</t>
    </rPh>
    <rPh sb="3" eb="5">
      <t>タウ</t>
    </rPh>
    <rPh sb="5" eb="6">
      <t>チン</t>
    </rPh>
    <phoneticPr fontId="4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</si>
  <si>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4"/>
  </si>
  <si>
    <t>もみすり脱穀賃</t>
    <rPh sb="4" eb="6">
      <t>ダッコク</t>
    </rPh>
    <rPh sb="6" eb="7">
      <t>チン</t>
    </rPh>
    <phoneticPr fontId="4"/>
  </si>
  <si>
    <t>ライスセンター費</t>
    <rPh sb="7" eb="8">
      <t>ヒ</t>
    </rPh>
    <phoneticPr fontId="4"/>
  </si>
  <si>
    <t>カントリーエレベーター費</t>
    <rPh sb="11" eb="12">
      <t>ヒ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</si>
  <si>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</si>
  <si>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（台）</t>
    <rPh sb="1" eb="2">
      <t>ダイ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</si>
  <si>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</si>
  <si>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</si>
  <si>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</si>
  <si>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</si>
  <si>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</si>
  <si>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</si>
  <si>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</si>
  <si>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</si>
  <si>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</si>
  <si>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電動機</t>
    <rPh sb="0" eb="3">
      <t>デンドウキ</t>
    </rPh>
    <phoneticPr fontId="4"/>
  </si>
  <si>
    <t>発動機</t>
    <rPh sb="0" eb="3">
      <t>ハツドウキ</t>
    </rPh>
    <phoneticPr fontId="4"/>
  </si>
  <si>
    <t>揚水ポンプ</t>
    <rPh sb="0" eb="2">
      <t>ヨウスイ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</si>
  <si>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</si>
  <si>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</si>
  <si>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50馬力以上</t>
    <rPh sb="4" eb="6">
      <t>イジョウ</t>
    </rPh>
    <phoneticPr fontId="4"/>
  </si>
  <si>
    <t>電熱育苗機</t>
    <rPh sb="0" eb="2">
      <t>デンネツ</t>
    </rPh>
    <rPh sb="2" eb="5">
      <t>イクビョウキ</t>
    </rPh>
    <phoneticPr fontId="4"/>
  </si>
  <si>
    <t>田植機</t>
    <rPh sb="0" eb="3">
      <t>タウエキ</t>
    </rPh>
    <phoneticPr fontId="4"/>
  </si>
  <si>
    <t>２条植</t>
    <rPh sb="1" eb="2">
      <t>ジョウ</t>
    </rPh>
    <rPh sb="2" eb="3">
      <t>ウエ</t>
    </rPh>
    <phoneticPr fontId="4"/>
  </si>
  <si>
    <t>６条植以上</t>
    <rPh sb="1" eb="2">
      <t>ジョウ</t>
    </rPh>
    <rPh sb="2" eb="3">
      <t>ウエ</t>
    </rPh>
    <rPh sb="3" eb="5">
      <t>イジョウ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</si>
  <si>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</si>
  <si>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</si>
  <si>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４条以上</t>
    <rPh sb="1" eb="2">
      <t>ジョウ</t>
    </rPh>
    <rPh sb="2" eb="4">
      <t>イジョウ</t>
    </rPh>
    <phoneticPr fontId="4"/>
  </si>
  <si>
    <t>普通型コンバイン</t>
    <rPh sb="0" eb="2">
      <t>フツウ</t>
    </rPh>
    <rPh sb="2" eb="3">
      <t>ガタ</t>
    </rPh>
    <phoneticPr fontId="4"/>
  </si>
  <si>
    <t>脱穀機</t>
    <rPh sb="0" eb="3">
      <t>ダッコクキ</t>
    </rPh>
    <phoneticPr fontId="4"/>
  </si>
  <si>
    <t>乾燥機</t>
    <rPh sb="0" eb="3">
      <t>カンソウキ</t>
    </rPh>
    <phoneticPr fontId="4"/>
  </si>
  <si>
    <t>静置式</t>
    <rPh sb="0" eb="1">
      <t>セイ</t>
    </rPh>
    <rPh sb="1" eb="2">
      <t>チ</t>
    </rPh>
    <rPh sb="2" eb="3">
      <t>シキ</t>
    </rPh>
    <phoneticPr fontId="4"/>
  </si>
  <si>
    <t>循環式</t>
    <rPh sb="0" eb="2">
      <t>ジュンカン</t>
    </rPh>
    <rPh sb="2" eb="3">
      <t>シキ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</si>
  <si>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</si>
  <si>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物件税</t>
    <rPh sb="0" eb="2">
      <t>ブッケン</t>
    </rPh>
    <rPh sb="2" eb="3">
      <t>ゼイ</t>
    </rPh>
    <phoneticPr fontId="4"/>
  </si>
  <si>
    <t>固定資産税</t>
    <rPh sb="0" eb="2">
      <t>コテイ</t>
    </rPh>
    <rPh sb="2" eb="5">
      <t>シサンゼイ</t>
    </rPh>
    <phoneticPr fontId="4"/>
  </si>
  <si>
    <t>建物</t>
    <rPh sb="0" eb="2">
      <t>タテモノ</t>
    </rPh>
    <phoneticPr fontId="4"/>
  </si>
  <si>
    <t>自動車重量税</t>
    <rPh sb="0" eb="3">
      <t>ジドウシャ</t>
    </rPh>
    <rPh sb="3" eb="6">
      <t>ジュウリョウゼイ</t>
    </rPh>
    <phoneticPr fontId="4"/>
  </si>
  <si>
    <t>自動車税</t>
    <rPh sb="0" eb="3">
      <t>ジドウシャ</t>
    </rPh>
    <rPh sb="3" eb="4">
      <t>ジュウリョウゼイ</t>
    </rPh>
    <phoneticPr fontId="4"/>
  </si>
  <si>
    <t>不動産取得税</t>
    <rPh sb="0" eb="3">
      <t>フドウサン</t>
    </rPh>
    <rPh sb="3" eb="6">
      <t>シュトクゼイ</t>
    </rPh>
    <phoneticPr fontId="4"/>
  </si>
  <si>
    <t>自動車取得税</t>
    <rPh sb="0" eb="3">
      <t>ジドウシャ</t>
    </rPh>
    <rPh sb="3" eb="5">
      <t>シュトクゼイ</t>
    </rPh>
    <rPh sb="5" eb="6">
      <t>ジュウリョウゼイ</t>
    </rPh>
    <phoneticPr fontId="4"/>
  </si>
  <si>
    <t>水利地益税</t>
    <rPh sb="0" eb="2">
      <t>スイリ</t>
    </rPh>
    <rPh sb="2" eb="3">
      <t>チ</t>
    </rPh>
    <rPh sb="3" eb="5">
      <t>エキゼイ</t>
    </rPh>
    <phoneticPr fontId="4"/>
  </si>
  <si>
    <t>都市計画税</t>
    <rPh sb="0" eb="2">
      <t>トシ</t>
    </rPh>
    <rPh sb="2" eb="4">
      <t>ケイカク</t>
    </rPh>
    <rPh sb="4" eb="5">
      <t>ゼイ</t>
    </rPh>
    <phoneticPr fontId="4"/>
  </si>
  <si>
    <t>共同施設税</t>
    <rPh sb="0" eb="2">
      <t>キョウドウ</t>
    </rPh>
    <rPh sb="2" eb="4">
      <t>シセツ</t>
    </rPh>
    <rPh sb="4" eb="5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</si>
  <si>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4"/>
  </si>
  <si>
    <t>集落協議会費</t>
    <rPh sb="0" eb="2">
      <t>シュウラク</t>
    </rPh>
    <rPh sb="2" eb="5">
      <t>キョウギカイ</t>
    </rPh>
    <rPh sb="5" eb="6">
      <t>ヒ</t>
    </rPh>
    <phoneticPr fontId="4"/>
  </si>
  <si>
    <t>農業協同組合費</t>
    <rPh sb="0" eb="2">
      <t>ノウギョウ</t>
    </rPh>
    <rPh sb="2" eb="4">
      <t>キョウドウ</t>
    </rPh>
    <rPh sb="4" eb="7">
      <t>クミアイヒ</t>
    </rPh>
    <phoneticPr fontId="4"/>
  </si>
  <si>
    <t>農事実行組合費</t>
    <rPh sb="0" eb="2">
      <t>ノウジ</t>
    </rPh>
    <rPh sb="2" eb="4">
      <t>ジッコウ</t>
    </rPh>
    <rPh sb="4" eb="7">
      <t>クミアイヒ</t>
    </rPh>
    <phoneticPr fontId="4"/>
  </si>
  <si>
    <t>自賠責保険</t>
    <rPh sb="0" eb="3">
      <t>ジバイセキ</t>
    </rPh>
    <rPh sb="3" eb="5">
      <t>ホケン</t>
    </rPh>
    <phoneticPr fontId="4"/>
  </si>
  <si>
    <t>借入金・調査開始時残高合計</t>
    <rPh sb="0" eb="3">
      <t>カリイレキン</t>
    </rPh>
    <rPh sb="4" eb="6">
      <t>チョウサ</t>
    </rPh>
    <rPh sb="6" eb="8">
      <t>カイシ</t>
    </rPh>
    <rPh sb="8" eb="9">
      <t>トキ</t>
    </rPh>
    <rPh sb="9" eb="11">
      <t>ザンダカ</t>
    </rPh>
    <rPh sb="11" eb="13">
      <t>ゴウケイ</t>
    </rPh>
    <phoneticPr fontId="4"/>
  </si>
  <si>
    <t>借入金</t>
    <rPh sb="0" eb="1">
      <t>シャク</t>
    </rPh>
    <rPh sb="1" eb="2">
      <t>イリ</t>
    </rPh>
    <rPh sb="2" eb="3">
      <t>キン</t>
    </rPh>
    <phoneticPr fontId="4"/>
  </si>
  <si>
    <t>買掛未払金</t>
    <rPh sb="0" eb="2">
      <t>カイカケ</t>
    </rPh>
    <rPh sb="2" eb="5">
      <t>ミバライキン</t>
    </rPh>
    <phoneticPr fontId="4"/>
  </si>
  <si>
    <t>粗収益</t>
    <rPh sb="0" eb="1">
      <t>ソ</t>
    </rPh>
    <rPh sb="1" eb="3">
      <t>シュウエキ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</si>
  <si>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</si>
  <si>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たい肥盤</t>
    <rPh sb="2" eb="3">
      <t>ヒ</t>
    </rPh>
    <rPh sb="3" eb="4">
      <t>バン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</si>
  <si>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</si>
  <si>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玄米（予定を含む）</t>
    <rPh sb="0" eb="2">
      <t>ゲンマイ</t>
    </rPh>
    <rPh sb="3" eb="5">
      <t>ヨテイ</t>
    </rPh>
    <rPh sb="6" eb="7">
      <t>フク</t>
    </rPh>
    <phoneticPr fontId="9"/>
  </si>
  <si>
    <t>販売用</t>
    <rPh sb="0" eb="3">
      <t>ハンバイヨウ</t>
    </rPh>
    <phoneticPr fontId="9"/>
  </si>
  <si>
    <t>主食用</t>
    <rPh sb="0" eb="3">
      <t>シュショクヨウ</t>
    </rPh>
    <phoneticPr fontId="9"/>
  </si>
  <si>
    <t>加工用</t>
    <rPh sb="0" eb="3">
      <t>カコウヨウ</t>
    </rPh>
    <phoneticPr fontId="9"/>
  </si>
  <si>
    <t>区分出荷</t>
    <rPh sb="0" eb="2">
      <t>クブン</t>
    </rPh>
    <rPh sb="2" eb="4">
      <t>シュッカ</t>
    </rPh>
    <phoneticPr fontId="9"/>
  </si>
  <si>
    <t>小計</t>
    <rPh sb="0" eb="2">
      <t>ショウケイ</t>
    </rPh>
    <phoneticPr fontId="9"/>
  </si>
  <si>
    <t>自家用</t>
    <rPh sb="0" eb="3">
      <t>ジカヨウ</t>
    </rPh>
    <phoneticPr fontId="9"/>
  </si>
  <si>
    <t>種子用</t>
    <rPh sb="0" eb="2">
      <t>シュシ</t>
    </rPh>
    <rPh sb="2" eb="3">
      <t>ヨウ</t>
    </rPh>
    <phoneticPr fontId="9"/>
  </si>
  <si>
    <t>飯米用</t>
    <rPh sb="0" eb="2">
      <t>ハンマイ</t>
    </rPh>
    <rPh sb="2" eb="3">
      <t>ヨウ</t>
    </rPh>
    <phoneticPr fontId="9"/>
  </si>
  <si>
    <t>その他</t>
    <rPh sb="2" eb="3">
      <t>タ</t>
    </rPh>
    <phoneticPr fontId="9"/>
  </si>
  <si>
    <t>合計</t>
    <rPh sb="0" eb="2">
      <t>ゴウケイ</t>
    </rPh>
    <phoneticPr fontId="9"/>
  </si>
  <si>
    <t>いなわら等</t>
    <rPh sb="4" eb="5">
      <t>トウ</t>
    </rPh>
    <phoneticPr fontId="9"/>
  </si>
  <si>
    <t>販売</t>
    <rPh sb="0" eb="2">
      <t>ハンバイヨウ</t>
    </rPh>
    <phoneticPr fontId="9"/>
  </si>
  <si>
    <t>生わら</t>
    <rPh sb="0" eb="1">
      <t>ナマ</t>
    </rPh>
    <phoneticPr fontId="9"/>
  </si>
  <si>
    <t>乾燥わら</t>
    <rPh sb="0" eb="2">
      <t>カンソウ</t>
    </rPh>
    <phoneticPr fontId="9"/>
  </si>
  <si>
    <t>いなわら小計</t>
    <rPh sb="4" eb="6">
      <t>ショウケイ</t>
    </rPh>
    <phoneticPr fontId="9"/>
  </si>
  <si>
    <t>くず米</t>
    <rPh sb="2" eb="3">
      <t>マイ</t>
    </rPh>
    <phoneticPr fontId="9"/>
  </si>
  <si>
    <t>もみがら</t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</si>
  <si>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</si>
  <si>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</si>
  <si>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</si>
  <si>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</si>
  <si>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使用面積</t>
    <rPh sb="0" eb="2">
      <t>シヨウ</t>
    </rPh>
    <rPh sb="2" eb="4">
      <t>メンセキ</t>
    </rPh>
    <phoneticPr fontId="10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</si>
  <si>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</si>
  <si>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窒素質肥料</t>
    <rPh sb="0" eb="2">
      <t>チッソ</t>
    </rPh>
    <rPh sb="2" eb="3">
      <t>シツ</t>
    </rPh>
    <rPh sb="3" eb="5">
      <t>ヒリョウ</t>
    </rPh>
    <phoneticPr fontId="4"/>
  </si>
  <si>
    <t>りん酸質肥料</t>
    <rPh sb="2" eb="3">
      <t>サン</t>
    </rPh>
    <rPh sb="3" eb="4">
      <t>シツ</t>
    </rPh>
    <rPh sb="4" eb="6">
      <t>ヒリョウ</t>
    </rPh>
    <phoneticPr fontId="4"/>
  </si>
  <si>
    <t>けい酸質肥料</t>
    <rPh sb="2" eb="3">
      <t>サン</t>
    </rPh>
    <rPh sb="3" eb="4">
      <t>シツ</t>
    </rPh>
    <rPh sb="4" eb="6">
      <t>ヒリョウ</t>
    </rPh>
    <phoneticPr fontId="4"/>
  </si>
  <si>
    <t>カリ質肥料</t>
    <rPh sb="2" eb="3">
      <t>シツ</t>
    </rPh>
    <rPh sb="3" eb="5">
      <t>ヒリョウ</t>
    </rPh>
    <phoneticPr fontId="4"/>
  </si>
  <si>
    <t>複合肥料</t>
    <rPh sb="0" eb="2">
      <t>フクゴウ</t>
    </rPh>
    <rPh sb="2" eb="4">
      <t>ヒリョウ</t>
    </rPh>
    <phoneticPr fontId="4"/>
  </si>
  <si>
    <t>育苗用土（購入）（素土を含む）</t>
    <rPh sb="0" eb="2">
      <t>イクビョウ</t>
    </rPh>
    <rPh sb="2" eb="3">
      <t>ヨウ</t>
    </rPh>
    <rPh sb="3" eb="4">
      <t>ヨウド</t>
    </rPh>
    <rPh sb="5" eb="7">
      <t>コウニュウ</t>
    </rPh>
    <rPh sb="9" eb="10">
      <t>モト</t>
    </rPh>
    <rPh sb="10" eb="11">
      <t>ツチ</t>
    </rPh>
    <rPh sb="12" eb="13">
      <t>フク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</si>
  <si>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</si>
  <si>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</si>
  <si>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</si>
  <si>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</si>
  <si>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</si>
  <si>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</si>
  <si>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</si>
  <si>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</si>
  <si>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</si>
  <si>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</si>
  <si>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</si>
  <si>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</si>
  <si>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</si>
  <si>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</si>
  <si>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</si>
  <si>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</si>
  <si>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</si>
  <si>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</si>
  <si>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</si>
  <si>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</si>
  <si>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</si>
  <si>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家族</t>
    <rPh sb="0" eb="2">
      <t>カゾク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</si>
  <si>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</si>
  <si>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</si>
  <si>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</si>
  <si>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</si>
  <si>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</si>
  <si>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</si>
  <si>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</si>
  <si>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</si>
  <si>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</si>
  <si>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</si>
  <si>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</si>
  <si>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</si>
  <si>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</si>
  <si>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</si>
  <si>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</si>
  <si>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</si>
  <si>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</si>
  <si>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</si>
  <si>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【生産費】</t>
    <rPh sb="1" eb="4">
      <t>セイサンヒ</t>
    </rPh>
    <phoneticPr fontId="4"/>
  </si>
  <si>
    <t>（％）</t>
    <phoneticPr fontId="1"/>
  </si>
  <si>
    <t>kg</t>
    <phoneticPr fontId="1"/>
  </si>
  <si>
    <t>ａ</t>
    <phoneticPr fontId="1"/>
  </si>
  <si>
    <t>（％）</t>
    <phoneticPr fontId="4"/>
  </si>
  <si>
    <t>（kg）</t>
    <phoneticPr fontId="4"/>
  </si>
  <si>
    <t>（％）</t>
    <phoneticPr fontId="4"/>
  </si>
  <si>
    <t>（ａ）</t>
    <phoneticPr fontId="4"/>
  </si>
  <si>
    <t>ガソリン</t>
    <phoneticPr fontId="4"/>
  </si>
  <si>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4"/>
  </si>
  <si>
    <t>軽自動車税</t>
    <phoneticPr fontId="4"/>
  </si>
  <si>
    <t>農業共済組合賦課金</t>
    <phoneticPr fontId="4"/>
  </si>
  <si>
    <t>短期</t>
    <phoneticPr fontId="4"/>
  </si>
  <si>
    <t>長期</t>
    <phoneticPr fontId="4"/>
  </si>
  <si>
    <t>貨物自動車</t>
    <rPh sb="0" eb="2">
      <t>カモツ</t>
    </rPh>
    <rPh sb="2" eb="5">
      <t>ジドウシャ</t>
    </rPh>
    <phoneticPr fontId="4"/>
  </si>
  <si>
    <t>（％）</t>
    <phoneticPr fontId="4"/>
  </si>
  <si>
    <t>乗　用
トラク
タ　ー</t>
    <phoneticPr fontId="4"/>
  </si>
  <si>
    <t>バインダー</t>
    <phoneticPr fontId="4"/>
  </si>
  <si>
    <t>自脱型コ
ンバイン</t>
    <phoneticPr fontId="4"/>
  </si>
  <si>
    <t>歩行用トラクター</t>
    <rPh sb="0" eb="3">
      <t>ホコウヨウ</t>
    </rPh>
    <phoneticPr fontId="4"/>
  </si>
  <si>
    <t>借入地</t>
    <rPh sb="0" eb="2">
      <t>カリイレ</t>
    </rPh>
    <rPh sb="2" eb="3">
      <t>チ</t>
    </rPh>
    <phoneticPr fontId="4"/>
  </si>
  <si>
    <t>作付地
以外</t>
    <rPh sb="0" eb="3">
      <t>サクツケチ</t>
    </rPh>
    <rPh sb="4" eb="6">
      <t>イガイ</t>
    </rPh>
    <phoneticPr fontId="1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</si>
  <si>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</si>
  <si>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（ａ）</t>
    <phoneticPr fontId="1"/>
  </si>
  <si>
    <t>（円）</t>
    <rPh sb="1" eb="2">
      <t>エン</t>
    </rPh>
    <phoneticPr fontId="1"/>
  </si>
  <si>
    <t>（円）</t>
    <phoneticPr fontId="1"/>
  </si>
  <si>
    <t>（円）</t>
    <phoneticPr fontId="1"/>
  </si>
  <si>
    <t>（円）</t>
    <phoneticPr fontId="1"/>
  </si>
  <si>
    <t>その他の諸材料費</t>
    <rPh sb="2" eb="3">
      <t>タ</t>
    </rPh>
    <rPh sb="4" eb="7">
      <t>ショザイリョウ</t>
    </rPh>
    <phoneticPr fontId="4"/>
  </si>
  <si>
    <t>（ａ）</t>
    <phoneticPr fontId="4"/>
  </si>
  <si>
    <t>（kg）</t>
    <phoneticPr fontId="1"/>
  </si>
  <si>
    <t>（円）</t>
    <phoneticPr fontId="4"/>
  </si>
  <si>
    <t>（円）</t>
    <phoneticPr fontId="4"/>
  </si>
  <si>
    <t>ａ</t>
    <phoneticPr fontId="1"/>
  </si>
  <si>
    <t>耕うん・整地</t>
    <rPh sb="0" eb="1">
      <t>コウ</t>
    </rPh>
    <rPh sb="4" eb="6">
      <t>セイチ</t>
    </rPh>
    <phoneticPr fontId="4"/>
  </si>
  <si>
    <t>ａ</t>
  </si>
  <si>
    <t>田植</t>
    <rPh sb="0" eb="2">
      <t>タウエ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</si>
  <si>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</si>
  <si>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</si>
  <si>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kg</t>
    <phoneticPr fontId="1"/>
  </si>
  <si>
    <t>ライスセンター</t>
    <phoneticPr fontId="1"/>
  </si>
  <si>
    <t>カントリーエレベーター</t>
    <phoneticPr fontId="1"/>
  </si>
  <si>
    <t>増減率</t>
    <rPh sb="0" eb="2">
      <t>ゾウゲン</t>
    </rPh>
    <rPh sb="2" eb="3">
      <t>リツ</t>
    </rPh>
    <phoneticPr fontId="4"/>
  </si>
  <si>
    <t>（％）</t>
    <phoneticPr fontId="1"/>
  </si>
  <si>
    <t>センサス番号</t>
    <phoneticPr fontId="1"/>
  </si>
  <si>
    <t>増減差</t>
    <rPh sb="0" eb="2">
      <t>ゾウゲン</t>
    </rPh>
    <rPh sb="2" eb="3">
      <t>サ</t>
    </rPh>
    <phoneticPr fontId="4"/>
  </si>
  <si>
    <t>（kg）</t>
    <phoneticPr fontId="1"/>
  </si>
  <si>
    <t>（kg）</t>
    <phoneticPr fontId="1"/>
  </si>
  <si>
    <t>（L）</t>
    <phoneticPr fontId="4"/>
  </si>
  <si>
    <t>【飼料用米の生産費】</t>
    <rPh sb="1" eb="3">
      <t>シリョウ</t>
    </rPh>
    <rPh sb="3" eb="5">
      <t>ヨウマイ</t>
    </rPh>
    <rPh sb="6" eb="9">
      <t>セイサンヒ</t>
    </rPh>
    <phoneticPr fontId="4"/>
  </si>
  <si>
    <t>種子予措</t>
    <rPh sb="0" eb="2">
      <t>シュシ</t>
    </rPh>
    <rPh sb="2" eb="3">
      <t>ヨ</t>
    </rPh>
    <rPh sb="3" eb="4">
      <t>ソ</t>
    </rPh>
    <phoneticPr fontId="1"/>
  </si>
  <si>
    <t>育苗</t>
    <rPh sb="0" eb="2">
      <t>イクビョウ</t>
    </rPh>
    <phoneticPr fontId="1"/>
  </si>
  <si>
    <t>耕起整地</t>
    <rPh sb="0" eb="2">
      <t>コウキ</t>
    </rPh>
    <rPh sb="2" eb="4">
      <t>セイチ</t>
    </rPh>
    <phoneticPr fontId="1"/>
  </si>
  <si>
    <t>基肥</t>
    <rPh sb="0" eb="2">
      <t>キヒ</t>
    </rPh>
    <phoneticPr fontId="1"/>
  </si>
  <si>
    <t>直まき</t>
    <rPh sb="0" eb="1">
      <t>ジカ</t>
    </rPh>
    <phoneticPr fontId="1"/>
  </si>
  <si>
    <t>田植</t>
    <rPh sb="0" eb="2">
      <t>タウ</t>
    </rPh>
    <phoneticPr fontId="1"/>
  </si>
  <si>
    <t>追肥</t>
    <rPh sb="0" eb="2">
      <t>ツイヒ</t>
    </rPh>
    <phoneticPr fontId="1"/>
  </si>
  <si>
    <t>除草</t>
    <rPh sb="0" eb="2">
      <t>ジョソウ</t>
    </rPh>
    <phoneticPr fontId="1"/>
  </si>
  <si>
    <t>刈取脱穀</t>
    <rPh sb="0" eb="1">
      <t>カ</t>
    </rPh>
    <rPh sb="1" eb="2">
      <t>ト</t>
    </rPh>
    <rPh sb="2" eb="4">
      <t>ダッコク</t>
    </rPh>
    <phoneticPr fontId="1"/>
  </si>
  <si>
    <t>乾燥</t>
    <rPh sb="0" eb="2">
      <t>カンソウ</t>
    </rPh>
    <phoneticPr fontId="1"/>
  </si>
  <si>
    <t>管理</t>
    <rPh sb="0" eb="2">
      <t>カンリ</t>
    </rPh>
    <phoneticPr fontId="1"/>
  </si>
  <si>
    <t>防除</t>
    <rPh sb="0" eb="2">
      <t>ボウジョ</t>
    </rPh>
    <phoneticPr fontId="1"/>
  </si>
  <si>
    <t>10
ａ
当
た
り
作
業
別
労
動
時
間</t>
    <rPh sb="11" eb="12">
      <t>サク</t>
    </rPh>
    <rPh sb="13" eb="14">
      <t>ギョウ</t>
    </rPh>
    <rPh sb="15" eb="16">
      <t>ベツ</t>
    </rPh>
    <rPh sb="17" eb="18">
      <t>ロウ</t>
    </rPh>
    <rPh sb="19" eb="20">
      <t>ウゴ</t>
    </rPh>
    <rPh sb="21" eb="22">
      <t>ジ</t>
    </rPh>
    <rPh sb="23" eb="24">
      <t>カン</t>
    </rPh>
    <phoneticPr fontId="1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</si>
  <si>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</si>
  <si>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</si>
  <si>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</si>
  <si>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</si>
  <si>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その他</t>
    <phoneticPr fontId="1"/>
  </si>
  <si>
    <t>加工用</t>
    <rPh sb="0" eb="2">
      <t>カコウ</t>
    </rPh>
    <rPh sb="2" eb="3">
      <t>ヨウ</t>
    </rPh>
    <phoneticPr fontId="9"/>
  </si>
  <si>
    <t>賃借料及び料金</t>
    <rPh sb="0" eb="3">
      <t>チンシャクリョウ</t>
    </rPh>
    <rPh sb="3" eb="4">
      <t>オヨ</t>
    </rPh>
    <rPh sb="5" eb="7">
      <t>リョウキン</t>
    </rPh>
    <phoneticPr fontId="1"/>
  </si>
  <si>
    <t>〃</t>
    <phoneticPr fontId="1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</si>
  <si>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"/>
  </si>
  <si>
    <t>動力噴霧機</t>
    <rPh sb="0" eb="2">
      <t>ドウリョク</t>
    </rPh>
    <rPh sb="2" eb="4">
      <t>フンム</t>
    </rPh>
    <rPh sb="4" eb="5">
      <t>キ</t>
    </rPh>
    <phoneticPr fontId="4"/>
  </si>
  <si>
    <t>農機具費</t>
    <phoneticPr fontId="1"/>
  </si>
  <si>
    <t>住宅</t>
    <rPh sb="0" eb="2">
      <t>ジュウタク</t>
    </rPh>
    <phoneticPr fontId="4"/>
  </si>
  <si>
    <t>構成割合</t>
    <rPh sb="0" eb="2">
      <t>コウセイ</t>
    </rPh>
    <rPh sb="2" eb="4">
      <t>ワリアイ</t>
    </rPh>
    <phoneticPr fontId="1"/>
  </si>
  <si>
    <t>１経営体当たり作付面積</t>
    <rPh sb="4" eb="5">
      <t>ア</t>
    </rPh>
    <rPh sb="7" eb="9">
      <t>サクツケ</t>
    </rPh>
    <rPh sb="9" eb="11">
      <t>メンセキ</t>
    </rPh>
    <phoneticPr fontId="1"/>
  </si>
  <si>
    <t>【稲作作業の委託状況（１経営体当たり）】</t>
    <rPh sb="15" eb="16">
      <t>ア</t>
    </rPh>
    <phoneticPr fontId="4"/>
  </si>
  <si>
    <t>１経営体当たり飼料用米作付面積</t>
    <rPh sb="4" eb="5">
      <t>ア</t>
    </rPh>
    <rPh sb="7" eb="9">
      <t>シリョウ</t>
    </rPh>
    <rPh sb="9" eb="11">
      <t>ヨウマイ</t>
    </rPh>
    <rPh sb="11" eb="13">
      <t>サクツ</t>
    </rPh>
    <rPh sb="13" eb="15">
      <t>メンセキ</t>
    </rPh>
    <phoneticPr fontId="1"/>
  </si>
  <si>
    <t>もみすり機</t>
    <rPh sb="4" eb="5">
      <t>キ</t>
    </rPh>
    <phoneticPr fontId="4"/>
  </si>
  <si>
    <t>３～５条植</t>
    <rPh sb="3" eb="4">
      <t>ジョウ</t>
    </rPh>
    <rPh sb="4" eb="5">
      <t>ウエ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</si>
  <si>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rPh sb="15" eb="16">
      <t>ツヅ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</si>
  <si>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phoneticPr fontId="4"/>
  </si>
  <si>
    <t>所 有 台 数（ １ 経 営 体 当 た り ）</t>
    <rPh sb="0" eb="3">
      <t>ショユウ</t>
    </rPh>
    <rPh sb="4" eb="5">
      <t>ダイ</t>
    </rPh>
    <rPh sb="6" eb="7">
      <t>カズ</t>
    </rPh>
    <rPh sb="17" eb="18">
      <t>ア</t>
    </rPh>
    <phoneticPr fontId="4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</si>
  <si>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</si>
  <si>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</si>
  <si>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</si>
  <si>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稲わら
(もみがら含む)</t>
    <rPh sb="0" eb="1">
      <t>イナ</t>
    </rPh>
    <phoneticPr fontId="4"/>
  </si>
  <si>
    <t>年産　米生産費統計（個別経営体）　個別結果検討表　№１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</si>
</sst>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=[&quot;@&quot;]&quot;"/>
    <numFmt numFmtId="177" formatCode="###\ ###\ ##0"/>
    <numFmt numFmtId="178" formatCode="###\ ###\ ##0.0"/>
    <numFmt numFmtId="179" formatCode="###\ ###\ ##0;\-###\ ###\ ##0;"/>
    <numFmt numFmtId="180" formatCode="###\ ###\ ##0.00;\-###\ ###\ ##0.00;"/>
    <numFmt numFmtId="181" formatCode="00&quot;&quot;"/>
    <numFmt numFmtId="182" formatCode="###\ ###\ ##0.000;\-###\ ###\ ##0.000;"/>
    <numFmt numFmtId="183" formatCode="0000"/>
    <numFmt numFmtId="184" formatCode="#0&quot;年産&quot;"/>
    <numFmt numFmtId="185" formatCode="#,##0_ "/>
    <numFmt numFmtId="186" formatCode="#,##0.0_ "/>
    <numFmt numFmtId="187" formatCode="#,##0.000_ "/>
    <numFmt numFmtId="188" formatCode="#,##0.00_ "/>
  </numFmts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69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8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11" fillId="0" borderId="0"/>
    <xf numFmtId="0" fontId="14" fillId="0" borderId="0"/>
  </cellStyleXfs>
  <cellXfs count="611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right" vertical="center"/>
    </xf>
    <xf numFmtId="0" fontId="8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5" fillId="0" borderId="25" xfId="1" applyFont="1" applyFill="1" applyBorder="1" applyAlignment="1">
      <alignment horizontal="distributed" vertical="center" justifyLastLine="1"/>
    </xf>
    <xf numFmtId="0" fontId="7" fillId="0" borderId="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vertical="center"/>
    </xf>
    <xf numFmtId="0" fontId="5" fillId="0" borderId="24" xfId="1" applyFont="1" applyFill="1" applyBorder="1" applyAlignment="1">
      <alignment horizontal="distributed" vertical="center" justifyLastLine="1"/>
    </xf>
    <xf numFmtId="0" fontId="5" fillId="0" borderId="14" xfId="1" applyFont="1" applyFill="1" applyBorder="1" applyAlignment="1">
      <alignment horizontal="distributed" vertical="center"/>
    </xf>
    <xf numFmtId="0" fontId="2" fillId="0" borderId="0" xfId="1" applyFont="1" applyFill="1"/>
    <xf numFmtId="0" fontId="5" fillId="0" borderId="27" xfId="1" applyFont="1" applyFill="1" applyBorder="1" applyAlignment="1">
      <alignment horizontal="distributed" vertical="center" justifyLastLine="1"/>
    </xf>
    <xf numFmtId="0" fontId="5" fillId="0" borderId="38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 justifyLastLine="1"/>
    </xf>
    <xf numFmtId="0" fontId="7" fillId="0" borderId="39" xfId="1" applyFont="1" applyFill="1" applyBorder="1" applyAlignment="1">
      <alignment horizontal="center" vertical="center"/>
    </xf>
    <xf numFmtId="179" fontId="5" fillId="0" borderId="0" xfId="1" applyNumberFormat="1" applyFont="1" applyFill="1" applyBorder="1" applyAlignment="1">
      <alignment horizontal="right"/>
    </xf>
    <xf numFmtId="178" fontId="5" fillId="0" borderId="0" xfId="1" applyNumberFormat="1" applyFont="1" applyFill="1" applyBorder="1" applyAlignment="1">
      <alignment horizontal="right" shrinkToFit="1"/>
    </xf>
    <xf numFmtId="0" fontId="5" fillId="0" borderId="1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vertical="center" shrinkToFit="1"/>
    </xf>
    <xf numFmtId="0" fontId="5" fillId="0" borderId="17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center" vertical="center" shrinkToFit="1"/>
    </xf>
    <xf numFmtId="181" fontId="5" fillId="0" borderId="0" xfId="1" applyNumberFormat="1" applyFont="1" applyFill="1" applyBorder="1" applyAlignment="1">
      <alignment horizontal="center" vertical="center"/>
    </xf>
    <xf numFmtId="183" fontId="5" fillId="0" borderId="0" xfId="1" applyNumberFormat="1" applyFont="1" applyFill="1" applyBorder="1" applyAlignment="1">
      <alignment horizontal="center" vertical="center"/>
    </xf>
    <xf numFmtId="177" fontId="5" fillId="2" borderId="111" xfId="3" applyNumberFormat="1" applyFont="1" applyFill="1" applyBorder="1" applyAlignment="1">
      <alignment horizontal="center" vertical="center" shrinkToFit="1"/>
    </xf>
    <xf numFmtId="177" fontId="5" fillId="2" borderId="119" xfId="3" applyNumberFormat="1" applyFont="1" applyFill="1" applyBorder="1" applyAlignment="1">
      <alignment horizontal="center" vertical="center" shrinkToFit="1"/>
    </xf>
    <xf numFmtId="0" fontId="5" fillId="0" borderId="45" xfId="2" applyFont="1" applyBorder="1" applyAlignment="1">
      <alignment horizontal="distributed" vertical="center"/>
    </xf>
    <xf numFmtId="0" fontId="5" fillId="1" borderId="46" xfId="2" applyFont="1" applyFill="1" applyBorder="1" applyAlignment="1">
      <alignment horizontal="distributed" vertical="center"/>
    </xf>
    <xf numFmtId="0" fontId="5" fillId="1" borderId="45" xfId="2" applyFont="1" applyFill="1" applyBorder="1" applyAlignment="1">
      <alignment horizontal="distributed" vertical="center"/>
    </xf>
    <xf numFmtId="176" fontId="5" fillId="0" borderId="0" xfId="1" applyNumberFormat="1" applyFont="1" applyFill="1" applyBorder="1" applyAlignment="1">
      <alignment horizontal="right"/>
    </xf>
    <xf numFmtId="0" fontId="5" fillId="0" borderId="46" xfId="2" applyFont="1" applyBorder="1" applyAlignment="1">
      <alignment horizontal="distributed" vertical="center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vertical="center"/>
    </xf>
    <xf numFmtId="177" fontId="5" fillId="0" borderId="83" xfId="1" applyNumberFormat="1" applyFont="1" applyFill="1" applyBorder="1" applyAlignment="1">
      <alignment shrinkToFit="1"/>
    </xf>
    <xf numFmtId="177" fontId="5" fillId="0" borderId="20" xfId="1" applyNumberFormat="1" applyFont="1" applyFill="1" applyBorder="1" applyAlignment="1">
      <alignment shrinkToFit="1"/>
    </xf>
    <xf numFmtId="177" fontId="5" fillId="0" borderId="42" xfId="1" applyNumberFormat="1" applyFont="1" applyFill="1" applyBorder="1" applyAlignment="1">
      <alignment shrinkToFit="1"/>
    </xf>
    <xf numFmtId="177" fontId="5" fillId="0" borderId="75" xfId="1" applyNumberFormat="1" applyFont="1" applyFill="1" applyBorder="1" applyAlignment="1">
      <alignment shrinkToFit="1"/>
    </xf>
    <xf numFmtId="0" fontId="5" fillId="2" borderId="93" xfId="3" applyFont="1" applyFill="1" applyBorder="1" applyAlignment="1">
      <alignment vertical="center"/>
    </xf>
    <xf numFmtId="0" fontId="5" fillId="2" borderId="95" xfId="3" applyFont="1" applyFill="1" applyBorder="1" applyAlignment="1">
      <alignment vertical="center"/>
    </xf>
    <xf numFmtId="177" fontId="5" fillId="0" borderId="45" xfId="1" applyNumberFormat="1" applyFont="1" applyFill="1" applyBorder="1" applyAlignment="1">
      <alignment shrinkToFit="1"/>
    </xf>
    <xf numFmtId="0" fontId="5" fillId="2" borderId="0" xfId="3" applyFont="1" applyFill="1" applyBorder="1" applyAlignment="1">
      <alignment vertical="center"/>
    </xf>
    <xf numFmtId="177" fontId="5" fillId="0" borderId="0" xfId="1" applyNumberFormat="1" applyFont="1" applyFill="1" applyBorder="1" applyAlignment="1">
      <alignment shrinkToFit="1"/>
    </xf>
    <xf numFmtId="181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19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center" vertical="center" shrinkToFit="1"/>
    </xf>
    <xf numFmtId="0" fontId="8" fillId="0" borderId="0" xfId="1" applyFont="1" applyFill="1" applyAlignment="1">
      <alignment vertical="center"/>
    </xf>
    <xf numFmtId="0" fontId="5" fillId="0" borderId="54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0" borderId="18" xfId="1" applyFont="1" applyFill="1" applyBorder="1" applyAlignment="1">
      <alignment vertical="center"/>
    </xf>
    <xf numFmtId="0" fontId="7" fillId="0" borderId="18" xfId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vertical="center"/>
    </xf>
    <xf numFmtId="0" fontId="2" fillId="0" borderId="0" xfId="1" applyFont="1" applyFill="1" applyBorder="1" applyAlignment="1"/>
    <xf numFmtId="0" fontId="13" fillId="2" borderId="120" xfId="3" applyFont="1" applyFill="1" applyBorder="1" applyAlignment="1">
      <alignment horizontal="center" vertical="center" wrapText="1"/>
    </xf>
    <xf numFmtId="0" fontId="13" fillId="2" borderId="128" xfId="3" applyFont="1" applyFill="1" applyBorder="1" applyAlignment="1">
      <alignment horizontal="center" vertical="center" wrapText="1"/>
    </xf>
    <xf numFmtId="0" fontId="13" fillId="2" borderId="128" xfId="3" applyFont="1" applyFill="1" applyBorder="1" applyAlignment="1">
      <alignment horizontal="center" vertical="center"/>
    </xf>
    <xf numFmtId="0" fontId="13" fillId="2" borderId="129" xfId="3" applyFont="1" applyFill="1" applyBorder="1" applyAlignment="1">
      <alignment horizontal="center" vertical="center" wrapText="1"/>
    </xf>
    <xf numFmtId="0" fontId="13" fillId="2" borderId="130" xfId="3" applyFont="1" applyFill="1" applyBorder="1" applyAlignment="1">
      <alignment horizontal="center" vertical="center" wrapText="1"/>
    </xf>
    <xf numFmtId="0" fontId="13" fillId="2" borderId="131" xfId="3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182" fontId="5" fillId="0" borderId="0" xfId="1" applyNumberFormat="1" applyFont="1" applyFill="1" applyBorder="1" applyAlignment="1">
      <alignment horizontal="right"/>
    </xf>
    <xf numFmtId="178" fontId="5" fillId="0" borderId="0" xfId="1" applyNumberFormat="1" applyFont="1" applyFill="1" applyBorder="1" applyAlignment="1">
      <alignment horizontal="right"/>
    </xf>
    <xf numFmtId="0" fontId="7" fillId="0" borderId="7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180" fontId="5" fillId="0" borderId="0" xfId="1" applyNumberFormat="1" applyFont="1" applyFill="1" applyBorder="1" applyAlignment="1">
      <alignment horizontal="right"/>
    </xf>
    <xf numFmtId="0" fontId="5" fillId="0" borderId="0" xfId="1" applyFont="1" applyFill="1" applyBorder="1" applyAlignment="1">
      <alignment horizontal="distributed" vertical="distributed" textRotation="255"/>
    </xf>
    <xf numFmtId="178" fontId="5" fillId="0" borderId="17" xfId="1" applyNumberFormat="1" applyFont="1" applyFill="1" applyBorder="1" applyAlignment="1">
      <alignment horizontal="right" shrinkToFit="1"/>
    </xf>
    <xf numFmtId="0" fontId="5" fillId="0" borderId="140" xfId="1" applyFont="1" applyFill="1" applyBorder="1" applyAlignment="1">
      <alignment horizontal="distributed" vertical="center" justifyLastLine="1"/>
    </xf>
    <xf numFmtId="0" fontId="5" fillId="0" borderId="17" xfId="1" applyFont="1" applyFill="1" applyBorder="1" applyAlignment="1">
      <alignment horizontal="distributed" vertical="center"/>
    </xf>
    <xf numFmtId="0" fontId="5" fillId="0" borderId="15" xfId="1" applyFont="1" applyFill="1" applyBorder="1" applyAlignment="1">
      <alignment horizontal="distributed" vertical="center"/>
    </xf>
    <xf numFmtId="0" fontId="5" fillId="0" borderId="19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2" borderId="137" xfId="3" applyFont="1" applyFill="1" applyBorder="1" applyAlignment="1">
      <alignment horizontal="distributed" vertical="center" justifyLastLine="1" shrinkToFit="1"/>
    </xf>
    <xf numFmtId="0" fontId="5" fillId="2" borderId="105" xfId="3" applyFont="1" applyFill="1" applyBorder="1" applyAlignment="1">
      <alignment horizontal="distributed" vertical="center" justifyLastLine="1" shrinkToFit="1"/>
    </xf>
    <xf numFmtId="0" fontId="5" fillId="2" borderId="117" xfId="3" applyFont="1" applyFill="1" applyBorder="1" applyAlignment="1">
      <alignment horizontal="distributed" vertical="center" justifyLastLine="1" shrinkToFit="1"/>
    </xf>
    <xf numFmtId="0" fontId="6" fillId="0" borderId="12" xfId="1" applyFont="1" applyFill="1" applyBorder="1" applyAlignment="1">
      <alignment vertical="center"/>
    </xf>
    <xf numFmtId="0" fontId="5" fillId="0" borderId="83" xfId="4" applyFont="1" applyFill="1" applyBorder="1" applyAlignment="1" applyProtection="1">
      <alignment horizontal="center" vertical="center"/>
    </xf>
    <xf numFmtId="0" fontId="5" fillId="0" borderId="20" xfId="4" applyFont="1" applyFill="1" applyBorder="1" applyAlignment="1" applyProtection="1">
      <alignment horizontal="center" vertical="center"/>
    </xf>
    <xf numFmtId="0" fontId="5" fillId="0" borderId="42" xfId="4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1" applyFont="1" applyFill="1" applyBorder="1" applyAlignment="1">
      <alignment horizontal="distributed" vertical="center" justifyLastLine="1"/>
    </xf>
    <xf numFmtId="0" fontId="7" fillId="0" borderId="0" xfId="1" applyFont="1" applyFill="1" applyBorder="1" applyAlignment="1">
      <alignment horizontal="center" vertical="center"/>
    </xf>
    <xf numFmtId="182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center" vertical="center"/>
    </xf>
    <xf numFmtId="181" fontId="5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/>
    </xf>
    <xf numFmtId="0" fontId="13" fillId="2" borderId="155" xfId="3" applyFont="1" applyFill="1" applyBorder="1" applyAlignment="1">
      <alignment horizontal="center" vertical="center" wrapText="1"/>
    </xf>
    <xf numFmtId="0" fontId="13" fillId="2" borderId="163" xfId="3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 wrapText="1"/>
    </xf>
    <xf numFmtId="0" fontId="5" fillId="0" borderId="54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181" fontId="5" fillId="0" borderId="0" xfId="1" applyNumberFormat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distributed" vertical="center" justifyLastLine="1"/>
    </xf>
    <xf numFmtId="0" fontId="5" fillId="0" borderId="24" xfId="1" applyFont="1" applyFill="1" applyBorder="1" applyAlignment="1">
      <alignment horizontal="distributed" vertical="center" justifyLastLine="1"/>
    </xf>
    <xf numFmtId="0" fontId="5" fillId="0" borderId="27" xfId="1" applyFont="1" applyFill="1" applyBorder="1" applyAlignment="1">
      <alignment horizontal="distributed" vertical="center" justifyLastLine="1"/>
    </xf>
    <xf numFmtId="185" fontId="15" fillId="0" borderId="121" xfId="3" applyNumberFormat="1" applyFont="1" applyFill="1" applyBorder="1" applyAlignment="1">
      <alignment horizontal="right" vertical="center" shrinkToFit="1"/>
    </xf>
    <xf numFmtId="186" fontId="15" fillId="0" borderId="122" xfId="3" applyNumberFormat="1" applyFont="1" applyFill="1" applyBorder="1" applyAlignment="1">
      <alignment horizontal="right" vertical="center" shrinkToFit="1"/>
    </xf>
    <xf numFmtId="185" fontId="15" fillId="0" borderId="123" xfId="3" applyNumberFormat="1" applyFont="1" applyFill="1" applyBorder="1" applyAlignment="1">
      <alignment horizontal="right" vertical="center" shrinkToFit="1"/>
    </xf>
    <xf numFmtId="186" fontId="16" fillId="0" borderId="124" xfId="3" applyNumberFormat="1" applyFont="1" applyFill="1" applyBorder="1" applyAlignment="1">
      <alignment horizontal="right" vertical="center" shrinkToFit="1"/>
    </xf>
    <xf numFmtId="185" fontId="15" fillId="0" borderId="125" xfId="3" applyNumberFormat="1" applyFont="1" applyFill="1" applyBorder="1" applyAlignment="1">
      <alignment horizontal="right" vertical="center" shrinkToFit="1"/>
    </xf>
    <xf numFmtId="185" fontId="15" fillId="0" borderId="99" xfId="3" applyNumberFormat="1" applyFont="1" applyFill="1" applyBorder="1" applyAlignment="1">
      <alignment horizontal="right" vertical="center" shrinkToFit="1"/>
    </xf>
    <xf numFmtId="186" fontId="15" fillId="0" borderId="6" xfId="3" applyNumberFormat="1" applyFont="1" applyFill="1" applyBorder="1" applyAlignment="1">
      <alignment horizontal="right" vertical="center" shrinkToFit="1"/>
    </xf>
    <xf numFmtId="185" fontId="15" fillId="0" borderId="5" xfId="3" applyNumberFormat="1" applyFont="1" applyFill="1" applyBorder="1" applyAlignment="1">
      <alignment horizontal="right" vertical="center" shrinkToFit="1"/>
    </xf>
    <xf numFmtId="186" fontId="16" fillId="0" borderId="20" xfId="3" applyNumberFormat="1" applyFont="1" applyFill="1" applyBorder="1" applyAlignment="1">
      <alignment horizontal="right" vertical="center" shrinkToFit="1"/>
    </xf>
    <xf numFmtId="185" fontId="15" fillId="0" borderId="29" xfId="3" applyNumberFormat="1" applyFont="1" applyFill="1" applyBorder="1" applyAlignment="1">
      <alignment horizontal="right" vertical="center" shrinkToFit="1"/>
    </xf>
    <xf numFmtId="178" fontId="15" fillId="0" borderId="53" xfId="3" applyNumberFormat="1" applyFont="1" applyFill="1" applyBorder="1" applyAlignment="1">
      <alignment horizontal="right" vertical="center" shrinkToFit="1"/>
    </xf>
    <xf numFmtId="178" fontId="16" fillId="0" borderId="53" xfId="3" applyNumberFormat="1" applyFont="1" applyFill="1" applyBorder="1" applyAlignment="1">
      <alignment horizontal="right" vertical="center"/>
    </xf>
    <xf numFmtId="185" fontId="16" fillId="0" borderId="5" xfId="3" applyNumberFormat="1" applyFont="1" applyFill="1" applyBorder="1" applyAlignment="1">
      <alignment horizontal="right" vertical="center" shrinkToFit="1"/>
    </xf>
    <xf numFmtId="185" fontId="16" fillId="0" borderId="29" xfId="3" applyNumberFormat="1" applyFont="1" applyFill="1" applyBorder="1" applyAlignment="1">
      <alignment horizontal="right" vertical="center" shrinkToFit="1"/>
    </xf>
    <xf numFmtId="178" fontId="15" fillId="0" borderId="90" xfId="3" applyNumberFormat="1" applyFont="1" applyFill="1" applyBorder="1" applyAlignment="1">
      <alignment horizontal="right" vertical="center" shrinkToFit="1"/>
    </xf>
    <xf numFmtId="185" fontId="15" fillId="0" borderId="133" xfId="3" applyNumberFormat="1" applyFont="1" applyFill="1" applyBorder="1" applyAlignment="1">
      <alignment horizontal="right" vertical="center" shrinkToFit="1"/>
    </xf>
    <xf numFmtId="178" fontId="15" fillId="0" borderId="144" xfId="3" applyNumberFormat="1" applyFont="1" applyFill="1" applyBorder="1" applyAlignment="1">
      <alignment horizontal="right" vertical="center" shrinkToFit="1"/>
    </xf>
    <xf numFmtId="186" fontId="16" fillId="0" borderId="21" xfId="3" applyNumberFormat="1" applyFont="1" applyFill="1" applyBorder="1" applyAlignment="1">
      <alignment horizontal="right" vertical="center" shrinkToFit="1"/>
    </xf>
    <xf numFmtId="185" fontId="15" fillId="0" borderId="34" xfId="3" applyNumberFormat="1" applyFont="1" applyFill="1" applyBorder="1" applyAlignment="1">
      <alignment horizontal="right" vertical="center" shrinkToFit="1"/>
    </xf>
    <xf numFmtId="185" fontId="15" fillId="0" borderId="98" xfId="3" applyNumberFormat="1" applyFont="1" applyFill="1" applyBorder="1" applyAlignment="1">
      <alignment horizontal="right" vertical="center" shrinkToFit="1"/>
    </xf>
    <xf numFmtId="178" fontId="15" fillId="0" borderId="51" xfId="3" applyNumberFormat="1" applyFont="1" applyFill="1" applyBorder="1" applyAlignment="1">
      <alignment horizontal="right" vertical="center" shrinkToFit="1"/>
    </xf>
    <xf numFmtId="185" fontId="15" fillId="0" borderId="35" xfId="3" applyNumberFormat="1" applyFont="1" applyFill="1" applyBorder="1" applyAlignment="1">
      <alignment horizontal="right" vertical="center" shrinkToFit="1"/>
    </xf>
    <xf numFmtId="186" fontId="16" fillId="0" borderId="83" xfId="3" applyNumberFormat="1" applyFont="1" applyFill="1" applyBorder="1" applyAlignment="1">
      <alignment horizontal="right" vertical="center" shrinkToFit="1"/>
    </xf>
    <xf numFmtId="185" fontId="15" fillId="0" borderId="47" xfId="3" applyNumberFormat="1" applyFont="1" applyFill="1" applyBorder="1" applyAlignment="1">
      <alignment horizontal="right" vertical="center" shrinkToFit="1"/>
    </xf>
    <xf numFmtId="185" fontId="15" fillId="0" borderId="100" xfId="3" applyNumberFormat="1" applyFont="1" applyFill="1" applyBorder="1" applyAlignment="1">
      <alignment horizontal="right" vertical="center" shrinkToFit="1"/>
    </xf>
    <xf numFmtId="185" fontId="15" fillId="0" borderId="8" xfId="3" applyNumberFormat="1" applyFont="1" applyFill="1" applyBorder="1" applyAlignment="1">
      <alignment horizontal="right" vertical="center" shrinkToFit="1"/>
    </xf>
    <xf numFmtId="186" fontId="16" fillId="0" borderId="42" xfId="3" applyNumberFormat="1" applyFont="1" applyFill="1" applyBorder="1" applyAlignment="1">
      <alignment horizontal="right" vertical="center" shrinkToFit="1"/>
    </xf>
    <xf numFmtId="185" fontId="15" fillId="0" borderId="31" xfId="3" applyNumberFormat="1" applyFont="1" applyFill="1" applyBorder="1" applyAlignment="1">
      <alignment horizontal="right" vertical="center" shrinkToFit="1"/>
    </xf>
    <xf numFmtId="185" fontId="15" fillId="0" borderId="36" xfId="3" applyNumberFormat="1" applyFont="1" applyFill="1" applyBorder="1" applyAlignment="1">
      <alignment horizontal="right" vertical="center" shrinkToFit="1"/>
    </xf>
    <xf numFmtId="178" fontId="15" fillId="0" borderId="145" xfId="3" applyNumberFormat="1" applyFont="1" applyFill="1" applyBorder="1" applyAlignment="1">
      <alignment horizontal="right" vertical="center" shrinkToFit="1"/>
    </xf>
    <xf numFmtId="186" fontId="16" fillId="0" borderId="45" xfId="3" applyNumberFormat="1" applyFont="1" applyFill="1" applyBorder="1" applyAlignment="1">
      <alignment horizontal="right" vertical="center" shrinkToFit="1"/>
    </xf>
    <xf numFmtId="185" fontId="15" fillId="0" borderId="33" xfId="3" applyNumberFormat="1" applyFont="1" applyFill="1" applyBorder="1" applyAlignment="1">
      <alignment horizontal="right" vertical="center" shrinkToFit="1"/>
    </xf>
    <xf numFmtId="187" fontId="15" fillId="0" borderId="99" xfId="3" applyNumberFormat="1" applyFont="1" applyFill="1" applyBorder="1" applyAlignment="1">
      <alignment horizontal="right" vertical="center" shrinkToFit="1"/>
    </xf>
    <xf numFmtId="187" fontId="16" fillId="0" borderId="5" xfId="3" applyNumberFormat="1" applyFont="1" applyFill="1" applyBorder="1" applyAlignment="1">
      <alignment horizontal="right" vertical="center" shrinkToFit="1"/>
    </xf>
    <xf numFmtId="187" fontId="15" fillId="0" borderId="29" xfId="3" applyNumberFormat="1" applyFont="1" applyFill="1" applyBorder="1" applyAlignment="1">
      <alignment vertical="center" shrinkToFit="1"/>
    </xf>
    <xf numFmtId="187" fontId="15" fillId="0" borderId="5" xfId="3" applyNumberFormat="1" applyFont="1" applyFill="1" applyBorder="1" applyAlignment="1">
      <alignment horizontal="right" vertical="center" shrinkToFit="1"/>
    </xf>
    <xf numFmtId="186" fontId="15" fillId="0" borderId="132" xfId="3" applyNumberFormat="1" applyFont="1" applyFill="1" applyBorder="1" applyAlignment="1">
      <alignment horizontal="right" vertical="center" shrinkToFit="1"/>
    </xf>
    <xf numFmtId="178" fontId="15" fillId="0" borderId="115" xfId="3" applyNumberFormat="1" applyFont="1" applyFill="1" applyBorder="1" applyAlignment="1">
      <alignment horizontal="right" vertical="center" shrinkToFit="1"/>
    </xf>
    <xf numFmtId="186" fontId="15" fillId="0" borderId="114" xfId="3" applyNumberFormat="1" applyFont="1" applyFill="1" applyBorder="1" applyAlignment="1">
      <alignment horizontal="right" vertical="center" shrinkToFit="1"/>
    </xf>
    <xf numFmtId="186" fontId="16" fillId="0" borderId="104" xfId="3" applyNumberFormat="1" applyFont="1" applyFill="1" applyBorder="1" applyAlignment="1">
      <alignment horizontal="right" vertical="center" shrinkToFit="1"/>
    </xf>
    <xf numFmtId="186" fontId="15" fillId="0" borderId="110" xfId="3" applyNumberFormat="1" applyFont="1" applyFill="1" applyBorder="1" applyAlignment="1">
      <alignment vertical="center" shrinkToFit="1"/>
    </xf>
    <xf numFmtId="186" fontId="15" fillId="0" borderId="50" xfId="1" applyNumberFormat="1" applyFont="1" applyFill="1" applyBorder="1" applyAlignment="1">
      <alignment horizontal="right" vertical="center"/>
    </xf>
    <xf numFmtId="186" fontId="15" fillId="0" borderId="61" xfId="1" applyNumberFormat="1" applyFont="1" applyFill="1" applyBorder="1" applyAlignment="1">
      <alignment horizontal="right" vertical="center"/>
    </xf>
    <xf numFmtId="186" fontId="15" fillId="0" borderId="62" xfId="1" applyNumberFormat="1" applyFont="1" applyFill="1" applyBorder="1" applyAlignment="1">
      <alignment horizontal="right" vertical="center"/>
    </xf>
    <xf numFmtId="186" fontId="15" fillId="0" borderId="26" xfId="1" applyNumberFormat="1" applyFont="1" applyFill="1" applyBorder="1" applyAlignment="1">
      <alignment horizontal="right" vertical="center"/>
    </xf>
    <xf numFmtId="186" fontId="15" fillId="0" borderId="40" xfId="1" applyNumberFormat="1" applyFont="1" applyFill="1" applyBorder="1" applyAlignment="1">
      <alignment horizontal="right" vertical="center"/>
    </xf>
    <xf numFmtId="186" fontId="15" fillId="0" borderId="7" xfId="1" applyNumberFormat="1" applyFont="1" applyFill="1" applyBorder="1" applyAlignment="1">
      <alignment horizontal="right" vertical="center"/>
    </xf>
    <xf numFmtId="186" fontId="15" fillId="0" borderId="41" xfId="1" applyNumberFormat="1" applyFont="1" applyFill="1" applyBorder="1" applyAlignment="1">
      <alignment horizontal="right" vertical="center"/>
    </xf>
    <xf numFmtId="186" fontId="15" fillId="0" borderId="44" xfId="1" applyNumberFormat="1" applyFont="1" applyFill="1" applyBorder="1" applyAlignment="1">
      <alignment horizontal="right" vertical="center"/>
    </xf>
    <xf numFmtId="186" fontId="15" fillId="0" borderId="52" xfId="1" applyNumberFormat="1" applyFont="1" applyFill="1" applyBorder="1" applyAlignment="1">
      <alignment horizontal="right" vertical="center"/>
    </xf>
    <xf numFmtId="186" fontId="15" fillId="0" borderId="64" xfId="1" applyNumberFormat="1" applyFont="1" applyFill="1" applyBorder="1" applyAlignment="1">
      <alignment horizontal="right" vertical="center"/>
    </xf>
    <xf numFmtId="186" fontId="15" fillId="0" borderId="70" xfId="1" applyNumberFormat="1" applyFont="1" applyFill="1" applyBorder="1" applyAlignment="1">
      <alignment horizontal="right" vertical="center"/>
    </xf>
    <xf numFmtId="186" fontId="15" fillId="0" borderId="71" xfId="1" applyNumberFormat="1" applyFont="1" applyFill="1" applyBorder="1" applyAlignment="1">
      <alignment horizontal="right" vertical="center"/>
    </xf>
    <xf numFmtId="185" fontId="15" fillId="0" borderId="5" xfId="1" applyNumberFormat="1" applyFont="1" applyFill="1" applyBorder="1" applyAlignment="1">
      <alignment horizontal="right" vertical="center"/>
    </xf>
    <xf numFmtId="185" fontId="15" fillId="0" borderId="40" xfId="1" applyNumberFormat="1" applyFont="1" applyFill="1" applyBorder="1" applyAlignment="1">
      <alignment horizontal="right" vertical="center"/>
    </xf>
    <xf numFmtId="188" fontId="15" fillId="0" borderId="20" xfId="1" applyNumberFormat="1" applyFont="1" applyFill="1" applyBorder="1" applyAlignment="1">
      <alignment horizontal="right" vertical="center"/>
    </xf>
    <xf numFmtId="186" fontId="15" fillId="0" borderId="23" xfId="1" applyNumberFormat="1" applyFont="1" applyFill="1" applyBorder="1" applyAlignment="1">
      <alignment horizontal="right" vertical="center"/>
    </xf>
    <xf numFmtId="186" fontId="15" fillId="0" borderId="6" xfId="1" applyNumberFormat="1" applyFont="1" applyFill="1" applyBorder="1" applyAlignment="1">
      <alignment horizontal="right" vertical="center"/>
    </xf>
    <xf numFmtId="185" fontId="15" fillId="0" borderId="8" xfId="1" applyNumberFormat="1" applyFont="1" applyFill="1" applyBorder="1" applyAlignment="1">
      <alignment horizontal="right" vertical="center"/>
    </xf>
    <xf numFmtId="185" fontId="15" fillId="0" borderId="41" xfId="1" applyNumberFormat="1" applyFont="1" applyFill="1" applyBorder="1" applyAlignment="1">
      <alignment horizontal="right" vertical="center"/>
    </xf>
    <xf numFmtId="188" fontId="15" fillId="0" borderId="42" xfId="1" applyNumberFormat="1" applyFont="1" applyFill="1" applyBorder="1" applyAlignment="1">
      <alignment horizontal="right" vertical="center"/>
    </xf>
    <xf numFmtId="186" fontId="15" fillId="0" borderId="30" xfId="1" applyNumberFormat="1" applyFont="1" applyFill="1" applyBorder="1" applyAlignment="1">
      <alignment horizontal="right" vertical="center"/>
    </xf>
    <xf numFmtId="186" fontId="15" fillId="0" borderId="43" xfId="1" applyNumberFormat="1" applyFont="1" applyFill="1" applyBorder="1" applyAlignment="1">
      <alignment horizontal="right" vertical="center"/>
    </xf>
    <xf numFmtId="186" fontId="15" fillId="0" borderId="9" xfId="1" applyNumberFormat="1" applyFont="1" applyFill="1" applyBorder="1" applyAlignment="1">
      <alignment horizontal="right" vertical="center"/>
    </xf>
    <xf numFmtId="185" fontId="15" fillId="0" borderId="36" xfId="1" applyNumberFormat="1" applyFont="1" applyFill="1" applyBorder="1" applyAlignment="1">
      <alignment horizontal="right" vertical="center"/>
    </xf>
    <xf numFmtId="185" fontId="15" fillId="0" borderId="61" xfId="1" applyNumberFormat="1" applyFont="1" applyFill="1" applyBorder="1" applyAlignment="1">
      <alignment horizontal="right" vertical="center"/>
    </xf>
    <xf numFmtId="188" fontId="15" fillId="0" borderId="83" xfId="1" applyNumberFormat="1" applyFont="1" applyFill="1" applyBorder="1" applyAlignment="1">
      <alignment horizontal="right" vertical="center"/>
    </xf>
    <xf numFmtId="185" fontId="15" fillId="0" borderId="35" xfId="1" applyNumberFormat="1" applyFont="1" applyFill="1" applyBorder="1" applyAlignment="1">
      <alignment horizontal="right" vertical="center"/>
    </xf>
    <xf numFmtId="186" fontId="15" fillId="0" borderId="28" xfId="1" applyNumberFormat="1" applyFont="1" applyFill="1" applyBorder="1" applyAlignment="1">
      <alignment horizontal="right" vertical="center"/>
    </xf>
    <xf numFmtId="186" fontId="15" fillId="0" borderId="84" xfId="1" applyNumberFormat="1" applyFont="1" applyFill="1" applyBorder="1" applyAlignment="1">
      <alignment horizontal="right" vertical="center"/>
    </xf>
    <xf numFmtId="186" fontId="15" fillId="0" borderId="13" xfId="1" applyNumberFormat="1" applyFont="1" applyFill="1" applyBorder="1" applyAlignment="1">
      <alignment horizontal="right" vertical="center"/>
    </xf>
    <xf numFmtId="185" fontId="15" fillId="0" borderId="91" xfId="1" applyNumberFormat="1" applyFont="1" applyFill="1" applyBorder="1" applyAlignment="1">
      <alignment horizontal="right" vertical="center"/>
    </xf>
    <xf numFmtId="188" fontId="15" fillId="0" borderId="64" xfId="1" applyNumberFormat="1" applyFont="1" applyFill="1" applyBorder="1" applyAlignment="1">
      <alignment horizontal="right" vertical="center"/>
    </xf>
    <xf numFmtId="186" fontId="15" fillId="0" borderId="56" xfId="1" applyNumberFormat="1" applyFont="1" applyFill="1" applyBorder="1" applyAlignment="1">
      <alignment horizontal="right" vertical="center"/>
    </xf>
    <xf numFmtId="186" fontId="15" fillId="0" borderId="53" xfId="1" applyNumberFormat="1" applyFont="1" applyFill="1" applyBorder="1" applyAlignment="1">
      <alignment horizontal="right" vertical="center"/>
    </xf>
    <xf numFmtId="186" fontId="15" fillId="0" borderId="91" xfId="1" applyNumberFormat="1" applyFont="1" applyFill="1" applyBorder="1" applyAlignment="1">
      <alignment horizontal="right" vertical="center"/>
    </xf>
    <xf numFmtId="185" fontId="15" fillId="0" borderId="68" xfId="1" applyNumberFormat="1" applyFont="1" applyFill="1" applyBorder="1" applyAlignment="1">
      <alignment horizontal="right" vertical="center"/>
    </xf>
    <xf numFmtId="188" fontId="15" fillId="0" borderId="69" xfId="1" applyNumberFormat="1" applyFont="1" applyFill="1" applyBorder="1" applyAlignment="1">
      <alignment horizontal="right" vertical="center"/>
    </xf>
    <xf numFmtId="186" fontId="15" fillId="0" borderId="90" xfId="1" applyNumberFormat="1" applyFont="1" applyFill="1" applyBorder="1" applyAlignment="1">
      <alignment horizontal="right" vertical="center"/>
    </xf>
    <xf numFmtId="186" fontId="15" fillId="0" borderId="59" xfId="1" applyNumberFormat="1" applyFont="1" applyFill="1" applyBorder="1" applyAlignment="1">
      <alignment horizontal="right" vertical="center"/>
    </xf>
    <xf numFmtId="188" fontId="15" fillId="0" borderId="72" xfId="1" applyNumberFormat="1" applyFont="1" applyFill="1" applyBorder="1" applyAlignment="1">
      <alignment horizontal="right" vertical="center"/>
    </xf>
    <xf numFmtId="188" fontId="15" fillId="0" borderId="60" xfId="1" applyNumberFormat="1" applyFont="1" applyFill="1" applyBorder="1" applyAlignment="1">
      <alignment horizontal="right" vertical="center"/>
    </xf>
    <xf numFmtId="186" fontId="15" fillId="0" borderId="5" xfId="1" applyNumberFormat="1" applyFont="1" applyFill="1" applyBorder="1" applyAlignment="1">
      <alignment horizontal="right" vertical="center"/>
    </xf>
    <xf numFmtId="188" fontId="15" fillId="0" borderId="45" xfId="1" applyNumberFormat="1" applyFont="1" applyFill="1" applyBorder="1" applyAlignment="1">
      <alignment horizontal="right" vertical="center"/>
    </xf>
    <xf numFmtId="188" fontId="15" fillId="0" borderId="51" xfId="1" applyNumberFormat="1" applyFont="1" applyFill="1" applyBorder="1" applyAlignment="1">
      <alignment horizontal="right" vertical="center"/>
    </xf>
    <xf numFmtId="185" fontId="15" fillId="0" borderId="44" xfId="1" applyNumberFormat="1" applyFont="1" applyFill="1" applyBorder="1" applyAlignment="1">
      <alignment horizontal="right" vertical="center"/>
    </xf>
    <xf numFmtId="188" fontId="15" fillId="0" borderId="62" xfId="1" applyNumberFormat="1" applyFont="1" applyFill="1" applyBorder="1" applyAlignment="1">
      <alignment horizontal="right" vertical="center"/>
    </xf>
    <xf numFmtId="186" fontId="15" fillId="0" borderId="55" xfId="1" applyNumberFormat="1" applyFont="1" applyFill="1" applyBorder="1" applyAlignment="1">
      <alignment horizontal="right" vertical="center"/>
    </xf>
    <xf numFmtId="188" fontId="15" fillId="0" borderId="7" xfId="1" applyNumberFormat="1" applyFont="1" applyFill="1" applyBorder="1" applyAlignment="1">
      <alignment horizontal="right" vertical="center"/>
    </xf>
    <xf numFmtId="188" fontId="15" fillId="0" borderId="63" xfId="1" applyNumberFormat="1" applyFont="1" applyFill="1" applyBorder="1" applyAlignment="1">
      <alignment horizontal="right" vertical="center"/>
    </xf>
    <xf numFmtId="186" fontId="15" fillId="0" borderId="68" xfId="1" applyNumberFormat="1" applyFont="1" applyFill="1" applyBorder="1" applyAlignment="1">
      <alignment horizontal="right" vertical="center"/>
    </xf>
    <xf numFmtId="188" fontId="15" fillId="0" borderId="71" xfId="1" applyNumberFormat="1" applyFont="1" applyFill="1" applyBorder="1" applyAlignment="1">
      <alignment horizontal="right" vertical="center"/>
    </xf>
    <xf numFmtId="186" fontId="15" fillId="0" borderId="66" xfId="1" applyNumberFormat="1" applyFont="1" applyFill="1" applyBorder="1" applyAlignment="1">
      <alignment horizontal="right" vertical="center"/>
    </xf>
    <xf numFmtId="186" fontId="15" fillId="0" borderId="67" xfId="1" applyNumberFormat="1" applyFont="1" applyFill="1" applyBorder="1" applyAlignment="1">
      <alignment horizontal="right" vertical="center"/>
    </xf>
    <xf numFmtId="185" fontId="15" fillId="0" borderId="38" xfId="1" applyNumberFormat="1" applyFont="1" applyFill="1" applyBorder="1" applyAlignment="1">
      <alignment horizontal="right" vertical="center"/>
    </xf>
    <xf numFmtId="186" fontId="15" fillId="0" borderId="58" xfId="1" applyNumberFormat="1" applyFont="1" applyFill="1" applyBorder="1" applyAlignment="1">
      <alignment horizontal="right" vertical="center"/>
    </xf>
    <xf numFmtId="188" fontId="15" fillId="0" borderId="65" xfId="1" applyNumberFormat="1" applyFont="1" applyFill="1" applyBorder="1" applyAlignment="1">
      <alignment horizontal="right" vertical="center"/>
    </xf>
    <xf numFmtId="188" fontId="15" fillId="0" borderId="53" xfId="1" applyNumberFormat="1" applyFont="1" applyFill="1" applyBorder="1" applyAlignment="1">
      <alignment horizontal="right" vertical="center"/>
    </xf>
    <xf numFmtId="185" fontId="15" fillId="0" borderId="168" xfId="3" applyNumberFormat="1" applyFont="1" applyFill="1" applyBorder="1" applyAlignment="1">
      <alignment horizontal="right" vertical="center"/>
    </xf>
    <xf numFmtId="185" fontId="15" fillId="0" borderId="125" xfId="3" applyNumberFormat="1" applyFont="1" applyFill="1" applyBorder="1" applyAlignment="1">
      <alignment horizontal="right" vertical="center"/>
    </xf>
    <xf numFmtId="186" fontId="15" fillId="0" borderId="124" xfId="3" applyNumberFormat="1" applyFont="1" applyFill="1" applyBorder="1" applyAlignment="1">
      <alignment horizontal="right" vertical="center"/>
    </xf>
    <xf numFmtId="186" fontId="15" fillId="0" borderId="20" xfId="3" applyNumberFormat="1" applyFont="1" applyFill="1" applyBorder="1" applyAlignment="1">
      <alignment horizontal="right" vertical="center" shrinkToFit="1"/>
    </xf>
    <xf numFmtId="186" fontId="15" fillId="0" borderId="42" xfId="3" applyNumberFormat="1" applyFont="1" applyFill="1" applyBorder="1" applyAlignment="1">
      <alignment horizontal="right" vertical="center" shrinkToFit="1"/>
    </xf>
    <xf numFmtId="187" fontId="15" fillId="0" borderId="33" xfId="3" applyNumberFormat="1" applyFont="1" applyFill="1" applyBorder="1" applyAlignment="1">
      <alignment horizontal="right" vertical="center" shrinkToFit="1"/>
    </xf>
    <xf numFmtId="186" fontId="15" fillId="0" borderId="45" xfId="3" applyNumberFormat="1" applyFont="1" applyFill="1" applyBorder="1" applyAlignment="1">
      <alignment horizontal="right" vertical="center" shrinkToFit="1"/>
    </xf>
    <xf numFmtId="187" fontId="15" fillId="0" borderId="29" xfId="3" applyNumberFormat="1" applyFont="1" applyFill="1" applyBorder="1" applyAlignment="1">
      <alignment horizontal="right" vertical="center" shrinkToFit="1"/>
    </xf>
    <xf numFmtId="186" fontId="15" fillId="0" borderId="160" xfId="3" applyNumberFormat="1" applyFont="1" applyFill="1" applyBorder="1" applyAlignment="1">
      <alignment horizontal="right" vertical="center" shrinkToFit="1"/>
    </xf>
    <xf numFmtId="186" fontId="15" fillId="0" borderId="165" xfId="3" applyNumberFormat="1" applyFont="1" applyFill="1" applyBorder="1" applyAlignment="1">
      <alignment horizontal="right" vertical="center" shrinkToFit="1"/>
    </xf>
    <xf numFmtId="186" fontId="15" fillId="0" borderId="164" xfId="3" applyNumberFormat="1" applyFont="1" applyFill="1" applyBorder="1" applyAlignment="1">
      <alignment horizontal="right" vertical="center" shrinkToFit="1"/>
    </xf>
    <xf numFmtId="0" fontId="2" fillId="0" borderId="0" xfId="1" applyFont="1" applyFill="1" applyAlignment="1">
      <alignment horizontal="center" vertical="center"/>
    </xf>
    <xf numFmtId="0" fontId="5" fillId="0" borderId="40" xfId="2" applyFont="1" applyBorder="1" applyAlignment="1">
      <alignment horizontal="distributed" vertical="center"/>
    </xf>
    <xf numFmtId="0" fontId="5" fillId="0" borderId="23" xfId="2" applyFont="1" applyBorder="1" applyAlignment="1">
      <alignment horizontal="distributed" vertical="center"/>
    </xf>
    <xf numFmtId="178" fontId="5" fillId="0" borderId="26" xfId="3" applyNumberFormat="1" applyFont="1" applyFill="1" applyBorder="1" applyAlignment="1">
      <alignment horizontal="left" vertical="center" shrinkToFit="1"/>
    </xf>
    <xf numFmtId="178" fontId="5" fillId="0" borderId="20" xfId="3" applyNumberFormat="1" applyFont="1" applyFill="1" applyBorder="1" applyAlignment="1">
      <alignment horizontal="left" vertical="center" shrinkToFit="1"/>
    </xf>
    <xf numFmtId="178" fontId="5" fillId="0" borderId="109" xfId="3" applyNumberFormat="1" applyFont="1" applyFill="1" applyBorder="1" applyAlignment="1">
      <alignment horizontal="left" vertical="center" shrinkToFit="1"/>
    </xf>
    <xf numFmtId="0" fontId="5" fillId="0" borderId="20" xfId="2" applyFont="1" applyBorder="1" applyAlignment="1">
      <alignment horizontal="distributed" vertical="center"/>
    </xf>
    <xf numFmtId="0" fontId="5" fillId="0" borderId="86" xfId="2" applyFont="1" applyBorder="1" applyAlignment="1">
      <alignment horizontal="distributed" vertical="center"/>
    </xf>
    <xf numFmtId="0" fontId="5" fillId="0" borderId="57" xfId="2" applyFont="1" applyBorder="1" applyAlignment="1">
      <alignment horizontal="distributed" vertical="center"/>
    </xf>
    <xf numFmtId="0" fontId="5" fillId="0" borderId="44" xfId="2" applyFont="1" applyBorder="1" applyAlignment="1">
      <alignment horizontal="distributed" vertical="center"/>
    </xf>
    <xf numFmtId="0" fontId="5" fillId="0" borderId="92" xfId="2" applyFont="1" applyBorder="1" applyAlignment="1">
      <alignment horizontal="center" vertical="center"/>
    </xf>
    <xf numFmtId="0" fontId="5" fillId="0" borderId="93" xfId="2" applyFont="1" applyBorder="1" applyAlignment="1">
      <alignment horizontal="center" vertical="center"/>
    </xf>
    <xf numFmtId="0" fontId="5" fillId="0" borderId="94" xfId="2" applyFont="1" applyBorder="1" applyAlignment="1">
      <alignment horizontal="center" vertical="center"/>
    </xf>
    <xf numFmtId="0" fontId="5" fillId="0" borderId="95" xfId="2" applyFont="1" applyBorder="1" applyAlignment="1">
      <alignment horizontal="center" vertical="center"/>
    </xf>
    <xf numFmtId="0" fontId="12" fillId="2" borderId="116" xfId="3" applyFont="1" applyFill="1" applyBorder="1" applyAlignment="1">
      <alignment horizontal="center" vertical="center" wrapText="1"/>
    </xf>
    <xf numFmtId="0" fontId="12" fillId="2" borderId="118" xfId="3" applyFont="1" applyFill="1" applyBorder="1" applyAlignment="1">
      <alignment horizontal="center" vertical="center" wrapText="1"/>
    </xf>
    <xf numFmtId="0" fontId="5" fillId="0" borderId="98" xfId="2" applyFont="1" applyBorder="1" applyAlignment="1">
      <alignment horizontal="distributed" vertical="center"/>
    </xf>
    <xf numFmtId="0" fontId="5" fillId="0" borderId="61" xfId="2" applyFont="1" applyBorder="1" applyAlignment="1">
      <alignment horizontal="distributed" vertical="center"/>
    </xf>
    <xf numFmtId="0" fontId="5" fillId="0" borderId="84" xfId="2" applyFont="1" applyBorder="1" applyAlignment="1">
      <alignment horizontal="distributed" vertical="center"/>
    </xf>
    <xf numFmtId="0" fontId="5" fillId="0" borderId="99" xfId="2" applyFont="1" applyBorder="1" applyAlignment="1">
      <alignment horizontal="distributed" vertical="center" shrinkToFit="1"/>
    </xf>
    <xf numFmtId="0" fontId="5" fillId="0" borderId="40" xfId="2" applyFont="1" applyBorder="1" applyAlignment="1">
      <alignment horizontal="distributed" vertical="center" shrinkToFit="1"/>
    </xf>
    <xf numFmtId="0" fontId="5" fillId="0" borderId="23" xfId="2" applyFont="1" applyBorder="1" applyAlignment="1">
      <alignment horizontal="distributed" vertical="center" shrinkToFit="1"/>
    </xf>
    <xf numFmtId="0" fontId="5" fillId="0" borderId="46" xfId="2" applyFont="1" applyBorder="1" applyAlignment="1">
      <alignment horizontal="distributed" vertical="center"/>
    </xf>
    <xf numFmtId="0" fontId="5" fillId="0" borderId="117" xfId="1" applyFont="1" applyFill="1" applyBorder="1" applyAlignment="1">
      <alignment horizontal="distributed" vertical="center" justifyLastLine="1"/>
    </xf>
    <xf numFmtId="0" fontId="5" fillId="0" borderId="119" xfId="1" applyFont="1" applyFill="1" applyBorder="1" applyAlignment="1">
      <alignment horizontal="distributed" vertical="center" justifyLastLine="1"/>
    </xf>
    <xf numFmtId="184" fontId="5" fillId="0" borderId="106" xfId="1" applyNumberFormat="1" applyFont="1" applyFill="1" applyBorder="1" applyAlignment="1">
      <alignment horizontal="distributed" vertical="center" justifyLastLine="1"/>
    </xf>
    <xf numFmtId="184" fontId="5" fillId="0" borderId="154" xfId="1" applyNumberFormat="1" applyFont="1" applyFill="1" applyBorder="1" applyAlignment="1">
      <alignment horizontal="distributed" vertical="center" justifyLastLine="1"/>
    </xf>
    <xf numFmtId="184" fontId="5" fillId="0" borderId="136" xfId="1" applyNumberFormat="1" applyFont="1" applyFill="1" applyBorder="1" applyAlignment="1">
      <alignment horizontal="distributed" vertical="center" justifyLastLine="1"/>
    </xf>
    <xf numFmtId="184" fontId="5" fillId="0" borderId="102" xfId="1" applyNumberFormat="1" applyFont="1" applyFill="1" applyBorder="1" applyAlignment="1">
      <alignment horizontal="distributed" vertical="center" justifyLastLine="1"/>
    </xf>
    <xf numFmtId="0" fontId="5" fillId="1" borderId="100" xfId="2" applyFont="1" applyFill="1" applyBorder="1" applyAlignment="1">
      <alignment horizontal="distributed" vertical="center"/>
    </xf>
    <xf numFmtId="0" fontId="5" fillId="1" borderId="41" xfId="2" applyFont="1" applyFill="1" applyBorder="1" applyAlignment="1">
      <alignment horizontal="distributed" vertical="center"/>
    </xf>
    <xf numFmtId="0" fontId="5" fillId="1" borderId="43" xfId="2" applyFont="1" applyFill="1" applyBorder="1" applyAlignment="1">
      <alignment horizontal="distributed" vertical="center"/>
    </xf>
    <xf numFmtId="0" fontId="5" fillId="1" borderId="40" xfId="2" applyFont="1" applyFill="1" applyBorder="1" applyAlignment="1">
      <alignment horizontal="distributed" vertical="center"/>
    </xf>
    <xf numFmtId="0" fontId="5" fillId="1" borderId="23" xfId="2" applyFont="1" applyFill="1" applyBorder="1" applyAlignment="1">
      <alignment horizontal="distributed" vertical="center"/>
    </xf>
    <xf numFmtId="0" fontId="5" fillId="0" borderId="96" xfId="2" applyFont="1" applyBorder="1" applyAlignment="1">
      <alignment horizontal="center" vertical="center" wrapText="1"/>
    </xf>
    <xf numFmtId="0" fontId="5" fillId="0" borderId="97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distributed" vertical="center"/>
    </xf>
    <xf numFmtId="0" fontId="5" fillId="1" borderId="43" xfId="2" applyFont="1" applyFill="1" applyBorder="1" applyAlignment="1">
      <alignment horizontal="distributed" vertical="center" shrinkToFit="1"/>
    </xf>
    <xf numFmtId="0" fontId="5" fillId="1" borderId="42" xfId="2" applyFont="1" applyFill="1" applyBorder="1" applyAlignment="1">
      <alignment horizontal="distributed" vertical="center" shrinkToFit="1"/>
    </xf>
    <xf numFmtId="0" fontId="5" fillId="1" borderId="149" xfId="2" applyFont="1" applyFill="1" applyBorder="1" applyAlignment="1">
      <alignment horizontal="distributed" vertical="center" shrinkToFit="1"/>
    </xf>
    <xf numFmtId="0" fontId="5" fillId="0" borderId="101" xfId="2" applyFont="1" applyBorder="1" applyAlignment="1">
      <alignment horizontal="center" vertical="center" wrapText="1"/>
    </xf>
    <xf numFmtId="0" fontId="5" fillId="0" borderId="102" xfId="2" applyFont="1" applyBorder="1" applyAlignment="1">
      <alignment horizontal="center" vertical="center" wrapText="1"/>
    </xf>
    <xf numFmtId="0" fontId="5" fillId="0" borderId="83" xfId="2" applyFont="1" applyBorder="1" applyAlignment="1">
      <alignment horizontal="distributed" vertical="center"/>
    </xf>
    <xf numFmtId="178" fontId="5" fillId="0" borderId="15" xfId="3" applyNumberFormat="1" applyFont="1" applyFill="1" applyBorder="1" applyAlignment="1">
      <alignment horizontal="left" vertical="center" shrinkToFit="1"/>
    </xf>
    <xf numFmtId="178" fontId="5" fillId="0" borderId="45" xfId="3" applyNumberFormat="1" applyFont="1" applyFill="1" applyBorder="1" applyAlignment="1">
      <alignment horizontal="left" vertical="center" shrinkToFit="1"/>
    </xf>
    <xf numFmtId="178" fontId="5" fillId="0" borderId="146" xfId="3" applyNumberFormat="1" applyFont="1" applyFill="1" applyBorder="1" applyAlignment="1">
      <alignment horizontal="left" vertical="center" shrinkToFit="1"/>
    </xf>
    <xf numFmtId="0" fontId="5" fillId="1" borderId="57" xfId="2" applyFont="1" applyFill="1" applyBorder="1" applyAlignment="1">
      <alignment horizontal="distributed" vertical="center"/>
    </xf>
    <xf numFmtId="0" fontId="5" fillId="1" borderId="21" xfId="2" applyFont="1" applyFill="1" applyBorder="1" applyAlignment="1">
      <alignment horizontal="distributed" vertical="center"/>
    </xf>
    <xf numFmtId="0" fontId="5" fillId="0" borderId="103" xfId="2" applyFont="1" applyBorder="1" applyAlignment="1">
      <alignment horizontal="distributed" vertical="center"/>
    </xf>
    <xf numFmtId="0" fontId="5" fillId="0" borderId="104" xfId="2" applyFont="1" applyBorder="1" applyAlignment="1">
      <alignment horizontal="distributed" vertical="center"/>
    </xf>
    <xf numFmtId="177" fontId="5" fillId="0" borderId="112" xfId="1" applyNumberFormat="1" applyFont="1" applyFill="1" applyBorder="1" applyAlignment="1">
      <alignment horizontal="left" shrinkToFit="1"/>
    </xf>
    <xf numFmtId="177" fontId="5" fillId="0" borderId="95" xfId="1" applyNumberFormat="1" applyFont="1" applyFill="1" applyBorder="1" applyAlignment="1">
      <alignment horizontal="left" shrinkToFit="1"/>
    </xf>
    <xf numFmtId="177" fontId="5" fillId="0" borderId="113" xfId="1" applyNumberFormat="1" applyFont="1" applyFill="1" applyBorder="1" applyAlignment="1">
      <alignment horizontal="left" shrinkToFit="1"/>
    </xf>
    <xf numFmtId="178" fontId="5" fillId="0" borderId="30" xfId="3" applyNumberFormat="1" applyFont="1" applyFill="1" applyBorder="1" applyAlignment="1">
      <alignment horizontal="left" vertical="center" shrinkToFit="1"/>
    </xf>
    <xf numFmtId="178" fontId="5" fillId="0" borderId="42" xfId="3" applyNumberFormat="1" applyFont="1" applyFill="1" applyBorder="1" applyAlignment="1">
      <alignment horizontal="left" vertical="center" shrinkToFit="1"/>
    </xf>
    <xf numFmtId="178" fontId="5" fillId="0" borderId="153" xfId="3" applyNumberFormat="1" applyFont="1" applyFill="1" applyBorder="1" applyAlignment="1">
      <alignment horizontal="left" vertical="center" shrinkToFit="1"/>
    </xf>
    <xf numFmtId="178" fontId="5" fillId="0" borderId="28" xfId="3" applyNumberFormat="1" applyFont="1" applyFill="1" applyBorder="1" applyAlignment="1">
      <alignment horizontal="left" vertical="center" shrinkToFit="1"/>
    </xf>
    <xf numFmtId="178" fontId="5" fillId="0" borderId="83" xfId="3" applyNumberFormat="1" applyFont="1" applyFill="1" applyBorder="1" applyAlignment="1">
      <alignment horizontal="left" vertical="center" shrinkToFit="1"/>
    </xf>
    <xf numFmtId="178" fontId="5" fillId="0" borderId="152" xfId="3" applyNumberFormat="1" applyFont="1" applyFill="1" applyBorder="1" applyAlignment="1">
      <alignment horizontal="left" vertical="center" shrinkToFit="1"/>
    </xf>
    <xf numFmtId="0" fontId="5" fillId="0" borderId="74" xfId="1" applyFont="1" applyFill="1" applyBorder="1" applyAlignment="1">
      <alignment horizontal="distributed" vertical="center"/>
    </xf>
    <xf numFmtId="0" fontId="5" fillId="0" borderId="75" xfId="1" applyFont="1" applyFill="1" applyBorder="1" applyAlignment="1">
      <alignment horizontal="distributed" vertical="center"/>
    </xf>
    <xf numFmtId="0" fontId="5" fillId="0" borderId="76" xfId="1" applyFont="1" applyFill="1" applyBorder="1" applyAlignment="1">
      <alignment horizontal="distributed" vertical="center"/>
    </xf>
    <xf numFmtId="49" fontId="15" fillId="0" borderId="74" xfId="1" applyNumberFormat="1" applyFont="1" applyFill="1" applyBorder="1" applyAlignment="1">
      <alignment horizontal="center" vertical="center"/>
    </xf>
    <xf numFmtId="49" fontId="15" fillId="0" borderId="75" xfId="1" applyNumberFormat="1" applyFont="1" applyFill="1" applyBorder="1" applyAlignment="1">
      <alignment horizontal="center" vertical="center"/>
    </xf>
    <xf numFmtId="49" fontId="15" fillId="0" borderId="76" xfId="1" applyNumberFormat="1" applyFont="1" applyFill="1" applyBorder="1" applyAlignment="1">
      <alignment horizontal="center" vertical="center"/>
    </xf>
    <xf numFmtId="0" fontId="5" fillId="2" borderId="107" xfId="3" applyFont="1" applyFill="1" applyBorder="1" applyAlignment="1">
      <alignment horizontal="center" vertical="center"/>
    </xf>
    <xf numFmtId="0" fontId="5" fillId="2" borderId="93" xfId="3" applyFont="1" applyFill="1" applyBorder="1" applyAlignment="1">
      <alignment horizontal="center" vertical="center"/>
    </xf>
    <xf numFmtId="0" fontId="5" fillId="2" borderId="108" xfId="3" applyFont="1" applyFill="1" applyBorder="1" applyAlignment="1">
      <alignment horizontal="center" vertical="center"/>
    </xf>
    <xf numFmtId="0" fontId="5" fillId="2" borderId="112" xfId="3" applyFont="1" applyFill="1" applyBorder="1" applyAlignment="1">
      <alignment horizontal="center" vertical="center"/>
    </xf>
    <xf numFmtId="0" fontId="5" fillId="2" borderId="95" xfId="3" applyFont="1" applyFill="1" applyBorder="1" applyAlignment="1">
      <alignment horizontal="center" vertical="center"/>
    </xf>
    <xf numFmtId="0" fontId="5" fillId="2" borderId="113" xfId="3" applyFont="1" applyFill="1" applyBorder="1" applyAlignment="1">
      <alignment horizontal="center" vertical="center"/>
    </xf>
    <xf numFmtId="178" fontId="5" fillId="0" borderId="126" xfId="3" applyNumberFormat="1" applyFont="1" applyFill="1" applyBorder="1" applyAlignment="1">
      <alignment horizontal="left" vertical="center" shrinkToFit="1"/>
    </xf>
    <xf numFmtId="178" fontId="5" fillId="0" borderId="124" xfId="3" applyNumberFormat="1" applyFont="1" applyFill="1" applyBorder="1" applyAlignment="1">
      <alignment horizontal="left" vertical="center" shrinkToFit="1"/>
    </xf>
    <xf numFmtId="178" fontId="5" fillId="0" borderId="127" xfId="3" applyNumberFormat="1" applyFont="1" applyFill="1" applyBorder="1" applyAlignment="1">
      <alignment horizontal="left" vertical="center" shrinkToFit="1"/>
    </xf>
    <xf numFmtId="186" fontId="15" fillId="0" borderId="83" xfId="1" applyNumberFormat="1" applyFont="1" applyFill="1" applyBorder="1" applyAlignment="1">
      <alignment horizontal="right" vertical="center"/>
    </xf>
    <xf numFmtId="186" fontId="15" fillId="0" borderId="37" xfId="1" applyNumberFormat="1" applyFont="1" applyFill="1" applyBorder="1" applyAlignment="1">
      <alignment horizontal="right" vertical="center"/>
    </xf>
    <xf numFmtId="186" fontId="15" fillId="0" borderId="26" xfId="1" applyNumberFormat="1" applyFont="1" applyFill="1" applyBorder="1" applyAlignment="1">
      <alignment horizontal="right" vertical="center"/>
    </xf>
    <xf numFmtId="186" fontId="15" fillId="0" borderId="20" xfId="1" applyNumberFormat="1" applyFont="1" applyFill="1" applyBorder="1" applyAlignment="1">
      <alignment horizontal="right" vertical="center"/>
    </xf>
    <xf numFmtId="186" fontId="15" fillId="0" borderId="148" xfId="1" applyNumberFormat="1" applyFont="1" applyFill="1" applyBorder="1" applyAlignment="1">
      <alignment horizontal="right" vertical="center"/>
    </xf>
    <xf numFmtId="186" fontId="15" fillId="0" borderId="23" xfId="1" applyNumberFormat="1" applyFont="1" applyFill="1" applyBorder="1" applyAlignment="1">
      <alignment horizontal="right" vertical="center"/>
    </xf>
    <xf numFmtId="186" fontId="15" fillId="0" borderId="7" xfId="1" applyNumberFormat="1" applyFont="1" applyFill="1" applyBorder="1" applyAlignment="1">
      <alignment horizontal="right" vertical="center"/>
    </xf>
    <xf numFmtId="185" fontId="15" fillId="0" borderId="23" xfId="1" applyNumberFormat="1" applyFont="1" applyFill="1" applyBorder="1" applyAlignment="1">
      <alignment horizontal="right" vertical="center"/>
    </xf>
    <xf numFmtId="185" fontId="15" fillId="0" borderId="20" xfId="1" applyNumberFormat="1" applyFont="1" applyFill="1" applyBorder="1" applyAlignment="1">
      <alignment horizontal="right" vertical="center"/>
    </xf>
    <xf numFmtId="185" fontId="15" fillId="0" borderId="148" xfId="1" applyNumberFormat="1" applyFont="1" applyFill="1" applyBorder="1" applyAlignment="1">
      <alignment horizontal="right" vertical="center"/>
    </xf>
    <xf numFmtId="185" fontId="15" fillId="0" borderId="30" xfId="1" applyNumberFormat="1" applyFont="1" applyFill="1" applyBorder="1" applyAlignment="1">
      <alignment horizontal="right" vertical="center"/>
    </xf>
    <xf numFmtId="185" fontId="15" fillId="0" borderId="42" xfId="1" applyNumberFormat="1" applyFont="1" applyFill="1" applyBorder="1" applyAlignment="1">
      <alignment horizontal="right" vertical="center"/>
    </xf>
    <xf numFmtId="185" fontId="15" fillId="0" borderId="43" xfId="1" applyNumberFormat="1" applyFont="1" applyFill="1" applyBorder="1" applyAlignment="1">
      <alignment horizontal="right" vertical="center"/>
    </xf>
    <xf numFmtId="185" fontId="15" fillId="0" borderId="149" xfId="1" applyNumberFormat="1" applyFont="1" applyFill="1" applyBorder="1" applyAlignment="1">
      <alignment horizontal="right" vertical="center"/>
    </xf>
    <xf numFmtId="186" fontId="15" fillId="0" borderId="42" xfId="1" applyNumberFormat="1" applyFont="1" applyFill="1" applyBorder="1" applyAlignment="1">
      <alignment horizontal="right" vertical="center"/>
    </xf>
    <xf numFmtId="186" fontId="15" fillId="0" borderId="10" xfId="1" applyNumberFormat="1" applyFont="1" applyFill="1" applyBorder="1" applyAlignment="1">
      <alignment horizontal="right" vertical="center"/>
    </xf>
    <xf numFmtId="185" fontId="15" fillId="0" borderId="26" xfId="1" applyNumberFormat="1" applyFont="1" applyFill="1" applyBorder="1" applyAlignment="1">
      <alignment horizontal="right" vertical="center"/>
    </xf>
    <xf numFmtId="186" fontId="15" fillId="0" borderId="28" xfId="1" applyNumberFormat="1" applyFont="1" applyFill="1" applyBorder="1" applyAlignment="1">
      <alignment horizontal="right" vertical="center"/>
    </xf>
    <xf numFmtId="186" fontId="15" fillId="0" borderId="147" xfId="1" applyNumberFormat="1" applyFont="1" applyFill="1" applyBorder="1" applyAlignment="1">
      <alignment horizontal="right" vertical="center"/>
    </xf>
    <xf numFmtId="186" fontId="15" fillId="0" borderId="84" xfId="1" applyNumberFormat="1" applyFont="1" applyFill="1" applyBorder="1" applyAlignment="1">
      <alignment horizontal="right" vertical="center"/>
    </xf>
    <xf numFmtId="0" fontId="5" fillId="0" borderId="27" xfId="1" applyFont="1" applyFill="1" applyBorder="1" applyAlignment="1">
      <alignment horizontal="center" vertical="distributed" textRotation="255" justifyLastLine="1" shrinkToFit="1"/>
    </xf>
    <xf numFmtId="0" fontId="5" fillId="0" borderId="1" xfId="1" applyFont="1" applyFill="1" applyBorder="1" applyAlignment="1">
      <alignment horizontal="center" vertical="distributed" textRotation="255" justifyLastLine="1" shrinkToFit="1"/>
    </xf>
    <xf numFmtId="0" fontId="2" fillId="0" borderId="1" xfId="1" applyFont="1" applyFill="1" applyBorder="1" applyAlignment="1">
      <alignment horizontal="center" vertical="distributed" textRotation="255" justifyLastLine="1" shrinkToFit="1"/>
    </xf>
    <xf numFmtId="0" fontId="2" fillId="0" borderId="2" xfId="1" applyFont="1" applyFill="1" applyBorder="1" applyAlignment="1">
      <alignment horizontal="center" vertical="distributed" textRotation="255" justifyLastLine="1" shrinkToFit="1"/>
    </xf>
    <xf numFmtId="185" fontId="15" fillId="0" borderId="28" xfId="1" applyNumberFormat="1" applyFont="1" applyFill="1" applyBorder="1" applyAlignment="1">
      <alignment horizontal="right" vertical="center"/>
    </xf>
    <xf numFmtId="185" fontId="15" fillId="0" borderId="83" xfId="1" applyNumberFormat="1" applyFont="1" applyFill="1" applyBorder="1" applyAlignment="1">
      <alignment horizontal="right" vertical="center"/>
    </xf>
    <xf numFmtId="185" fontId="15" fillId="0" borderId="84" xfId="1" applyNumberFormat="1" applyFont="1" applyFill="1" applyBorder="1" applyAlignment="1">
      <alignment horizontal="right" vertical="center"/>
    </xf>
    <xf numFmtId="185" fontId="15" fillId="0" borderId="147" xfId="1" applyNumberFormat="1" applyFont="1" applyFill="1" applyBorder="1" applyAlignment="1">
      <alignment horizontal="right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distributed" vertical="center" justifyLastLine="1"/>
    </xf>
    <xf numFmtId="0" fontId="5" fillId="0" borderId="75" xfId="0" applyFont="1" applyFill="1" applyBorder="1" applyAlignment="1">
      <alignment horizontal="distributed" vertical="center" justifyLastLine="1"/>
    </xf>
    <xf numFmtId="0" fontId="5" fillId="0" borderId="138" xfId="0" applyFont="1" applyFill="1" applyBorder="1" applyAlignment="1">
      <alignment horizontal="distributed" vertical="center" justifyLastLine="1"/>
    </xf>
    <xf numFmtId="0" fontId="5" fillId="0" borderId="76" xfId="0" applyFont="1" applyFill="1" applyBorder="1" applyAlignment="1">
      <alignment horizontal="distributed" vertical="center" justifyLastLine="1"/>
    </xf>
    <xf numFmtId="184" fontId="5" fillId="0" borderId="139" xfId="1" applyNumberFormat="1" applyFont="1" applyFill="1" applyBorder="1" applyAlignment="1">
      <alignment horizontal="distributed" vertical="center" justifyLastLine="1"/>
    </xf>
    <xf numFmtId="184" fontId="5" fillId="0" borderId="11" xfId="1" applyNumberFormat="1" applyFont="1" applyFill="1" applyBorder="1" applyAlignment="1">
      <alignment horizontal="distributed" vertical="center" justifyLastLine="1"/>
    </xf>
    <xf numFmtId="184" fontId="5" fillId="0" borderId="134" xfId="1" applyNumberFormat="1" applyFont="1" applyFill="1" applyBorder="1" applyAlignment="1">
      <alignment horizontal="distributed" vertical="center" justifyLastLine="1"/>
    </xf>
    <xf numFmtId="184" fontId="5" fillId="0" borderId="16" xfId="1" applyNumberFormat="1" applyFont="1" applyFill="1" applyBorder="1" applyAlignment="1">
      <alignment horizontal="distributed" vertical="center" justifyLastLine="1"/>
    </xf>
    <xf numFmtId="184" fontId="5" fillId="0" borderId="12" xfId="1" applyNumberFormat="1" applyFont="1" applyFill="1" applyBorder="1" applyAlignment="1">
      <alignment horizontal="distributed" vertical="center" justifyLastLine="1"/>
    </xf>
    <xf numFmtId="184" fontId="5" fillId="0" borderId="135" xfId="1" applyNumberFormat="1" applyFont="1" applyFill="1" applyBorder="1" applyAlignment="1">
      <alignment horizontal="distributed" vertical="center" justifyLastLine="1"/>
    </xf>
    <xf numFmtId="184" fontId="5" fillId="0" borderId="73" xfId="1" applyNumberFormat="1" applyFont="1" applyFill="1" applyBorder="1" applyAlignment="1">
      <alignment horizontal="distributed" vertical="center" justifyLastLine="1"/>
    </xf>
    <xf numFmtId="184" fontId="5" fillId="0" borderId="14" xfId="1" applyNumberFormat="1" applyFont="1" applyFill="1" applyBorder="1" applyAlignment="1">
      <alignment horizontal="distributed" vertical="center" justifyLastLine="1"/>
    </xf>
    <xf numFmtId="0" fontId="5" fillId="0" borderId="11" xfId="1" applyFont="1" applyFill="1" applyBorder="1" applyAlignment="1">
      <alignment horizontal="distributed" vertical="center" justifyLastLine="1"/>
    </xf>
    <xf numFmtId="0" fontId="5" fillId="0" borderId="24" xfId="1" applyFont="1" applyFill="1" applyBorder="1" applyAlignment="1">
      <alignment horizontal="distributed" vertical="center" justifyLastLine="1"/>
    </xf>
    <xf numFmtId="0" fontId="5" fillId="0" borderId="27" xfId="1" applyFont="1" applyFill="1" applyBorder="1" applyAlignment="1">
      <alignment horizontal="center" vertical="center" textRotation="255" shrinkToFit="1"/>
    </xf>
    <xf numFmtId="0" fontId="5" fillId="0" borderId="1" xfId="1" applyFont="1" applyFill="1" applyBorder="1" applyAlignment="1">
      <alignment horizontal="center" vertical="center" textRotation="255" shrinkToFit="1"/>
    </xf>
    <xf numFmtId="0" fontId="5" fillId="0" borderId="84" xfId="1" applyFont="1" applyFill="1" applyBorder="1" applyAlignment="1">
      <alignment horizontal="distributed" vertical="center"/>
    </xf>
    <xf numFmtId="0" fontId="5" fillId="0" borderId="83" xfId="1" applyFont="1" applyFill="1" applyBorder="1" applyAlignment="1">
      <alignment horizontal="distributed" vertical="center"/>
    </xf>
    <xf numFmtId="185" fontId="15" fillId="0" borderId="32" xfId="1" applyNumberFormat="1" applyFont="1" applyFill="1" applyBorder="1" applyAlignment="1">
      <alignment horizontal="right" vertical="center"/>
    </xf>
    <xf numFmtId="185" fontId="15" fillId="0" borderId="21" xfId="1" applyNumberFormat="1" applyFont="1" applyFill="1" applyBorder="1" applyAlignment="1">
      <alignment horizontal="right" vertical="center"/>
    </xf>
    <xf numFmtId="185" fontId="15" fillId="0" borderId="57" xfId="1" applyNumberFormat="1" applyFont="1" applyFill="1" applyBorder="1" applyAlignment="1">
      <alignment horizontal="right" vertical="center"/>
    </xf>
    <xf numFmtId="185" fontId="15" fillId="0" borderId="85" xfId="1" applyNumberFormat="1" applyFont="1" applyFill="1" applyBorder="1" applyAlignment="1">
      <alignment horizontal="right" vertical="center"/>
    </xf>
    <xf numFmtId="186" fontId="15" fillId="0" borderId="21" xfId="1" applyNumberFormat="1" applyFont="1" applyFill="1" applyBorder="1" applyAlignment="1">
      <alignment horizontal="right" vertical="center"/>
    </xf>
    <xf numFmtId="186" fontId="15" fillId="0" borderId="22" xfId="1" applyNumberFormat="1" applyFont="1" applyFill="1" applyBorder="1" applyAlignment="1">
      <alignment horizontal="right" vertical="center"/>
    </xf>
    <xf numFmtId="186" fontId="15" fillId="0" borderId="150" xfId="1" applyNumberFormat="1" applyFont="1" applyFill="1" applyBorder="1" applyAlignment="1">
      <alignment horizontal="right" vertical="center"/>
    </xf>
    <xf numFmtId="186" fontId="15" fillId="0" borderId="60" xfId="1" applyNumberFormat="1" applyFont="1" applyFill="1" applyBorder="1" applyAlignment="1">
      <alignment horizontal="right" vertical="center"/>
    </xf>
    <xf numFmtId="186" fontId="15" fillId="0" borderId="62" xfId="1" applyNumberFormat="1" applyFont="1" applyFill="1" applyBorder="1" applyAlignment="1">
      <alignment horizontal="right" vertical="center"/>
    </xf>
    <xf numFmtId="185" fontId="15" fillId="0" borderId="150" xfId="1" applyNumberFormat="1" applyFont="1" applyFill="1" applyBorder="1" applyAlignment="1">
      <alignment horizontal="right" vertical="center"/>
    </xf>
    <xf numFmtId="185" fontId="15" fillId="0" borderId="60" xfId="1" applyNumberFormat="1" applyFont="1" applyFill="1" applyBorder="1" applyAlignment="1">
      <alignment horizontal="right" vertical="center"/>
    </xf>
    <xf numFmtId="185" fontId="15" fillId="0" borderId="141" xfId="1" applyNumberFormat="1" applyFont="1" applyFill="1" applyBorder="1" applyAlignment="1">
      <alignment horizontal="right" vertical="center"/>
    </xf>
    <xf numFmtId="185" fontId="15" fillId="0" borderId="50" xfId="1" applyNumberFormat="1" applyFont="1" applyFill="1" applyBorder="1" applyAlignment="1">
      <alignment horizontal="right" vertical="center"/>
    </xf>
    <xf numFmtId="185" fontId="15" fillId="0" borderId="15" xfId="1" applyNumberFormat="1" applyFont="1" applyFill="1" applyBorder="1" applyAlignment="1">
      <alignment horizontal="right" vertical="center"/>
    </xf>
    <xf numFmtId="185" fontId="15" fillId="0" borderId="45" xfId="1" applyNumberFormat="1" applyFont="1" applyFill="1" applyBorder="1" applyAlignment="1">
      <alignment horizontal="right" vertical="center"/>
    </xf>
    <xf numFmtId="185" fontId="15" fillId="0" borderId="46" xfId="1" applyNumberFormat="1" applyFont="1" applyFill="1" applyBorder="1" applyAlignment="1">
      <alignment horizontal="right" vertical="center"/>
    </xf>
    <xf numFmtId="185" fontId="15" fillId="0" borderId="54" xfId="1" applyNumberFormat="1" applyFont="1" applyFill="1" applyBorder="1" applyAlignment="1">
      <alignment horizontal="right" vertical="center"/>
    </xf>
    <xf numFmtId="186" fontId="15" fillId="0" borderId="45" xfId="1" applyNumberFormat="1" applyFont="1" applyFill="1" applyBorder="1" applyAlignment="1">
      <alignment horizontal="right" vertical="center"/>
    </xf>
    <xf numFmtId="186" fontId="15" fillId="0" borderId="48" xfId="1" applyNumberFormat="1" applyFont="1" applyFill="1" applyBorder="1" applyAlignment="1">
      <alignment horizontal="right" vertical="center"/>
    </xf>
    <xf numFmtId="186" fontId="15" fillId="0" borderId="43" xfId="1" applyNumberFormat="1" applyFont="1" applyFill="1" applyBorder="1" applyAlignment="1">
      <alignment horizontal="right" vertical="center"/>
    </xf>
    <xf numFmtId="187" fontId="15" fillId="0" borderId="26" xfId="1" applyNumberFormat="1" applyFont="1" applyFill="1" applyBorder="1" applyAlignment="1">
      <alignment horizontal="right" vertical="center"/>
    </xf>
    <xf numFmtId="187" fontId="15" fillId="0" borderId="20" xfId="1" applyNumberFormat="1" applyFont="1" applyFill="1" applyBorder="1" applyAlignment="1">
      <alignment horizontal="right" vertical="center"/>
    </xf>
    <xf numFmtId="187" fontId="15" fillId="0" borderId="148" xfId="1" applyNumberFormat="1" applyFont="1" applyFill="1" applyBorder="1" applyAlignment="1">
      <alignment horizontal="right" vertical="center"/>
    </xf>
    <xf numFmtId="0" fontId="5" fillId="0" borderId="57" xfId="1" applyFont="1" applyFill="1" applyBorder="1" applyAlignment="1">
      <alignment horizontal="distributed" vertical="center"/>
    </xf>
    <xf numFmtId="0" fontId="5" fillId="0" borderId="21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distributed" vertical="center"/>
    </xf>
    <xf numFmtId="0" fontId="5" fillId="0" borderId="15" xfId="1" applyFont="1" applyFill="1" applyBorder="1" applyAlignment="1">
      <alignment horizontal="distributed" vertical="center"/>
    </xf>
    <xf numFmtId="0" fontId="5" fillId="0" borderId="45" xfId="1" applyFont="1" applyFill="1" applyBorder="1" applyAlignment="1">
      <alignment horizontal="distributed" vertical="center"/>
    </xf>
    <xf numFmtId="0" fontId="5" fillId="0" borderId="43" xfId="1" applyFont="1" applyFill="1" applyBorder="1" applyAlignment="1">
      <alignment horizontal="distributed" vertical="center"/>
    </xf>
    <xf numFmtId="0" fontId="5" fillId="0" borderId="42" xfId="1" applyFont="1" applyFill="1" applyBorder="1" applyAlignment="1">
      <alignment horizontal="distributed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32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distributed" vertical="center"/>
    </xf>
    <xf numFmtId="0" fontId="5" fillId="0" borderId="20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distributed" vertical="center" shrinkToFit="1"/>
    </xf>
    <xf numFmtId="0" fontId="5" fillId="0" borderId="20" xfId="1" applyFont="1" applyFill="1" applyBorder="1" applyAlignment="1">
      <alignment horizontal="distributed" vertical="center" shrinkToFit="1"/>
    </xf>
    <xf numFmtId="0" fontId="5" fillId="0" borderId="7" xfId="1" applyFont="1" applyFill="1" applyBorder="1" applyAlignment="1">
      <alignment horizontal="distributed" vertical="center" shrinkToFit="1"/>
    </xf>
    <xf numFmtId="0" fontId="5" fillId="0" borderId="73" xfId="1" applyFont="1" applyFill="1" applyBorder="1" applyAlignment="1">
      <alignment horizontal="center" vertical="center" shrinkToFit="1"/>
    </xf>
    <xf numFmtId="0" fontId="5" fillId="0" borderId="11" xfId="1" applyFont="1" applyFill="1" applyBorder="1" applyAlignment="1">
      <alignment horizontal="center" vertical="center" shrinkToFit="1"/>
    </xf>
    <xf numFmtId="0" fontId="5" fillId="0" borderId="24" xfId="1" applyFont="1" applyFill="1" applyBorder="1" applyAlignment="1">
      <alignment horizontal="center" vertical="center" shrinkToFit="1"/>
    </xf>
    <xf numFmtId="187" fontId="15" fillId="0" borderId="23" xfId="1" applyNumberFormat="1" applyFont="1" applyFill="1" applyBorder="1" applyAlignment="1">
      <alignment horizontal="right" vertical="center"/>
    </xf>
    <xf numFmtId="187" fontId="15" fillId="0" borderId="28" xfId="1" applyNumberFormat="1" applyFont="1" applyFill="1" applyBorder="1" applyAlignment="1">
      <alignment horizontal="right" vertical="center"/>
    </xf>
    <xf numFmtId="187" fontId="15" fillId="0" borderId="83" xfId="1" applyNumberFormat="1" applyFont="1" applyFill="1" applyBorder="1" applyAlignment="1">
      <alignment horizontal="right" vertical="center"/>
    </xf>
    <xf numFmtId="187" fontId="15" fillId="0" borderId="147" xfId="1" applyNumberFormat="1" applyFont="1" applyFill="1" applyBorder="1" applyAlignment="1">
      <alignment horizontal="right" vertical="center"/>
    </xf>
    <xf numFmtId="187" fontId="15" fillId="0" borderId="84" xfId="1" applyNumberFormat="1" applyFont="1" applyFill="1" applyBorder="1" applyAlignment="1">
      <alignment horizontal="right" vertical="center"/>
    </xf>
    <xf numFmtId="0" fontId="5" fillId="0" borderId="73" xfId="1" applyFont="1" applyFill="1" applyBorder="1" applyAlignment="1">
      <alignment horizontal="distributed" vertical="center"/>
    </xf>
    <xf numFmtId="0" fontId="5" fillId="0" borderId="37" xfId="1" applyFont="1" applyFill="1" applyBorder="1" applyAlignment="1">
      <alignment horizontal="distributed" vertical="center"/>
    </xf>
    <xf numFmtId="0" fontId="5" fillId="0" borderId="19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187" fontId="15" fillId="0" borderId="43" xfId="1" applyNumberFormat="1" applyFont="1" applyFill="1" applyBorder="1" applyAlignment="1">
      <alignment horizontal="right" vertical="center"/>
    </xf>
    <xf numFmtId="187" fontId="15" fillId="0" borderId="42" xfId="1" applyNumberFormat="1" applyFont="1" applyFill="1" applyBorder="1" applyAlignment="1">
      <alignment horizontal="right" vertical="center"/>
    </xf>
    <xf numFmtId="187" fontId="15" fillId="0" borderId="149" xfId="1" applyNumberFormat="1" applyFont="1" applyFill="1" applyBorder="1" applyAlignment="1">
      <alignment horizontal="right" vertical="center"/>
    </xf>
    <xf numFmtId="187" fontId="15" fillId="0" borderId="46" xfId="1" applyNumberFormat="1" applyFont="1" applyFill="1" applyBorder="1" applyAlignment="1">
      <alignment horizontal="right" vertical="center"/>
    </xf>
    <xf numFmtId="187" fontId="15" fillId="0" borderId="45" xfId="1" applyNumberFormat="1" applyFont="1" applyFill="1" applyBorder="1" applyAlignment="1">
      <alignment horizontal="right" vertical="center"/>
    </xf>
    <xf numFmtId="187" fontId="15" fillId="0" borderId="54" xfId="1" applyNumberFormat="1" applyFont="1" applyFill="1" applyBorder="1" applyAlignment="1">
      <alignment horizontal="right" vertical="center"/>
    </xf>
    <xf numFmtId="187" fontId="15" fillId="0" borderId="30" xfId="1" applyNumberFormat="1" applyFont="1" applyFill="1" applyBorder="1" applyAlignment="1">
      <alignment horizontal="right" vertical="center"/>
    </xf>
    <xf numFmtId="0" fontId="5" fillId="0" borderId="43" xfId="1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distributed" vertical="center"/>
    </xf>
    <xf numFmtId="0" fontId="5" fillId="0" borderId="77" xfId="0" applyFont="1" applyFill="1" applyBorder="1" applyAlignment="1">
      <alignment horizontal="center" vertical="center"/>
    </xf>
    <xf numFmtId="0" fontId="5" fillId="0" borderId="78" xfId="0" applyFont="1" applyFill="1" applyBorder="1" applyAlignment="1">
      <alignment horizontal="center" vertical="center"/>
    </xf>
    <xf numFmtId="0" fontId="5" fillId="0" borderId="79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80" xfId="0" applyFont="1" applyFill="1" applyBorder="1" applyAlignment="1">
      <alignment horizontal="center" vertical="center"/>
    </xf>
    <xf numFmtId="0" fontId="5" fillId="0" borderId="81" xfId="0" applyFont="1" applyFill="1" applyBorder="1" applyAlignment="1">
      <alignment horizontal="center" vertical="center"/>
    </xf>
    <xf numFmtId="0" fontId="5" fillId="0" borderId="82" xfId="0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center" vertical="center" wrapText="1"/>
    </xf>
    <xf numFmtId="0" fontId="5" fillId="0" borderId="85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49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54" xfId="1" applyFont="1" applyFill="1" applyBorder="1" applyAlignment="1">
      <alignment horizontal="center" vertical="center" wrapText="1"/>
    </xf>
    <xf numFmtId="0" fontId="5" fillId="0" borderId="73" xfId="1" applyFont="1" applyFill="1" applyBorder="1" applyAlignment="1">
      <alignment horizontal="center" vertical="center" wrapText="1"/>
    </xf>
    <xf numFmtId="0" fontId="5" fillId="0" borderId="134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left" vertical="center" shrinkToFit="1"/>
    </xf>
    <xf numFmtId="0" fontId="5" fillId="0" borderId="20" xfId="1" applyFont="1" applyFill="1" applyBorder="1" applyAlignment="1">
      <alignment horizontal="left" vertical="center" shrinkToFit="1"/>
    </xf>
    <xf numFmtId="0" fontId="14" fillId="0" borderId="36" xfId="4" applyFont="1" applyFill="1" applyBorder="1" applyAlignment="1" applyProtection="1">
      <alignment horizontal="center" vertical="center"/>
    </xf>
    <xf numFmtId="0" fontId="14" fillId="0" borderId="8" xfId="4" applyFont="1" applyFill="1" applyBorder="1" applyAlignment="1" applyProtection="1">
      <alignment horizontal="center" vertical="center"/>
    </xf>
    <xf numFmtId="0" fontId="5" fillId="0" borderId="26" xfId="4" applyFont="1" applyFill="1" applyBorder="1" applyAlignment="1" applyProtection="1">
      <alignment horizontal="distributed" vertical="center"/>
    </xf>
    <xf numFmtId="0" fontId="5" fillId="0" borderId="20" xfId="4" applyFont="1" applyFill="1" applyBorder="1" applyAlignment="1" applyProtection="1">
      <alignment horizontal="distributed" vertical="center"/>
    </xf>
    <xf numFmtId="0" fontId="5" fillId="0" borderId="148" xfId="4" applyFont="1" applyFill="1" applyBorder="1" applyAlignment="1" applyProtection="1">
      <alignment horizontal="distributed" vertical="center"/>
    </xf>
    <xf numFmtId="0" fontId="5" fillId="0" borderId="28" xfId="4" applyFont="1" applyFill="1" applyBorder="1" applyAlignment="1" applyProtection="1">
      <alignment horizontal="distributed" vertical="center"/>
    </xf>
    <xf numFmtId="0" fontId="5" fillId="0" borderId="83" xfId="4" applyFont="1" applyFill="1" applyBorder="1" applyAlignment="1" applyProtection="1">
      <alignment horizontal="distributed" vertical="center"/>
    </xf>
    <xf numFmtId="0" fontId="5" fillId="0" borderId="147" xfId="4" applyFont="1" applyFill="1" applyBorder="1" applyAlignment="1" applyProtection="1">
      <alignment horizontal="distributed" vertical="center"/>
    </xf>
    <xf numFmtId="0" fontId="5" fillId="0" borderId="43" xfId="4" applyFont="1" applyFill="1" applyBorder="1" applyAlignment="1" applyProtection="1">
      <alignment horizontal="center" vertical="center" shrinkToFit="1"/>
    </xf>
    <xf numFmtId="0" fontId="5" fillId="0" borderId="42" xfId="4" applyFont="1" applyFill="1" applyBorder="1" applyAlignment="1" applyProtection="1">
      <alignment horizontal="center" vertical="center" shrinkToFit="1"/>
    </xf>
    <xf numFmtId="0" fontId="5" fillId="0" borderId="149" xfId="4" applyFont="1" applyFill="1" applyBorder="1" applyAlignment="1" applyProtection="1">
      <alignment horizontal="center" vertical="center" shrinkToFit="1"/>
    </xf>
    <xf numFmtId="0" fontId="5" fillId="0" borderId="46" xfId="4" applyFont="1" applyFill="1" applyBorder="1" applyAlignment="1" applyProtection="1">
      <alignment horizontal="center" vertical="center" shrinkToFit="1"/>
    </xf>
    <xf numFmtId="0" fontId="5" fillId="0" borderId="45" xfId="4" applyFont="1" applyFill="1" applyBorder="1" applyAlignment="1" applyProtection="1">
      <alignment horizontal="center" vertical="center" shrinkToFit="1"/>
    </xf>
    <xf numFmtId="0" fontId="5" fillId="0" borderId="54" xfId="4" applyFont="1" applyFill="1" applyBorder="1" applyAlignment="1" applyProtection="1">
      <alignment horizontal="center" vertical="center" shrinkToFit="1"/>
    </xf>
    <xf numFmtId="0" fontId="5" fillId="0" borderId="77" xfId="1" applyFont="1" applyFill="1" applyBorder="1" applyAlignment="1">
      <alignment horizontal="center" vertical="center"/>
    </xf>
    <xf numFmtId="0" fontId="5" fillId="0" borderId="78" xfId="1" applyFont="1" applyFill="1" applyBorder="1" applyAlignment="1">
      <alignment horizontal="center" vertical="center"/>
    </xf>
    <xf numFmtId="0" fontId="5" fillId="0" borderId="79" xfId="1" applyFont="1" applyFill="1" applyBorder="1" applyAlignment="1">
      <alignment horizontal="center" vertical="center"/>
    </xf>
    <xf numFmtId="0" fontId="5" fillId="0" borderId="80" xfId="1" applyFont="1" applyFill="1" applyBorder="1" applyAlignment="1">
      <alignment horizontal="center" vertical="center"/>
    </xf>
    <xf numFmtId="0" fontId="5" fillId="0" borderId="81" xfId="1" applyFont="1" applyFill="1" applyBorder="1" applyAlignment="1">
      <alignment horizontal="center" vertical="center"/>
    </xf>
    <xf numFmtId="0" fontId="5" fillId="0" borderId="82" xfId="1" applyFont="1" applyFill="1" applyBorder="1" applyAlignment="1">
      <alignment horizontal="center" vertical="center"/>
    </xf>
    <xf numFmtId="0" fontId="5" fillId="0" borderId="139" xfId="1" applyFont="1" applyFill="1" applyBorder="1" applyAlignment="1">
      <alignment horizontal="center" vertical="center" wrapText="1"/>
    </xf>
    <xf numFmtId="0" fontId="5" fillId="0" borderId="134" xfId="1" applyFont="1" applyFill="1" applyBorder="1" applyAlignment="1">
      <alignment horizontal="center" vertical="center"/>
    </xf>
    <xf numFmtId="0" fontId="5" fillId="0" borderId="46" xfId="1" applyFont="1" applyFill="1" applyBorder="1" applyAlignment="1">
      <alignment horizontal="center" vertical="center"/>
    </xf>
    <xf numFmtId="0" fontId="5" fillId="0" borderId="54" xfId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center" vertical="center" wrapText="1"/>
    </xf>
    <xf numFmtId="0" fontId="5" fillId="0" borderId="135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12" xfId="1" applyFont="1" applyFill="1" applyBorder="1" applyAlignment="1">
      <alignment horizontal="distributed" vertical="center"/>
    </xf>
    <xf numFmtId="0" fontId="5" fillId="0" borderId="74" xfId="1" applyFont="1" applyFill="1" applyBorder="1" applyAlignment="1">
      <alignment horizontal="distributed" vertical="center" wrapText="1"/>
    </xf>
    <xf numFmtId="0" fontId="5" fillId="0" borderId="75" xfId="1" applyFont="1" applyFill="1" applyBorder="1" applyAlignment="1">
      <alignment horizontal="distributed" vertical="center" wrapText="1"/>
    </xf>
    <xf numFmtId="0" fontId="5" fillId="0" borderId="76" xfId="1" applyFont="1" applyFill="1" applyBorder="1" applyAlignment="1">
      <alignment horizontal="distributed" vertical="center" wrapText="1"/>
    </xf>
    <xf numFmtId="0" fontId="15" fillId="0" borderId="74" xfId="1" applyNumberFormat="1" applyFont="1" applyFill="1" applyBorder="1" applyAlignment="1">
      <alignment horizontal="center" vertical="center" wrapText="1"/>
    </xf>
    <xf numFmtId="0" fontId="15" fillId="0" borderId="75" xfId="1" applyNumberFormat="1" applyFont="1" applyFill="1" applyBorder="1" applyAlignment="1">
      <alignment horizontal="center" vertical="center" wrapText="1"/>
    </xf>
    <xf numFmtId="0" fontId="15" fillId="0" borderId="76" xfId="1" applyNumberFormat="1" applyFont="1" applyFill="1" applyBorder="1" applyAlignment="1">
      <alignment horizontal="center" vertical="center" wrapText="1"/>
    </xf>
    <xf numFmtId="0" fontId="5" fillId="0" borderId="32" xfId="4" applyFont="1" applyFill="1" applyBorder="1" applyAlignment="1" applyProtection="1">
      <alignment horizontal="distributed" vertical="center"/>
    </xf>
    <xf numFmtId="0" fontId="12" fillId="0" borderId="12" xfId="4" applyFont="1" applyFill="1" applyBorder="1" applyAlignment="1" applyProtection="1">
      <alignment horizontal="center" vertical="center" justifyLastLine="1"/>
    </xf>
    <xf numFmtId="0" fontId="12" fillId="0" borderId="3" xfId="4" applyFont="1" applyFill="1" applyBorder="1" applyAlignment="1" applyProtection="1">
      <alignment horizontal="center" vertical="center" justifyLastLine="1"/>
    </xf>
    <xf numFmtId="0" fontId="14" fillId="0" borderId="77" xfId="4" applyFont="1" applyFill="1" applyBorder="1" applyAlignment="1" applyProtection="1">
      <alignment horizontal="center" vertical="center"/>
    </xf>
    <xf numFmtId="0" fontId="14" fillId="0" borderId="78" xfId="4" applyFont="1" applyFill="1" applyBorder="1" applyAlignment="1" applyProtection="1">
      <alignment horizontal="center" vertical="center"/>
    </xf>
    <xf numFmtId="0" fontId="14" fillId="0" borderId="79" xfId="4" applyFont="1" applyFill="1" applyBorder="1" applyAlignment="1" applyProtection="1">
      <alignment horizontal="center" vertical="center"/>
    </xf>
    <xf numFmtId="0" fontId="14" fillId="0" borderId="80" xfId="4" applyFont="1" applyFill="1" applyBorder="1" applyAlignment="1" applyProtection="1">
      <alignment horizontal="center" vertical="center"/>
    </xf>
    <xf numFmtId="0" fontId="14" fillId="0" borderId="81" xfId="4" applyFont="1" applyFill="1" applyBorder="1" applyAlignment="1" applyProtection="1">
      <alignment horizontal="center" vertical="center"/>
    </xf>
    <xf numFmtId="0" fontId="14" fillId="0" borderId="82" xfId="4" applyFont="1" applyFill="1" applyBorder="1" applyAlignment="1" applyProtection="1">
      <alignment horizontal="center" vertical="center"/>
    </xf>
    <xf numFmtId="0" fontId="15" fillId="0" borderId="74" xfId="1" applyNumberFormat="1" applyFont="1" applyFill="1" applyBorder="1" applyAlignment="1">
      <alignment horizontal="center" vertical="center"/>
    </xf>
    <xf numFmtId="0" fontId="15" fillId="0" borderId="75" xfId="1" applyNumberFormat="1" applyFont="1" applyFill="1" applyBorder="1" applyAlignment="1">
      <alignment horizontal="center" vertical="center"/>
    </xf>
    <xf numFmtId="0" fontId="15" fillId="0" borderId="76" xfId="1" applyNumberFormat="1" applyFont="1" applyFill="1" applyBorder="1" applyAlignment="1">
      <alignment horizontal="center" vertical="center"/>
    </xf>
    <xf numFmtId="0" fontId="5" fillId="0" borderId="75" xfId="1" applyFont="1" applyFill="1" applyBorder="1" applyAlignment="1">
      <alignment horizontal="center" vertical="center"/>
    </xf>
    <xf numFmtId="0" fontId="5" fillId="0" borderId="76" xfId="1" applyFont="1" applyFill="1" applyBorder="1" applyAlignment="1">
      <alignment horizontal="center" vertical="center"/>
    </xf>
    <xf numFmtId="0" fontId="5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5" fillId="0" borderId="40" xfId="1" applyFont="1" applyFill="1" applyBorder="1" applyAlignment="1">
      <alignment horizontal="distributed" vertical="center"/>
    </xf>
    <xf numFmtId="0" fontId="5" fillId="0" borderId="6" xfId="1" applyFont="1" applyFill="1" applyBorder="1" applyAlignment="1">
      <alignment horizontal="distributed" vertical="center"/>
    </xf>
    <xf numFmtId="0" fontId="5" fillId="0" borderId="36" xfId="1" applyFont="1" applyFill="1" applyBorder="1" applyAlignment="1">
      <alignment horizontal="distributed" vertical="distributed" textRotation="255"/>
    </xf>
    <xf numFmtId="0" fontId="5" fillId="0" borderId="5" xfId="1" applyFont="1" applyFill="1" applyBorder="1" applyAlignment="1">
      <alignment horizontal="distributed" vertical="distributed" textRotation="255"/>
    </xf>
    <xf numFmtId="0" fontId="5" fillId="0" borderId="8" xfId="1" applyFont="1" applyFill="1" applyBorder="1" applyAlignment="1">
      <alignment horizontal="distributed" vertical="distributed" textRotation="255"/>
    </xf>
    <xf numFmtId="0" fontId="5" fillId="0" borderId="44" xfId="1" applyFont="1" applyFill="1" applyBorder="1" applyAlignment="1">
      <alignment horizontal="distributed" vertical="distributed" textRotation="255" justifyLastLine="1"/>
    </xf>
    <xf numFmtId="0" fontId="5" fillId="0" borderId="40" xfId="1" applyFont="1" applyFill="1" applyBorder="1" applyAlignment="1">
      <alignment horizontal="distributed" vertical="distributed" textRotation="255" justifyLastLine="1"/>
    </xf>
    <xf numFmtId="0" fontId="5" fillId="0" borderId="44" xfId="1" applyFont="1" applyFill="1" applyBorder="1" applyAlignment="1">
      <alignment horizontal="distributed" vertical="center"/>
    </xf>
    <xf numFmtId="0" fontId="5" fillId="0" borderId="46" xfId="1" applyFont="1" applyFill="1" applyBorder="1" applyAlignment="1">
      <alignment horizontal="distributed" vertical="center"/>
    </xf>
    <xf numFmtId="0" fontId="5" fillId="0" borderId="4" xfId="1" applyFont="1" applyFill="1" applyBorder="1" applyAlignment="1">
      <alignment horizontal="distributed" vertical="center"/>
    </xf>
    <xf numFmtId="0" fontId="5" fillId="0" borderId="41" xfId="1" applyFont="1" applyFill="1" applyBorder="1" applyAlignment="1">
      <alignment horizontal="distributed"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distributed" vertical="center" justifyLastLine="1"/>
    </xf>
    <xf numFmtId="0" fontId="5" fillId="0" borderId="2" xfId="1" applyFont="1" applyFill="1" applyBorder="1" applyAlignment="1">
      <alignment horizontal="distributed" vertical="center" justifyLastLine="1"/>
    </xf>
    <xf numFmtId="0" fontId="5" fillId="0" borderId="86" xfId="1" applyFont="1" applyFill="1" applyBorder="1" applyAlignment="1">
      <alignment horizontal="center" vertical="center" textRotation="255" shrinkToFit="1"/>
    </xf>
    <xf numFmtId="0" fontId="5" fillId="0" borderId="18" xfId="1" applyFont="1" applyFill="1" applyBorder="1" applyAlignment="1">
      <alignment horizontal="center" vertical="center" textRotation="255" shrinkToFit="1"/>
    </xf>
    <xf numFmtId="0" fontId="5" fillId="0" borderId="44" xfId="1" applyFont="1" applyFill="1" applyBorder="1" applyAlignment="1">
      <alignment horizontal="center" vertical="center" textRotation="255" shrinkToFit="1"/>
    </xf>
    <xf numFmtId="184" fontId="5" fillId="0" borderId="83" xfId="1" applyNumberFormat="1" applyFont="1" applyFill="1" applyBorder="1" applyAlignment="1">
      <alignment horizontal="distributed" vertical="center" justifyLastLine="1"/>
    </xf>
    <xf numFmtId="184" fontId="5" fillId="0" borderId="24" xfId="1" applyNumberFormat="1" applyFont="1" applyFill="1" applyBorder="1" applyAlignment="1">
      <alignment horizontal="distributed" vertical="center" justifyLastLine="1"/>
    </xf>
    <xf numFmtId="0" fontId="5" fillId="0" borderId="11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86" xfId="1" applyFont="1" applyFill="1" applyBorder="1" applyAlignment="1">
      <alignment horizontal="center" vertical="distributed" textRotation="255" justifyLastLine="1"/>
    </xf>
    <xf numFmtId="0" fontId="5" fillId="0" borderId="18" xfId="1" applyFont="1" applyFill="1" applyBorder="1" applyAlignment="1">
      <alignment horizontal="center" vertical="distributed" textRotation="255" justifyLastLine="1"/>
    </xf>
    <xf numFmtId="0" fontId="5" fillId="0" borderId="39" xfId="1" applyFont="1" applyFill="1" applyBorder="1" applyAlignment="1">
      <alignment horizontal="center" vertical="distributed" textRotation="255" justifyLastLine="1"/>
    </xf>
    <xf numFmtId="0" fontId="5" fillId="0" borderId="57" xfId="1" applyFont="1" applyFill="1" applyBorder="1" applyAlignment="1">
      <alignment horizontal="center" vertical="center" shrinkToFit="1"/>
    </xf>
    <xf numFmtId="0" fontId="2" fillId="0" borderId="85" xfId="1" applyFont="1" applyFill="1" applyBorder="1" applyAlignment="1">
      <alignment horizontal="center" vertical="center" shrinkToFit="1"/>
    </xf>
    <xf numFmtId="0" fontId="5" fillId="0" borderId="46" xfId="1" applyFont="1" applyFill="1" applyBorder="1" applyAlignment="1">
      <alignment horizontal="center" vertical="center" shrinkToFit="1"/>
    </xf>
    <xf numFmtId="0" fontId="2" fillId="0" borderId="54" xfId="1" applyFont="1" applyFill="1" applyBorder="1" applyAlignment="1">
      <alignment horizontal="center" vertical="center" shrinkToFit="1"/>
    </xf>
    <xf numFmtId="0" fontId="5" fillId="0" borderId="40" xfId="1" applyFont="1" applyFill="1" applyBorder="1" applyAlignment="1">
      <alignment horizontal="distributed" vertical="center" shrinkToFit="1"/>
    </xf>
    <xf numFmtId="0" fontId="5" fillId="0" borderId="6" xfId="1" applyFont="1" applyFill="1" applyBorder="1" applyAlignment="1">
      <alignment horizontal="distributed" vertical="center" shrinkToFit="1"/>
    </xf>
    <xf numFmtId="0" fontId="2" fillId="0" borderId="79" xfId="1" applyFont="1" applyFill="1" applyBorder="1" applyAlignment="1">
      <alignment horizontal="center" vertical="center"/>
    </xf>
    <xf numFmtId="0" fontId="2" fillId="0" borderId="89" xfId="1" applyFont="1" applyFill="1" applyBorder="1" applyAlignment="1">
      <alignment horizontal="center" vertical="center"/>
    </xf>
    <xf numFmtId="0" fontId="2" fillId="0" borderId="82" xfId="1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distributed" vertical="distributed" textRotation="255"/>
    </xf>
    <xf numFmtId="0" fontId="5" fillId="0" borderId="61" xfId="1" applyFont="1" applyFill="1" applyBorder="1" applyAlignment="1">
      <alignment horizontal="distributed" vertical="center"/>
    </xf>
    <xf numFmtId="0" fontId="5" fillId="0" borderId="13" xfId="1" applyFont="1" applyFill="1" applyBorder="1" applyAlignment="1">
      <alignment horizontal="distributed" vertical="center"/>
    </xf>
    <xf numFmtId="0" fontId="5" fillId="0" borderId="85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 wrapText="1"/>
    </xf>
    <xf numFmtId="0" fontId="5" fillId="0" borderId="49" xfId="1" applyFont="1" applyFill="1" applyBorder="1" applyAlignment="1">
      <alignment horizontal="center" vertical="center"/>
    </xf>
    <xf numFmtId="0" fontId="5" fillId="0" borderId="86" xfId="1" applyFont="1" applyFill="1" applyBorder="1" applyAlignment="1">
      <alignment horizontal="center" vertical="distributed" textRotation="255"/>
    </xf>
    <xf numFmtId="0" fontId="5" fillId="0" borderId="18" xfId="1" applyFont="1" applyFill="1" applyBorder="1" applyAlignment="1">
      <alignment horizontal="center" vertical="distributed" textRotation="255"/>
    </xf>
    <xf numFmtId="0" fontId="5" fillId="0" borderId="44" xfId="1" applyFont="1" applyFill="1" applyBorder="1" applyAlignment="1">
      <alignment horizontal="center" vertical="distributed" textRotation="255"/>
    </xf>
    <xf numFmtId="0" fontId="5" fillId="0" borderId="89" xfId="1" applyFont="1" applyFill="1" applyBorder="1" applyAlignment="1">
      <alignment horizontal="center" vertical="center"/>
    </xf>
    <xf numFmtId="184" fontId="5" fillId="0" borderId="73" xfId="1" applyNumberFormat="1" applyFont="1" applyFill="1" applyBorder="1" applyAlignment="1">
      <alignment horizontal="distributed" vertical="center" wrapText="1" justifyLastLine="1"/>
    </xf>
    <xf numFmtId="184" fontId="5" fillId="0" borderId="83" xfId="1" applyNumberFormat="1" applyFont="1" applyFill="1" applyBorder="1" applyAlignment="1">
      <alignment horizontal="distributed" vertical="center" wrapText="1" justifyLastLine="1"/>
    </xf>
    <xf numFmtId="184" fontId="5" fillId="0" borderId="11" xfId="1" applyNumberFormat="1" applyFont="1" applyFill="1" applyBorder="1" applyAlignment="1">
      <alignment horizontal="distributed" vertical="center" wrapText="1" justifyLastLine="1"/>
    </xf>
    <xf numFmtId="184" fontId="5" fillId="0" borderId="24" xfId="1" applyNumberFormat="1" applyFont="1" applyFill="1" applyBorder="1" applyAlignment="1">
      <alignment horizontal="distributed" vertical="center" wrapText="1" justifyLastLine="1"/>
    </xf>
    <xf numFmtId="0" fontId="5" fillId="0" borderId="74" xfId="1" applyFont="1" applyFill="1" applyBorder="1" applyAlignment="1">
      <alignment horizontal="center" vertical="center"/>
    </xf>
    <xf numFmtId="186" fontId="15" fillId="0" borderId="70" xfId="1" applyNumberFormat="1" applyFont="1" applyFill="1" applyBorder="1" applyAlignment="1">
      <alignment horizontal="right" vertical="center"/>
    </xf>
    <xf numFmtId="186" fontId="15" fillId="0" borderId="69" xfId="1" applyNumberFormat="1" applyFont="1" applyFill="1" applyBorder="1" applyAlignment="1">
      <alignment horizontal="right" vertical="center"/>
    </xf>
    <xf numFmtId="186" fontId="15" fillId="0" borderId="151" xfId="1" applyNumberFormat="1" applyFont="1" applyFill="1" applyBorder="1" applyAlignment="1">
      <alignment horizontal="right" vertical="center"/>
    </xf>
    <xf numFmtId="186" fontId="15" fillId="0" borderId="143" xfId="1" applyNumberFormat="1" applyFont="1" applyFill="1" applyBorder="1" applyAlignment="1">
      <alignment horizontal="right" vertical="center"/>
    </xf>
    <xf numFmtId="186" fontId="15" fillId="0" borderId="52" xfId="1" applyNumberFormat="1" applyFont="1" applyFill="1" applyBorder="1" applyAlignment="1">
      <alignment horizontal="right" vertical="center"/>
    </xf>
    <xf numFmtId="186" fontId="15" fillId="0" borderId="63" xfId="1" applyNumberFormat="1" applyFont="1" applyFill="1" applyBorder="1" applyAlignment="1">
      <alignment horizontal="right" vertical="center"/>
    </xf>
    <xf numFmtId="186" fontId="15" fillId="0" borderId="56" xfId="1" applyNumberFormat="1" applyFont="1" applyFill="1" applyBorder="1" applyAlignment="1">
      <alignment horizontal="right" vertical="center"/>
    </xf>
    <xf numFmtId="186" fontId="15" fillId="0" borderId="142" xfId="1" applyNumberFormat="1" applyFont="1" applyFill="1" applyBorder="1" applyAlignment="1">
      <alignment horizontal="right" vertical="center"/>
    </xf>
    <xf numFmtId="0" fontId="5" fillId="0" borderId="48" xfId="1" applyFont="1" applyFill="1" applyBorder="1" applyAlignment="1">
      <alignment horizontal="distributed" vertical="center"/>
    </xf>
    <xf numFmtId="186" fontId="15" fillId="0" borderId="141" xfId="1" applyNumberFormat="1" applyFont="1" applyFill="1" applyBorder="1" applyAlignment="1">
      <alignment horizontal="right" vertical="center"/>
    </xf>
    <xf numFmtId="0" fontId="7" fillId="0" borderId="14" xfId="1" applyFont="1" applyFill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135" xfId="1" applyFont="1" applyFill="1" applyBorder="1" applyAlignment="1">
      <alignment horizontal="center" vertical="center"/>
    </xf>
    <xf numFmtId="186" fontId="15" fillId="0" borderId="50" xfId="1" applyNumberFormat="1" applyFont="1" applyFill="1" applyBorder="1" applyAlignment="1">
      <alignment horizontal="right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8" xfId="1" applyFont="1" applyFill="1" applyBorder="1" applyAlignment="1">
      <alignment horizontal="distributed" vertical="center" shrinkToFit="1"/>
    </xf>
    <xf numFmtId="0" fontId="5" fillId="0" borderId="83" xfId="1" applyFont="1" applyFill="1" applyBorder="1" applyAlignment="1">
      <alignment horizontal="distributed" vertical="center" shrinkToFit="1"/>
    </xf>
    <xf numFmtId="0" fontId="5" fillId="0" borderId="85" xfId="1" applyFont="1" applyFill="1" applyBorder="1" applyAlignment="1">
      <alignment horizontal="distributed" vertical="center"/>
    </xf>
    <xf numFmtId="0" fontId="5" fillId="0" borderId="54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center" vertical="center" shrinkToFit="1"/>
    </xf>
    <xf numFmtId="0" fontId="5" fillId="0" borderId="20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181" fontId="5" fillId="0" borderId="0" xfId="1" applyNumberFormat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distributed" wrapText="1"/>
    </xf>
    <xf numFmtId="0" fontId="5" fillId="0" borderId="85" xfId="1" applyFont="1" applyFill="1" applyBorder="1" applyAlignment="1">
      <alignment horizontal="center" vertical="distributed"/>
    </xf>
    <xf numFmtId="0" fontId="5" fillId="0" borderId="19" xfId="1" applyFont="1" applyFill="1" applyBorder="1" applyAlignment="1">
      <alignment horizontal="center" vertical="distributed"/>
    </xf>
    <xf numFmtId="0" fontId="5" fillId="0" borderId="49" xfId="1" applyFont="1" applyFill="1" applyBorder="1" applyAlignment="1">
      <alignment horizontal="center" vertical="distributed"/>
    </xf>
    <xf numFmtId="0" fontId="5" fillId="0" borderId="46" xfId="1" applyFont="1" applyFill="1" applyBorder="1" applyAlignment="1">
      <alignment horizontal="center" vertical="distributed"/>
    </xf>
    <xf numFmtId="0" fontId="5" fillId="0" borderId="54" xfId="1" applyFont="1" applyFill="1" applyBorder="1" applyAlignment="1">
      <alignment horizontal="center" vertical="distributed"/>
    </xf>
    <xf numFmtId="0" fontId="5" fillId="0" borderId="74" xfId="1" applyFont="1" applyFill="1" applyBorder="1" applyAlignment="1">
      <alignment horizontal="center" vertical="center" shrinkToFit="1"/>
    </xf>
    <xf numFmtId="0" fontId="5" fillId="0" borderId="75" xfId="1" applyFont="1" applyFill="1" applyBorder="1" applyAlignment="1">
      <alignment horizontal="center" vertical="center" shrinkToFit="1"/>
    </xf>
    <xf numFmtId="0" fontId="5" fillId="0" borderId="76" xfId="1" applyFont="1" applyFill="1" applyBorder="1" applyAlignment="1">
      <alignment horizontal="center" vertical="center" shrinkToFit="1"/>
    </xf>
    <xf numFmtId="0" fontId="5" fillId="0" borderId="85" xfId="1" applyFont="1" applyFill="1" applyBorder="1" applyAlignment="1">
      <alignment horizontal="center" vertical="center" shrinkToFit="1"/>
    </xf>
    <xf numFmtId="0" fontId="5" fillId="0" borderId="19" xfId="1" applyFont="1" applyFill="1" applyBorder="1" applyAlignment="1">
      <alignment horizontal="center" vertical="center" shrinkToFit="1"/>
    </xf>
    <xf numFmtId="0" fontId="5" fillId="0" borderId="49" xfId="1" applyFont="1" applyFill="1" applyBorder="1" applyAlignment="1">
      <alignment horizontal="center" vertical="center" shrinkToFit="1"/>
    </xf>
    <xf numFmtId="0" fontId="5" fillId="0" borderId="54" xfId="1" applyFont="1" applyFill="1" applyBorder="1" applyAlignment="1">
      <alignment horizontal="center" vertical="center" shrinkToFit="1"/>
    </xf>
    <xf numFmtId="0" fontId="7" fillId="0" borderId="57" xfId="1" applyFont="1" applyFill="1" applyBorder="1" applyAlignment="1">
      <alignment horizontal="center" vertical="center" wrapText="1" shrinkToFit="1"/>
    </xf>
    <xf numFmtId="0" fontId="7" fillId="0" borderId="85" xfId="1" applyFont="1" applyFill="1" applyBorder="1" applyAlignment="1">
      <alignment horizontal="center" vertical="center" wrapText="1" shrinkToFit="1"/>
    </xf>
    <xf numFmtId="0" fontId="7" fillId="0" borderId="46" xfId="1" applyFont="1" applyFill="1" applyBorder="1" applyAlignment="1">
      <alignment horizontal="center" vertical="center" wrapText="1" shrinkToFit="1"/>
    </xf>
    <xf numFmtId="0" fontId="7" fillId="0" borderId="54" xfId="1" applyFont="1" applyFill="1" applyBorder="1" applyAlignment="1">
      <alignment horizontal="center" vertical="center" wrapText="1" shrinkToFit="1"/>
    </xf>
    <xf numFmtId="0" fontId="5" fillId="0" borderId="21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178" fontId="5" fillId="0" borderId="166" xfId="3" applyNumberFormat="1" applyFont="1" applyBorder="1" applyAlignment="1">
      <alignment horizontal="left" vertical="center" shrinkToFit="1"/>
    </xf>
    <xf numFmtId="178" fontId="5" fillId="0" borderId="164" xfId="3" applyNumberFormat="1" applyFont="1" applyBorder="1" applyAlignment="1">
      <alignment horizontal="left" vertical="center" shrinkToFit="1"/>
    </xf>
    <xf numFmtId="178" fontId="5" fillId="0" borderId="167" xfId="3" applyNumberFormat="1" applyFont="1" applyBorder="1" applyAlignment="1">
      <alignment horizontal="left" vertical="center" shrinkToFit="1"/>
    </xf>
    <xf numFmtId="178" fontId="5" fillId="0" borderId="26" xfId="3" applyNumberFormat="1" applyFont="1" applyBorder="1" applyAlignment="1">
      <alignment horizontal="left" vertical="center" shrinkToFit="1"/>
    </xf>
    <xf numFmtId="178" fontId="5" fillId="0" borderId="20" xfId="3" applyNumberFormat="1" applyFont="1" applyBorder="1" applyAlignment="1">
      <alignment horizontal="left" vertical="center" shrinkToFit="1"/>
    </xf>
    <xf numFmtId="178" fontId="5" fillId="0" borderId="109" xfId="3" applyNumberFormat="1" applyFont="1" applyBorder="1" applyAlignment="1">
      <alignment horizontal="left" vertical="center" shrinkToFit="1"/>
    </xf>
    <xf numFmtId="0" fontId="5" fillId="0" borderId="160" xfId="2" applyFont="1" applyBorder="1" applyAlignment="1">
      <alignment horizontal="distributed" vertical="center"/>
    </xf>
    <xf numFmtId="0" fontId="5" fillId="0" borderId="161" xfId="2" applyFont="1" applyBorder="1" applyAlignment="1">
      <alignment horizontal="distributed" vertical="center"/>
    </xf>
    <xf numFmtId="0" fontId="5" fillId="0" borderId="162" xfId="2" applyFont="1" applyBorder="1" applyAlignment="1">
      <alignment horizontal="distributed" vertical="center"/>
    </xf>
    <xf numFmtId="178" fontId="5" fillId="0" borderId="15" xfId="3" applyNumberFormat="1" applyFont="1" applyBorder="1" applyAlignment="1">
      <alignment horizontal="left" vertical="center" shrinkToFit="1"/>
    </xf>
    <xf numFmtId="178" fontId="5" fillId="0" borderId="45" xfId="3" applyNumberFormat="1" applyFont="1" applyBorder="1" applyAlignment="1">
      <alignment horizontal="left" vertical="center" shrinkToFit="1"/>
    </xf>
    <xf numFmtId="178" fontId="5" fillId="0" borderId="146" xfId="3" applyNumberFormat="1" applyFont="1" applyBorder="1" applyAlignment="1">
      <alignment horizontal="left" vertical="center" shrinkToFit="1"/>
    </xf>
    <xf numFmtId="0" fontId="5" fillId="0" borderId="101" xfId="2" applyFont="1" applyBorder="1" applyAlignment="1">
      <alignment horizontal="center" vertical="distributed" wrapText="1"/>
    </xf>
    <xf numFmtId="0" fontId="5" fillId="0" borderId="96" xfId="2" applyFont="1" applyBorder="1" applyAlignment="1">
      <alignment horizontal="center" vertical="distributed" wrapText="1"/>
    </xf>
    <xf numFmtId="0" fontId="5" fillId="0" borderId="97" xfId="2" applyFont="1" applyBorder="1" applyAlignment="1">
      <alignment horizontal="center" vertical="distributed" wrapText="1"/>
    </xf>
    <xf numFmtId="0" fontId="5" fillId="0" borderId="136" xfId="2" applyFont="1" applyBorder="1" applyAlignment="1">
      <alignment horizontal="center" vertical="center" wrapText="1"/>
    </xf>
    <xf numFmtId="0" fontId="5" fillId="0" borderId="157" xfId="2" applyFont="1" applyBorder="1" applyAlignment="1">
      <alignment horizontal="distributed" vertical="center"/>
    </xf>
    <xf numFmtId="0" fontId="5" fillId="0" borderId="158" xfId="2" applyFont="1" applyBorder="1" applyAlignment="1">
      <alignment horizontal="distributed" vertical="center"/>
    </xf>
    <xf numFmtId="0" fontId="5" fillId="0" borderId="159" xfId="2" applyFont="1" applyBorder="1" applyAlignment="1">
      <alignment horizontal="distributed" vertical="center"/>
    </xf>
    <xf numFmtId="178" fontId="5" fillId="0" borderId="126" xfId="3" applyNumberFormat="1" applyFont="1" applyBorder="1" applyAlignment="1">
      <alignment horizontal="left" vertical="center" shrinkToFit="1"/>
    </xf>
    <xf numFmtId="178" fontId="5" fillId="0" borderId="124" xfId="3" applyNumberFormat="1" applyFont="1" applyBorder="1" applyAlignment="1">
      <alignment horizontal="left" vertical="center" shrinkToFit="1"/>
    </xf>
    <xf numFmtId="178" fontId="5" fillId="0" borderId="127" xfId="3" applyNumberFormat="1" applyFont="1" applyBorder="1" applyAlignment="1">
      <alignment horizontal="left" vertical="center" shrinkToFit="1"/>
    </xf>
    <xf numFmtId="0" fontId="5" fillId="0" borderId="41" xfId="2" applyFont="1" applyBorder="1" applyAlignment="1">
      <alignment horizontal="distributed" vertical="center"/>
    </xf>
    <xf numFmtId="0" fontId="5" fillId="0" borderId="43" xfId="2" applyFont="1" applyBorder="1" applyAlignment="1">
      <alignment horizontal="distributed" vertical="center"/>
    </xf>
    <xf numFmtId="178" fontId="5" fillId="0" borderId="30" xfId="3" applyNumberFormat="1" applyFont="1" applyBorder="1" applyAlignment="1">
      <alignment horizontal="left" vertical="center" shrinkToFit="1"/>
    </xf>
    <xf numFmtId="178" fontId="5" fillId="0" borderId="42" xfId="3" applyNumberFormat="1" applyFont="1" applyBorder="1" applyAlignment="1">
      <alignment horizontal="left" vertical="center" shrinkToFit="1"/>
    </xf>
    <xf numFmtId="178" fontId="5" fillId="0" borderId="153" xfId="3" applyNumberFormat="1" applyFont="1" applyBorder="1" applyAlignment="1">
      <alignment horizontal="left" vertical="center" shrinkToFit="1"/>
    </xf>
    <xf numFmtId="187" fontId="15" fillId="0" borderId="156" xfId="3" applyNumberFormat="1" applyFont="1" applyFill="1" applyBorder="1" applyAlignment="1">
      <alignment horizontal="right" vertical="center" shrinkToFit="1"/>
    </xf>
  </cellXfs>
  <cellStyles count="5">
    <cellStyle name="標準" xfId="0" builtinId="0"/>
    <cellStyle name="標準 2" xfId="3" xr:uid="{00000000-0005-0000-0000-000001000000}"/>
    <cellStyle name="標準 2 2" xfId="2" xr:uid="{00000000-0005-0000-0000-000002000000}"/>
    <cellStyle name="標準_BDA1S0T05201" xfId="4" xr:uid="{00000000-0005-0000-0000-000003000000}"/>
    <cellStyle name="標準_GQII0033" xfId="1" xr:uid="{00000000-0005-0000-0000-000004000000}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45"/>
  <sheetViews>
    <sheetView showGridLines="0" view="pageBreakPreview" zoomScaleNormal="100" zoomScaleSheetLayoutView="100" workbookViewId="0">
      <selection activeCell="J12" sqref="J12"/>
    </sheetView>
  </sheetViews>
  <sheetFormatPr defaultColWidth="9" defaultRowHeight="12.75" customHeight="1" x14ac:dyDescent="0.15"/>
  <cols>
    <col min="1" max="1" width="3.5" style="2" customWidth="1"/>
    <col min="2" max="4" width="2.625" style="2" customWidth="1"/>
    <col min="5" max="5" width="8.75" style="2" customWidth="1"/>
    <col min="6" max="6" width="9" style="2" customWidth="1"/>
    <col min="7" max="7" width="3.625" style="2" customWidth="1"/>
    <col min="8" max="8" width="10.625" style="2" customWidth="1"/>
    <col min="9" max="9" width="6.625" style="2" customWidth="1"/>
    <col min="10" max="10" width="10.625" style="2" customWidth="1"/>
    <col min="11" max="11" width="6.625" style="2" customWidth="1"/>
    <col min="12" max="12" width="7.625" style="2" customWidth="1"/>
    <col min="13" max="13" width="8.625" style="2" customWidth="1"/>
    <col min="14" max="14" width="30.625" style="2" customWidth="1"/>
    <col min="15" max="15" width="11.625" style="2" customWidth="1"/>
    <col min="16" max="17" width="9.625" style="2" customWidth="1"/>
    <col min="18" max="18" width="7.125" style="2" hidden="1" customWidth="1"/>
    <col min="19" max="19" width="6.125" style="2" customWidth="1"/>
    <col min="20" max="20" width="3.625" style="2" customWidth="1"/>
    <col min="21" max="23" width="2.625" style="2" customWidth="1"/>
    <col min="24" max="24" width="8.625" style="2" customWidth="1"/>
    <col min="25" max="25" width="7.625" style="2" customWidth="1"/>
    <col min="26" max="26" width="6" style="2" customWidth="1"/>
    <col min="27" max="27" width="6.125" style="2" customWidth="1"/>
    <col min="28" max="16384" width="9" style="2"/>
  </cols>
  <sheetData>
    <row r="1" spans="1:27" ht="15" customHeight="1" x14ac:dyDescent="0.15">
      <c r="A1" s="230">
        <v>2019</v>
      </c>
      <c r="B1" s="230"/>
      <c r="C1" s="1" t="s">
        <v>293</v>
      </c>
      <c r="D1" s="1"/>
      <c r="E1" s="1"/>
      <c r="F1" s="1"/>
      <c r="G1" s="1"/>
      <c r="H1" s="1"/>
      <c r="I1" s="1"/>
      <c r="J1" s="1"/>
      <c r="K1" s="1"/>
      <c r="O1" s="289" t="s">
        <v>165</v>
      </c>
      <c r="P1" s="290"/>
      <c r="Q1" s="291"/>
      <c r="U1" s="10"/>
      <c r="V1" s="10"/>
      <c r="W1" s="10"/>
      <c r="X1" s="37"/>
      <c r="Y1" s="37"/>
    </row>
    <row r="2" spans="1:27" ht="15" customHeight="1" x14ac:dyDescent="0.15">
      <c r="B2" s="1"/>
      <c r="C2" s="1"/>
      <c r="D2" s="1"/>
      <c r="E2" s="1"/>
      <c r="F2" s="1"/>
      <c r="G2" s="1"/>
      <c r="H2" s="1"/>
      <c r="I2" s="1"/>
      <c r="J2" s="1"/>
      <c r="K2" s="1"/>
      <c r="O2" s="292"/>
      <c r="P2" s="293"/>
      <c r="Q2" s="294"/>
      <c r="U2" s="49"/>
      <c r="V2" s="49"/>
      <c r="W2" s="49"/>
      <c r="X2" s="28"/>
      <c r="Y2" s="29"/>
    </row>
    <row r="3" spans="1:27" ht="14.25" customHeight="1" x14ac:dyDescent="0.15">
      <c r="B3" s="1"/>
      <c r="C3" s="1"/>
      <c r="D3" s="1"/>
      <c r="E3" s="1"/>
      <c r="F3" s="1"/>
      <c r="G3" s="1"/>
      <c r="H3" s="1"/>
      <c r="I3" s="1"/>
      <c r="J3" s="1"/>
      <c r="K3" s="1"/>
      <c r="U3" s="9"/>
      <c r="V3" s="38"/>
      <c r="W3" s="38"/>
      <c r="X3" s="9"/>
      <c r="Y3" s="3"/>
      <c r="Z3" s="3"/>
      <c r="AA3" s="3"/>
    </row>
    <row r="4" spans="1:27" ht="14.45" customHeight="1" thickBot="1" x14ac:dyDescent="0.2">
      <c r="A4" s="39" t="s">
        <v>205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39"/>
      <c r="N4" s="10"/>
      <c r="O4" s="10"/>
      <c r="P4" s="10"/>
      <c r="Q4" s="10"/>
      <c r="R4" s="10"/>
      <c r="S4" s="10"/>
      <c r="T4" s="10"/>
      <c r="U4" s="39"/>
      <c r="V4" s="10"/>
      <c r="W4" s="10"/>
      <c r="X4" s="10"/>
      <c r="Y4" s="10"/>
      <c r="Z4" s="10"/>
      <c r="AA4" s="10"/>
    </row>
    <row r="5" spans="1:27" ht="15" customHeight="1" x14ac:dyDescent="0.15">
      <c r="A5" s="240" t="s">
        <v>166</v>
      </c>
      <c r="B5" s="241"/>
      <c r="C5" s="241"/>
      <c r="D5" s="241"/>
      <c r="E5" s="241"/>
      <c r="F5" s="241"/>
      <c r="G5" s="244" t="s">
        <v>167</v>
      </c>
      <c r="H5" s="257">
        <f>A1-2000</f>
        <v>19</v>
      </c>
      <c r="I5" s="89" t="s">
        <v>280</v>
      </c>
      <c r="J5" s="255">
        <f>H5-1</f>
        <v>18</v>
      </c>
      <c r="K5" s="90" t="s">
        <v>280</v>
      </c>
      <c r="L5" s="91" t="s">
        <v>203</v>
      </c>
      <c r="M5" s="253" t="s">
        <v>250</v>
      </c>
      <c r="N5" s="295" t="s">
        <v>204</v>
      </c>
      <c r="O5" s="296"/>
      <c r="P5" s="296"/>
      <c r="Q5" s="297"/>
      <c r="R5" s="44"/>
      <c r="S5" s="47"/>
      <c r="T5" s="47"/>
      <c r="U5" s="47"/>
      <c r="V5" s="47"/>
      <c r="W5" s="47"/>
      <c r="X5" s="47"/>
      <c r="Y5" s="47"/>
      <c r="Z5" s="47"/>
      <c r="AA5" s="47"/>
    </row>
    <row r="6" spans="1:27" ht="15" customHeight="1" thickBot="1" x14ac:dyDescent="0.2">
      <c r="A6" s="242"/>
      <c r="B6" s="243"/>
      <c r="C6" s="243"/>
      <c r="D6" s="243"/>
      <c r="E6" s="243"/>
      <c r="F6" s="243"/>
      <c r="G6" s="245"/>
      <c r="H6" s="258"/>
      <c r="I6" s="30" t="s">
        <v>206</v>
      </c>
      <c r="J6" s="256"/>
      <c r="K6" s="30" t="s">
        <v>206</v>
      </c>
      <c r="L6" s="31" t="s">
        <v>206</v>
      </c>
      <c r="M6" s="254"/>
      <c r="N6" s="298"/>
      <c r="O6" s="299"/>
      <c r="P6" s="299"/>
      <c r="Q6" s="300"/>
      <c r="R6" s="45"/>
      <c r="S6" s="47"/>
      <c r="T6" s="47"/>
      <c r="U6" s="47"/>
      <c r="V6" s="47"/>
      <c r="W6" s="47"/>
      <c r="X6" s="47"/>
      <c r="Y6" s="47"/>
      <c r="Z6" s="47"/>
      <c r="AA6" s="47"/>
    </row>
    <row r="7" spans="1:27" ht="14.25" customHeight="1" x14ac:dyDescent="0.15">
      <c r="A7" s="264" t="s">
        <v>168</v>
      </c>
      <c r="B7" s="266" t="s">
        <v>169</v>
      </c>
      <c r="C7" s="239"/>
      <c r="D7" s="239"/>
      <c r="E7" s="239"/>
      <c r="F7" s="252"/>
      <c r="G7" s="63" t="s">
        <v>170</v>
      </c>
      <c r="H7" s="121"/>
      <c r="I7" s="122" t="str">
        <f>IFERROR(H7/$H$29*100,"-")</f>
        <v>-</v>
      </c>
      <c r="J7" s="123"/>
      <c r="K7" s="122" t="str">
        <f>IFERROR(J7/$J$29*100,"-")</f>
        <v>-</v>
      </c>
      <c r="L7" s="124" t="str">
        <f>IFERROR(100*(H7-J7)/J7,"-")</f>
        <v>-</v>
      </c>
      <c r="M7" s="125">
        <f>H7-J7</f>
        <v>0</v>
      </c>
      <c r="N7" s="301"/>
      <c r="O7" s="302"/>
      <c r="P7" s="302"/>
      <c r="Q7" s="303"/>
      <c r="R7" s="46"/>
      <c r="S7" s="48"/>
      <c r="T7" s="48"/>
      <c r="U7" s="48"/>
      <c r="V7" s="48"/>
    </row>
    <row r="8" spans="1:27" ht="14.25" customHeight="1" x14ac:dyDescent="0.15">
      <c r="A8" s="264"/>
      <c r="B8" s="239"/>
      <c r="C8" s="231" t="s">
        <v>171</v>
      </c>
      <c r="D8" s="231"/>
      <c r="E8" s="231"/>
      <c r="F8" s="232"/>
      <c r="G8" s="64" t="s">
        <v>172</v>
      </c>
      <c r="H8" s="126"/>
      <c r="I8" s="127" t="str">
        <f t="shared" ref="I8:I29" si="0">IFERROR(H8/$H$29*100,"-")</f>
        <v>-</v>
      </c>
      <c r="J8" s="128"/>
      <c r="K8" s="127" t="str">
        <f t="shared" ref="K8:K29" si="1">IFERROR(J8/$J$29*100,"-")</f>
        <v>-</v>
      </c>
      <c r="L8" s="129" t="str">
        <f t="shared" ref="L8:L45" si="2">IFERROR(100*(H8-J8)/J8,"-")</f>
        <v>-</v>
      </c>
      <c r="M8" s="130">
        <f t="shared" ref="M8:M45" si="3">H8-J8</f>
        <v>0</v>
      </c>
      <c r="N8" s="233"/>
      <c r="O8" s="234"/>
      <c r="P8" s="234"/>
      <c r="Q8" s="235"/>
      <c r="R8" s="41"/>
      <c r="S8" s="48"/>
      <c r="T8" s="48"/>
      <c r="U8" s="48"/>
      <c r="V8" s="48"/>
    </row>
    <row r="9" spans="1:27" ht="14.25" customHeight="1" x14ac:dyDescent="0.15">
      <c r="A9" s="264"/>
      <c r="B9" s="231"/>
      <c r="C9" s="231" t="s">
        <v>173</v>
      </c>
      <c r="D9" s="231"/>
      <c r="E9" s="231"/>
      <c r="F9" s="232"/>
      <c r="G9" s="64" t="s">
        <v>172</v>
      </c>
      <c r="H9" s="126"/>
      <c r="I9" s="127" t="str">
        <f t="shared" si="0"/>
        <v>-</v>
      </c>
      <c r="J9" s="128"/>
      <c r="K9" s="127" t="str">
        <f t="shared" si="1"/>
        <v>-</v>
      </c>
      <c r="L9" s="129" t="str">
        <f t="shared" si="2"/>
        <v>-</v>
      </c>
      <c r="M9" s="130">
        <f t="shared" si="3"/>
        <v>0</v>
      </c>
      <c r="N9" s="233"/>
      <c r="O9" s="234"/>
      <c r="P9" s="234"/>
      <c r="Q9" s="235"/>
      <c r="R9" s="41"/>
      <c r="S9" s="48"/>
      <c r="T9" s="48"/>
      <c r="U9" s="48"/>
      <c r="V9" s="48"/>
    </row>
    <row r="10" spans="1:27" ht="14.25" customHeight="1" x14ac:dyDescent="0.15">
      <c r="A10" s="264"/>
      <c r="B10" s="231"/>
      <c r="C10" s="231" t="s">
        <v>174</v>
      </c>
      <c r="D10" s="231"/>
      <c r="E10" s="231"/>
      <c r="F10" s="232"/>
      <c r="G10" s="64" t="s">
        <v>172</v>
      </c>
      <c r="H10" s="126"/>
      <c r="I10" s="127" t="str">
        <f t="shared" si="0"/>
        <v>-</v>
      </c>
      <c r="J10" s="128"/>
      <c r="K10" s="127" t="str">
        <f t="shared" si="1"/>
        <v>-</v>
      </c>
      <c r="L10" s="129" t="str">
        <f t="shared" si="2"/>
        <v>-</v>
      </c>
      <c r="M10" s="130">
        <f t="shared" si="3"/>
        <v>0</v>
      </c>
      <c r="N10" s="233"/>
      <c r="O10" s="234"/>
      <c r="P10" s="234"/>
      <c r="Q10" s="235"/>
      <c r="R10" s="41"/>
      <c r="S10" s="48"/>
      <c r="T10" s="48"/>
      <c r="U10" s="48"/>
      <c r="V10" s="48"/>
    </row>
    <row r="11" spans="1:27" ht="14.25" customHeight="1" x14ac:dyDescent="0.15">
      <c r="A11" s="264"/>
      <c r="B11" s="231"/>
      <c r="C11" s="231" t="s">
        <v>175</v>
      </c>
      <c r="D11" s="231"/>
      <c r="E11" s="231"/>
      <c r="F11" s="232"/>
      <c r="G11" s="64" t="s">
        <v>172</v>
      </c>
      <c r="H11" s="126"/>
      <c r="I11" s="127" t="str">
        <f t="shared" si="0"/>
        <v>-</v>
      </c>
      <c r="J11" s="128"/>
      <c r="K11" s="127" t="str">
        <f t="shared" si="1"/>
        <v>-</v>
      </c>
      <c r="L11" s="129" t="str">
        <f t="shared" si="2"/>
        <v>-</v>
      </c>
      <c r="M11" s="130">
        <f t="shared" si="3"/>
        <v>0</v>
      </c>
      <c r="N11" s="233"/>
      <c r="O11" s="234"/>
      <c r="P11" s="234"/>
      <c r="Q11" s="235"/>
      <c r="R11" s="41"/>
      <c r="S11" s="48"/>
      <c r="T11" s="48"/>
      <c r="U11" s="48"/>
      <c r="V11" s="48"/>
    </row>
    <row r="12" spans="1:27" ht="14.25" customHeight="1" x14ac:dyDescent="0.15">
      <c r="A12" s="264"/>
      <c r="B12" s="231"/>
      <c r="C12" s="231" t="s">
        <v>176</v>
      </c>
      <c r="D12" s="231"/>
      <c r="E12" s="231"/>
      <c r="F12" s="232"/>
      <c r="G12" s="64" t="s">
        <v>172</v>
      </c>
      <c r="H12" s="126"/>
      <c r="I12" s="127" t="str">
        <f t="shared" si="0"/>
        <v>-</v>
      </c>
      <c r="J12" s="128"/>
      <c r="K12" s="127" t="str">
        <f t="shared" si="1"/>
        <v>-</v>
      </c>
      <c r="L12" s="129" t="str">
        <f t="shared" si="2"/>
        <v>-</v>
      </c>
      <c r="M12" s="130">
        <f t="shared" si="3"/>
        <v>0</v>
      </c>
      <c r="N12" s="233"/>
      <c r="O12" s="234"/>
      <c r="P12" s="234"/>
      <c r="Q12" s="235"/>
      <c r="R12" s="41"/>
      <c r="S12" s="48"/>
      <c r="T12" s="48"/>
      <c r="U12" s="48"/>
      <c r="V12" s="48"/>
    </row>
    <row r="13" spans="1:27" ht="14.25" customHeight="1" x14ac:dyDescent="0.15">
      <c r="A13" s="264"/>
      <c r="B13" s="231"/>
      <c r="C13" s="231" t="s">
        <v>177</v>
      </c>
      <c r="D13" s="231"/>
      <c r="E13" s="231"/>
      <c r="F13" s="232"/>
      <c r="G13" s="64" t="s">
        <v>172</v>
      </c>
      <c r="H13" s="126"/>
      <c r="I13" s="127" t="str">
        <f t="shared" si="0"/>
        <v>-</v>
      </c>
      <c r="J13" s="128"/>
      <c r="K13" s="127" t="str">
        <f t="shared" si="1"/>
        <v>-</v>
      </c>
      <c r="L13" s="129" t="str">
        <f t="shared" si="2"/>
        <v>-</v>
      </c>
      <c r="M13" s="130">
        <f t="shared" si="3"/>
        <v>0</v>
      </c>
      <c r="N13" s="233"/>
      <c r="O13" s="234"/>
      <c r="P13" s="234"/>
      <c r="Q13" s="235"/>
      <c r="R13" s="41"/>
      <c r="S13" s="48"/>
      <c r="T13" s="48"/>
      <c r="U13" s="48"/>
      <c r="V13" s="48"/>
    </row>
    <row r="14" spans="1:27" ht="14.25" customHeight="1" x14ac:dyDescent="0.15">
      <c r="A14" s="264"/>
      <c r="B14" s="231"/>
      <c r="C14" s="231" t="s">
        <v>178</v>
      </c>
      <c r="D14" s="231"/>
      <c r="E14" s="231"/>
      <c r="F14" s="232"/>
      <c r="G14" s="64" t="s">
        <v>172</v>
      </c>
      <c r="H14" s="126"/>
      <c r="I14" s="127" t="str">
        <f t="shared" si="0"/>
        <v>-</v>
      </c>
      <c r="J14" s="128"/>
      <c r="K14" s="127" t="str">
        <f t="shared" si="1"/>
        <v>-</v>
      </c>
      <c r="L14" s="129" t="str">
        <f t="shared" si="2"/>
        <v>-</v>
      </c>
      <c r="M14" s="130">
        <f t="shared" si="3"/>
        <v>0</v>
      </c>
      <c r="N14" s="233"/>
      <c r="O14" s="234"/>
      <c r="P14" s="234"/>
      <c r="Q14" s="235"/>
      <c r="R14" s="41"/>
      <c r="S14" s="48"/>
      <c r="T14" s="48"/>
      <c r="U14" s="48"/>
      <c r="V14" s="48"/>
    </row>
    <row r="15" spans="1:27" ht="14.25" customHeight="1" x14ac:dyDescent="0.15">
      <c r="A15" s="264"/>
      <c r="B15" s="231"/>
      <c r="C15" s="250" t="s">
        <v>179</v>
      </c>
      <c r="D15" s="250"/>
      <c r="E15" s="250"/>
      <c r="F15" s="251"/>
      <c r="G15" s="64" t="s">
        <v>172</v>
      </c>
      <c r="H15" s="126"/>
      <c r="I15" s="127" t="str">
        <f t="shared" si="0"/>
        <v>-</v>
      </c>
      <c r="J15" s="128"/>
      <c r="K15" s="127" t="str">
        <f t="shared" si="1"/>
        <v>-</v>
      </c>
      <c r="L15" s="129" t="str">
        <f t="shared" si="2"/>
        <v>-</v>
      </c>
      <c r="M15" s="130">
        <f t="shared" si="3"/>
        <v>0</v>
      </c>
      <c r="N15" s="233"/>
      <c r="O15" s="234"/>
      <c r="P15" s="234"/>
      <c r="Q15" s="235"/>
      <c r="R15" s="41"/>
      <c r="S15" s="48"/>
      <c r="T15" s="48"/>
      <c r="U15" s="48"/>
      <c r="V15" s="48"/>
    </row>
    <row r="16" spans="1:27" ht="14.25" customHeight="1" x14ac:dyDescent="0.15">
      <c r="A16" s="264"/>
      <c r="B16" s="231"/>
      <c r="C16" s="237" t="s">
        <v>180</v>
      </c>
      <c r="D16" s="237"/>
      <c r="E16" s="237"/>
      <c r="F16" s="238"/>
      <c r="G16" s="64" t="s">
        <v>172</v>
      </c>
      <c r="H16" s="126"/>
      <c r="I16" s="127" t="str">
        <f t="shared" si="0"/>
        <v>-</v>
      </c>
      <c r="J16" s="128"/>
      <c r="K16" s="127" t="str">
        <f t="shared" si="1"/>
        <v>-</v>
      </c>
      <c r="L16" s="129" t="str">
        <f t="shared" si="2"/>
        <v>-</v>
      </c>
      <c r="M16" s="130">
        <f t="shared" si="3"/>
        <v>0</v>
      </c>
      <c r="N16" s="233"/>
      <c r="O16" s="234"/>
      <c r="P16" s="234"/>
      <c r="Q16" s="235"/>
      <c r="R16" s="41"/>
      <c r="S16" s="48"/>
      <c r="T16" s="48"/>
      <c r="U16" s="48"/>
      <c r="V16" s="48"/>
    </row>
    <row r="17" spans="1:22" ht="14.25" customHeight="1" x14ac:dyDescent="0.15">
      <c r="A17" s="264"/>
      <c r="B17" s="231"/>
      <c r="C17" s="36"/>
      <c r="D17" s="232" t="s">
        <v>181</v>
      </c>
      <c r="E17" s="236"/>
      <c r="F17" s="236"/>
      <c r="G17" s="64" t="s">
        <v>172</v>
      </c>
      <c r="H17" s="126"/>
      <c r="I17" s="127" t="str">
        <f t="shared" si="0"/>
        <v>-</v>
      </c>
      <c r="J17" s="128"/>
      <c r="K17" s="127" t="str">
        <f t="shared" si="1"/>
        <v>-</v>
      </c>
      <c r="L17" s="129" t="str">
        <f t="shared" si="2"/>
        <v>-</v>
      </c>
      <c r="M17" s="130">
        <f t="shared" si="3"/>
        <v>0</v>
      </c>
      <c r="N17" s="233"/>
      <c r="O17" s="234"/>
      <c r="P17" s="234"/>
      <c r="Q17" s="235"/>
      <c r="R17" s="41"/>
      <c r="S17" s="48"/>
      <c r="T17" s="48"/>
      <c r="U17" s="48"/>
      <c r="V17" s="48"/>
    </row>
    <row r="18" spans="1:22" ht="14.25" customHeight="1" x14ac:dyDescent="0.15">
      <c r="A18" s="264"/>
      <c r="B18" s="231"/>
      <c r="C18" s="237" t="s">
        <v>182</v>
      </c>
      <c r="D18" s="237"/>
      <c r="E18" s="237"/>
      <c r="F18" s="238"/>
      <c r="G18" s="64" t="s">
        <v>172</v>
      </c>
      <c r="H18" s="126"/>
      <c r="I18" s="127" t="str">
        <f t="shared" si="0"/>
        <v>-</v>
      </c>
      <c r="J18" s="128"/>
      <c r="K18" s="127" t="str">
        <f t="shared" si="1"/>
        <v>-</v>
      </c>
      <c r="L18" s="129" t="str">
        <f t="shared" si="2"/>
        <v>-</v>
      </c>
      <c r="M18" s="130">
        <f t="shared" si="3"/>
        <v>0</v>
      </c>
      <c r="N18" s="233"/>
      <c r="O18" s="234"/>
      <c r="P18" s="234"/>
      <c r="Q18" s="235"/>
      <c r="R18" s="41"/>
      <c r="S18" s="48"/>
      <c r="T18" s="48"/>
      <c r="U18" s="48"/>
      <c r="V18" s="48"/>
    </row>
    <row r="19" spans="1:22" ht="14.25" customHeight="1" x14ac:dyDescent="0.15">
      <c r="A19" s="264"/>
      <c r="B19" s="231"/>
      <c r="C19" s="36"/>
      <c r="D19" s="232" t="s">
        <v>181</v>
      </c>
      <c r="E19" s="236"/>
      <c r="F19" s="236"/>
      <c r="G19" s="64" t="s">
        <v>172</v>
      </c>
      <c r="H19" s="126"/>
      <c r="I19" s="127" t="str">
        <f t="shared" si="0"/>
        <v>-</v>
      </c>
      <c r="J19" s="128"/>
      <c r="K19" s="127" t="str">
        <f t="shared" si="1"/>
        <v>-</v>
      </c>
      <c r="L19" s="129" t="str">
        <f t="shared" si="2"/>
        <v>-</v>
      </c>
      <c r="M19" s="130">
        <f t="shared" si="3"/>
        <v>0</v>
      </c>
      <c r="N19" s="233"/>
      <c r="O19" s="234"/>
      <c r="P19" s="234"/>
      <c r="Q19" s="235"/>
      <c r="R19" s="41"/>
      <c r="S19" s="48"/>
      <c r="T19" s="48"/>
      <c r="U19" s="48"/>
      <c r="V19" s="48"/>
    </row>
    <row r="20" spans="1:22" ht="14.25" customHeight="1" x14ac:dyDescent="0.15">
      <c r="A20" s="264"/>
      <c r="B20" s="231"/>
      <c r="C20" s="237" t="s">
        <v>183</v>
      </c>
      <c r="D20" s="237"/>
      <c r="E20" s="237"/>
      <c r="F20" s="238"/>
      <c r="G20" s="64" t="s">
        <v>172</v>
      </c>
      <c r="H20" s="126"/>
      <c r="I20" s="127" t="str">
        <f t="shared" si="0"/>
        <v>-</v>
      </c>
      <c r="J20" s="128"/>
      <c r="K20" s="127" t="str">
        <f t="shared" si="1"/>
        <v>-</v>
      </c>
      <c r="L20" s="129" t="str">
        <f t="shared" si="2"/>
        <v>-</v>
      </c>
      <c r="M20" s="130">
        <f t="shared" si="3"/>
        <v>0</v>
      </c>
      <c r="N20" s="233"/>
      <c r="O20" s="234"/>
      <c r="P20" s="234"/>
      <c r="Q20" s="235"/>
      <c r="R20" s="41"/>
      <c r="S20" s="48"/>
      <c r="T20" s="48"/>
      <c r="U20" s="48"/>
      <c r="V20" s="48"/>
    </row>
    <row r="21" spans="1:22" ht="14.25" customHeight="1" x14ac:dyDescent="0.15">
      <c r="A21" s="264"/>
      <c r="B21" s="231"/>
      <c r="C21" s="36"/>
      <c r="D21" s="232" t="s">
        <v>181</v>
      </c>
      <c r="E21" s="236"/>
      <c r="F21" s="236"/>
      <c r="G21" s="64" t="s">
        <v>172</v>
      </c>
      <c r="H21" s="126"/>
      <c r="I21" s="127" t="str">
        <f t="shared" si="0"/>
        <v>-</v>
      </c>
      <c r="J21" s="128"/>
      <c r="K21" s="127" t="str">
        <f t="shared" si="1"/>
        <v>-</v>
      </c>
      <c r="L21" s="129" t="str">
        <f t="shared" si="2"/>
        <v>-</v>
      </c>
      <c r="M21" s="130">
        <f t="shared" si="3"/>
        <v>0</v>
      </c>
      <c r="N21" s="233"/>
      <c r="O21" s="234"/>
      <c r="P21" s="234"/>
      <c r="Q21" s="235"/>
      <c r="R21" s="41"/>
      <c r="S21" s="48"/>
      <c r="T21" s="48"/>
      <c r="U21" s="48"/>
      <c r="V21" s="48"/>
    </row>
    <row r="22" spans="1:22" ht="14.25" customHeight="1" x14ac:dyDescent="0.15">
      <c r="A22" s="264"/>
      <c r="B22" s="231"/>
      <c r="C22" s="237" t="s">
        <v>184</v>
      </c>
      <c r="D22" s="237"/>
      <c r="E22" s="237"/>
      <c r="F22" s="238"/>
      <c r="G22" s="65" t="s">
        <v>172</v>
      </c>
      <c r="H22" s="126"/>
      <c r="I22" s="127" t="str">
        <f t="shared" si="0"/>
        <v>-</v>
      </c>
      <c r="J22" s="128"/>
      <c r="K22" s="127" t="str">
        <f t="shared" si="1"/>
        <v>-</v>
      </c>
      <c r="L22" s="129" t="str">
        <f t="shared" si="2"/>
        <v>-</v>
      </c>
      <c r="M22" s="130">
        <f t="shared" si="3"/>
        <v>0</v>
      </c>
      <c r="N22" s="233"/>
      <c r="O22" s="234"/>
      <c r="P22" s="234"/>
      <c r="Q22" s="235"/>
      <c r="R22" s="41"/>
      <c r="S22" s="48"/>
      <c r="T22" s="48"/>
      <c r="U22" s="48"/>
      <c r="V22" s="48"/>
    </row>
    <row r="23" spans="1:22" ht="14.25" customHeight="1" x14ac:dyDescent="0.15">
      <c r="A23" s="264"/>
      <c r="B23" s="231"/>
      <c r="C23" s="36"/>
      <c r="D23" s="232" t="s">
        <v>181</v>
      </c>
      <c r="E23" s="236"/>
      <c r="F23" s="236"/>
      <c r="G23" s="64" t="s">
        <v>172</v>
      </c>
      <c r="H23" s="126"/>
      <c r="I23" s="127" t="str">
        <f t="shared" si="0"/>
        <v>-</v>
      </c>
      <c r="J23" s="128"/>
      <c r="K23" s="127" t="str">
        <f t="shared" si="1"/>
        <v>-</v>
      </c>
      <c r="L23" s="129" t="str">
        <f t="shared" si="2"/>
        <v>-</v>
      </c>
      <c r="M23" s="130">
        <f t="shared" si="3"/>
        <v>0</v>
      </c>
      <c r="N23" s="233"/>
      <c r="O23" s="234"/>
      <c r="P23" s="234"/>
      <c r="Q23" s="235"/>
      <c r="R23" s="42"/>
      <c r="S23" s="48"/>
      <c r="T23" s="48"/>
      <c r="U23" s="48"/>
      <c r="V23" s="48"/>
    </row>
    <row r="24" spans="1:22" ht="14.25" customHeight="1" x14ac:dyDescent="0.15">
      <c r="A24" s="264"/>
      <c r="B24" s="237" t="s">
        <v>185</v>
      </c>
      <c r="C24" s="237"/>
      <c r="D24" s="237"/>
      <c r="E24" s="237"/>
      <c r="F24" s="238"/>
      <c r="G24" s="64" t="s">
        <v>172</v>
      </c>
      <c r="H24" s="126"/>
      <c r="I24" s="127" t="str">
        <f t="shared" si="0"/>
        <v>-</v>
      </c>
      <c r="J24" s="128"/>
      <c r="K24" s="127" t="str">
        <f t="shared" si="1"/>
        <v>-</v>
      </c>
      <c r="L24" s="129" t="str">
        <f t="shared" si="2"/>
        <v>-</v>
      </c>
      <c r="M24" s="130">
        <f t="shared" si="3"/>
        <v>0</v>
      </c>
      <c r="N24" s="233"/>
      <c r="O24" s="234"/>
      <c r="P24" s="234"/>
      <c r="Q24" s="235"/>
      <c r="R24" s="40"/>
      <c r="S24" s="48"/>
      <c r="T24" s="48"/>
      <c r="U24" s="48"/>
      <c r="V24" s="48"/>
    </row>
    <row r="25" spans="1:22" ht="14.25" customHeight="1" x14ac:dyDescent="0.15">
      <c r="A25" s="264"/>
      <c r="B25" s="252"/>
      <c r="C25" s="32"/>
      <c r="D25" s="232" t="s">
        <v>186</v>
      </c>
      <c r="E25" s="236"/>
      <c r="F25" s="236"/>
      <c r="G25" s="64" t="s">
        <v>172</v>
      </c>
      <c r="H25" s="126"/>
      <c r="I25" s="127" t="str">
        <f t="shared" si="0"/>
        <v>-</v>
      </c>
      <c r="J25" s="128"/>
      <c r="K25" s="127" t="str">
        <f t="shared" si="1"/>
        <v>-</v>
      </c>
      <c r="L25" s="129" t="str">
        <f t="shared" si="2"/>
        <v>-</v>
      </c>
      <c r="M25" s="130">
        <f t="shared" si="3"/>
        <v>0</v>
      </c>
      <c r="N25" s="233"/>
      <c r="O25" s="234"/>
      <c r="P25" s="234"/>
      <c r="Q25" s="235"/>
      <c r="R25" s="41"/>
      <c r="S25" s="48"/>
      <c r="T25" s="48"/>
      <c r="U25" s="48"/>
      <c r="V25" s="48"/>
    </row>
    <row r="26" spans="1:22" ht="14.25" customHeight="1" x14ac:dyDescent="0.15">
      <c r="A26" s="264"/>
      <c r="B26" s="231"/>
      <c r="C26" s="237" t="s">
        <v>187</v>
      </c>
      <c r="D26" s="237"/>
      <c r="E26" s="237"/>
      <c r="F26" s="238"/>
      <c r="G26" s="64" t="s">
        <v>172</v>
      </c>
      <c r="H26" s="126"/>
      <c r="I26" s="127" t="str">
        <f t="shared" si="0"/>
        <v>-</v>
      </c>
      <c r="J26" s="128"/>
      <c r="K26" s="127" t="str">
        <f t="shared" si="1"/>
        <v>-</v>
      </c>
      <c r="L26" s="129" t="str">
        <f t="shared" si="2"/>
        <v>-</v>
      </c>
      <c r="M26" s="130">
        <f t="shared" si="3"/>
        <v>0</v>
      </c>
      <c r="N26" s="233"/>
      <c r="O26" s="234"/>
      <c r="P26" s="234"/>
      <c r="Q26" s="235"/>
      <c r="R26" s="41"/>
      <c r="S26" s="48"/>
      <c r="T26" s="48"/>
      <c r="U26" s="48"/>
      <c r="V26" s="48"/>
    </row>
    <row r="27" spans="1:22" ht="14.25" customHeight="1" x14ac:dyDescent="0.15">
      <c r="A27" s="264"/>
      <c r="B27" s="231"/>
      <c r="C27" s="36"/>
      <c r="D27" s="232" t="s">
        <v>186</v>
      </c>
      <c r="E27" s="236"/>
      <c r="F27" s="236"/>
      <c r="G27" s="64" t="s">
        <v>172</v>
      </c>
      <c r="H27" s="126"/>
      <c r="I27" s="127" t="str">
        <f t="shared" si="0"/>
        <v>-</v>
      </c>
      <c r="J27" s="128"/>
      <c r="K27" s="127" t="str">
        <f t="shared" si="1"/>
        <v>-</v>
      </c>
      <c r="L27" s="129" t="str">
        <f t="shared" si="2"/>
        <v>-</v>
      </c>
      <c r="M27" s="130">
        <f t="shared" si="3"/>
        <v>0</v>
      </c>
      <c r="N27" s="233"/>
      <c r="O27" s="234"/>
      <c r="P27" s="234"/>
      <c r="Q27" s="235"/>
      <c r="R27" s="41"/>
      <c r="S27" s="48"/>
      <c r="T27" s="48"/>
      <c r="U27" s="48"/>
      <c r="V27" s="48"/>
    </row>
    <row r="28" spans="1:22" ht="14.25" customHeight="1" x14ac:dyDescent="0.15">
      <c r="A28" s="264"/>
      <c r="B28" s="231"/>
      <c r="C28" s="231" t="s">
        <v>188</v>
      </c>
      <c r="D28" s="231"/>
      <c r="E28" s="231"/>
      <c r="F28" s="232"/>
      <c r="G28" s="64" t="s">
        <v>172</v>
      </c>
      <c r="H28" s="126"/>
      <c r="I28" s="127" t="str">
        <f t="shared" si="0"/>
        <v>-</v>
      </c>
      <c r="J28" s="128"/>
      <c r="K28" s="127" t="str">
        <f t="shared" si="1"/>
        <v>-</v>
      </c>
      <c r="L28" s="129" t="str">
        <f t="shared" si="2"/>
        <v>-</v>
      </c>
      <c r="M28" s="130">
        <f t="shared" si="3"/>
        <v>0</v>
      </c>
      <c r="N28" s="233"/>
      <c r="O28" s="234"/>
      <c r="P28" s="234"/>
      <c r="Q28" s="235"/>
      <c r="R28" s="42"/>
      <c r="S28" s="48"/>
      <c r="T28" s="48"/>
      <c r="U28" s="48"/>
      <c r="V28" s="48"/>
    </row>
    <row r="29" spans="1:22" ht="14.25" customHeight="1" x14ac:dyDescent="0.15">
      <c r="A29" s="264"/>
      <c r="B29" s="231" t="s">
        <v>189</v>
      </c>
      <c r="C29" s="231"/>
      <c r="D29" s="231"/>
      <c r="E29" s="231"/>
      <c r="F29" s="232"/>
      <c r="G29" s="64" t="s">
        <v>172</v>
      </c>
      <c r="H29" s="126"/>
      <c r="I29" s="127" t="str">
        <f t="shared" si="0"/>
        <v>-</v>
      </c>
      <c r="J29" s="128"/>
      <c r="K29" s="127" t="str">
        <f t="shared" si="1"/>
        <v>-</v>
      </c>
      <c r="L29" s="129" t="str">
        <f t="shared" si="2"/>
        <v>-</v>
      </c>
      <c r="M29" s="130">
        <f t="shared" si="3"/>
        <v>0</v>
      </c>
      <c r="N29" s="233"/>
      <c r="O29" s="234"/>
      <c r="P29" s="234"/>
      <c r="Q29" s="235"/>
      <c r="R29" s="43"/>
      <c r="S29" s="48"/>
      <c r="T29" s="48"/>
      <c r="U29" s="48"/>
      <c r="V29" s="48"/>
    </row>
    <row r="30" spans="1:22" ht="14.25" customHeight="1" x14ac:dyDescent="0.15">
      <c r="A30" s="264"/>
      <c r="B30" s="231" t="s">
        <v>190</v>
      </c>
      <c r="C30" s="231"/>
      <c r="D30" s="231"/>
      <c r="E30" s="231"/>
      <c r="F30" s="232"/>
      <c r="G30" s="64" t="s">
        <v>172</v>
      </c>
      <c r="H30" s="126"/>
      <c r="I30" s="131"/>
      <c r="J30" s="128"/>
      <c r="K30" s="131"/>
      <c r="L30" s="129" t="str">
        <f t="shared" si="2"/>
        <v>-</v>
      </c>
      <c r="M30" s="130">
        <f t="shared" si="3"/>
        <v>0</v>
      </c>
      <c r="N30" s="233"/>
      <c r="O30" s="234"/>
      <c r="P30" s="234"/>
      <c r="Q30" s="235"/>
      <c r="R30" s="43"/>
      <c r="S30" s="48"/>
      <c r="T30" s="48"/>
      <c r="U30" s="48"/>
      <c r="V30" s="48"/>
    </row>
    <row r="31" spans="1:22" ht="14.25" customHeight="1" x14ac:dyDescent="0.15">
      <c r="A31" s="264"/>
      <c r="B31" s="262" t="s">
        <v>191</v>
      </c>
      <c r="C31" s="262"/>
      <c r="D31" s="262"/>
      <c r="E31" s="262"/>
      <c r="F31" s="263"/>
      <c r="G31" s="64" t="s">
        <v>172</v>
      </c>
      <c r="H31" s="126"/>
      <c r="I31" s="131"/>
      <c r="J31" s="128"/>
      <c r="K31" s="131"/>
      <c r="L31" s="129" t="str">
        <f t="shared" si="2"/>
        <v>-</v>
      </c>
      <c r="M31" s="130">
        <f t="shared" si="3"/>
        <v>0</v>
      </c>
      <c r="N31" s="233"/>
      <c r="O31" s="234"/>
      <c r="P31" s="234"/>
      <c r="Q31" s="235"/>
      <c r="R31" s="43"/>
      <c r="S31" s="48"/>
      <c r="T31" s="48"/>
      <c r="U31" s="48"/>
      <c r="V31" s="48"/>
    </row>
    <row r="32" spans="1:22" ht="14.25" customHeight="1" x14ac:dyDescent="0.15">
      <c r="A32" s="264"/>
      <c r="B32" s="231" t="s">
        <v>192</v>
      </c>
      <c r="C32" s="231"/>
      <c r="D32" s="231"/>
      <c r="E32" s="231"/>
      <c r="F32" s="232"/>
      <c r="G32" s="64" t="s">
        <v>172</v>
      </c>
      <c r="H32" s="126"/>
      <c r="I32" s="131"/>
      <c r="J32" s="128"/>
      <c r="K32" s="131"/>
      <c r="L32" s="129" t="str">
        <f t="shared" si="2"/>
        <v>-</v>
      </c>
      <c r="M32" s="130">
        <f t="shared" si="3"/>
        <v>0</v>
      </c>
      <c r="N32" s="233"/>
      <c r="O32" s="234"/>
      <c r="P32" s="234"/>
      <c r="Q32" s="235"/>
      <c r="R32" s="43"/>
      <c r="S32" s="48"/>
      <c r="T32" s="48"/>
      <c r="U32" s="48"/>
      <c r="V32" s="48"/>
    </row>
    <row r="33" spans="1:22" ht="14.25" customHeight="1" x14ac:dyDescent="0.15">
      <c r="A33" s="264"/>
      <c r="B33" s="231" t="s">
        <v>193</v>
      </c>
      <c r="C33" s="231"/>
      <c r="D33" s="231"/>
      <c r="E33" s="231"/>
      <c r="F33" s="232"/>
      <c r="G33" s="64" t="s">
        <v>172</v>
      </c>
      <c r="H33" s="126"/>
      <c r="I33" s="132"/>
      <c r="J33" s="133"/>
      <c r="K33" s="132"/>
      <c r="L33" s="129" t="str">
        <f t="shared" si="2"/>
        <v>-</v>
      </c>
      <c r="M33" s="134">
        <f t="shared" si="3"/>
        <v>0</v>
      </c>
      <c r="N33" s="233"/>
      <c r="O33" s="234"/>
      <c r="P33" s="234"/>
      <c r="Q33" s="235"/>
      <c r="R33" s="43"/>
      <c r="S33" s="48"/>
      <c r="T33" s="48"/>
      <c r="U33" s="48"/>
      <c r="V33" s="48"/>
    </row>
    <row r="34" spans="1:22" ht="14.25" customHeight="1" x14ac:dyDescent="0.15">
      <c r="A34" s="264"/>
      <c r="B34" s="250" t="s">
        <v>194</v>
      </c>
      <c r="C34" s="250"/>
      <c r="D34" s="250"/>
      <c r="E34" s="250"/>
      <c r="F34" s="251"/>
      <c r="G34" s="65" t="s">
        <v>172</v>
      </c>
      <c r="H34" s="126"/>
      <c r="I34" s="131"/>
      <c r="J34" s="133"/>
      <c r="K34" s="131"/>
      <c r="L34" s="129" t="str">
        <f t="shared" si="2"/>
        <v>-</v>
      </c>
      <c r="M34" s="134">
        <f t="shared" si="3"/>
        <v>0</v>
      </c>
      <c r="N34" s="233"/>
      <c r="O34" s="234"/>
      <c r="P34" s="234"/>
      <c r="Q34" s="235"/>
      <c r="R34" s="43"/>
      <c r="S34" s="48"/>
      <c r="T34" s="48"/>
      <c r="U34" s="48"/>
      <c r="V34" s="48"/>
    </row>
    <row r="35" spans="1:22" ht="14.25" customHeight="1" x14ac:dyDescent="0.15">
      <c r="A35" s="264"/>
      <c r="B35" s="231" t="s">
        <v>195</v>
      </c>
      <c r="C35" s="231"/>
      <c r="D35" s="231"/>
      <c r="E35" s="231"/>
      <c r="F35" s="232"/>
      <c r="G35" s="64" t="s">
        <v>172</v>
      </c>
      <c r="H35" s="126"/>
      <c r="I35" s="131"/>
      <c r="J35" s="133"/>
      <c r="K35" s="131"/>
      <c r="L35" s="129" t="str">
        <f t="shared" si="2"/>
        <v>-</v>
      </c>
      <c r="M35" s="134">
        <f t="shared" si="3"/>
        <v>0</v>
      </c>
      <c r="N35" s="233"/>
      <c r="O35" s="234"/>
      <c r="P35" s="234"/>
      <c r="Q35" s="235"/>
      <c r="R35" s="43"/>
      <c r="S35" s="48"/>
      <c r="T35" s="48"/>
      <c r="U35" s="48"/>
      <c r="V35" s="48"/>
    </row>
    <row r="36" spans="1:22" ht="14.25" customHeight="1" x14ac:dyDescent="0.15">
      <c r="A36" s="264"/>
      <c r="B36" s="231" t="s">
        <v>196</v>
      </c>
      <c r="C36" s="231"/>
      <c r="D36" s="231"/>
      <c r="E36" s="231"/>
      <c r="F36" s="232"/>
      <c r="G36" s="64" t="s">
        <v>172</v>
      </c>
      <c r="H36" s="126"/>
      <c r="I36" s="131"/>
      <c r="J36" s="128"/>
      <c r="K36" s="131"/>
      <c r="L36" s="129" t="str">
        <f t="shared" si="2"/>
        <v>-</v>
      </c>
      <c r="M36" s="130">
        <f t="shared" si="3"/>
        <v>0</v>
      </c>
      <c r="N36" s="233"/>
      <c r="O36" s="234"/>
      <c r="P36" s="234"/>
      <c r="Q36" s="235"/>
      <c r="R36" s="43"/>
      <c r="S36" s="48"/>
      <c r="T36" s="48"/>
      <c r="U36" s="48"/>
      <c r="V36" s="48"/>
    </row>
    <row r="37" spans="1:22" ht="12.75" customHeight="1" x14ac:dyDescent="0.15">
      <c r="A37" s="265"/>
      <c r="B37" s="267" t="s">
        <v>197</v>
      </c>
      <c r="C37" s="268"/>
      <c r="D37" s="268"/>
      <c r="E37" s="268"/>
      <c r="F37" s="269"/>
      <c r="G37" s="66" t="s">
        <v>172</v>
      </c>
      <c r="H37" s="126"/>
      <c r="I37" s="135"/>
      <c r="J37" s="136"/>
      <c r="K37" s="137"/>
      <c r="L37" s="138" t="str">
        <f t="shared" si="2"/>
        <v>-</v>
      </c>
      <c r="M37" s="139">
        <f t="shared" si="3"/>
        <v>0</v>
      </c>
      <c r="N37" s="283"/>
      <c r="O37" s="284"/>
      <c r="P37" s="284"/>
      <c r="Q37" s="285"/>
      <c r="R37" s="43"/>
      <c r="S37" s="48"/>
      <c r="T37" s="48"/>
      <c r="U37" s="48"/>
      <c r="V37" s="48"/>
    </row>
    <row r="38" spans="1:22" ht="12.75" customHeight="1" x14ac:dyDescent="0.15">
      <c r="A38" s="246" t="s">
        <v>289</v>
      </c>
      <c r="B38" s="247"/>
      <c r="C38" s="247"/>
      <c r="D38" s="247"/>
      <c r="E38" s="247"/>
      <c r="F38" s="248"/>
      <c r="G38" s="67" t="s">
        <v>172</v>
      </c>
      <c r="H38" s="140"/>
      <c r="I38" s="141"/>
      <c r="J38" s="142"/>
      <c r="K38" s="141"/>
      <c r="L38" s="143" t="str">
        <f t="shared" si="2"/>
        <v>-</v>
      </c>
      <c r="M38" s="144">
        <f t="shared" si="3"/>
        <v>0</v>
      </c>
      <c r="N38" s="286"/>
      <c r="O38" s="287"/>
      <c r="P38" s="287"/>
      <c r="Q38" s="288"/>
      <c r="R38" s="43"/>
      <c r="S38" s="48"/>
      <c r="T38" s="48"/>
      <c r="U38" s="48"/>
      <c r="V38" s="48"/>
    </row>
    <row r="39" spans="1:22" ht="12.75" customHeight="1" x14ac:dyDescent="0.15">
      <c r="A39" s="249" t="s">
        <v>290</v>
      </c>
      <c r="B39" s="250"/>
      <c r="C39" s="250"/>
      <c r="D39" s="250"/>
      <c r="E39" s="250"/>
      <c r="F39" s="251"/>
      <c r="G39" s="64" t="s">
        <v>172</v>
      </c>
      <c r="H39" s="126"/>
      <c r="I39" s="131"/>
      <c r="J39" s="128"/>
      <c r="K39" s="131"/>
      <c r="L39" s="129" t="str">
        <f t="shared" si="2"/>
        <v>-</v>
      </c>
      <c r="M39" s="130">
        <f t="shared" si="3"/>
        <v>0</v>
      </c>
      <c r="N39" s="233"/>
      <c r="O39" s="234"/>
      <c r="P39" s="234"/>
      <c r="Q39" s="235"/>
      <c r="R39" s="43"/>
      <c r="S39" s="48"/>
      <c r="T39" s="48"/>
      <c r="U39" s="48"/>
      <c r="V39" s="48"/>
    </row>
    <row r="40" spans="1:22" ht="10.5" customHeight="1" x14ac:dyDescent="0.15">
      <c r="A40" s="259" t="s">
        <v>291</v>
      </c>
      <c r="B40" s="260"/>
      <c r="C40" s="260"/>
      <c r="D40" s="260"/>
      <c r="E40" s="260"/>
      <c r="F40" s="261"/>
      <c r="G40" s="66" t="s">
        <v>172</v>
      </c>
      <c r="H40" s="145"/>
      <c r="I40" s="135"/>
      <c r="J40" s="146"/>
      <c r="K40" s="135"/>
      <c r="L40" s="147" t="str">
        <f t="shared" si="2"/>
        <v>-</v>
      </c>
      <c r="M40" s="148">
        <f t="shared" si="3"/>
        <v>0</v>
      </c>
      <c r="N40" s="283"/>
      <c r="O40" s="284"/>
      <c r="P40" s="284"/>
      <c r="Q40" s="285"/>
      <c r="R40" s="43"/>
      <c r="S40" s="48"/>
      <c r="T40" s="48"/>
      <c r="U40" s="48"/>
      <c r="V40" s="48"/>
    </row>
    <row r="41" spans="1:22" ht="12.75" customHeight="1" x14ac:dyDescent="0.15">
      <c r="A41" s="270" t="s">
        <v>198</v>
      </c>
      <c r="B41" s="248" t="s">
        <v>199</v>
      </c>
      <c r="C41" s="272"/>
      <c r="D41" s="272"/>
      <c r="E41" s="272"/>
      <c r="F41" s="272"/>
      <c r="G41" s="67" t="s">
        <v>207</v>
      </c>
      <c r="H41" s="140"/>
      <c r="I41" s="141"/>
      <c r="J41" s="149"/>
      <c r="K41" s="150"/>
      <c r="L41" s="151" t="str">
        <f t="shared" si="2"/>
        <v>-</v>
      </c>
      <c r="M41" s="152">
        <f t="shared" si="3"/>
        <v>0</v>
      </c>
      <c r="N41" s="273"/>
      <c r="O41" s="274"/>
      <c r="P41" s="274"/>
      <c r="Q41" s="275"/>
    </row>
    <row r="42" spans="1:22" ht="12.75" customHeight="1" x14ac:dyDescent="0.15">
      <c r="A42" s="264"/>
      <c r="B42" s="232" t="s">
        <v>200</v>
      </c>
      <c r="C42" s="236"/>
      <c r="D42" s="236"/>
      <c r="E42" s="236"/>
      <c r="F42" s="236"/>
      <c r="G42" s="64" t="s">
        <v>170</v>
      </c>
      <c r="H42" s="126"/>
      <c r="I42" s="131"/>
      <c r="J42" s="128"/>
      <c r="K42" s="131"/>
      <c r="L42" s="129" t="str">
        <f t="shared" si="2"/>
        <v>-</v>
      </c>
      <c r="M42" s="130">
        <f t="shared" si="3"/>
        <v>0</v>
      </c>
      <c r="N42" s="233"/>
      <c r="O42" s="234"/>
      <c r="P42" s="234"/>
      <c r="Q42" s="235"/>
    </row>
    <row r="43" spans="1:22" ht="12.75" customHeight="1" x14ac:dyDescent="0.15">
      <c r="A43" s="264"/>
      <c r="B43" s="276" t="s">
        <v>201</v>
      </c>
      <c r="C43" s="277"/>
      <c r="D43" s="277"/>
      <c r="E43" s="277"/>
      <c r="F43" s="277"/>
      <c r="G43" s="64" t="s">
        <v>202</v>
      </c>
      <c r="H43" s="153"/>
      <c r="I43" s="132"/>
      <c r="J43" s="154"/>
      <c r="K43" s="132"/>
      <c r="L43" s="129" t="str">
        <f t="shared" si="2"/>
        <v>-</v>
      </c>
      <c r="M43" s="155">
        <f t="shared" si="3"/>
        <v>0</v>
      </c>
      <c r="N43" s="233"/>
      <c r="O43" s="234"/>
      <c r="P43" s="234"/>
      <c r="Q43" s="235"/>
    </row>
    <row r="44" spans="1:22" ht="12.75" customHeight="1" x14ac:dyDescent="0.15">
      <c r="A44" s="264"/>
      <c r="B44" s="33"/>
      <c r="C44" s="34"/>
      <c r="D44" s="232" t="s">
        <v>186</v>
      </c>
      <c r="E44" s="236"/>
      <c r="F44" s="236"/>
      <c r="G44" s="64" t="s">
        <v>172</v>
      </c>
      <c r="H44" s="153"/>
      <c r="I44" s="131"/>
      <c r="J44" s="156"/>
      <c r="K44" s="131"/>
      <c r="L44" s="129" t="str">
        <f t="shared" si="2"/>
        <v>-</v>
      </c>
      <c r="M44" s="155">
        <f t="shared" si="3"/>
        <v>0</v>
      </c>
      <c r="N44" s="233"/>
      <c r="O44" s="234"/>
      <c r="P44" s="234"/>
      <c r="Q44" s="235"/>
    </row>
    <row r="45" spans="1:22" ht="12.75" customHeight="1" thickBot="1" x14ac:dyDescent="0.2">
      <c r="A45" s="271"/>
      <c r="B45" s="278" t="s">
        <v>281</v>
      </c>
      <c r="C45" s="279"/>
      <c r="D45" s="279"/>
      <c r="E45" s="279"/>
      <c r="F45" s="279"/>
      <c r="G45" s="68" t="s">
        <v>208</v>
      </c>
      <c r="H45" s="157"/>
      <c r="I45" s="158"/>
      <c r="J45" s="159"/>
      <c r="K45" s="158"/>
      <c r="L45" s="160" t="str">
        <f t="shared" si="2"/>
        <v>-</v>
      </c>
      <c r="M45" s="161">
        <f t="shared" si="3"/>
        <v>0</v>
      </c>
      <c r="N45" s="280"/>
      <c r="O45" s="281"/>
      <c r="P45" s="281"/>
      <c r="Q45" s="282"/>
    </row>
  </sheetData>
  <mergeCells count="91">
    <mergeCell ref="N37:Q37"/>
    <mergeCell ref="O1:Q1"/>
    <mergeCell ref="N25:Q25"/>
    <mergeCell ref="N26:Q26"/>
    <mergeCell ref="N27:Q27"/>
    <mergeCell ref="N28:Q28"/>
    <mergeCell ref="N18:Q18"/>
    <mergeCell ref="N11:Q11"/>
    <mergeCell ref="N12:Q12"/>
    <mergeCell ref="O2:Q2"/>
    <mergeCell ref="N5:Q6"/>
    <mergeCell ref="N7:Q7"/>
    <mergeCell ref="N9:Q9"/>
    <mergeCell ref="N8:Q8"/>
    <mergeCell ref="N36:Q36"/>
    <mergeCell ref="N34:Q34"/>
    <mergeCell ref="N40:Q40"/>
    <mergeCell ref="N13:Q13"/>
    <mergeCell ref="N14:Q14"/>
    <mergeCell ref="N15:Q15"/>
    <mergeCell ref="N19:Q19"/>
    <mergeCell ref="N20:Q20"/>
    <mergeCell ref="N21:Q21"/>
    <mergeCell ref="N38:Q38"/>
    <mergeCell ref="N39:Q39"/>
    <mergeCell ref="N33:Q33"/>
    <mergeCell ref="N16:Q16"/>
    <mergeCell ref="N22:Q22"/>
    <mergeCell ref="N17:Q17"/>
    <mergeCell ref="N35:Q35"/>
    <mergeCell ref="N31:Q31"/>
    <mergeCell ref="N32:Q32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N45:Q45"/>
    <mergeCell ref="A40:F40"/>
    <mergeCell ref="B31:F31"/>
    <mergeCell ref="B32:F32"/>
    <mergeCell ref="B33:F33"/>
    <mergeCell ref="B36:F36"/>
    <mergeCell ref="A7:A37"/>
    <mergeCell ref="B7:F7"/>
    <mergeCell ref="B35:F35"/>
    <mergeCell ref="D19:F19"/>
    <mergeCell ref="C20:F20"/>
    <mergeCell ref="D21:F21"/>
    <mergeCell ref="C12:F12"/>
    <mergeCell ref="C11:F11"/>
    <mergeCell ref="C18:F18"/>
    <mergeCell ref="B29:F29"/>
    <mergeCell ref="B37:F37"/>
    <mergeCell ref="M5:M6"/>
    <mergeCell ref="J5:J6"/>
    <mergeCell ref="H5:H6"/>
    <mergeCell ref="C13:F13"/>
    <mergeCell ref="C14:F14"/>
    <mergeCell ref="A38:F38"/>
    <mergeCell ref="A39:F39"/>
    <mergeCell ref="C9:F9"/>
    <mergeCell ref="B34:F34"/>
    <mergeCell ref="B25:B28"/>
    <mergeCell ref="C26:F26"/>
    <mergeCell ref="D27:F27"/>
    <mergeCell ref="C28:F28"/>
    <mergeCell ref="C15:F15"/>
    <mergeCell ref="C16:F16"/>
    <mergeCell ref="D25:F25"/>
    <mergeCell ref="A1:B1"/>
    <mergeCell ref="B30:F30"/>
    <mergeCell ref="N30:Q30"/>
    <mergeCell ref="D23:F23"/>
    <mergeCell ref="N23:Q23"/>
    <mergeCell ref="B24:F24"/>
    <mergeCell ref="N24:Q24"/>
    <mergeCell ref="B8:B23"/>
    <mergeCell ref="C8:F8"/>
    <mergeCell ref="C22:F22"/>
    <mergeCell ref="D17:F17"/>
    <mergeCell ref="C10:F10"/>
    <mergeCell ref="N10:Q10"/>
    <mergeCell ref="A5:F6"/>
    <mergeCell ref="G5:G6"/>
    <mergeCell ref="N29:Q29"/>
  </mergeCells>
  <phoneticPr fontId="1"/>
  <pageMargins left="0.78740157480314965" right="0.43307086614173229" top="0.78740157480314965" bottom="0.39370078740157483" header="0.43307086614173229" footer="0.19685039370078741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41"/>
  <sheetViews>
    <sheetView showGridLines="0" view="pageBreakPreview" zoomScaleNormal="100" zoomScaleSheetLayoutView="100" workbookViewId="0"/>
  </sheetViews>
  <sheetFormatPr defaultColWidth="9" defaultRowHeight="12.75" customHeight="1" x14ac:dyDescent="0.15"/>
  <cols>
    <col min="1" max="46" width="3.625" style="2" customWidth="1"/>
    <col min="47" max="16384" width="9" style="2"/>
  </cols>
  <sheetData>
    <row r="1" spans="1:46" ht="15" customHeight="1" x14ac:dyDescent="0.15">
      <c r="A1" s="1" t="str">
        <f>No.1!A1&amp;"年産　米生産費統計（個別経営体）　個別結果検討表　№２"</f>
        <v>2019年産　米生産費統計（個別経営体）　個別結果検討表　№２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U1" s="10"/>
      <c r="V1" s="50"/>
      <c r="W1" s="50"/>
      <c r="X1" s="72"/>
      <c r="Y1" s="50"/>
      <c r="Z1"/>
      <c r="AA1"/>
      <c r="AB1"/>
      <c r="AC1"/>
      <c r="AD1"/>
      <c r="AE1"/>
      <c r="AF1"/>
      <c r="AG1"/>
      <c r="AH1"/>
      <c r="AI1"/>
      <c r="AJ1" s="470" t="s">
        <v>249</v>
      </c>
      <c r="AK1" s="471"/>
      <c r="AL1" s="471"/>
      <c r="AM1" s="471"/>
      <c r="AN1" s="471"/>
      <c r="AO1" s="471"/>
      <c r="AP1" s="471"/>
      <c r="AQ1" s="471"/>
      <c r="AR1" s="471"/>
      <c r="AS1" s="471"/>
      <c r="AT1" s="472"/>
    </row>
    <row r="2" spans="1:46" ht="15" customHeight="1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U2" s="49"/>
      <c r="V2" s="49"/>
      <c r="W2" s="49"/>
      <c r="X2" s="49"/>
      <c r="Y2" s="49"/>
      <c r="Z2"/>
      <c r="AA2"/>
      <c r="AB2"/>
      <c r="AC2"/>
      <c r="AD2"/>
      <c r="AE2"/>
      <c r="AF2"/>
      <c r="AG2"/>
      <c r="AH2"/>
      <c r="AI2"/>
      <c r="AJ2" s="473" t="str">
        <f>IF(No.1!O2="","",No.1!O2)</f>
        <v/>
      </c>
      <c r="AK2" s="474"/>
      <c r="AL2" s="474"/>
      <c r="AM2" s="474"/>
      <c r="AN2" s="474"/>
      <c r="AO2" s="474"/>
      <c r="AP2" s="474"/>
      <c r="AQ2" s="474"/>
      <c r="AR2" s="474"/>
      <c r="AS2" s="474"/>
      <c r="AT2" s="475"/>
    </row>
    <row r="3" spans="1:46" ht="15" customHeight="1" x14ac:dyDescent="0.15"/>
    <row r="4" spans="1:46" ht="15" customHeight="1" x14ac:dyDescent="0.15">
      <c r="A4" s="5" t="s">
        <v>7</v>
      </c>
      <c r="Q4" s="5" t="s">
        <v>8</v>
      </c>
      <c r="AC4" s="10"/>
      <c r="AD4" s="10"/>
      <c r="AE4" s="10"/>
      <c r="AF4" s="10"/>
      <c r="AG4" s="92" t="s">
        <v>282</v>
      </c>
      <c r="AH4" s="92"/>
      <c r="AI4" s="92"/>
      <c r="AJ4" s="92"/>
    </row>
    <row r="5" spans="1:46" ht="15" customHeight="1" x14ac:dyDescent="0.15">
      <c r="A5" s="453"/>
      <c r="B5" s="454"/>
      <c r="C5" s="454"/>
      <c r="D5" s="454"/>
      <c r="E5" s="454"/>
      <c r="F5" s="455"/>
      <c r="G5" s="344">
        <f>No.1!H5</f>
        <v>19</v>
      </c>
      <c r="H5" s="339"/>
      <c r="I5" s="340"/>
      <c r="J5" s="338">
        <f>G5-1</f>
        <v>18</v>
      </c>
      <c r="K5" s="339"/>
      <c r="L5" s="340"/>
      <c r="M5" s="346" t="s">
        <v>0</v>
      </c>
      <c r="N5" s="346"/>
      <c r="O5" s="347"/>
      <c r="P5" s="70"/>
      <c r="Q5" s="453"/>
      <c r="R5" s="454"/>
      <c r="S5" s="454"/>
      <c r="T5" s="454"/>
      <c r="U5" s="454"/>
      <c r="V5" s="454"/>
      <c r="W5" s="344">
        <f>$G$5</f>
        <v>19</v>
      </c>
      <c r="X5" s="339"/>
      <c r="Y5" s="340"/>
      <c r="Z5" s="338">
        <f>$J$5</f>
        <v>18</v>
      </c>
      <c r="AA5" s="339"/>
      <c r="AB5" s="340"/>
      <c r="AC5" s="346" t="s">
        <v>0</v>
      </c>
      <c r="AD5" s="346"/>
      <c r="AE5" s="347"/>
      <c r="AF5" s="10"/>
      <c r="AG5" s="479"/>
      <c r="AH5" s="480"/>
      <c r="AI5" s="480"/>
      <c r="AJ5" s="480"/>
      <c r="AK5" s="481"/>
      <c r="AL5" s="344">
        <f>$G$5</f>
        <v>19</v>
      </c>
      <c r="AM5" s="339"/>
      <c r="AN5" s="340"/>
      <c r="AO5" s="338">
        <f>$J$5</f>
        <v>18</v>
      </c>
      <c r="AP5" s="339"/>
      <c r="AQ5" s="340"/>
      <c r="AR5" s="346" t="s">
        <v>247</v>
      </c>
      <c r="AS5" s="346"/>
      <c r="AT5" s="347"/>
    </row>
    <row r="6" spans="1:46" ht="15" customHeight="1" x14ac:dyDescent="0.15">
      <c r="A6" s="456"/>
      <c r="B6" s="457"/>
      <c r="C6" s="457"/>
      <c r="D6" s="457"/>
      <c r="E6" s="457"/>
      <c r="F6" s="458"/>
      <c r="G6" s="345"/>
      <c r="H6" s="342"/>
      <c r="I6" s="343"/>
      <c r="J6" s="341"/>
      <c r="K6" s="342"/>
      <c r="L6" s="343"/>
      <c r="M6" s="332" t="s">
        <v>209</v>
      </c>
      <c r="N6" s="332"/>
      <c r="O6" s="333"/>
      <c r="P6" s="70"/>
      <c r="Q6" s="456"/>
      <c r="R6" s="457"/>
      <c r="S6" s="457"/>
      <c r="T6" s="457"/>
      <c r="U6" s="457"/>
      <c r="V6" s="457"/>
      <c r="W6" s="345"/>
      <c r="X6" s="342"/>
      <c r="Y6" s="343"/>
      <c r="Z6" s="341"/>
      <c r="AA6" s="342"/>
      <c r="AB6" s="343"/>
      <c r="AC6" s="332" t="s">
        <v>209</v>
      </c>
      <c r="AD6" s="332"/>
      <c r="AE6" s="333"/>
      <c r="AF6" s="10"/>
      <c r="AG6" s="482"/>
      <c r="AH6" s="483"/>
      <c r="AI6" s="483"/>
      <c r="AJ6" s="483"/>
      <c r="AK6" s="484"/>
      <c r="AL6" s="345"/>
      <c r="AM6" s="342"/>
      <c r="AN6" s="343"/>
      <c r="AO6" s="341"/>
      <c r="AP6" s="342"/>
      <c r="AQ6" s="343"/>
      <c r="AR6" s="477" t="s">
        <v>248</v>
      </c>
      <c r="AS6" s="477"/>
      <c r="AT6" s="478"/>
    </row>
    <row r="7" spans="1:46" ht="15" customHeight="1" x14ac:dyDescent="0.15">
      <c r="A7" s="398" t="s">
        <v>9</v>
      </c>
      <c r="B7" s="466"/>
      <c r="C7" s="466"/>
      <c r="D7" s="466"/>
      <c r="E7" s="466"/>
      <c r="F7" s="467"/>
      <c r="G7" s="394"/>
      <c r="H7" s="395"/>
      <c r="I7" s="396"/>
      <c r="J7" s="397"/>
      <c r="K7" s="395"/>
      <c r="L7" s="396"/>
      <c r="M7" s="304" t="str">
        <f>IFERROR(100*(G7-J7)/J7,"-")</f>
        <v>-</v>
      </c>
      <c r="N7" s="304"/>
      <c r="O7" s="305"/>
      <c r="P7" s="70"/>
      <c r="Q7" s="348" t="s">
        <v>10</v>
      </c>
      <c r="R7" s="350" t="s">
        <v>11</v>
      </c>
      <c r="S7" s="351"/>
      <c r="T7" s="351"/>
      <c r="U7" s="351"/>
      <c r="V7" s="351"/>
      <c r="W7" s="328"/>
      <c r="X7" s="329"/>
      <c r="Y7" s="329"/>
      <c r="Z7" s="330"/>
      <c r="AA7" s="329"/>
      <c r="AB7" s="331"/>
      <c r="AC7" s="304" t="str">
        <f t="shared" ref="AC7:AC17" si="0">IFERROR(100*(W7-Z7)/Z7,"-")</f>
        <v>-</v>
      </c>
      <c r="AD7" s="304"/>
      <c r="AE7" s="305"/>
      <c r="AG7" s="444" t="s">
        <v>17</v>
      </c>
      <c r="AH7" s="445"/>
      <c r="AI7" s="445"/>
      <c r="AJ7" s="446"/>
      <c r="AK7" s="93" t="s">
        <v>238</v>
      </c>
      <c r="AL7" s="321"/>
      <c r="AM7" s="304"/>
      <c r="AN7" s="322"/>
      <c r="AO7" s="323"/>
      <c r="AP7" s="304"/>
      <c r="AQ7" s="322"/>
      <c r="AR7" s="323" t="str">
        <f t="shared" ref="AR7:AR14" si="1">IFERROR(100*(AL7-AO7)/AO7,"-")</f>
        <v>-</v>
      </c>
      <c r="AS7" s="304"/>
      <c r="AT7" s="305"/>
    </row>
    <row r="8" spans="1:46" ht="15" customHeight="1" x14ac:dyDescent="0.15">
      <c r="A8" s="52"/>
      <c r="B8" s="375" t="s">
        <v>12</v>
      </c>
      <c r="C8" s="376"/>
      <c r="D8" s="376"/>
      <c r="E8" s="376"/>
      <c r="F8" s="377"/>
      <c r="G8" s="372"/>
      <c r="H8" s="373"/>
      <c r="I8" s="374"/>
      <c r="J8" s="393"/>
      <c r="K8" s="373"/>
      <c r="L8" s="374"/>
      <c r="M8" s="307" t="str">
        <f>IFERROR(100*(G8-J8)/J8,"-")</f>
        <v>-</v>
      </c>
      <c r="N8" s="307"/>
      <c r="O8" s="310"/>
      <c r="P8" s="70"/>
      <c r="Q8" s="349"/>
      <c r="R8" s="375" t="s">
        <v>13</v>
      </c>
      <c r="S8" s="376"/>
      <c r="T8" s="376"/>
      <c r="U8" s="376"/>
      <c r="V8" s="376"/>
      <c r="W8" s="352"/>
      <c r="X8" s="353"/>
      <c r="Y8" s="353"/>
      <c r="Z8" s="354"/>
      <c r="AA8" s="353"/>
      <c r="AB8" s="355"/>
      <c r="AC8" s="356" t="str">
        <f t="shared" si="0"/>
        <v>-</v>
      </c>
      <c r="AD8" s="356"/>
      <c r="AE8" s="357"/>
      <c r="AG8" s="441" t="s">
        <v>239</v>
      </c>
      <c r="AH8" s="442"/>
      <c r="AI8" s="442"/>
      <c r="AJ8" s="443"/>
      <c r="AK8" s="94" t="s">
        <v>240</v>
      </c>
      <c r="AL8" s="306"/>
      <c r="AM8" s="307"/>
      <c r="AN8" s="308"/>
      <c r="AO8" s="309"/>
      <c r="AP8" s="307"/>
      <c r="AQ8" s="308"/>
      <c r="AR8" s="307" t="str">
        <f t="shared" si="1"/>
        <v>-</v>
      </c>
      <c r="AS8" s="307"/>
      <c r="AT8" s="310"/>
    </row>
    <row r="9" spans="1:46" ht="15" customHeight="1" x14ac:dyDescent="0.15">
      <c r="A9" s="52"/>
      <c r="B9" s="51"/>
      <c r="C9" s="384" t="s">
        <v>14</v>
      </c>
      <c r="D9" s="385"/>
      <c r="E9" s="385"/>
      <c r="F9" s="386"/>
      <c r="G9" s="372"/>
      <c r="H9" s="373"/>
      <c r="I9" s="374"/>
      <c r="J9" s="393"/>
      <c r="K9" s="373"/>
      <c r="L9" s="374"/>
      <c r="M9" s="307" t="str">
        <f>IFERROR(100*(G9-J9)/J9,"-")</f>
        <v>-</v>
      </c>
      <c r="N9" s="307"/>
      <c r="O9" s="310"/>
      <c r="P9" s="70"/>
      <c r="Q9" s="324" t="s">
        <v>15</v>
      </c>
      <c r="R9" s="459" t="s">
        <v>16</v>
      </c>
      <c r="S9" s="460"/>
      <c r="T9" s="350" t="s">
        <v>11</v>
      </c>
      <c r="U9" s="351"/>
      <c r="V9" s="351"/>
      <c r="W9" s="328"/>
      <c r="X9" s="329"/>
      <c r="Y9" s="329"/>
      <c r="Z9" s="330"/>
      <c r="AA9" s="329"/>
      <c r="AB9" s="331"/>
      <c r="AC9" s="304" t="str">
        <f t="shared" si="0"/>
        <v>-</v>
      </c>
      <c r="AD9" s="304"/>
      <c r="AE9" s="305"/>
      <c r="AG9" s="441" t="s">
        <v>241</v>
      </c>
      <c r="AH9" s="442"/>
      <c r="AI9" s="442"/>
      <c r="AJ9" s="443"/>
      <c r="AK9" s="94" t="s">
        <v>240</v>
      </c>
      <c r="AL9" s="306"/>
      <c r="AM9" s="307"/>
      <c r="AN9" s="308"/>
      <c r="AO9" s="309"/>
      <c r="AP9" s="307"/>
      <c r="AQ9" s="308"/>
      <c r="AR9" s="307" t="str">
        <f t="shared" si="1"/>
        <v>-</v>
      </c>
      <c r="AS9" s="307"/>
      <c r="AT9" s="310"/>
    </row>
    <row r="10" spans="1:46" ht="15" customHeight="1" x14ac:dyDescent="0.15">
      <c r="A10" s="52"/>
      <c r="B10" s="51"/>
      <c r="C10" s="384" t="s">
        <v>17</v>
      </c>
      <c r="D10" s="385"/>
      <c r="E10" s="385"/>
      <c r="F10" s="386"/>
      <c r="G10" s="372"/>
      <c r="H10" s="373"/>
      <c r="I10" s="374"/>
      <c r="J10" s="393"/>
      <c r="K10" s="373"/>
      <c r="L10" s="374"/>
      <c r="M10" s="307" t="str">
        <f>IFERROR(100*(G10-J10)/J10,"-")</f>
        <v>-</v>
      </c>
      <c r="N10" s="307"/>
      <c r="O10" s="310"/>
      <c r="P10" s="70"/>
      <c r="Q10" s="325"/>
      <c r="R10" s="461"/>
      <c r="S10" s="462"/>
      <c r="T10" s="384" t="s">
        <v>13</v>
      </c>
      <c r="U10" s="385"/>
      <c r="V10" s="385"/>
      <c r="W10" s="320"/>
      <c r="X10" s="312"/>
      <c r="Y10" s="312"/>
      <c r="Z10" s="311"/>
      <c r="AA10" s="312"/>
      <c r="AB10" s="313"/>
      <c r="AC10" s="307" t="str">
        <f t="shared" si="0"/>
        <v>-</v>
      </c>
      <c r="AD10" s="307"/>
      <c r="AE10" s="310"/>
      <c r="AG10" s="441" t="s">
        <v>29</v>
      </c>
      <c r="AH10" s="442"/>
      <c r="AI10" s="442"/>
      <c r="AJ10" s="443"/>
      <c r="AK10" s="94" t="s">
        <v>240</v>
      </c>
      <c r="AL10" s="306"/>
      <c r="AM10" s="307"/>
      <c r="AN10" s="308"/>
      <c r="AO10" s="309"/>
      <c r="AP10" s="307"/>
      <c r="AQ10" s="308"/>
      <c r="AR10" s="307" t="str">
        <f t="shared" si="1"/>
        <v>-</v>
      </c>
      <c r="AS10" s="307"/>
      <c r="AT10" s="310"/>
    </row>
    <row r="11" spans="1:46" ht="15" customHeight="1" x14ac:dyDescent="0.15">
      <c r="A11" s="52"/>
      <c r="B11" s="51"/>
      <c r="C11" s="384" t="s">
        <v>18</v>
      </c>
      <c r="D11" s="385"/>
      <c r="E11" s="385"/>
      <c r="F11" s="386"/>
      <c r="G11" s="372"/>
      <c r="H11" s="373"/>
      <c r="I11" s="374"/>
      <c r="J11" s="393"/>
      <c r="K11" s="373"/>
      <c r="L11" s="374"/>
      <c r="M11" s="307" t="str">
        <f t="shared" ref="M11:M21" si="2">IFERROR(100*(G11-J11)/J11,"-")</f>
        <v>-</v>
      </c>
      <c r="N11" s="307"/>
      <c r="O11" s="310"/>
      <c r="P11" s="70"/>
      <c r="Q11" s="326"/>
      <c r="R11" s="463" t="s">
        <v>292</v>
      </c>
      <c r="S11" s="430"/>
      <c r="T11" s="384" t="s">
        <v>11</v>
      </c>
      <c r="U11" s="385"/>
      <c r="V11" s="385"/>
      <c r="W11" s="320"/>
      <c r="X11" s="312"/>
      <c r="Y11" s="312"/>
      <c r="Z11" s="311"/>
      <c r="AA11" s="312"/>
      <c r="AB11" s="313"/>
      <c r="AC11" s="307" t="str">
        <f t="shared" si="0"/>
        <v>-</v>
      </c>
      <c r="AD11" s="307"/>
      <c r="AE11" s="310"/>
      <c r="AG11" s="441" t="s">
        <v>242</v>
      </c>
      <c r="AH11" s="442"/>
      <c r="AI11" s="442"/>
      <c r="AJ11" s="443"/>
      <c r="AK11" s="94" t="s">
        <v>240</v>
      </c>
      <c r="AL11" s="306"/>
      <c r="AM11" s="307"/>
      <c r="AN11" s="308"/>
      <c r="AO11" s="309"/>
      <c r="AP11" s="307"/>
      <c r="AQ11" s="308"/>
      <c r="AR11" s="307" t="str">
        <f t="shared" si="1"/>
        <v>-</v>
      </c>
      <c r="AS11" s="307"/>
      <c r="AT11" s="310"/>
    </row>
    <row r="12" spans="1:46" ht="15" customHeight="1" x14ac:dyDescent="0.15">
      <c r="A12" s="52"/>
      <c r="B12" s="51"/>
      <c r="C12" s="384" t="s">
        <v>19</v>
      </c>
      <c r="D12" s="385"/>
      <c r="E12" s="385"/>
      <c r="F12" s="386"/>
      <c r="G12" s="372"/>
      <c r="H12" s="373"/>
      <c r="I12" s="374"/>
      <c r="J12" s="393"/>
      <c r="K12" s="373"/>
      <c r="L12" s="374"/>
      <c r="M12" s="307" t="str">
        <f t="shared" si="2"/>
        <v>-</v>
      </c>
      <c r="N12" s="307"/>
      <c r="O12" s="310"/>
      <c r="P12" s="70"/>
      <c r="Q12" s="327"/>
      <c r="R12" s="464"/>
      <c r="S12" s="465"/>
      <c r="T12" s="468" t="s">
        <v>13</v>
      </c>
      <c r="U12" s="469"/>
      <c r="V12" s="469"/>
      <c r="W12" s="314"/>
      <c r="X12" s="315"/>
      <c r="Y12" s="315"/>
      <c r="Z12" s="316"/>
      <c r="AA12" s="315"/>
      <c r="AB12" s="317"/>
      <c r="AC12" s="318" t="str">
        <f t="shared" si="0"/>
        <v>-</v>
      </c>
      <c r="AD12" s="318"/>
      <c r="AE12" s="319"/>
      <c r="AG12" s="476" t="s">
        <v>243</v>
      </c>
      <c r="AH12" s="442"/>
      <c r="AI12" s="442"/>
      <c r="AJ12" s="443"/>
      <c r="AK12" s="94" t="s">
        <v>244</v>
      </c>
      <c r="AL12" s="320"/>
      <c r="AM12" s="312"/>
      <c r="AN12" s="313"/>
      <c r="AO12" s="311"/>
      <c r="AP12" s="312"/>
      <c r="AQ12" s="313"/>
      <c r="AR12" s="307" t="str">
        <f t="shared" si="1"/>
        <v>-</v>
      </c>
      <c r="AS12" s="307"/>
      <c r="AT12" s="310"/>
    </row>
    <row r="13" spans="1:46" ht="15" customHeight="1" x14ac:dyDescent="0.15">
      <c r="A13" s="52"/>
      <c r="B13" s="51"/>
      <c r="C13" s="384" t="s">
        <v>20</v>
      </c>
      <c r="D13" s="385"/>
      <c r="E13" s="385"/>
      <c r="F13" s="386"/>
      <c r="G13" s="372"/>
      <c r="H13" s="373"/>
      <c r="I13" s="374"/>
      <c r="J13" s="393"/>
      <c r="K13" s="373"/>
      <c r="L13" s="374"/>
      <c r="M13" s="307" t="str">
        <f t="shared" si="2"/>
        <v>-</v>
      </c>
      <c r="N13" s="307"/>
      <c r="O13" s="310"/>
      <c r="P13" s="70"/>
      <c r="Q13" s="378" t="s">
        <v>21</v>
      </c>
      <c r="R13" s="379"/>
      <c r="S13" s="379"/>
      <c r="T13" s="379"/>
      <c r="U13" s="379"/>
      <c r="V13" s="379"/>
      <c r="W13" s="365"/>
      <c r="X13" s="366"/>
      <c r="Y13" s="366"/>
      <c r="Z13" s="367"/>
      <c r="AA13" s="366"/>
      <c r="AB13" s="368"/>
      <c r="AC13" s="369" t="str">
        <f t="shared" si="0"/>
        <v>-</v>
      </c>
      <c r="AD13" s="369"/>
      <c r="AE13" s="370"/>
      <c r="AG13" s="439"/>
      <c r="AH13" s="450" t="s">
        <v>245</v>
      </c>
      <c r="AI13" s="451"/>
      <c r="AJ13" s="452"/>
      <c r="AK13" s="94" t="s">
        <v>244</v>
      </c>
      <c r="AL13" s="320"/>
      <c r="AM13" s="312"/>
      <c r="AN13" s="313"/>
      <c r="AO13" s="311"/>
      <c r="AP13" s="312"/>
      <c r="AQ13" s="313"/>
      <c r="AR13" s="307" t="str">
        <f t="shared" si="1"/>
        <v>-</v>
      </c>
      <c r="AS13" s="307"/>
      <c r="AT13" s="310"/>
    </row>
    <row r="14" spans="1:46" ht="15" customHeight="1" x14ac:dyDescent="0.15">
      <c r="A14" s="52"/>
      <c r="B14" s="51"/>
      <c r="C14" s="384" t="s">
        <v>22</v>
      </c>
      <c r="D14" s="385"/>
      <c r="E14" s="385"/>
      <c r="F14" s="386"/>
      <c r="G14" s="372"/>
      <c r="H14" s="373"/>
      <c r="I14" s="374"/>
      <c r="J14" s="393"/>
      <c r="K14" s="373"/>
      <c r="L14" s="374"/>
      <c r="M14" s="307" t="str">
        <f t="shared" si="2"/>
        <v>-</v>
      </c>
      <c r="N14" s="307"/>
      <c r="O14" s="310"/>
      <c r="P14" s="70"/>
      <c r="Q14" s="383" t="s">
        <v>23</v>
      </c>
      <c r="R14" s="376"/>
      <c r="S14" s="376"/>
      <c r="T14" s="376"/>
      <c r="U14" s="376"/>
      <c r="V14" s="377"/>
      <c r="W14" s="320"/>
      <c r="X14" s="312"/>
      <c r="Y14" s="312"/>
      <c r="Z14" s="311"/>
      <c r="AA14" s="312"/>
      <c r="AB14" s="313"/>
      <c r="AC14" s="309" t="str">
        <f t="shared" si="0"/>
        <v>-</v>
      </c>
      <c r="AD14" s="307"/>
      <c r="AE14" s="310"/>
      <c r="AG14" s="440"/>
      <c r="AH14" s="447" t="s">
        <v>246</v>
      </c>
      <c r="AI14" s="448"/>
      <c r="AJ14" s="449"/>
      <c r="AK14" s="95" t="s">
        <v>244</v>
      </c>
      <c r="AL14" s="314"/>
      <c r="AM14" s="315"/>
      <c r="AN14" s="317"/>
      <c r="AO14" s="316"/>
      <c r="AP14" s="315"/>
      <c r="AQ14" s="317"/>
      <c r="AR14" s="371" t="str">
        <f t="shared" si="1"/>
        <v>-</v>
      </c>
      <c r="AS14" s="318"/>
      <c r="AT14" s="319"/>
    </row>
    <row r="15" spans="1:46" ht="15" customHeight="1" x14ac:dyDescent="0.15">
      <c r="A15" s="52"/>
      <c r="B15" s="51"/>
      <c r="C15" s="384" t="s">
        <v>24</v>
      </c>
      <c r="D15" s="385"/>
      <c r="E15" s="385"/>
      <c r="F15" s="386"/>
      <c r="G15" s="372"/>
      <c r="H15" s="373"/>
      <c r="I15" s="374"/>
      <c r="J15" s="393"/>
      <c r="K15" s="373"/>
      <c r="L15" s="374"/>
      <c r="M15" s="307" t="str">
        <f t="shared" si="2"/>
        <v>-</v>
      </c>
      <c r="N15" s="307"/>
      <c r="O15" s="310"/>
      <c r="P15" s="70"/>
      <c r="Q15" s="85"/>
      <c r="R15" s="384" t="s">
        <v>25</v>
      </c>
      <c r="S15" s="385"/>
      <c r="T15" s="385"/>
      <c r="U15" s="385"/>
      <c r="V15" s="386"/>
      <c r="W15" s="320"/>
      <c r="X15" s="312"/>
      <c r="Y15" s="312"/>
      <c r="Z15" s="311"/>
      <c r="AA15" s="312"/>
      <c r="AB15" s="313"/>
      <c r="AC15" s="309" t="str">
        <f t="shared" si="0"/>
        <v>-</v>
      </c>
      <c r="AD15" s="307"/>
      <c r="AE15" s="310"/>
    </row>
    <row r="16" spans="1:46" ht="15" customHeight="1" x14ac:dyDescent="0.15">
      <c r="A16" s="52"/>
      <c r="B16" s="51"/>
      <c r="C16" s="384" t="s">
        <v>26</v>
      </c>
      <c r="D16" s="385"/>
      <c r="E16" s="385"/>
      <c r="F16" s="386"/>
      <c r="G16" s="372"/>
      <c r="H16" s="373"/>
      <c r="I16" s="374"/>
      <c r="J16" s="393"/>
      <c r="K16" s="373"/>
      <c r="L16" s="374"/>
      <c r="M16" s="307" t="str">
        <f t="shared" si="2"/>
        <v>-</v>
      </c>
      <c r="N16" s="307"/>
      <c r="O16" s="310"/>
      <c r="P16" s="70"/>
      <c r="Q16" s="383" t="s">
        <v>27</v>
      </c>
      <c r="R16" s="376"/>
      <c r="S16" s="376"/>
      <c r="T16" s="376"/>
      <c r="U16" s="376"/>
      <c r="V16" s="377"/>
      <c r="W16" s="320"/>
      <c r="X16" s="312"/>
      <c r="Y16" s="312"/>
      <c r="Z16" s="311"/>
      <c r="AA16" s="312"/>
      <c r="AB16" s="313"/>
      <c r="AC16" s="309" t="str">
        <f t="shared" si="0"/>
        <v>-</v>
      </c>
      <c r="AD16" s="307"/>
      <c r="AE16" s="310"/>
    </row>
    <row r="17" spans="1:35" ht="15" customHeight="1" x14ac:dyDescent="0.15">
      <c r="A17" s="52"/>
      <c r="B17" s="51"/>
      <c r="C17" s="384" t="s">
        <v>28</v>
      </c>
      <c r="D17" s="385"/>
      <c r="E17" s="385"/>
      <c r="F17" s="386"/>
      <c r="G17" s="372"/>
      <c r="H17" s="373"/>
      <c r="I17" s="374"/>
      <c r="J17" s="393"/>
      <c r="K17" s="373"/>
      <c r="L17" s="374"/>
      <c r="M17" s="307" t="str">
        <f t="shared" si="2"/>
        <v>-</v>
      </c>
      <c r="N17" s="307"/>
      <c r="O17" s="310"/>
      <c r="P17" s="70"/>
      <c r="Q17" s="12"/>
      <c r="R17" s="380" t="s">
        <v>25</v>
      </c>
      <c r="S17" s="381"/>
      <c r="T17" s="381"/>
      <c r="U17" s="381"/>
      <c r="V17" s="382"/>
      <c r="W17" s="314"/>
      <c r="X17" s="315"/>
      <c r="Y17" s="315"/>
      <c r="Z17" s="316"/>
      <c r="AA17" s="315"/>
      <c r="AB17" s="317"/>
      <c r="AC17" s="371" t="str">
        <f t="shared" si="0"/>
        <v>-</v>
      </c>
      <c r="AD17" s="318"/>
      <c r="AE17" s="319"/>
    </row>
    <row r="18" spans="1:35" ht="15" customHeight="1" x14ac:dyDescent="0.15">
      <c r="A18" s="52"/>
      <c r="B18" s="51"/>
      <c r="C18" s="384" t="s">
        <v>29</v>
      </c>
      <c r="D18" s="385"/>
      <c r="E18" s="385"/>
      <c r="F18" s="386"/>
      <c r="G18" s="372"/>
      <c r="H18" s="373"/>
      <c r="I18" s="374"/>
      <c r="J18" s="393"/>
      <c r="K18" s="373"/>
      <c r="L18" s="374"/>
      <c r="M18" s="307" t="str">
        <f t="shared" si="2"/>
        <v>-</v>
      </c>
      <c r="N18" s="307"/>
      <c r="O18" s="310"/>
      <c r="P18" s="70"/>
      <c r="Q18" s="390" t="s">
        <v>132</v>
      </c>
      <c r="R18" s="391"/>
      <c r="S18" s="391"/>
      <c r="T18" s="391"/>
      <c r="U18" s="391"/>
      <c r="V18" s="392"/>
      <c r="W18" s="364"/>
      <c r="X18" s="362"/>
      <c r="Y18" s="363"/>
      <c r="Z18" s="361"/>
      <c r="AA18" s="362"/>
      <c r="AB18" s="363"/>
      <c r="AC18" s="358"/>
      <c r="AD18" s="359"/>
      <c r="AE18" s="360"/>
    </row>
    <row r="19" spans="1:35" ht="15" customHeight="1" x14ac:dyDescent="0.15">
      <c r="A19" s="52"/>
      <c r="B19" s="51"/>
      <c r="C19" s="384" t="s">
        <v>30</v>
      </c>
      <c r="D19" s="385"/>
      <c r="E19" s="385"/>
      <c r="F19" s="386"/>
      <c r="G19" s="372"/>
      <c r="H19" s="373"/>
      <c r="I19" s="374"/>
      <c r="J19" s="393"/>
      <c r="K19" s="373"/>
      <c r="L19" s="374"/>
      <c r="M19" s="307" t="str">
        <f t="shared" si="2"/>
        <v>-</v>
      </c>
      <c r="N19" s="307"/>
      <c r="O19" s="310"/>
      <c r="P19" s="70"/>
      <c r="Q19" s="25"/>
      <c r="R19" s="387" t="s">
        <v>131</v>
      </c>
      <c r="S19" s="388"/>
      <c r="T19" s="388"/>
      <c r="U19" s="388"/>
      <c r="V19" s="389"/>
      <c r="W19" s="365"/>
      <c r="X19" s="366"/>
      <c r="Y19" s="366"/>
      <c r="Z19" s="311"/>
      <c r="AA19" s="312"/>
      <c r="AB19" s="313"/>
      <c r="AC19" s="309" t="str">
        <f>IFERROR(100*(W19-Z19)/Z19,"-")</f>
        <v>-</v>
      </c>
      <c r="AD19" s="307"/>
      <c r="AE19" s="310"/>
    </row>
    <row r="20" spans="1:35" ht="15" customHeight="1" x14ac:dyDescent="0.15">
      <c r="A20" s="52"/>
      <c r="B20" s="51"/>
      <c r="C20" s="384" t="s">
        <v>31</v>
      </c>
      <c r="D20" s="385"/>
      <c r="E20" s="385"/>
      <c r="F20" s="386"/>
      <c r="G20" s="372"/>
      <c r="H20" s="373"/>
      <c r="I20" s="374"/>
      <c r="J20" s="393"/>
      <c r="K20" s="373"/>
      <c r="L20" s="374"/>
      <c r="M20" s="307" t="str">
        <f t="shared" si="2"/>
        <v>-</v>
      </c>
      <c r="N20" s="307"/>
      <c r="O20" s="310"/>
      <c r="P20" s="70"/>
      <c r="Q20" s="26"/>
      <c r="R20" s="375" t="s">
        <v>23</v>
      </c>
      <c r="S20" s="376"/>
      <c r="T20" s="376"/>
      <c r="U20" s="376"/>
      <c r="V20" s="377"/>
      <c r="W20" s="320"/>
      <c r="X20" s="312"/>
      <c r="Y20" s="312"/>
      <c r="Z20" s="311"/>
      <c r="AA20" s="312"/>
      <c r="AB20" s="313"/>
      <c r="AC20" s="309" t="str">
        <f>IFERROR(100*(W20-Z20)/Z20,"-")</f>
        <v>-</v>
      </c>
      <c r="AD20" s="307"/>
      <c r="AE20" s="310"/>
    </row>
    <row r="21" spans="1:35" ht="15" customHeight="1" x14ac:dyDescent="0.15">
      <c r="A21" s="52"/>
      <c r="B21" s="51"/>
      <c r="C21" s="384" t="s">
        <v>32</v>
      </c>
      <c r="D21" s="385"/>
      <c r="E21" s="385"/>
      <c r="F21" s="386"/>
      <c r="G21" s="372"/>
      <c r="H21" s="373"/>
      <c r="I21" s="374"/>
      <c r="J21" s="393"/>
      <c r="K21" s="373"/>
      <c r="L21" s="374"/>
      <c r="M21" s="307" t="str">
        <f t="shared" si="2"/>
        <v>-</v>
      </c>
      <c r="N21" s="307"/>
      <c r="O21" s="310"/>
      <c r="P21" s="70"/>
      <c r="Q21" s="84"/>
      <c r="R21" s="86"/>
      <c r="S21" s="384" t="s">
        <v>25</v>
      </c>
      <c r="T21" s="385"/>
      <c r="U21" s="385"/>
      <c r="V21" s="386"/>
      <c r="W21" s="320"/>
      <c r="X21" s="312"/>
      <c r="Y21" s="312"/>
      <c r="Z21" s="311"/>
      <c r="AA21" s="312"/>
      <c r="AB21" s="313"/>
      <c r="AC21" s="309" t="str">
        <f>IFERROR(100*(W21-Z21)/Z21,"-")</f>
        <v>-</v>
      </c>
      <c r="AD21" s="307"/>
      <c r="AE21" s="310"/>
    </row>
    <row r="22" spans="1:35" ht="15" customHeight="1" x14ac:dyDescent="0.15">
      <c r="A22" s="12"/>
      <c r="B22" s="380" t="s">
        <v>33</v>
      </c>
      <c r="C22" s="381"/>
      <c r="D22" s="381"/>
      <c r="E22" s="381"/>
      <c r="F22" s="382"/>
      <c r="G22" s="412"/>
      <c r="H22" s="407"/>
      <c r="I22" s="408"/>
      <c r="J22" s="406"/>
      <c r="K22" s="407"/>
      <c r="L22" s="408"/>
      <c r="M22" s="318" t="str">
        <f>IFERROR(100*(G22-J22)/J22,"-")</f>
        <v>-</v>
      </c>
      <c r="N22" s="318"/>
      <c r="O22" s="319"/>
      <c r="P22" s="70"/>
      <c r="Q22" s="26"/>
      <c r="R22" s="375" t="s">
        <v>27</v>
      </c>
      <c r="S22" s="376"/>
      <c r="T22" s="376"/>
      <c r="U22" s="376"/>
      <c r="V22" s="377"/>
      <c r="W22" s="320"/>
      <c r="X22" s="312"/>
      <c r="Y22" s="312"/>
      <c r="Z22" s="311"/>
      <c r="AA22" s="312"/>
      <c r="AB22" s="313"/>
      <c r="AC22" s="309" t="str">
        <f>IFERROR(100*(W22-Z22)/Z22,"-")</f>
        <v>-</v>
      </c>
      <c r="AD22" s="307"/>
      <c r="AE22" s="310"/>
    </row>
    <row r="23" spans="1:35" ht="15" customHeight="1" x14ac:dyDescent="0.15">
      <c r="A23" s="398" t="s">
        <v>35</v>
      </c>
      <c r="B23" s="351"/>
      <c r="C23" s="351"/>
      <c r="D23" s="351"/>
      <c r="E23" s="351"/>
      <c r="F23" s="399"/>
      <c r="G23" s="394"/>
      <c r="H23" s="395"/>
      <c r="I23" s="396"/>
      <c r="J23" s="409"/>
      <c r="K23" s="410"/>
      <c r="L23" s="411"/>
      <c r="M23" s="369" t="str">
        <f>IFERROR(100*(G23-J23)/J23,"-")</f>
        <v>-</v>
      </c>
      <c r="N23" s="369"/>
      <c r="O23" s="370"/>
      <c r="P23" s="70"/>
      <c r="Q23" s="12"/>
      <c r="R23" s="87"/>
      <c r="S23" s="380" t="s">
        <v>25</v>
      </c>
      <c r="T23" s="381"/>
      <c r="U23" s="381"/>
      <c r="V23" s="382"/>
      <c r="W23" s="314"/>
      <c r="X23" s="315"/>
      <c r="Y23" s="315"/>
      <c r="Z23" s="316"/>
      <c r="AA23" s="315"/>
      <c r="AB23" s="317"/>
      <c r="AC23" s="371" t="str">
        <f>IFERROR(100*(W23-Z23)/Z23,"-")</f>
        <v>-</v>
      </c>
      <c r="AD23" s="318"/>
      <c r="AE23" s="319"/>
    </row>
    <row r="24" spans="1:35" ht="15" customHeight="1" x14ac:dyDescent="0.15">
      <c r="A24" s="20"/>
      <c r="B24" s="403" t="s">
        <v>36</v>
      </c>
      <c r="C24" s="404"/>
      <c r="D24" s="404"/>
      <c r="E24" s="404"/>
      <c r="F24" s="405"/>
      <c r="G24" s="372"/>
      <c r="H24" s="373"/>
      <c r="I24" s="374"/>
      <c r="J24" s="393"/>
      <c r="K24" s="373"/>
      <c r="L24" s="374"/>
      <c r="M24" s="307" t="str">
        <f>IFERROR(100*(G24-J24)/J24,"-")</f>
        <v>-</v>
      </c>
      <c r="N24" s="307"/>
      <c r="O24" s="3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5" ht="15" customHeight="1" x14ac:dyDescent="0.15">
      <c r="A25" s="52"/>
      <c r="B25" s="400" t="s">
        <v>37</v>
      </c>
      <c r="C25" s="401"/>
      <c r="D25" s="401"/>
      <c r="E25" s="401"/>
      <c r="F25" s="402"/>
      <c r="G25" s="372"/>
      <c r="H25" s="373"/>
      <c r="I25" s="374"/>
      <c r="J25" s="393"/>
      <c r="K25" s="373"/>
      <c r="L25" s="374"/>
      <c r="M25" s="307" t="str">
        <f t="shared" ref="M25:M27" si="3">IFERROR(100*(G25-J25)/J25,"-")</f>
        <v>-</v>
      </c>
      <c r="N25" s="307"/>
      <c r="O25" s="3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5" ht="15" customHeight="1" x14ac:dyDescent="0.15">
      <c r="A26" s="383" t="s">
        <v>38</v>
      </c>
      <c r="B26" s="376"/>
      <c r="C26" s="376"/>
      <c r="D26" s="376"/>
      <c r="E26" s="376"/>
      <c r="F26" s="377"/>
      <c r="G26" s="372"/>
      <c r="H26" s="373"/>
      <c r="I26" s="373"/>
      <c r="J26" s="393"/>
      <c r="K26" s="373"/>
      <c r="L26" s="374"/>
      <c r="M26" s="307" t="str">
        <f t="shared" si="3"/>
        <v>-</v>
      </c>
      <c r="N26" s="307"/>
      <c r="O26" s="3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5" ht="15" customHeight="1" x14ac:dyDescent="0.15">
      <c r="A27" s="52"/>
      <c r="B27" s="416" t="s">
        <v>36</v>
      </c>
      <c r="C27" s="417"/>
      <c r="D27" s="417"/>
      <c r="E27" s="417"/>
      <c r="F27" s="418"/>
      <c r="G27" s="372"/>
      <c r="H27" s="373"/>
      <c r="I27" s="373"/>
      <c r="J27" s="393"/>
      <c r="K27" s="373"/>
      <c r="L27" s="374"/>
      <c r="M27" s="307" t="str">
        <f t="shared" si="3"/>
        <v>-</v>
      </c>
      <c r="N27" s="307"/>
      <c r="O27" s="3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5" ht="15" customHeight="1" x14ac:dyDescent="0.15">
      <c r="A28" s="12"/>
      <c r="B28" s="413" t="s">
        <v>37</v>
      </c>
      <c r="C28" s="414"/>
      <c r="D28" s="414"/>
      <c r="E28" s="414"/>
      <c r="F28" s="415"/>
      <c r="G28" s="412"/>
      <c r="H28" s="407"/>
      <c r="I28" s="407"/>
      <c r="J28" s="406"/>
      <c r="K28" s="407"/>
      <c r="L28" s="408"/>
      <c r="M28" s="318" t="str">
        <f>IFERROR(100*(G28-J28)/J28,"-")</f>
        <v>-</v>
      </c>
      <c r="N28" s="318"/>
      <c r="O28" s="31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5" ht="15" customHeight="1" x14ac:dyDescent="0.15">
      <c r="A29" s="72"/>
      <c r="B29" s="72"/>
      <c r="C29" s="72"/>
      <c r="D29" s="72"/>
      <c r="E29" s="72"/>
      <c r="F29" s="72"/>
      <c r="G29" s="75"/>
      <c r="H29" s="75"/>
      <c r="I29" s="75"/>
      <c r="J29" s="75"/>
      <c r="K29" s="75"/>
      <c r="L29" s="76"/>
      <c r="M29" s="76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5" ht="15" customHeight="1" x14ac:dyDescent="0.15">
      <c r="A30" s="5" t="s">
        <v>158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5" ht="15" customHeight="1" x14ac:dyDescent="0.15">
      <c r="A31" s="420"/>
      <c r="B31" s="421"/>
      <c r="C31" s="421"/>
      <c r="D31" s="421"/>
      <c r="E31" s="421"/>
      <c r="F31" s="422"/>
      <c r="G31" s="334" t="s">
        <v>34</v>
      </c>
      <c r="H31" s="335"/>
      <c r="I31" s="335"/>
      <c r="J31" s="335"/>
      <c r="K31" s="335"/>
      <c r="L31" s="335"/>
      <c r="M31" s="335"/>
      <c r="N31" s="335"/>
      <c r="O31" s="336"/>
      <c r="P31" s="334" t="s">
        <v>225</v>
      </c>
      <c r="Q31" s="335"/>
      <c r="R31" s="335"/>
      <c r="S31" s="335"/>
      <c r="T31" s="335"/>
      <c r="U31" s="335"/>
      <c r="V31" s="335"/>
      <c r="W31" s="335"/>
      <c r="X31" s="336"/>
      <c r="Y31" s="334" t="s">
        <v>153</v>
      </c>
      <c r="Z31" s="335"/>
      <c r="AA31" s="335"/>
      <c r="AB31" s="335"/>
      <c r="AC31" s="335"/>
      <c r="AD31" s="335"/>
      <c r="AE31" s="335"/>
      <c r="AF31" s="335"/>
      <c r="AG31" s="337"/>
      <c r="AH31" s="96"/>
      <c r="AI31" s="10"/>
    </row>
    <row r="32" spans="1:35" ht="15" customHeight="1" x14ac:dyDescent="0.15">
      <c r="A32" s="423"/>
      <c r="B32" s="424"/>
      <c r="C32" s="424"/>
      <c r="D32" s="424"/>
      <c r="E32" s="424"/>
      <c r="F32" s="425"/>
      <c r="G32" s="344">
        <f>$G$5</f>
        <v>19</v>
      </c>
      <c r="H32" s="339"/>
      <c r="I32" s="340"/>
      <c r="J32" s="338">
        <f>$J$5</f>
        <v>18</v>
      </c>
      <c r="K32" s="339"/>
      <c r="L32" s="340"/>
      <c r="M32" s="346" t="s">
        <v>0</v>
      </c>
      <c r="N32" s="346"/>
      <c r="O32" s="347"/>
      <c r="P32" s="344">
        <f>$G$5</f>
        <v>19</v>
      </c>
      <c r="Q32" s="339"/>
      <c r="R32" s="340"/>
      <c r="S32" s="338">
        <f>$J$5</f>
        <v>18</v>
      </c>
      <c r="T32" s="339"/>
      <c r="U32" s="340"/>
      <c r="V32" s="346" t="s">
        <v>0</v>
      </c>
      <c r="W32" s="346"/>
      <c r="X32" s="347"/>
      <c r="Y32" s="344">
        <f>$G$5</f>
        <v>19</v>
      </c>
      <c r="Z32" s="339"/>
      <c r="AA32" s="340"/>
      <c r="AB32" s="338">
        <f>$J$5</f>
        <v>18</v>
      </c>
      <c r="AC32" s="339"/>
      <c r="AD32" s="340"/>
      <c r="AE32" s="346" t="s">
        <v>0</v>
      </c>
      <c r="AF32" s="346"/>
      <c r="AG32" s="347"/>
      <c r="AH32" s="97"/>
      <c r="AI32" s="10"/>
    </row>
    <row r="33" spans="1:36" ht="15" customHeight="1" x14ac:dyDescent="0.15">
      <c r="A33" s="426"/>
      <c r="B33" s="427"/>
      <c r="C33" s="427"/>
      <c r="D33" s="427"/>
      <c r="E33" s="427"/>
      <c r="F33" s="428"/>
      <c r="G33" s="345"/>
      <c r="H33" s="342"/>
      <c r="I33" s="343"/>
      <c r="J33" s="341"/>
      <c r="K33" s="342"/>
      <c r="L33" s="343"/>
      <c r="M33" s="332" t="s">
        <v>209</v>
      </c>
      <c r="N33" s="332"/>
      <c r="O33" s="333"/>
      <c r="P33" s="345"/>
      <c r="Q33" s="342"/>
      <c r="R33" s="343"/>
      <c r="S33" s="341"/>
      <c r="T33" s="342"/>
      <c r="U33" s="343"/>
      <c r="V33" s="332" t="s">
        <v>209</v>
      </c>
      <c r="W33" s="332"/>
      <c r="X33" s="333"/>
      <c r="Y33" s="345"/>
      <c r="Z33" s="342"/>
      <c r="AA33" s="343"/>
      <c r="AB33" s="341"/>
      <c r="AC33" s="342"/>
      <c r="AD33" s="343"/>
      <c r="AE33" s="332" t="s">
        <v>209</v>
      </c>
      <c r="AF33" s="332"/>
      <c r="AG33" s="333"/>
      <c r="AH33" s="98"/>
      <c r="AI33" s="10"/>
    </row>
    <row r="34" spans="1:36" ht="15" customHeight="1" x14ac:dyDescent="0.15">
      <c r="A34" s="435" t="s">
        <v>154</v>
      </c>
      <c r="B34" s="436"/>
      <c r="C34" s="350" t="s">
        <v>155</v>
      </c>
      <c r="D34" s="351"/>
      <c r="E34" s="351"/>
      <c r="F34" s="77" t="s">
        <v>228</v>
      </c>
      <c r="G34" s="321"/>
      <c r="H34" s="304"/>
      <c r="I34" s="322"/>
      <c r="J34" s="323"/>
      <c r="K34" s="304"/>
      <c r="L34" s="322"/>
      <c r="M34" s="304" t="str">
        <f>IFERROR(100*(G34-J34)/J34,"-")</f>
        <v>-</v>
      </c>
      <c r="N34" s="304"/>
      <c r="O34" s="305"/>
      <c r="P34" s="321"/>
      <c r="Q34" s="304"/>
      <c r="R34" s="322"/>
      <c r="S34" s="323"/>
      <c r="T34" s="304"/>
      <c r="U34" s="322"/>
      <c r="V34" s="304" t="str">
        <f t="shared" ref="V34:V41" si="4">IFERROR(100*(P34-S34)/S34,"-")</f>
        <v>-</v>
      </c>
      <c r="W34" s="304"/>
      <c r="X34" s="305"/>
      <c r="Y34" s="321"/>
      <c r="Z34" s="304"/>
      <c r="AA34" s="322"/>
      <c r="AB34" s="323"/>
      <c r="AC34" s="304"/>
      <c r="AD34" s="322"/>
      <c r="AE34" s="304" t="str">
        <f>IFERROR(100*(Y34-AB34)/AB34,"-")</f>
        <v>-</v>
      </c>
      <c r="AF34" s="304"/>
      <c r="AG34" s="305"/>
      <c r="AH34" s="99"/>
      <c r="AI34" s="10"/>
      <c r="AJ34" s="10"/>
    </row>
    <row r="35" spans="1:36" ht="15" customHeight="1" x14ac:dyDescent="0.15">
      <c r="A35" s="431"/>
      <c r="B35" s="432"/>
      <c r="C35" s="384" t="s">
        <v>156</v>
      </c>
      <c r="D35" s="385"/>
      <c r="E35" s="385"/>
      <c r="F35" s="77" t="s">
        <v>228</v>
      </c>
      <c r="G35" s="306"/>
      <c r="H35" s="307"/>
      <c r="I35" s="308"/>
      <c r="J35" s="309"/>
      <c r="K35" s="307"/>
      <c r="L35" s="308"/>
      <c r="M35" s="307" t="str">
        <f>IFERROR(100*(G35-J35)/J35,"-")</f>
        <v>-</v>
      </c>
      <c r="N35" s="307"/>
      <c r="O35" s="310"/>
      <c r="P35" s="306"/>
      <c r="Q35" s="307"/>
      <c r="R35" s="308"/>
      <c r="S35" s="309"/>
      <c r="T35" s="307"/>
      <c r="U35" s="308"/>
      <c r="V35" s="307" t="str">
        <f t="shared" si="4"/>
        <v>-</v>
      </c>
      <c r="W35" s="307"/>
      <c r="X35" s="310"/>
      <c r="Y35" s="306"/>
      <c r="Z35" s="307"/>
      <c r="AA35" s="308"/>
      <c r="AB35" s="309"/>
      <c r="AC35" s="307"/>
      <c r="AD35" s="308"/>
      <c r="AE35" s="307" t="str">
        <f>IFERROR(100*(Y35-AB35)/AB35,"-")</f>
        <v>-</v>
      </c>
      <c r="AF35" s="307"/>
      <c r="AG35" s="310"/>
      <c r="AH35" s="99"/>
    </row>
    <row r="36" spans="1:36" ht="15" customHeight="1" x14ac:dyDescent="0.15">
      <c r="A36" s="431"/>
      <c r="B36" s="432"/>
      <c r="C36" s="437" t="s">
        <v>268</v>
      </c>
      <c r="D36" s="438"/>
      <c r="E36" s="438"/>
      <c r="F36" s="77" t="s">
        <v>229</v>
      </c>
      <c r="G36" s="320"/>
      <c r="H36" s="312"/>
      <c r="I36" s="313"/>
      <c r="J36" s="311"/>
      <c r="K36" s="312"/>
      <c r="L36" s="313"/>
      <c r="M36" s="309" t="str">
        <f>IFERROR(100*(G36-J36)/J36,"-")</f>
        <v>-</v>
      </c>
      <c r="N36" s="307"/>
      <c r="O36" s="310"/>
      <c r="P36" s="320"/>
      <c r="Q36" s="312"/>
      <c r="R36" s="313"/>
      <c r="S36" s="311"/>
      <c r="T36" s="312"/>
      <c r="U36" s="313"/>
      <c r="V36" s="309" t="str">
        <f t="shared" si="4"/>
        <v>-</v>
      </c>
      <c r="W36" s="307"/>
      <c r="X36" s="310"/>
      <c r="Y36" s="320"/>
      <c r="Z36" s="312"/>
      <c r="AA36" s="313"/>
      <c r="AB36" s="311"/>
      <c r="AC36" s="312"/>
      <c r="AD36" s="313"/>
      <c r="AE36" s="307" t="str">
        <f t="shared" ref="AE36:AE40" si="5">IFERROR(100*(Y36-AB36)/AB36,"-")</f>
        <v>-</v>
      </c>
      <c r="AF36" s="307"/>
      <c r="AG36" s="310"/>
      <c r="AH36" s="99"/>
    </row>
    <row r="37" spans="1:36" ht="15" customHeight="1" x14ac:dyDescent="0.15">
      <c r="A37" s="433"/>
      <c r="B37" s="434"/>
      <c r="C37" s="437" t="s">
        <v>269</v>
      </c>
      <c r="D37" s="438"/>
      <c r="E37" s="438"/>
      <c r="F37" s="77" t="s">
        <v>230</v>
      </c>
      <c r="G37" s="320"/>
      <c r="H37" s="312"/>
      <c r="I37" s="313"/>
      <c r="J37" s="311"/>
      <c r="K37" s="312"/>
      <c r="L37" s="313"/>
      <c r="M37" s="307" t="str">
        <f t="shared" ref="M37:M40" si="6">IFERROR(100*(G37-J37)/J37,"-")</f>
        <v>-</v>
      </c>
      <c r="N37" s="307"/>
      <c r="O37" s="310"/>
      <c r="P37" s="320"/>
      <c r="Q37" s="312"/>
      <c r="R37" s="313"/>
      <c r="S37" s="311"/>
      <c r="T37" s="312"/>
      <c r="U37" s="313"/>
      <c r="V37" s="307" t="str">
        <f t="shared" si="4"/>
        <v>-</v>
      </c>
      <c r="W37" s="307"/>
      <c r="X37" s="310"/>
      <c r="Y37" s="320"/>
      <c r="Z37" s="312"/>
      <c r="AA37" s="313"/>
      <c r="AB37" s="311"/>
      <c r="AC37" s="312"/>
      <c r="AD37" s="313"/>
      <c r="AE37" s="307" t="str">
        <f t="shared" si="5"/>
        <v>-</v>
      </c>
      <c r="AF37" s="307"/>
      <c r="AG37" s="310"/>
      <c r="AH37" s="99"/>
    </row>
    <row r="38" spans="1:36" ht="15" customHeight="1" x14ac:dyDescent="0.15">
      <c r="A38" s="429" t="s">
        <v>226</v>
      </c>
      <c r="B38" s="430"/>
      <c r="C38" s="384" t="s">
        <v>157</v>
      </c>
      <c r="D38" s="385"/>
      <c r="E38" s="385"/>
      <c r="F38" s="77" t="s">
        <v>228</v>
      </c>
      <c r="G38" s="306"/>
      <c r="H38" s="307"/>
      <c r="I38" s="308"/>
      <c r="J38" s="309"/>
      <c r="K38" s="307"/>
      <c r="L38" s="308"/>
      <c r="M38" s="309" t="str">
        <f t="shared" si="6"/>
        <v>-</v>
      </c>
      <c r="N38" s="307"/>
      <c r="O38" s="310"/>
      <c r="P38" s="306"/>
      <c r="Q38" s="307"/>
      <c r="R38" s="308"/>
      <c r="S38" s="309"/>
      <c r="T38" s="307"/>
      <c r="U38" s="308"/>
      <c r="V38" s="307" t="str">
        <f t="shared" si="4"/>
        <v>-</v>
      </c>
      <c r="W38" s="307"/>
      <c r="X38" s="310"/>
      <c r="Y38" s="306"/>
      <c r="Z38" s="307"/>
      <c r="AA38" s="308"/>
      <c r="AB38" s="309"/>
      <c r="AC38" s="307"/>
      <c r="AD38" s="308"/>
      <c r="AE38" s="307" t="str">
        <f t="shared" si="5"/>
        <v>-</v>
      </c>
      <c r="AF38" s="307"/>
      <c r="AG38" s="310"/>
      <c r="AH38" s="99"/>
    </row>
    <row r="39" spans="1:36" ht="15" customHeight="1" x14ac:dyDescent="0.15">
      <c r="A39" s="431"/>
      <c r="B39" s="432"/>
      <c r="C39" s="437" t="s">
        <v>270</v>
      </c>
      <c r="D39" s="438"/>
      <c r="E39" s="438"/>
      <c r="F39" s="77" t="s">
        <v>230</v>
      </c>
      <c r="G39" s="320"/>
      <c r="H39" s="312"/>
      <c r="I39" s="313"/>
      <c r="J39" s="311"/>
      <c r="K39" s="312"/>
      <c r="L39" s="313"/>
      <c r="M39" s="307" t="str">
        <f t="shared" si="6"/>
        <v>-</v>
      </c>
      <c r="N39" s="307"/>
      <c r="O39" s="310"/>
      <c r="P39" s="320"/>
      <c r="Q39" s="312"/>
      <c r="R39" s="313"/>
      <c r="S39" s="311"/>
      <c r="T39" s="312"/>
      <c r="U39" s="313"/>
      <c r="V39" s="309" t="str">
        <f t="shared" si="4"/>
        <v>-</v>
      </c>
      <c r="W39" s="307"/>
      <c r="X39" s="310"/>
      <c r="Y39" s="320"/>
      <c r="Z39" s="312"/>
      <c r="AA39" s="313"/>
      <c r="AB39" s="311"/>
      <c r="AC39" s="312"/>
      <c r="AD39" s="313"/>
      <c r="AE39" s="307" t="str">
        <f t="shared" si="5"/>
        <v>-</v>
      </c>
      <c r="AF39" s="307"/>
      <c r="AG39" s="310"/>
      <c r="AH39" s="99"/>
    </row>
    <row r="40" spans="1:36" ht="15" customHeight="1" x14ac:dyDescent="0.15">
      <c r="A40" s="433"/>
      <c r="B40" s="434"/>
      <c r="C40" s="437" t="s">
        <v>269</v>
      </c>
      <c r="D40" s="438"/>
      <c r="E40" s="438"/>
      <c r="F40" s="77" t="s">
        <v>231</v>
      </c>
      <c r="G40" s="320"/>
      <c r="H40" s="312"/>
      <c r="I40" s="313"/>
      <c r="J40" s="311"/>
      <c r="K40" s="312"/>
      <c r="L40" s="313"/>
      <c r="M40" s="309" t="str">
        <f t="shared" si="6"/>
        <v>-</v>
      </c>
      <c r="N40" s="307"/>
      <c r="O40" s="310"/>
      <c r="P40" s="320"/>
      <c r="Q40" s="312"/>
      <c r="R40" s="313"/>
      <c r="S40" s="311"/>
      <c r="T40" s="312"/>
      <c r="U40" s="313"/>
      <c r="V40" s="307" t="str">
        <f t="shared" si="4"/>
        <v>-</v>
      </c>
      <c r="W40" s="307"/>
      <c r="X40" s="310"/>
      <c r="Y40" s="320"/>
      <c r="Z40" s="312"/>
      <c r="AA40" s="313"/>
      <c r="AB40" s="311"/>
      <c r="AC40" s="312"/>
      <c r="AD40" s="313"/>
      <c r="AE40" s="307" t="str">
        <f t="shared" si="5"/>
        <v>-</v>
      </c>
      <c r="AF40" s="307"/>
      <c r="AG40" s="310"/>
      <c r="AH40" s="99"/>
    </row>
    <row r="41" spans="1:36" ht="15" customHeight="1" x14ac:dyDescent="0.15">
      <c r="A41" s="419" t="s">
        <v>271</v>
      </c>
      <c r="B41" s="381"/>
      <c r="C41" s="381"/>
      <c r="D41" s="381"/>
      <c r="E41" s="381"/>
      <c r="F41" s="78" t="s">
        <v>232</v>
      </c>
      <c r="G41" s="314"/>
      <c r="H41" s="315"/>
      <c r="I41" s="315"/>
      <c r="J41" s="316"/>
      <c r="K41" s="315"/>
      <c r="L41" s="317"/>
      <c r="M41" s="318" t="str">
        <f>IFERROR(100*(G41-J41)/J41,"-")</f>
        <v>-</v>
      </c>
      <c r="N41" s="318"/>
      <c r="O41" s="319"/>
      <c r="P41" s="314"/>
      <c r="Q41" s="315"/>
      <c r="R41" s="315"/>
      <c r="S41" s="316"/>
      <c r="T41" s="315"/>
      <c r="U41" s="317"/>
      <c r="V41" s="318" t="str">
        <f t="shared" si="4"/>
        <v>-</v>
      </c>
      <c r="W41" s="318"/>
      <c r="X41" s="319"/>
      <c r="Y41" s="314"/>
      <c r="Z41" s="315"/>
      <c r="AA41" s="315"/>
      <c r="AB41" s="316"/>
      <c r="AC41" s="315"/>
      <c r="AD41" s="317"/>
      <c r="AE41" s="318" t="str">
        <f>IFERROR(100*(Y41-AB41)/AB41,"-")</f>
        <v>-</v>
      </c>
      <c r="AF41" s="318"/>
      <c r="AG41" s="319"/>
      <c r="AH41" s="99"/>
    </row>
  </sheetData>
  <mergeCells count="308">
    <mergeCell ref="V36:X36"/>
    <mergeCell ref="S36:U36"/>
    <mergeCell ref="P36:R36"/>
    <mergeCell ref="M36:O36"/>
    <mergeCell ref="J36:L36"/>
    <mergeCell ref="G36:I36"/>
    <mergeCell ref="AE39:AG39"/>
    <mergeCell ref="AB39:AD39"/>
    <mergeCell ref="Y39:AA39"/>
    <mergeCell ref="V39:X39"/>
    <mergeCell ref="S39:U39"/>
    <mergeCell ref="P39:R39"/>
    <mergeCell ref="M39:O39"/>
    <mergeCell ref="J39:L39"/>
    <mergeCell ref="G39:I39"/>
    <mergeCell ref="AB37:AD37"/>
    <mergeCell ref="AE37:AG37"/>
    <mergeCell ref="Z20:AB20"/>
    <mergeCell ref="Z19:AB19"/>
    <mergeCell ref="AC23:AE23"/>
    <mergeCell ref="AC22:AE22"/>
    <mergeCell ref="AC21:AE21"/>
    <mergeCell ref="AC20:AE20"/>
    <mergeCell ref="AC19:AE19"/>
    <mergeCell ref="Z23:AB23"/>
    <mergeCell ref="Z22:AB22"/>
    <mergeCell ref="Z21:AB21"/>
    <mergeCell ref="AJ1:AT1"/>
    <mergeCell ref="AJ2:AT2"/>
    <mergeCell ref="AL11:AN11"/>
    <mergeCell ref="AO11:AQ11"/>
    <mergeCell ref="AR11:AT11"/>
    <mergeCell ref="AL12:AN12"/>
    <mergeCell ref="AO12:AQ12"/>
    <mergeCell ref="AR12:AT12"/>
    <mergeCell ref="AL13:AN13"/>
    <mergeCell ref="AO13:AQ13"/>
    <mergeCell ref="AR13:AT13"/>
    <mergeCell ref="AL8:AN8"/>
    <mergeCell ref="AO8:AQ8"/>
    <mergeCell ref="AR8:AT8"/>
    <mergeCell ref="AL9:AN9"/>
    <mergeCell ref="AO9:AQ9"/>
    <mergeCell ref="AR9:AT9"/>
    <mergeCell ref="AL10:AN10"/>
    <mergeCell ref="AO10:AQ10"/>
    <mergeCell ref="AR10:AT10"/>
    <mergeCell ref="AG12:AJ12"/>
    <mergeCell ref="AR6:AT6"/>
    <mergeCell ref="AR5:AT5"/>
    <mergeCell ref="AG5:AK6"/>
    <mergeCell ref="A5:F6"/>
    <mergeCell ref="R8:V8"/>
    <mergeCell ref="C13:F13"/>
    <mergeCell ref="C14:F14"/>
    <mergeCell ref="R9:S10"/>
    <mergeCell ref="R11:S12"/>
    <mergeCell ref="T9:V9"/>
    <mergeCell ref="T10:V10"/>
    <mergeCell ref="C11:F11"/>
    <mergeCell ref="C12:F12"/>
    <mergeCell ref="C9:F9"/>
    <mergeCell ref="C10:F10"/>
    <mergeCell ref="A7:F7"/>
    <mergeCell ref="B8:F8"/>
    <mergeCell ref="Q5:V6"/>
    <mergeCell ref="T11:V11"/>
    <mergeCell ref="T12:V12"/>
    <mergeCell ref="Q14:V14"/>
    <mergeCell ref="J13:L13"/>
    <mergeCell ref="J14:L14"/>
    <mergeCell ref="M14:O14"/>
    <mergeCell ref="G14:I14"/>
    <mergeCell ref="M13:O13"/>
    <mergeCell ref="M11:O11"/>
    <mergeCell ref="AR7:AT7"/>
    <mergeCell ref="AO7:AQ7"/>
    <mergeCell ref="AL7:AN7"/>
    <mergeCell ref="AG13:AG14"/>
    <mergeCell ref="AG11:AJ11"/>
    <mergeCell ref="AG10:AJ10"/>
    <mergeCell ref="AG9:AJ9"/>
    <mergeCell ref="AG8:AJ8"/>
    <mergeCell ref="AG7:AJ7"/>
    <mergeCell ref="AH14:AJ14"/>
    <mergeCell ref="AH13:AJ13"/>
    <mergeCell ref="AO14:AQ14"/>
    <mergeCell ref="AR14:AT14"/>
    <mergeCell ref="AL5:AN6"/>
    <mergeCell ref="AO5:AQ6"/>
    <mergeCell ref="AL14:AN14"/>
    <mergeCell ref="C18:F18"/>
    <mergeCell ref="M18:O18"/>
    <mergeCell ref="M19:O19"/>
    <mergeCell ref="A41:E41"/>
    <mergeCell ref="G37:I37"/>
    <mergeCell ref="A31:F33"/>
    <mergeCell ref="M32:O32"/>
    <mergeCell ref="M33:O33"/>
    <mergeCell ref="G31:O31"/>
    <mergeCell ref="A38:B40"/>
    <mergeCell ref="A34:B37"/>
    <mergeCell ref="G32:I33"/>
    <mergeCell ref="J32:L33"/>
    <mergeCell ref="C37:E37"/>
    <mergeCell ref="C38:E38"/>
    <mergeCell ref="C39:E39"/>
    <mergeCell ref="C40:E40"/>
    <mergeCell ref="C34:E34"/>
    <mergeCell ref="C35:E35"/>
    <mergeCell ref="C36:E36"/>
    <mergeCell ref="J35:L35"/>
    <mergeCell ref="M41:O41"/>
    <mergeCell ref="B28:F28"/>
    <mergeCell ref="B27:F27"/>
    <mergeCell ref="G26:I26"/>
    <mergeCell ref="G27:I27"/>
    <mergeCell ref="G28:I28"/>
    <mergeCell ref="J28:L28"/>
    <mergeCell ref="M28:O28"/>
    <mergeCell ref="J26:L26"/>
    <mergeCell ref="J27:L27"/>
    <mergeCell ref="M37:O37"/>
    <mergeCell ref="G38:I38"/>
    <mergeCell ref="J38:L38"/>
    <mergeCell ref="M38:O38"/>
    <mergeCell ref="M34:O34"/>
    <mergeCell ref="G40:I40"/>
    <mergeCell ref="J40:L40"/>
    <mergeCell ref="M40:O40"/>
    <mergeCell ref="J37:L37"/>
    <mergeCell ref="C16:F16"/>
    <mergeCell ref="C17:F17"/>
    <mergeCell ref="C19:F19"/>
    <mergeCell ref="C20:F20"/>
    <mergeCell ref="C15:F15"/>
    <mergeCell ref="M15:O15"/>
    <mergeCell ref="G15:I15"/>
    <mergeCell ref="G21:I21"/>
    <mergeCell ref="J15:L15"/>
    <mergeCell ref="M16:O16"/>
    <mergeCell ref="M17:O17"/>
    <mergeCell ref="G16:I16"/>
    <mergeCell ref="G17:I17"/>
    <mergeCell ref="G18:I18"/>
    <mergeCell ref="J20:L20"/>
    <mergeCell ref="J19:L19"/>
    <mergeCell ref="G20:I20"/>
    <mergeCell ref="J16:L16"/>
    <mergeCell ref="J17:L17"/>
    <mergeCell ref="G19:I19"/>
    <mergeCell ref="J18:L18"/>
    <mergeCell ref="M25:O25"/>
    <mergeCell ref="M26:O26"/>
    <mergeCell ref="M27:O27"/>
    <mergeCell ref="A23:F23"/>
    <mergeCell ref="A26:F26"/>
    <mergeCell ref="B25:F25"/>
    <mergeCell ref="B24:F24"/>
    <mergeCell ref="B22:F22"/>
    <mergeCell ref="C21:F21"/>
    <mergeCell ref="G25:I25"/>
    <mergeCell ref="J25:L25"/>
    <mergeCell ref="J21:L21"/>
    <mergeCell ref="J22:L22"/>
    <mergeCell ref="J23:L23"/>
    <mergeCell ref="J24:L24"/>
    <mergeCell ref="G22:I22"/>
    <mergeCell ref="G23:I23"/>
    <mergeCell ref="M12:O12"/>
    <mergeCell ref="G12:I12"/>
    <mergeCell ref="G5:I6"/>
    <mergeCell ref="J10:L10"/>
    <mergeCell ref="J11:L11"/>
    <mergeCell ref="J5:L6"/>
    <mergeCell ref="M5:O5"/>
    <mergeCell ref="M6:O6"/>
    <mergeCell ref="G7:I7"/>
    <mergeCell ref="G8:I8"/>
    <mergeCell ref="G9:I9"/>
    <mergeCell ref="G10:I10"/>
    <mergeCell ref="G11:I11"/>
    <mergeCell ref="J9:L9"/>
    <mergeCell ref="M7:O7"/>
    <mergeCell ref="M8:O8"/>
    <mergeCell ref="J12:L12"/>
    <mergeCell ref="M9:O9"/>
    <mergeCell ref="M10:O10"/>
    <mergeCell ref="J8:L8"/>
    <mergeCell ref="J7:L7"/>
    <mergeCell ref="W19:Y19"/>
    <mergeCell ref="W20:Y20"/>
    <mergeCell ref="W21:Y21"/>
    <mergeCell ref="G13:I13"/>
    <mergeCell ref="G24:I24"/>
    <mergeCell ref="R20:V20"/>
    <mergeCell ref="M20:O20"/>
    <mergeCell ref="M21:O21"/>
    <mergeCell ref="M22:O22"/>
    <mergeCell ref="M23:O23"/>
    <mergeCell ref="W22:Y22"/>
    <mergeCell ref="W23:Y23"/>
    <mergeCell ref="Q13:V13"/>
    <mergeCell ref="S23:V23"/>
    <mergeCell ref="R17:V17"/>
    <mergeCell ref="Q16:V16"/>
    <mergeCell ref="R15:V15"/>
    <mergeCell ref="R22:V22"/>
    <mergeCell ref="S21:V21"/>
    <mergeCell ref="R19:V19"/>
    <mergeCell ref="M24:O24"/>
    <mergeCell ref="Q18:V18"/>
    <mergeCell ref="W15:Y15"/>
    <mergeCell ref="AC18:AE18"/>
    <mergeCell ref="Z18:AB18"/>
    <mergeCell ref="W18:Y18"/>
    <mergeCell ref="Z10:AB10"/>
    <mergeCell ref="AC10:AE10"/>
    <mergeCell ref="AC12:AE12"/>
    <mergeCell ref="W13:Y13"/>
    <mergeCell ref="Z13:AB13"/>
    <mergeCell ref="AC13:AE13"/>
    <mergeCell ref="W11:Y11"/>
    <mergeCell ref="Z11:AB11"/>
    <mergeCell ref="AC11:AE11"/>
    <mergeCell ref="W16:Y16"/>
    <mergeCell ref="W17:Y17"/>
    <mergeCell ref="AC17:AE17"/>
    <mergeCell ref="AC16:AE16"/>
    <mergeCell ref="AC15:AE15"/>
    <mergeCell ref="AC14:AE14"/>
    <mergeCell ref="Z17:AB17"/>
    <mergeCell ref="Z16:AB16"/>
    <mergeCell ref="Z15:AB15"/>
    <mergeCell ref="Z14:AB14"/>
    <mergeCell ref="Q7:Q8"/>
    <mergeCell ref="R7:V7"/>
    <mergeCell ref="AC5:AE5"/>
    <mergeCell ref="AC6:AE6"/>
    <mergeCell ref="W7:Y7"/>
    <mergeCell ref="Z7:AB7"/>
    <mergeCell ref="AC7:AE7"/>
    <mergeCell ref="W8:Y8"/>
    <mergeCell ref="Z8:AB8"/>
    <mergeCell ref="AC8:AE8"/>
    <mergeCell ref="W5:Y6"/>
    <mergeCell ref="Z5:AB6"/>
    <mergeCell ref="Q9:Q12"/>
    <mergeCell ref="W9:Y9"/>
    <mergeCell ref="Z9:AB9"/>
    <mergeCell ref="W12:Y12"/>
    <mergeCell ref="Z12:AB12"/>
    <mergeCell ref="AC9:AE9"/>
    <mergeCell ref="W10:Y10"/>
    <mergeCell ref="W14:Y14"/>
    <mergeCell ref="Y37:AA37"/>
    <mergeCell ref="AE36:AG36"/>
    <mergeCell ref="AB36:AD36"/>
    <mergeCell ref="Y36:AA36"/>
    <mergeCell ref="V33:X33"/>
    <mergeCell ref="P31:X31"/>
    <mergeCell ref="Y31:AG31"/>
    <mergeCell ref="AB32:AD33"/>
    <mergeCell ref="Y32:AA33"/>
    <mergeCell ref="AE32:AG32"/>
    <mergeCell ref="AE33:AG33"/>
    <mergeCell ref="V32:X32"/>
    <mergeCell ref="S32:U33"/>
    <mergeCell ref="P32:R33"/>
    <mergeCell ref="Y34:AA34"/>
    <mergeCell ref="AB34:AD34"/>
    <mergeCell ref="P41:R41"/>
    <mergeCell ref="S41:U41"/>
    <mergeCell ref="M35:O35"/>
    <mergeCell ref="G34:I34"/>
    <mergeCell ref="J34:L34"/>
    <mergeCell ref="G35:I35"/>
    <mergeCell ref="V41:X41"/>
    <mergeCell ref="P37:R37"/>
    <mergeCell ref="S37:U37"/>
    <mergeCell ref="V37:X37"/>
    <mergeCell ref="P38:R38"/>
    <mergeCell ref="S38:U38"/>
    <mergeCell ref="V38:X38"/>
    <mergeCell ref="P40:R40"/>
    <mergeCell ref="S40:U40"/>
    <mergeCell ref="V40:X40"/>
    <mergeCell ref="P34:R34"/>
    <mergeCell ref="S34:U34"/>
    <mergeCell ref="P35:R35"/>
    <mergeCell ref="S35:U35"/>
    <mergeCell ref="V34:X34"/>
    <mergeCell ref="V35:X35"/>
    <mergeCell ref="G41:I41"/>
    <mergeCell ref="J41:L41"/>
    <mergeCell ref="AE34:AG34"/>
    <mergeCell ref="Y35:AA35"/>
    <mergeCell ref="AB35:AD35"/>
    <mergeCell ref="AE35:AG35"/>
    <mergeCell ref="AB40:AD40"/>
    <mergeCell ref="AE40:AG40"/>
    <mergeCell ref="Y41:AA41"/>
    <mergeCell ref="AB41:AD41"/>
    <mergeCell ref="AE41:AG41"/>
    <mergeCell ref="Y38:AA38"/>
    <mergeCell ref="AB38:AD38"/>
    <mergeCell ref="AE38:AG38"/>
    <mergeCell ref="Y40:AA40"/>
  </mergeCells>
  <phoneticPr fontId="1"/>
  <pageMargins left="0.78740157480314965" right="0.43307086614173229" top="0.78740157480314965" bottom="0.39370078740157483" header="0.43307086614173229" footer="0.19685039370078741"/>
  <pageSetup paperSize="9"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48"/>
  <sheetViews>
    <sheetView showGridLines="0" view="pageBreakPreview" zoomScaleNormal="100" zoomScaleSheetLayoutView="100" workbookViewId="0"/>
  </sheetViews>
  <sheetFormatPr defaultColWidth="9" defaultRowHeight="11.25" customHeight="1" x14ac:dyDescent="0.15"/>
  <cols>
    <col min="1" max="3" width="2.625" style="2" customWidth="1"/>
    <col min="4" max="4" width="13.625" style="2" customWidth="1"/>
    <col min="5" max="5" width="4.625" style="22" customWidth="1"/>
    <col min="6" max="6" width="5" style="22" customWidth="1"/>
    <col min="7" max="15" width="11.625" style="2" customWidth="1"/>
    <col min="16" max="16" width="10.5" style="2" customWidth="1"/>
    <col min="17" max="17" width="0.5" style="2" hidden="1" customWidth="1"/>
    <col min="18" max="18" width="1" style="2" hidden="1" customWidth="1"/>
    <col min="19" max="19" width="6.75" style="2" customWidth="1"/>
    <col min="20" max="20" width="8.625" style="2" customWidth="1"/>
    <col min="21" max="29" width="5.625" style="2" customWidth="1"/>
    <col min="30" max="16384" width="9" style="2"/>
  </cols>
  <sheetData>
    <row r="1" spans="1:26" ht="15" customHeight="1" x14ac:dyDescent="0.15">
      <c r="A1" s="1" t="str">
        <f>No.1!A1&amp;"年産　米生産費統計（個別経営体）　個別結果検討表　№３"</f>
        <v>2019年産　米生産費統計（個別経営体）　個別結果検討表　№３</v>
      </c>
      <c r="C1" s="1"/>
      <c r="D1" s="1"/>
      <c r="E1" s="1"/>
      <c r="F1" s="1"/>
      <c r="G1" s="1"/>
      <c r="H1" s="1"/>
      <c r="I1" s="1"/>
      <c r="J1" s="1"/>
      <c r="K1" s="1"/>
      <c r="L1" s="1"/>
      <c r="M1" s="289" t="s">
        <v>165</v>
      </c>
      <c r="N1" s="290"/>
      <c r="O1" s="291"/>
      <c r="V1" s="10"/>
      <c r="W1" s="10"/>
      <c r="X1" s="10"/>
      <c r="Y1" s="53"/>
      <c r="Z1" s="53"/>
    </row>
    <row r="2" spans="1:26" ht="1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85" t="str">
        <f>IF(No.1!O2="","",No.1!O2)</f>
        <v/>
      </c>
      <c r="N2" s="486"/>
      <c r="O2" s="487"/>
    </row>
    <row r="3" spans="1:26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  <c r="O3" s="9"/>
      <c r="P3" s="3"/>
      <c r="Q3" s="3"/>
      <c r="R3" s="3"/>
    </row>
    <row r="4" spans="1:26" ht="15" customHeight="1" x14ac:dyDescent="0.15">
      <c r="A4" s="5" t="s">
        <v>227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0"/>
      <c r="V4" s="10"/>
    </row>
    <row r="5" spans="1:26" ht="12.2" customHeight="1" x14ac:dyDescent="0.15">
      <c r="A5" s="453"/>
      <c r="B5" s="454"/>
      <c r="C5" s="454"/>
      <c r="D5" s="454"/>
      <c r="E5" s="454"/>
      <c r="F5" s="454"/>
      <c r="G5" s="344">
        <f>No.1!H5</f>
        <v>19</v>
      </c>
      <c r="H5" s="509"/>
      <c r="I5" s="339"/>
      <c r="J5" s="344">
        <f>G5-1</f>
        <v>18</v>
      </c>
      <c r="K5" s="509"/>
      <c r="L5" s="510"/>
      <c r="M5" s="488" t="s">
        <v>58</v>
      </c>
      <c r="N5" s="488"/>
      <c r="O5" s="489"/>
      <c r="P5" s="26"/>
      <c r="Q5" s="10"/>
      <c r="R5" s="10"/>
      <c r="S5" s="10"/>
      <c r="T5" s="10"/>
    </row>
    <row r="6" spans="1:26" ht="10.5" customHeight="1" x14ac:dyDescent="0.15">
      <c r="A6" s="490"/>
      <c r="B6" s="491"/>
      <c r="C6" s="491"/>
      <c r="D6" s="491"/>
      <c r="E6" s="491"/>
      <c r="F6" s="491"/>
      <c r="G6" s="14" t="s">
        <v>41</v>
      </c>
      <c r="H6" s="15" t="s">
        <v>13</v>
      </c>
      <c r="I6" s="11" t="s">
        <v>42</v>
      </c>
      <c r="J6" s="14" t="s">
        <v>41</v>
      </c>
      <c r="K6" s="15" t="s">
        <v>13</v>
      </c>
      <c r="L6" s="11" t="s">
        <v>42</v>
      </c>
      <c r="M6" s="16" t="s">
        <v>41</v>
      </c>
      <c r="N6" s="15" t="s">
        <v>13</v>
      </c>
      <c r="O6" s="6" t="s">
        <v>42</v>
      </c>
      <c r="P6" s="26"/>
      <c r="Q6" s="10"/>
      <c r="R6" s="10"/>
      <c r="S6" s="10"/>
      <c r="T6" s="10"/>
    </row>
    <row r="7" spans="1:26" ht="10.5" customHeight="1" x14ac:dyDescent="0.15">
      <c r="A7" s="456"/>
      <c r="B7" s="457"/>
      <c r="C7" s="457"/>
      <c r="D7" s="457"/>
      <c r="E7" s="457"/>
      <c r="F7" s="457"/>
      <c r="G7" s="7" t="s">
        <v>210</v>
      </c>
      <c r="H7" s="17" t="s">
        <v>1</v>
      </c>
      <c r="I7" s="8" t="s">
        <v>1</v>
      </c>
      <c r="J7" s="7" t="s">
        <v>210</v>
      </c>
      <c r="K7" s="17" t="s">
        <v>1</v>
      </c>
      <c r="L7" s="8" t="s">
        <v>1</v>
      </c>
      <c r="M7" s="7" t="s">
        <v>209</v>
      </c>
      <c r="N7" s="17" t="s">
        <v>209</v>
      </c>
      <c r="O7" s="8" t="s">
        <v>209</v>
      </c>
      <c r="P7" s="26"/>
      <c r="Q7" s="10"/>
      <c r="R7" s="10"/>
      <c r="S7" s="10"/>
      <c r="T7" s="10"/>
    </row>
    <row r="8" spans="1:26" ht="12.75" customHeight="1" x14ac:dyDescent="0.15">
      <c r="A8" s="494" t="s">
        <v>135</v>
      </c>
      <c r="B8" s="497" t="s">
        <v>136</v>
      </c>
      <c r="C8" s="499" t="s">
        <v>137</v>
      </c>
      <c r="D8" s="499"/>
      <c r="E8" s="500"/>
      <c r="F8" s="501"/>
      <c r="G8" s="174"/>
      <c r="H8" s="175"/>
      <c r="I8" s="176"/>
      <c r="J8" s="174"/>
      <c r="K8" s="175"/>
      <c r="L8" s="176"/>
      <c r="M8" s="165" t="str">
        <f>IFERROR(100*(G8-J8)/J8,"-")</f>
        <v>-</v>
      </c>
      <c r="N8" s="177" t="str">
        <f>IFERROR(100*(H8-K8)/K8,"-")</f>
        <v>-</v>
      </c>
      <c r="O8" s="178" t="str">
        <f>IFERROR(100*(I8-L8)/L8,"-")</f>
        <v>-</v>
      </c>
      <c r="P8" s="26"/>
      <c r="Q8" s="10"/>
      <c r="R8" s="10"/>
      <c r="S8" s="10"/>
      <c r="T8" s="10"/>
      <c r="U8" s="13"/>
    </row>
    <row r="9" spans="1:26" ht="12.75" customHeight="1" x14ac:dyDescent="0.15">
      <c r="A9" s="495"/>
      <c r="B9" s="498"/>
      <c r="C9" s="492" t="s">
        <v>138</v>
      </c>
      <c r="D9" s="492"/>
      <c r="E9" s="384"/>
      <c r="F9" s="493"/>
      <c r="G9" s="174"/>
      <c r="H9" s="175"/>
      <c r="I9" s="176"/>
      <c r="J9" s="174"/>
      <c r="K9" s="175"/>
      <c r="L9" s="176"/>
      <c r="M9" s="165" t="str">
        <f t="shared" ref="M9:O24" si="0">IFERROR(100*(G9-J9)/J9,"-")</f>
        <v>-</v>
      </c>
      <c r="N9" s="177" t="str">
        <f t="shared" si="0"/>
        <v>-</v>
      </c>
      <c r="O9" s="178" t="str">
        <f t="shared" si="0"/>
        <v>-</v>
      </c>
      <c r="P9" s="26"/>
      <c r="Q9" s="10"/>
      <c r="R9" s="10"/>
      <c r="S9" s="10"/>
      <c r="T9" s="10"/>
      <c r="U9" s="13"/>
    </row>
    <row r="10" spans="1:26" ht="12.75" customHeight="1" x14ac:dyDescent="0.15">
      <c r="A10" s="495"/>
      <c r="B10" s="498"/>
      <c r="C10" s="492" t="s">
        <v>139</v>
      </c>
      <c r="D10" s="492"/>
      <c r="E10" s="384"/>
      <c r="F10" s="493"/>
      <c r="G10" s="174"/>
      <c r="H10" s="175"/>
      <c r="I10" s="176"/>
      <c r="J10" s="174"/>
      <c r="K10" s="175"/>
      <c r="L10" s="176"/>
      <c r="M10" s="165" t="str">
        <f t="shared" si="0"/>
        <v>-</v>
      </c>
      <c r="N10" s="177" t="str">
        <f t="shared" si="0"/>
        <v>-</v>
      </c>
      <c r="O10" s="178" t="str">
        <f t="shared" si="0"/>
        <v>-</v>
      </c>
      <c r="P10" s="26"/>
      <c r="Q10" s="10"/>
      <c r="R10" s="10"/>
      <c r="S10" s="10"/>
      <c r="T10" s="10"/>
      <c r="U10" s="13"/>
    </row>
    <row r="11" spans="1:26" ht="12.75" customHeight="1" x14ac:dyDescent="0.15">
      <c r="A11" s="495"/>
      <c r="B11" s="498"/>
      <c r="C11" s="492" t="s">
        <v>140</v>
      </c>
      <c r="D11" s="492"/>
      <c r="E11" s="384"/>
      <c r="F11" s="493"/>
      <c r="G11" s="174"/>
      <c r="H11" s="175"/>
      <c r="I11" s="176"/>
      <c r="J11" s="174"/>
      <c r="K11" s="175"/>
      <c r="L11" s="176"/>
      <c r="M11" s="165" t="str">
        <f t="shared" si="0"/>
        <v>-</v>
      </c>
      <c r="N11" s="177" t="str">
        <f t="shared" si="0"/>
        <v>-</v>
      </c>
      <c r="O11" s="178" t="str">
        <f t="shared" si="0"/>
        <v>-</v>
      </c>
      <c r="P11" s="26"/>
      <c r="Q11" s="10"/>
      <c r="R11" s="10"/>
      <c r="S11" s="10"/>
      <c r="T11" s="10"/>
      <c r="U11" s="13"/>
    </row>
    <row r="12" spans="1:26" ht="12.75" customHeight="1" x14ac:dyDescent="0.15">
      <c r="A12" s="495"/>
      <c r="B12" s="498" t="s">
        <v>141</v>
      </c>
      <c r="C12" s="492" t="s">
        <v>142</v>
      </c>
      <c r="D12" s="492"/>
      <c r="E12" s="384"/>
      <c r="F12" s="493"/>
      <c r="G12" s="174"/>
      <c r="H12" s="175"/>
      <c r="I12" s="176"/>
      <c r="J12" s="174"/>
      <c r="K12" s="175"/>
      <c r="L12" s="176"/>
      <c r="M12" s="165" t="str">
        <f t="shared" si="0"/>
        <v>-</v>
      </c>
      <c r="N12" s="177" t="str">
        <f t="shared" si="0"/>
        <v>-</v>
      </c>
      <c r="O12" s="178" t="str">
        <f t="shared" si="0"/>
        <v>-</v>
      </c>
      <c r="P12" s="26"/>
      <c r="Q12" s="10"/>
      <c r="R12" s="10"/>
      <c r="S12" s="10"/>
      <c r="T12" s="10"/>
      <c r="U12" s="13"/>
    </row>
    <row r="13" spans="1:26" ht="12.75" customHeight="1" x14ac:dyDescent="0.15">
      <c r="A13" s="495"/>
      <c r="B13" s="498"/>
      <c r="C13" s="492" t="s">
        <v>143</v>
      </c>
      <c r="D13" s="492"/>
      <c r="E13" s="384"/>
      <c r="F13" s="493"/>
      <c r="G13" s="174"/>
      <c r="H13" s="175"/>
      <c r="I13" s="176"/>
      <c r="J13" s="174"/>
      <c r="K13" s="175"/>
      <c r="L13" s="176"/>
      <c r="M13" s="165" t="str">
        <f t="shared" si="0"/>
        <v>-</v>
      </c>
      <c r="N13" s="177" t="str">
        <f t="shared" si="0"/>
        <v>-</v>
      </c>
      <c r="O13" s="178" t="str">
        <f t="shared" si="0"/>
        <v>-</v>
      </c>
      <c r="P13" s="26"/>
      <c r="Q13" s="10"/>
      <c r="R13" s="10"/>
      <c r="S13" s="10"/>
      <c r="T13" s="10"/>
      <c r="U13" s="13"/>
    </row>
    <row r="14" spans="1:26" ht="12.75" customHeight="1" x14ac:dyDescent="0.15">
      <c r="A14" s="495"/>
      <c r="B14" s="498"/>
      <c r="C14" s="492" t="s">
        <v>144</v>
      </c>
      <c r="D14" s="492"/>
      <c r="E14" s="384"/>
      <c r="F14" s="493"/>
      <c r="G14" s="174"/>
      <c r="H14" s="175"/>
      <c r="I14" s="176"/>
      <c r="J14" s="174"/>
      <c r="K14" s="175"/>
      <c r="L14" s="176"/>
      <c r="M14" s="165" t="str">
        <f t="shared" si="0"/>
        <v>-</v>
      </c>
      <c r="N14" s="177" t="str">
        <f t="shared" si="0"/>
        <v>-</v>
      </c>
      <c r="O14" s="178" t="str">
        <f t="shared" si="0"/>
        <v>-</v>
      </c>
      <c r="P14" s="26"/>
      <c r="Q14" s="10"/>
      <c r="R14" s="10"/>
      <c r="S14" s="10"/>
      <c r="T14" s="10"/>
      <c r="U14" s="13"/>
    </row>
    <row r="15" spans="1:26" ht="12.75" customHeight="1" x14ac:dyDescent="0.15">
      <c r="A15" s="495"/>
      <c r="B15" s="498"/>
      <c r="C15" s="492" t="s">
        <v>140</v>
      </c>
      <c r="D15" s="492"/>
      <c r="E15" s="384"/>
      <c r="F15" s="493"/>
      <c r="G15" s="174"/>
      <c r="H15" s="175"/>
      <c r="I15" s="176"/>
      <c r="J15" s="174"/>
      <c r="K15" s="175"/>
      <c r="L15" s="176"/>
      <c r="M15" s="165" t="str">
        <f t="shared" si="0"/>
        <v>-</v>
      </c>
      <c r="N15" s="177" t="str">
        <f t="shared" si="0"/>
        <v>-</v>
      </c>
      <c r="O15" s="178" t="str">
        <f t="shared" si="0"/>
        <v>-</v>
      </c>
      <c r="P15" s="26"/>
      <c r="Q15" s="10"/>
      <c r="R15" s="10"/>
      <c r="S15" s="10"/>
      <c r="T15" s="10"/>
      <c r="U15" s="13"/>
    </row>
    <row r="16" spans="1:26" ht="12.75" customHeight="1" x14ac:dyDescent="0.15">
      <c r="A16" s="496"/>
      <c r="B16" s="502" t="s">
        <v>145</v>
      </c>
      <c r="C16" s="502"/>
      <c r="D16" s="502"/>
      <c r="E16" s="380"/>
      <c r="F16" s="503"/>
      <c r="G16" s="179"/>
      <c r="H16" s="180"/>
      <c r="I16" s="181"/>
      <c r="J16" s="179"/>
      <c r="K16" s="180"/>
      <c r="L16" s="181"/>
      <c r="M16" s="182" t="str">
        <f t="shared" si="0"/>
        <v>-</v>
      </c>
      <c r="N16" s="183" t="str">
        <f t="shared" si="0"/>
        <v>-</v>
      </c>
      <c r="O16" s="184" t="str">
        <f t="shared" si="0"/>
        <v>-</v>
      </c>
      <c r="P16" s="26"/>
      <c r="Q16" s="10"/>
      <c r="R16" s="10"/>
      <c r="S16" s="10"/>
      <c r="T16" s="10"/>
      <c r="U16" s="13"/>
    </row>
    <row r="17" spans="1:29" ht="12.75" customHeight="1" x14ac:dyDescent="0.15">
      <c r="A17" s="525" t="s">
        <v>146</v>
      </c>
      <c r="B17" s="526" t="s">
        <v>147</v>
      </c>
      <c r="C17" s="526" t="s">
        <v>273</v>
      </c>
      <c r="D17" s="526"/>
      <c r="E17" s="350"/>
      <c r="F17" s="527"/>
      <c r="G17" s="185"/>
      <c r="H17" s="186"/>
      <c r="I17" s="187"/>
      <c r="J17" s="188"/>
      <c r="K17" s="186"/>
      <c r="L17" s="187"/>
      <c r="M17" s="189" t="str">
        <f t="shared" si="0"/>
        <v>-</v>
      </c>
      <c r="N17" s="190" t="str">
        <f t="shared" si="0"/>
        <v>-</v>
      </c>
      <c r="O17" s="191" t="str">
        <f t="shared" si="0"/>
        <v>-</v>
      </c>
      <c r="P17" s="26"/>
      <c r="Q17" s="10"/>
      <c r="R17" s="10"/>
      <c r="S17" s="10"/>
      <c r="T17" s="10"/>
      <c r="U17" s="13"/>
    </row>
    <row r="18" spans="1:29" ht="12.75" customHeight="1" x14ac:dyDescent="0.15">
      <c r="A18" s="495"/>
      <c r="B18" s="492"/>
      <c r="C18" s="492" t="s">
        <v>144</v>
      </c>
      <c r="D18" s="492"/>
      <c r="E18" s="384"/>
      <c r="F18" s="493"/>
      <c r="G18" s="174"/>
      <c r="H18" s="175"/>
      <c r="I18" s="176"/>
      <c r="J18" s="174"/>
      <c r="K18" s="175"/>
      <c r="L18" s="176"/>
      <c r="M18" s="165" t="str">
        <f t="shared" si="0"/>
        <v>-</v>
      </c>
      <c r="N18" s="177" t="str">
        <f t="shared" si="0"/>
        <v>-</v>
      </c>
      <c r="O18" s="178" t="str">
        <f t="shared" si="0"/>
        <v>-</v>
      </c>
      <c r="P18" s="26"/>
      <c r="Q18" s="10"/>
      <c r="R18" s="10"/>
      <c r="S18" s="10"/>
      <c r="T18" s="10"/>
      <c r="U18" s="13"/>
    </row>
    <row r="19" spans="1:29" ht="12.75" customHeight="1" x14ac:dyDescent="0.15">
      <c r="A19" s="495"/>
      <c r="B19" s="506" t="s">
        <v>141</v>
      </c>
      <c r="C19" s="492" t="s">
        <v>148</v>
      </c>
      <c r="D19" s="492"/>
      <c r="E19" s="384"/>
      <c r="F19" s="493"/>
      <c r="G19" s="174"/>
      <c r="H19" s="192"/>
      <c r="I19" s="193"/>
      <c r="J19" s="174"/>
      <c r="K19" s="192"/>
      <c r="L19" s="193"/>
      <c r="M19" s="165" t="str">
        <f t="shared" si="0"/>
        <v>-</v>
      </c>
      <c r="N19" s="194"/>
      <c r="O19" s="195"/>
      <c r="P19" s="26"/>
      <c r="Q19" s="10"/>
      <c r="R19" s="10"/>
      <c r="S19" s="10"/>
      <c r="T19" s="10"/>
      <c r="U19" s="13"/>
    </row>
    <row r="20" spans="1:29" ht="12.75" customHeight="1" x14ac:dyDescent="0.15">
      <c r="A20" s="495"/>
      <c r="B20" s="507"/>
      <c r="C20" s="492" t="s">
        <v>149</v>
      </c>
      <c r="D20" s="492"/>
      <c r="E20" s="384"/>
      <c r="F20" s="493"/>
      <c r="G20" s="174"/>
      <c r="H20" s="175"/>
      <c r="I20" s="176"/>
      <c r="J20" s="174"/>
      <c r="K20" s="175"/>
      <c r="L20" s="176"/>
      <c r="M20" s="165" t="str">
        <f t="shared" si="0"/>
        <v>-</v>
      </c>
      <c r="N20" s="177" t="str">
        <f>IFERROR(100*(H20-K20)/K20,"-")</f>
        <v>-</v>
      </c>
      <c r="O20" s="178" t="str">
        <f>IFERROR(100*(I20-L20)/L20,"-")</f>
        <v>-</v>
      </c>
      <c r="P20" s="26"/>
      <c r="Q20" s="10"/>
      <c r="R20" s="10"/>
      <c r="S20" s="10"/>
      <c r="T20" s="10"/>
      <c r="U20" s="13"/>
    </row>
    <row r="21" spans="1:29" ht="12.75" customHeight="1" x14ac:dyDescent="0.15">
      <c r="A21" s="495"/>
      <c r="B21" s="508"/>
      <c r="C21" s="384" t="s">
        <v>272</v>
      </c>
      <c r="D21" s="385"/>
      <c r="E21" s="385"/>
      <c r="F21" s="386"/>
      <c r="G21" s="174"/>
      <c r="H21" s="192"/>
      <c r="I21" s="193"/>
      <c r="J21" s="174"/>
      <c r="K21" s="192"/>
      <c r="L21" s="193"/>
      <c r="M21" s="165" t="str">
        <f t="shared" si="0"/>
        <v>-</v>
      </c>
      <c r="N21" s="196"/>
      <c r="O21" s="171"/>
      <c r="P21" s="26"/>
      <c r="Q21" s="10"/>
      <c r="R21" s="10"/>
      <c r="S21" s="10"/>
      <c r="T21" s="10"/>
      <c r="U21" s="13"/>
    </row>
    <row r="22" spans="1:29" ht="12.75" customHeight="1" x14ac:dyDescent="0.15">
      <c r="A22" s="495"/>
      <c r="B22" s="492" t="s">
        <v>150</v>
      </c>
      <c r="C22" s="492"/>
      <c r="D22" s="492"/>
      <c r="E22" s="384"/>
      <c r="F22" s="493"/>
      <c r="G22" s="174"/>
      <c r="H22" s="175"/>
      <c r="I22" s="193"/>
      <c r="J22" s="174"/>
      <c r="K22" s="175"/>
      <c r="L22" s="193"/>
      <c r="M22" s="165" t="str">
        <f t="shared" si="0"/>
        <v>-</v>
      </c>
      <c r="N22" s="166" t="str">
        <f t="shared" si="0"/>
        <v>-</v>
      </c>
      <c r="O22" s="171"/>
      <c r="P22" s="26"/>
      <c r="Q22" s="10"/>
      <c r="R22" s="10"/>
      <c r="S22" s="10"/>
      <c r="T22" s="10"/>
      <c r="U22" s="13"/>
    </row>
    <row r="23" spans="1:29" ht="12.75" customHeight="1" x14ac:dyDescent="0.15">
      <c r="A23" s="495"/>
      <c r="B23" s="520" t="s">
        <v>151</v>
      </c>
      <c r="C23" s="520"/>
      <c r="D23" s="520"/>
      <c r="E23" s="387"/>
      <c r="F23" s="521"/>
      <c r="G23" s="174"/>
      <c r="H23" s="175"/>
      <c r="I23" s="176"/>
      <c r="J23" s="174"/>
      <c r="K23" s="175"/>
      <c r="L23" s="176"/>
      <c r="M23" s="165" t="str">
        <f t="shared" si="0"/>
        <v>-</v>
      </c>
      <c r="N23" s="177" t="str">
        <f t="shared" si="0"/>
        <v>-</v>
      </c>
      <c r="O23" s="178" t="str">
        <f t="shared" si="0"/>
        <v>-</v>
      </c>
      <c r="P23" s="26"/>
      <c r="Q23" s="10"/>
      <c r="R23" s="10"/>
      <c r="S23" s="10"/>
      <c r="T23" s="10"/>
    </row>
    <row r="24" spans="1:29" ht="12.75" customHeight="1" x14ac:dyDescent="0.15">
      <c r="A24" s="495"/>
      <c r="B24" s="492" t="s">
        <v>152</v>
      </c>
      <c r="C24" s="492"/>
      <c r="D24" s="492"/>
      <c r="E24" s="384"/>
      <c r="F24" s="493"/>
      <c r="G24" s="174"/>
      <c r="H24" s="175"/>
      <c r="I24" s="176"/>
      <c r="J24" s="174"/>
      <c r="K24" s="175"/>
      <c r="L24" s="176"/>
      <c r="M24" s="165" t="str">
        <f t="shared" si="0"/>
        <v>-</v>
      </c>
      <c r="N24" s="177" t="str">
        <f t="shared" si="0"/>
        <v>-</v>
      </c>
      <c r="O24" s="178" t="str">
        <f t="shared" si="0"/>
        <v>-</v>
      </c>
      <c r="P24" s="26"/>
      <c r="Q24" s="10"/>
      <c r="R24" s="10"/>
      <c r="S24" s="10"/>
      <c r="T24" s="10"/>
    </row>
    <row r="25" spans="1:29" ht="12.75" customHeight="1" x14ac:dyDescent="0.15">
      <c r="A25" s="496"/>
      <c r="B25" s="502" t="s">
        <v>145</v>
      </c>
      <c r="C25" s="502"/>
      <c r="D25" s="502"/>
      <c r="E25" s="380"/>
      <c r="F25" s="503"/>
      <c r="G25" s="197"/>
      <c r="H25" s="180"/>
      <c r="I25" s="198"/>
      <c r="J25" s="197"/>
      <c r="K25" s="180"/>
      <c r="L25" s="198"/>
      <c r="M25" s="172"/>
      <c r="N25" s="183" t="str">
        <f t="shared" ref="N25" si="1">IFERROR(100*(H25-K25)/K25,"-")</f>
        <v>-</v>
      </c>
      <c r="O25" s="199"/>
      <c r="P25" s="26"/>
      <c r="Q25" s="10"/>
      <c r="R25" s="10"/>
      <c r="S25" s="10"/>
      <c r="T25" s="10"/>
    </row>
    <row r="26" spans="1:29" ht="12.75" customHeight="1" x14ac:dyDescent="0.15">
      <c r="A26" s="81"/>
      <c r="B26" s="72"/>
      <c r="C26" s="72"/>
      <c r="D26" s="72"/>
      <c r="E26" s="100"/>
      <c r="F26" s="72"/>
      <c r="G26" s="18"/>
      <c r="H26" s="18"/>
      <c r="I26" s="80"/>
      <c r="J26" s="18"/>
      <c r="K26" s="18"/>
      <c r="L26" s="80"/>
      <c r="M26" s="76"/>
      <c r="N26" s="76"/>
      <c r="O26" s="76"/>
      <c r="P26" s="10"/>
      <c r="Q26" s="10"/>
      <c r="R26" s="10"/>
      <c r="S26" s="10"/>
      <c r="T26" s="10"/>
    </row>
    <row r="27" spans="1:29" ht="15" customHeight="1" x14ac:dyDescent="0.15">
      <c r="A27" s="5" t="s">
        <v>39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2.2" customHeight="1" x14ac:dyDescent="0.15">
      <c r="A28" s="453"/>
      <c r="B28" s="454"/>
      <c r="C28" s="454"/>
      <c r="D28" s="454"/>
      <c r="E28" s="454"/>
      <c r="F28" s="522"/>
      <c r="G28" s="344">
        <f>G5</f>
        <v>19</v>
      </c>
      <c r="H28" s="509"/>
      <c r="I28" s="339"/>
      <c r="J28" s="344">
        <f>J5</f>
        <v>18</v>
      </c>
      <c r="K28" s="509"/>
      <c r="L28" s="510"/>
      <c r="M28" s="511" t="s">
        <v>40</v>
      </c>
      <c r="N28" s="511"/>
      <c r="O28" s="512"/>
      <c r="P28" s="26"/>
      <c r="Q28" s="10"/>
      <c r="R28" s="10"/>
      <c r="S28" s="10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0.5" customHeight="1" x14ac:dyDescent="0.15">
      <c r="A29" s="490"/>
      <c r="B29" s="491"/>
      <c r="C29" s="491"/>
      <c r="D29" s="491"/>
      <c r="E29" s="491"/>
      <c r="F29" s="523"/>
      <c r="G29" s="504" t="s">
        <v>41</v>
      </c>
      <c r="H29" s="15" t="s">
        <v>13</v>
      </c>
      <c r="I29" s="118" t="s">
        <v>42</v>
      </c>
      <c r="J29" s="504" t="s">
        <v>41</v>
      </c>
      <c r="K29" s="15" t="s">
        <v>13</v>
      </c>
      <c r="L29" s="119" t="s">
        <v>42</v>
      </c>
      <c r="M29" s="120" t="s">
        <v>41</v>
      </c>
      <c r="N29" s="15" t="s">
        <v>13</v>
      </c>
      <c r="O29" s="119" t="s">
        <v>42</v>
      </c>
      <c r="P29" s="26"/>
      <c r="Q29" s="10"/>
      <c r="R29" s="10"/>
      <c r="S29" s="10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0.5" customHeight="1" x14ac:dyDescent="0.15">
      <c r="A30" s="456"/>
      <c r="B30" s="457"/>
      <c r="C30" s="457"/>
      <c r="D30" s="457"/>
      <c r="E30" s="457"/>
      <c r="F30" s="524"/>
      <c r="G30" s="505"/>
      <c r="H30" s="17" t="s">
        <v>1</v>
      </c>
      <c r="I30" s="116" t="s">
        <v>1</v>
      </c>
      <c r="J30" s="505"/>
      <c r="K30" s="17" t="s">
        <v>1</v>
      </c>
      <c r="L30" s="117" t="s">
        <v>1</v>
      </c>
      <c r="M30" s="7" t="s">
        <v>211</v>
      </c>
      <c r="N30" s="17" t="s">
        <v>211</v>
      </c>
      <c r="O30" s="117" t="s">
        <v>211</v>
      </c>
      <c r="P30" s="26"/>
      <c r="Q30" s="10"/>
      <c r="R30" s="10"/>
      <c r="S30" s="10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2.2" customHeight="1" x14ac:dyDescent="0.15">
      <c r="A31" s="398" t="s">
        <v>2</v>
      </c>
      <c r="B31" s="466"/>
      <c r="C31" s="466"/>
      <c r="D31" s="466"/>
      <c r="E31" s="466"/>
      <c r="F31" s="101"/>
      <c r="G31" s="200"/>
      <c r="H31" s="186"/>
      <c r="I31" s="201"/>
      <c r="J31" s="200"/>
      <c r="K31" s="175"/>
      <c r="L31" s="202"/>
      <c r="M31" s="162"/>
      <c r="N31" s="163" t="str">
        <f t="shared" ref="N31:O48" si="2">IFERROR(100*(H31-K31)/K31,"-")</f>
        <v>-</v>
      </c>
      <c r="O31" s="164"/>
      <c r="P31" s="26"/>
      <c r="Q31" s="10"/>
      <c r="R31" s="10"/>
      <c r="S31" s="10"/>
    </row>
    <row r="32" spans="1:29" ht="12.2" customHeight="1" x14ac:dyDescent="0.15">
      <c r="A32" s="71"/>
      <c r="B32" s="516" t="s">
        <v>43</v>
      </c>
      <c r="C32" s="517"/>
      <c r="D32" s="384" t="s">
        <v>44</v>
      </c>
      <c r="E32" s="385"/>
      <c r="F32" s="102" t="s">
        <v>252</v>
      </c>
      <c r="G32" s="203"/>
      <c r="H32" s="175"/>
      <c r="I32" s="204"/>
      <c r="J32" s="203"/>
      <c r="K32" s="175"/>
      <c r="L32" s="176"/>
      <c r="M32" s="165" t="str">
        <f t="shared" ref="M32:M34" si="3">IFERROR(100*(G32-J32)/J32,"-")</f>
        <v>-</v>
      </c>
      <c r="N32" s="166" t="str">
        <f t="shared" si="2"/>
        <v>-</v>
      </c>
      <c r="O32" s="167" t="str">
        <f t="shared" si="2"/>
        <v>-</v>
      </c>
      <c r="P32" s="26"/>
      <c r="Q32" s="10"/>
      <c r="R32" s="10"/>
      <c r="S32" s="10"/>
    </row>
    <row r="33" spans="1:19" ht="12.2" customHeight="1" x14ac:dyDescent="0.15">
      <c r="A33" s="71"/>
      <c r="B33" s="518"/>
      <c r="C33" s="519"/>
      <c r="D33" s="384" t="s">
        <v>45</v>
      </c>
      <c r="E33" s="385"/>
      <c r="F33" s="102" t="s">
        <v>252</v>
      </c>
      <c r="G33" s="203"/>
      <c r="H33" s="175"/>
      <c r="I33" s="176"/>
      <c r="J33" s="203"/>
      <c r="K33" s="175"/>
      <c r="L33" s="176"/>
      <c r="M33" s="165" t="str">
        <f t="shared" si="3"/>
        <v>-</v>
      </c>
      <c r="N33" s="166" t="str">
        <f t="shared" si="2"/>
        <v>-</v>
      </c>
      <c r="O33" s="167" t="str">
        <f t="shared" si="2"/>
        <v>-</v>
      </c>
      <c r="P33" s="26"/>
      <c r="Q33" s="10"/>
      <c r="R33" s="10"/>
      <c r="S33" s="10"/>
    </row>
    <row r="34" spans="1:19" ht="12.2" customHeight="1" x14ac:dyDescent="0.15">
      <c r="A34" s="71"/>
      <c r="B34" s="380" t="s">
        <v>46</v>
      </c>
      <c r="C34" s="381"/>
      <c r="D34" s="381"/>
      <c r="E34" s="381"/>
      <c r="F34" s="104" t="s">
        <v>212</v>
      </c>
      <c r="G34" s="203"/>
      <c r="H34" s="175"/>
      <c r="I34" s="176"/>
      <c r="J34" s="203"/>
      <c r="K34" s="180"/>
      <c r="L34" s="176"/>
      <c r="M34" s="165" t="str">
        <f t="shared" si="3"/>
        <v>-</v>
      </c>
      <c r="N34" s="168" t="str">
        <f t="shared" si="2"/>
        <v>-</v>
      </c>
      <c r="O34" s="167" t="str">
        <f t="shared" si="2"/>
        <v>-</v>
      </c>
      <c r="P34" s="26"/>
      <c r="Q34" s="10"/>
      <c r="R34" s="10"/>
      <c r="S34" s="10"/>
    </row>
    <row r="35" spans="1:19" ht="12.2" customHeight="1" x14ac:dyDescent="0.15">
      <c r="A35" s="398" t="s">
        <v>3</v>
      </c>
      <c r="B35" s="466"/>
      <c r="C35" s="466"/>
      <c r="D35" s="466"/>
      <c r="E35" s="466"/>
      <c r="F35" s="101"/>
      <c r="G35" s="200"/>
      <c r="H35" s="186"/>
      <c r="I35" s="205"/>
      <c r="J35" s="200"/>
      <c r="K35" s="206"/>
      <c r="L35" s="207"/>
      <c r="M35" s="162"/>
      <c r="N35" s="169" t="str">
        <f t="shared" si="2"/>
        <v>-</v>
      </c>
      <c r="O35" s="164"/>
      <c r="P35" s="26"/>
      <c r="Q35" s="10"/>
      <c r="R35" s="10"/>
      <c r="S35" s="10"/>
    </row>
    <row r="36" spans="1:19" ht="12.2" customHeight="1" x14ac:dyDescent="0.15">
      <c r="A36" s="71"/>
      <c r="B36" s="384" t="s">
        <v>159</v>
      </c>
      <c r="C36" s="385"/>
      <c r="D36" s="385"/>
      <c r="E36" s="385"/>
      <c r="F36" s="102" t="s">
        <v>252</v>
      </c>
      <c r="G36" s="203"/>
      <c r="H36" s="175"/>
      <c r="I36" s="176"/>
      <c r="J36" s="203"/>
      <c r="K36" s="175"/>
      <c r="L36" s="176"/>
      <c r="M36" s="165" t="str">
        <f t="shared" ref="M36:M41" si="4">IFERROR(100*(G36-J36)/J36,"-")</f>
        <v>-</v>
      </c>
      <c r="N36" s="166" t="str">
        <f t="shared" si="2"/>
        <v>-</v>
      </c>
      <c r="O36" s="167" t="str">
        <f t="shared" si="2"/>
        <v>-</v>
      </c>
      <c r="P36" s="26"/>
      <c r="Q36" s="10"/>
      <c r="R36" s="10"/>
      <c r="S36" s="10"/>
    </row>
    <row r="37" spans="1:19" ht="12.2" customHeight="1" x14ac:dyDescent="0.15">
      <c r="A37" s="71"/>
      <c r="B37" s="387" t="s">
        <v>160</v>
      </c>
      <c r="C37" s="388"/>
      <c r="D37" s="388"/>
      <c r="E37" s="388"/>
      <c r="F37" s="102" t="s">
        <v>252</v>
      </c>
      <c r="G37" s="203"/>
      <c r="H37" s="175"/>
      <c r="I37" s="176"/>
      <c r="J37" s="203"/>
      <c r="K37" s="175"/>
      <c r="L37" s="176"/>
      <c r="M37" s="165" t="str">
        <f t="shared" si="4"/>
        <v>-</v>
      </c>
      <c r="N37" s="166" t="str">
        <f t="shared" si="2"/>
        <v>-</v>
      </c>
      <c r="O37" s="167" t="str">
        <f t="shared" si="2"/>
        <v>-</v>
      </c>
      <c r="P37" s="26"/>
      <c r="Q37" s="10"/>
      <c r="R37" s="10"/>
      <c r="S37" s="10"/>
    </row>
    <row r="38" spans="1:19" ht="12.2" customHeight="1" x14ac:dyDescent="0.15">
      <c r="A38" s="71"/>
      <c r="B38" s="384" t="s">
        <v>162</v>
      </c>
      <c r="C38" s="385"/>
      <c r="D38" s="385"/>
      <c r="E38" s="385"/>
      <c r="F38" s="102" t="s">
        <v>252</v>
      </c>
      <c r="G38" s="203"/>
      <c r="H38" s="175"/>
      <c r="I38" s="176"/>
      <c r="J38" s="203"/>
      <c r="K38" s="175"/>
      <c r="L38" s="176"/>
      <c r="M38" s="165" t="str">
        <f t="shared" si="4"/>
        <v>-</v>
      </c>
      <c r="N38" s="166" t="str">
        <f t="shared" si="2"/>
        <v>-</v>
      </c>
      <c r="O38" s="167" t="str">
        <f t="shared" si="2"/>
        <v>-</v>
      </c>
      <c r="P38" s="26"/>
      <c r="Q38" s="10"/>
      <c r="R38" s="10"/>
      <c r="S38" s="10"/>
    </row>
    <row r="39" spans="1:19" ht="12.2" customHeight="1" x14ac:dyDescent="0.15">
      <c r="A39" s="71"/>
      <c r="B39" s="384" t="s">
        <v>161</v>
      </c>
      <c r="C39" s="385"/>
      <c r="D39" s="385"/>
      <c r="E39" s="385"/>
      <c r="F39" s="102" t="s">
        <v>252</v>
      </c>
      <c r="G39" s="203"/>
      <c r="H39" s="175"/>
      <c r="I39" s="176"/>
      <c r="J39" s="203"/>
      <c r="K39" s="175"/>
      <c r="L39" s="176"/>
      <c r="M39" s="165" t="str">
        <f t="shared" si="4"/>
        <v>-</v>
      </c>
      <c r="N39" s="166" t="str">
        <f t="shared" si="2"/>
        <v>-</v>
      </c>
      <c r="O39" s="167" t="str">
        <f t="shared" si="2"/>
        <v>-</v>
      </c>
      <c r="P39" s="26"/>
      <c r="Q39" s="10"/>
      <c r="R39" s="10"/>
      <c r="S39" s="10"/>
    </row>
    <row r="40" spans="1:19" ht="12.2" customHeight="1" x14ac:dyDescent="0.15">
      <c r="A40" s="71"/>
      <c r="B40" s="384" t="s">
        <v>47</v>
      </c>
      <c r="C40" s="385"/>
      <c r="D40" s="385"/>
      <c r="E40" s="385"/>
      <c r="F40" s="102" t="s">
        <v>252</v>
      </c>
      <c r="G40" s="203"/>
      <c r="H40" s="175"/>
      <c r="I40" s="176"/>
      <c r="J40" s="203"/>
      <c r="K40" s="175"/>
      <c r="L40" s="176"/>
      <c r="M40" s="165" t="str">
        <f t="shared" si="4"/>
        <v>-</v>
      </c>
      <c r="N40" s="166" t="str">
        <f t="shared" si="2"/>
        <v>-</v>
      </c>
      <c r="O40" s="167" t="str">
        <f t="shared" si="2"/>
        <v>-</v>
      </c>
      <c r="P40" s="26"/>
      <c r="Q40" s="10"/>
      <c r="R40" s="10"/>
      <c r="S40" s="10"/>
    </row>
    <row r="41" spans="1:19" ht="12.2" customHeight="1" x14ac:dyDescent="0.15">
      <c r="A41" s="71"/>
      <c r="B41" s="384" t="s">
        <v>163</v>
      </c>
      <c r="C41" s="385"/>
      <c r="D41" s="385"/>
      <c r="E41" s="385"/>
      <c r="F41" s="102" t="s">
        <v>252</v>
      </c>
      <c r="G41" s="203"/>
      <c r="H41" s="175"/>
      <c r="I41" s="176"/>
      <c r="J41" s="203"/>
      <c r="K41" s="175"/>
      <c r="L41" s="176"/>
      <c r="M41" s="165" t="str">
        <f t="shared" si="4"/>
        <v>-</v>
      </c>
      <c r="N41" s="166" t="str">
        <f t="shared" si="2"/>
        <v>-</v>
      </c>
      <c r="O41" s="167" t="str">
        <f t="shared" si="2"/>
        <v>-</v>
      </c>
      <c r="P41" s="26"/>
      <c r="Q41" s="10"/>
      <c r="R41" s="10"/>
      <c r="S41" s="10"/>
    </row>
    <row r="42" spans="1:19" ht="12.2" customHeight="1" x14ac:dyDescent="0.15">
      <c r="A42" s="71"/>
      <c r="B42" s="384" t="s">
        <v>48</v>
      </c>
      <c r="C42" s="385"/>
      <c r="D42" s="385"/>
      <c r="E42" s="385"/>
      <c r="F42" s="102"/>
      <c r="G42" s="208"/>
      <c r="H42" s="175"/>
      <c r="I42" s="193"/>
      <c r="J42" s="208"/>
      <c r="K42" s="175"/>
      <c r="L42" s="193"/>
      <c r="M42" s="170"/>
      <c r="N42" s="166" t="str">
        <f t="shared" si="2"/>
        <v>-</v>
      </c>
      <c r="O42" s="171"/>
      <c r="P42" s="26"/>
      <c r="Q42" s="10"/>
      <c r="R42" s="10"/>
      <c r="S42" s="10"/>
    </row>
    <row r="43" spans="1:19" ht="12.2" customHeight="1" x14ac:dyDescent="0.15">
      <c r="A43" s="71"/>
      <c r="B43" s="384" t="s">
        <v>49</v>
      </c>
      <c r="C43" s="385"/>
      <c r="D43" s="385"/>
      <c r="E43" s="385"/>
      <c r="F43" s="102" t="s">
        <v>252</v>
      </c>
      <c r="G43" s="203"/>
      <c r="H43" s="175"/>
      <c r="I43" s="209"/>
      <c r="J43" s="203"/>
      <c r="K43" s="175"/>
      <c r="L43" s="176"/>
      <c r="M43" s="165" t="str">
        <f>IFERROR(100*(G43-J43)/J43,"-")</f>
        <v>-</v>
      </c>
      <c r="N43" s="166" t="str">
        <f t="shared" si="2"/>
        <v>-</v>
      </c>
      <c r="O43" s="167" t="str">
        <f>IFERROR(100*(I43-L43)/L43,"-")</f>
        <v>-</v>
      </c>
      <c r="P43" s="26"/>
      <c r="Q43" s="10"/>
      <c r="R43" s="10"/>
      <c r="S43" s="10"/>
    </row>
    <row r="44" spans="1:19" ht="12.2" customHeight="1" x14ac:dyDescent="0.15">
      <c r="A44" s="71"/>
      <c r="B44" s="384" t="s">
        <v>50</v>
      </c>
      <c r="C44" s="385"/>
      <c r="D44" s="385"/>
      <c r="E44" s="385"/>
      <c r="F44" s="102"/>
      <c r="G44" s="208"/>
      <c r="H44" s="175"/>
      <c r="I44" s="210"/>
      <c r="J44" s="208"/>
      <c r="K44" s="175"/>
      <c r="L44" s="193"/>
      <c r="M44" s="170"/>
      <c r="N44" s="166" t="str">
        <f t="shared" si="2"/>
        <v>-</v>
      </c>
      <c r="O44" s="171"/>
      <c r="P44" s="26"/>
      <c r="Q44" s="10"/>
      <c r="R44" s="10"/>
      <c r="S44" s="10"/>
    </row>
    <row r="45" spans="1:19" ht="12.2" customHeight="1" x14ac:dyDescent="0.15">
      <c r="A45" s="71"/>
      <c r="B45" s="513" t="s">
        <v>45</v>
      </c>
      <c r="C45" s="384" t="s">
        <v>51</v>
      </c>
      <c r="D45" s="385"/>
      <c r="E45" s="385"/>
      <c r="F45" s="102" t="s">
        <v>252</v>
      </c>
      <c r="G45" s="203"/>
      <c r="H45" s="175"/>
      <c r="I45" s="176"/>
      <c r="J45" s="203"/>
      <c r="K45" s="175"/>
      <c r="L45" s="176"/>
      <c r="M45" s="165" t="str">
        <f t="shared" ref="M45:M47" si="5">IFERROR(100*(G45-J45)/J45,"-")</f>
        <v>-</v>
      </c>
      <c r="N45" s="166" t="str">
        <f t="shared" si="2"/>
        <v>-</v>
      </c>
      <c r="O45" s="167" t="str">
        <f t="shared" si="2"/>
        <v>-</v>
      </c>
      <c r="P45" s="26"/>
      <c r="Q45" s="10"/>
      <c r="R45" s="10"/>
      <c r="S45" s="10"/>
    </row>
    <row r="46" spans="1:19" ht="12.2" customHeight="1" x14ac:dyDescent="0.15">
      <c r="A46" s="71"/>
      <c r="B46" s="514"/>
      <c r="C46" s="384" t="s">
        <v>52</v>
      </c>
      <c r="D46" s="385"/>
      <c r="E46" s="385"/>
      <c r="F46" s="102" t="s">
        <v>252</v>
      </c>
      <c r="G46" s="203"/>
      <c r="H46" s="175"/>
      <c r="I46" s="176"/>
      <c r="J46" s="203"/>
      <c r="K46" s="175"/>
      <c r="L46" s="176"/>
      <c r="M46" s="165" t="str">
        <f t="shared" si="5"/>
        <v>-</v>
      </c>
      <c r="N46" s="166" t="str">
        <f t="shared" si="2"/>
        <v>-</v>
      </c>
      <c r="O46" s="167" t="str">
        <f t="shared" si="2"/>
        <v>-</v>
      </c>
      <c r="P46" s="26"/>
      <c r="Q46" s="10"/>
      <c r="R46" s="10"/>
      <c r="S46" s="10"/>
    </row>
    <row r="47" spans="1:19" ht="12.2" customHeight="1" x14ac:dyDescent="0.15">
      <c r="A47" s="71"/>
      <c r="B47" s="514"/>
      <c r="C47" s="384" t="s">
        <v>53</v>
      </c>
      <c r="D47" s="385"/>
      <c r="E47" s="385"/>
      <c r="F47" s="102" t="s">
        <v>252</v>
      </c>
      <c r="G47" s="203"/>
      <c r="H47" s="175"/>
      <c r="I47" s="176"/>
      <c r="J47" s="203"/>
      <c r="K47" s="175"/>
      <c r="L47" s="176"/>
      <c r="M47" s="165" t="str">
        <f t="shared" si="5"/>
        <v>-</v>
      </c>
      <c r="N47" s="166" t="str">
        <f t="shared" si="2"/>
        <v>-</v>
      </c>
      <c r="O47" s="167" t="str">
        <f t="shared" si="2"/>
        <v>-</v>
      </c>
      <c r="P47" s="26"/>
      <c r="Q47" s="10"/>
      <c r="R47" s="10"/>
      <c r="S47" s="10"/>
    </row>
    <row r="48" spans="1:19" ht="12.2" customHeight="1" x14ac:dyDescent="0.15">
      <c r="A48" s="12"/>
      <c r="B48" s="515"/>
      <c r="C48" s="380" t="s">
        <v>50</v>
      </c>
      <c r="D48" s="381"/>
      <c r="E48" s="381"/>
      <c r="F48" s="103"/>
      <c r="G48" s="211"/>
      <c r="H48" s="180"/>
      <c r="I48" s="198"/>
      <c r="J48" s="211"/>
      <c r="K48" s="180"/>
      <c r="L48" s="212"/>
      <c r="M48" s="172"/>
      <c r="N48" s="168" t="str">
        <f t="shared" si="2"/>
        <v>-</v>
      </c>
      <c r="O48" s="173"/>
      <c r="P48" s="26"/>
      <c r="Q48" s="10"/>
      <c r="R48" s="10"/>
      <c r="S48" s="10"/>
    </row>
  </sheetData>
  <mergeCells count="56">
    <mergeCell ref="B37:E37"/>
    <mergeCell ref="B32:C33"/>
    <mergeCell ref="B23:F23"/>
    <mergeCell ref="A31:E31"/>
    <mergeCell ref="D33:E33"/>
    <mergeCell ref="D32:E32"/>
    <mergeCell ref="A35:E35"/>
    <mergeCell ref="B34:E34"/>
    <mergeCell ref="A28:F30"/>
    <mergeCell ref="A17:A25"/>
    <mergeCell ref="B17:B18"/>
    <mergeCell ref="C17:F17"/>
    <mergeCell ref="C18:F18"/>
    <mergeCell ref="B24:F24"/>
    <mergeCell ref="B25:F25"/>
    <mergeCell ref="M28:O28"/>
    <mergeCell ref="G5:I5"/>
    <mergeCell ref="J5:L5"/>
    <mergeCell ref="C47:E47"/>
    <mergeCell ref="C46:E46"/>
    <mergeCell ref="C45:E45"/>
    <mergeCell ref="B44:E44"/>
    <mergeCell ref="B43:E43"/>
    <mergeCell ref="B45:B48"/>
    <mergeCell ref="C48:E48"/>
    <mergeCell ref="B42:E42"/>
    <mergeCell ref="B41:E41"/>
    <mergeCell ref="B40:E40"/>
    <mergeCell ref="B39:E39"/>
    <mergeCell ref="B38:E38"/>
    <mergeCell ref="B36:E36"/>
    <mergeCell ref="J29:J30"/>
    <mergeCell ref="G29:G30"/>
    <mergeCell ref="B19:B21"/>
    <mergeCell ref="C21:F21"/>
    <mergeCell ref="C15:F15"/>
    <mergeCell ref="C20:F20"/>
    <mergeCell ref="B22:F22"/>
    <mergeCell ref="G28:I28"/>
    <mergeCell ref="J28:L28"/>
    <mergeCell ref="M1:O1"/>
    <mergeCell ref="M2:O2"/>
    <mergeCell ref="M5:O5"/>
    <mergeCell ref="A5:F7"/>
    <mergeCell ref="C19:F19"/>
    <mergeCell ref="A8:A16"/>
    <mergeCell ref="B8:B11"/>
    <mergeCell ref="C8:F8"/>
    <mergeCell ref="C9:F9"/>
    <mergeCell ref="C10:F10"/>
    <mergeCell ref="B16:F16"/>
    <mergeCell ref="C11:F11"/>
    <mergeCell ref="B12:B15"/>
    <mergeCell ref="C12:F12"/>
    <mergeCell ref="C13:F13"/>
    <mergeCell ref="C14:F14"/>
  </mergeCells>
  <phoneticPr fontId="1"/>
  <pageMargins left="0.78740157480314965" right="0.43307086614173229" top="0.78740157480314965" bottom="0.39370078740157483" header="0.43307086614173229" footer="0.19685039370078741"/>
  <pageSetup paperSize="9"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47"/>
  <sheetViews>
    <sheetView showGridLines="0" view="pageBreakPreview" zoomScaleNormal="100" zoomScaleSheetLayoutView="100" workbookViewId="0"/>
  </sheetViews>
  <sheetFormatPr defaultColWidth="9" defaultRowHeight="15" customHeight="1" x14ac:dyDescent="0.15"/>
  <cols>
    <col min="1" max="3" width="2.625" style="2" customWidth="1"/>
    <col min="4" max="4" width="17.625" style="2" customWidth="1"/>
    <col min="5" max="5" width="4.875" style="22" customWidth="1"/>
    <col min="6" max="6" width="11.125" style="2" customWidth="1"/>
    <col min="7" max="8" width="10.5" style="2" customWidth="1"/>
    <col min="9" max="9" width="10.625" style="2" customWidth="1"/>
    <col min="10" max="10" width="10.125" style="2" customWidth="1"/>
    <col min="11" max="11" width="10.5" style="2" customWidth="1"/>
    <col min="12" max="12" width="9.375" style="2" customWidth="1"/>
    <col min="13" max="13" width="8.375" style="2" customWidth="1"/>
    <col min="14" max="14" width="9.25" style="2" customWidth="1"/>
    <col min="15" max="16" width="8.625" style="10" customWidth="1"/>
    <col min="17" max="17" width="2.875" style="10" customWidth="1"/>
    <col min="18" max="18" width="2.5" style="10" customWidth="1"/>
    <col min="19" max="19" width="3.5" style="10" customWidth="1"/>
    <col min="20" max="21" width="8.625" style="2" customWidth="1"/>
    <col min="22" max="23" width="6.875" style="2" customWidth="1"/>
    <col min="24" max="28" width="5.625" style="2" customWidth="1"/>
    <col min="29" max="16384" width="9" style="2"/>
  </cols>
  <sheetData>
    <row r="1" spans="1:28" ht="15" customHeight="1" x14ac:dyDescent="0.15">
      <c r="A1" s="1" t="str">
        <f>No.1!A1&amp;"年産　米生産費統計（個別経営体）　個別結果検討表　№４"</f>
        <v>2019年産　米生産費統計（個別経営体）　個別結果検討表　№４</v>
      </c>
      <c r="C1" s="1"/>
      <c r="D1" s="1"/>
      <c r="E1" s="1"/>
      <c r="F1" s="1"/>
      <c r="G1" s="1"/>
      <c r="H1" s="1"/>
      <c r="I1" s="1"/>
      <c r="J1" s="1"/>
      <c r="K1" s="1"/>
      <c r="L1" s="289" t="s">
        <v>165</v>
      </c>
      <c r="M1" s="290"/>
      <c r="N1" s="291"/>
      <c r="O1" s="2"/>
      <c r="P1" s="2"/>
      <c r="Q1" s="2"/>
      <c r="R1" s="2"/>
      <c r="S1" s="2"/>
      <c r="U1" s="10"/>
      <c r="V1" s="10"/>
      <c r="W1" s="10"/>
      <c r="X1" s="74"/>
      <c r="Y1" s="74"/>
    </row>
    <row r="2" spans="1:28" ht="15" customHeight="1" x14ac:dyDescent="0.1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485" t="str">
        <f>IF(No.1!O2="","",No.1!O2)</f>
        <v/>
      </c>
      <c r="M2" s="486"/>
      <c r="N2" s="487"/>
      <c r="O2" s="2"/>
      <c r="P2" s="2"/>
      <c r="Q2" s="2"/>
      <c r="R2" s="2"/>
      <c r="S2" s="2"/>
    </row>
    <row r="3" spans="1:28" ht="15" customHeight="1" x14ac:dyDescent="0.15">
      <c r="A3" s="4"/>
      <c r="B3" s="4"/>
      <c r="C3" s="4"/>
      <c r="D3" s="4"/>
      <c r="E3" s="4"/>
      <c r="F3" s="4"/>
      <c r="G3" s="4"/>
      <c r="H3" s="4"/>
      <c r="O3" s="2"/>
      <c r="P3" s="2"/>
      <c r="Q3" s="2"/>
      <c r="R3" s="2"/>
      <c r="S3" s="3"/>
      <c r="T3" s="3"/>
      <c r="U3" s="3"/>
    </row>
    <row r="4" spans="1:28" ht="15" customHeight="1" x14ac:dyDescent="0.15">
      <c r="A4" s="5" t="s">
        <v>286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2.2" customHeight="1" x14ac:dyDescent="0.15">
      <c r="A5" s="453"/>
      <c r="B5" s="454"/>
      <c r="C5" s="454"/>
      <c r="D5" s="454"/>
      <c r="E5" s="455"/>
      <c r="F5" s="535">
        <f>No.1!H5</f>
        <v>19</v>
      </c>
      <c r="G5" s="536"/>
      <c r="H5" s="537"/>
      <c r="I5" s="535">
        <f>F5-1</f>
        <v>18</v>
      </c>
      <c r="J5" s="536"/>
      <c r="K5" s="538"/>
      <c r="L5" s="539" t="s">
        <v>58</v>
      </c>
      <c r="M5" s="488"/>
      <c r="N5" s="489"/>
      <c r="P5" s="62"/>
      <c r="Q5" s="62"/>
      <c r="R5" s="62"/>
      <c r="S5" s="62"/>
      <c r="T5" s="13"/>
      <c r="U5" s="13"/>
      <c r="V5" s="13"/>
      <c r="W5" s="13"/>
      <c r="X5" s="13"/>
      <c r="Y5" s="13"/>
      <c r="Z5" s="13"/>
      <c r="AA5" s="13"/>
      <c r="AB5" s="13"/>
    </row>
    <row r="6" spans="1:28" ht="10.5" customHeight="1" x14ac:dyDescent="0.15">
      <c r="A6" s="490"/>
      <c r="B6" s="491"/>
      <c r="C6" s="491"/>
      <c r="D6" s="491"/>
      <c r="E6" s="534"/>
      <c r="F6" s="504" t="s">
        <v>41</v>
      </c>
      <c r="G6" s="15" t="s">
        <v>13</v>
      </c>
      <c r="H6" s="11" t="s">
        <v>42</v>
      </c>
      <c r="I6" s="504" t="s">
        <v>41</v>
      </c>
      <c r="J6" s="15" t="s">
        <v>13</v>
      </c>
      <c r="K6" s="11" t="s">
        <v>42</v>
      </c>
      <c r="L6" s="16" t="s">
        <v>41</v>
      </c>
      <c r="M6" s="15" t="s">
        <v>13</v>
      </c>
      <c r="N6" s="6" t="s">
        <v>42</v>
      </c>
      <c r="O6" s="62"/>
      <c r="P6" s="62"/>
      <c r="Q6" s="62"/>
      <c r="R6" s="62"/>
      <c r="S6" s="62"/>
      <c r="T6" s="13"/>
      <c r="U6" s="13"/>
      <c r="V6" s="13"/>
      <c r="W6" s="13"/>
      <c r="X6" s="13"/>
      <c r="Y6" s="13"/>
      <c r="Z6" s="13"/>
      <c r="AA6" s="13"/>
      <c r="AB6" s="13"/>
    </row>
    <row r="7" spans="1:28" ht="10.5" customHeight="1" x14ac:dyDescent="0.15">
      <c r="A7" s="456"/>
      <c r="B7" s="457"/>
      <c r="C7" s="457"/>
      <c r="D7" s="457"/>
      <c r="E7" s="458"/>
      <c r="F7" s="505"/>
      <c r="G7" s="17" t="s">
        <v>1</v>
      </c>
      <c r="H7" s="8" t="s">
        <v>1</v>
      </c>
      <c r="I7" s="505"/>
      <c r="J7" s="17" t="s">
        <v>1</v>
      </c>
      <c r="K7" s="8" t="s">
        <v>1</v>
      </c>
      <c r="L7" s="7" t="s">
        <v>209</v>
      </c>
      <c r="M7" s="17" t="s">
        <v>209</v>
      </c>
      <c r="N7" s="8" t="s">
        <v>209</v>
      </c>
      <c r="O7" s="62"/>
      <c r="P7" s="62"/>
      <c r="Q7" s="62"/>
      <c r="R7" s="62"/>
      <c r="S7" s="62"/>
      <c r="T7" s="13"/>
      <c r="U7" s="13"/>
      <c r="V7" s="13"/>
      <c r="W7" s="13"/>
      <c r="X7" s="13"/>
      <c r="Y7" s="13"/>
      <c r="Z7" s="13"/>
      <c r="AA7" s="13"/>
      <c r="AB7" s="13"/>
    </row>
    <row r="8" spans="1:28" ht="12.2" customHeight="1" x14ac:dyDescent="0.15">
      <c r="A8" s="398" t="s">
        <v>4</v>
      </c>
      <c r="B8" s="466"/>
      <c r="C8" s="466"/>
      <c r="D8" s="466"/>
      <c r="E8" s="73"/>
      <c r="F8" s="200"/>
      <c r="G8" s="186"/>
      <c r="H8" s="202"/>
      <c r="I8" s="200"/>
      <c r="J8" s="206"/>
      <c r="K8" s="207"/>
      <c r="L8" s="162"/>
      <c r="M8" s="169" t="str">
        <f>IFERROR(100*(G8-J8)/J8,"-")</f>
        <v>-</v>
      </c>
      <c r="N8" s="164"/>
      <c r="O8" s="26"/>
      <c r="S8" s="2"/>
    </row>
    <row r="9" spans="1:28" ht="12.2" customHeight="1" x14ac:dyDescent="0.15">
      <c r="A9" s="71"/>
      <c r="B9" s="384" t="s">
        <v>54</v>
      </c>
      <c r="C9" s="385"/>
      <c r="D9" s="385"/>
      <c r="E9" s="21"/>
      <c r="F9" s="208"/>
      <c r="G9" s="175"/>
      <c r="H9" s="210"/>
      <c r="I9" s="208"/>
      <c r="J9" s="175"/>
      <c r="K9" s="193"/>
      <c r="L9" s="170"/>
      <c r="M9" s="166" t="str">
        <f t="shared" ref="M9:N46" si="0">IFERROR(100*(G9-J9)/J9,"-")</f>
        <v>-</v>
      </c>
      <c r="N9" s="171"/>
      <c r="O9" s="26"/>
      <c r="S9" s="2"/>
    </row>
    <row r="10" spans="1:28" ht="12.2" customHeight="1" x14ac:dyDescent="0.15">
      <c r="A10" s="71"/>
      <c r="B10" s="384" t="s">
        <v>55</v>
      </c>
      <c r="C10" s="385"/>
      <c r="D10" s="385"/>
      <c r="E10" s="21"/>
      <c r="F10" s="208"/>
      <c r="G10" s="175"/>
      <c r="H10" s="210"/>
      <c r="I10" s="208"/>
      <c r="J10" s="175"/>
      <c r="K10" s="193"/>
      <c r="L10" s="170"/>
      <c r="M10" s="166" t="str">
        <f t="shared" si="0"/>
        <v>-</v>
      </c>
      <c r="N10" s="171"/>
      <c r="O10" s="26"/>
      <c r="S10" s="2"/>
    </row>
    <row r="11" spans="1:28" ht="12.2" customHeight="1" x14ac:dyDescent="0.15">
      <c r="A11" s="71"/>
      <c r="B11" s="384" t="s">
        <v>56</v>
      </c>
      <c r="C11" s="385"/>
      <c r="D11" s="385"/>
      <c r="E11" s="21"/>
      <c r="F11" s="208"/>
      <c r="G11" s="175"/>
      <c r="H11" s="210"/>
      <c r="I11" s="208"/>
      <c r="J11" s="175"/>
      <c r="K11" s="193"/>
      <c r="L11" s="170"/>
      <c r="M11" s="166" t="str">
        <f t="shared" si="0"/>
        <v>-</v>
      </c>
      <c r="N11" s="171"/>
      <c r="O11" s="26"/>
      <c r="S11" s="2"/>
    </row>
    <row r="12" spans="1:28" ht="12.2" customHeight="1" x14ac:dyDescent="0.15">
      <c r="A12" s="71"/>
      <c r="B12" s="384" t="s">
        <v>57</v>
      </c>
      <c r="C12" s="385"/>
      <c r="D12" s="385"/>
      <c r="E12" s="21"/>
      <c r="F12" s="208"/>
      <c r="G12" s="175"/>
      <c r="H12" s="210"/>
      <c r="I12" s="208"/>
      <c r="J12" s="175"/>
      <c r="K12" s="193"/>
      <c r="L12" s="170"/>
      <c r="M12" s="166" t="str">
        <f t="shared" si="0"/>
        <v>-</v>
      </c>
      <c r="N12" s="171"/>
      <c r="O12" s="26"/>
      <c r="S12" s="2"/>
    </row>
    <row r="13" spans="1:28" ht="12.2" customHeight="1" x14ac:dyDescent="0.15">
      <c r="A13" s="12"/>
      <c r="B13" s="380" t="s">
        <v>50</v>
      </c>
      <c r="C13" s="381"/>
      <c r="D13" s="381"/>
      <c r="E13" s="23"/>
      <c r="F13" s="211"/>
      <c r="G13" s="175"/>
      <c r="H13" s="198"/>
      <c r="I13" s="211"/>
      <c r="J13" s="180"/>
      <c r="K13" s="212"/>
      <c r="L13" s="172"/>
      <c r="M13" s="168" t="str">
        <f t="shared" si="0"/>
        <v>-</v>
      </c>
      <c r="N13" s="173"/>
      <c r="O13" s="26"/>
      <c r="S13" s="2"/>
    </row>
    <row r="14" spans="1:28" ht="12.2" customHeight="1" x14ac:dyDescent="0.15">
      <c r="A14" s="398" t="s">
        <v>59</v>
      </c>
      <c r="B14" s="466"/>
      <c r="C14" s="466"/>
      <c r="D14" s="466"/>
      <c r="E14" s="73"/>
      <c r="F14" s="200"/>
      <c r="G14" s="215"/>
      <c r="H14" s="202"/>
      <c r="I14" s="200"/>
      <c r="J14" s="215"/>
      <c r="K14" s="202"/>
      <c r="L14" s="162"/>
      <c r="M14" s="163" t="str">
        <f t="shared" si="0"/>
        <v>-</v>
      </c>
      <c r="N14" s="164"/>
      <c r="O14" s="2"/>
      <c r="P14" s="2"/>
      <c r="Q14" s="2"/>
      <c r="R14" s="2"/>
      <c r="S14" s="2"/>
    </row>
    <row r="15" spans="1:28" ht="12.2" customHeight="1" x14ac:dyDescent="0.15">
      <c r="A15" s="71"/>
      <c r="B15" s="531" t="s">
        <v>60</v>
      </c>
      <c r="C15" s="384" t="s">
        <v>61</v>
      </c>
      <c r="D15" s="385"/>
      <c r="E15" s="21" t="s">
        <v>253</v>
      </c>
      <c r="F15" s="203"/>
      <c r="G15" s="175"/>
      <c r="H15" s="176"/>
      <c r="I15" s="203"/>
      <c r="J15" s="175"/>
      <c r="K15" s="176"/>
      <c r="L15" s="165" t="str">
        <f>IFERROR(100*(F15-I15)/I15,"-")</f>
        <v>-</v>
      </c>
      <c r="M15" s="177" t="str">
        <f t="shared" si="0"/>
        <v>-</v>
      </c>
      <c r="N15" s="178" t="str">
        <f>IFERROR(100*(H15-K15)/K15,"-")</f>
        <v>-</v>
      </c>
      <c r="O15" s="2"/>
      <c r="P15" s="2"/>
      <c r="Q15" s="2"/>
      <c r="R15" s="2"/>
      <c r="S15" s="2"/>
    </row>
    <row r="16" spans="1:28" ht="12.2" customHeight="1" x14ac:dyDescent="0.15">
      <c r="A16" s="71"/>
      <c r="B16" s="532"/>
      <c r="C16" s="384" t="s">
        <v>62</v>
      </c>
      <c r="D16" s="385"/>
      <c r="E16" s="107" t="s">
        <v>253</v>
      </c>
      <c r="F16" s="203"/>
      <c r="G16" s="175"/>
      <c r="H16" s="176"/>
      <c r="I16" s="203"/>
      <c r="J16" s="175"/>
      <c r="K16" s="176"/>
      <c r="L16" s="165" t="str">
        <f t="shared" ref="L16:L20" si="1">IFERROR(100*(F16-I16)/I16,"-")</f>
        <v>-</v>
      </c>
      <c r="M16" s="166" t="str">
        <f t="shared" si="0"/>
        <v>-</v>
      </c>
      <c r="N16" s="178" t="str">
        <f t="shared" si="0"/>
        <v>-</v>
      </c>
      <c r="O16" s="2"/>
      <c r="P16" s="2"/>
      <c r="Q16" s="2"/>
      <c r="R16" s="2"/>
      <c r="S16" s="2"/>
    </row>
    <row r="17" spans="1:19" ht="12.2" customHeight="1" x14ac:dyDescent="0.15">
      <c r="A17" s="71"/>
      <c r="B17" s="532"/>
      <c r="C17" s="384" t="s">
        <v>63</v>
      </c>
      <c r="D17" s="385"/>
      <c r="E17" s="107" t="s">
        <v>253</v>
      </c>
      <c r="F17" s="203"/>
      <c r="G17" s="175"/>
      <c r="H17" s="176"/>
      <c r="I17" s="203"/>
      <c r="J17" s="175"/>
      <c r="K17" s="176"/>
      <c r="L17" s="165" t="str">
        <f t="shared" si="1"/>
        <v>-</v>
      </c>
      <c r="M17" s="166" t="str">
        <f t="shared" si="0"/>
        <v>-</v>
      </c>
      <c r="N17" s="178" t="str">
        <f t="shared" si="0"/>
        <v>-</v>
      </c>
      <c r="O17" s="2"/>
      <c r="P17" s="2"/>
      <c r="Q17" s="2"/>
      <c r="R17" s="2"/>
      <c r="S17" s="2"/>
    </row>
    <row r="18" spans="1:19" ht="12.2" customHeight="1" x14ac:dyDescent="0.15">
      <c r="A18" s="71"/>
      <c r="B18" s="532"/>
      <c r="C18" s="384" t="s">
        <v>213</v>
      </c>
      <c r="D18" s="385"/>
      <c r="E18" s="107" t="s">
        <v>253</v>
      </c>
      <c r="F18" s="203"/>
      <c r="G18" s="175"/>
      <c r="H18" s="176"/>
      <c r="I18" s="203"/>
      <c r="J18" s="175"/>
      <c r="K18" s="176"/>
      <c r="L18" s="165" t="str">
        <f t="shared" si="1"/>
        <v>-</v>
      </c>
      <c r="M18" s="169" t="str">
        <f t="shared" si="0"/>
        <v>-</v>
      </c>
      <c r="N18" s="178" t="str">
        <f t="shared" si="0"/>
        <v>-</v>
      </c>
      <c r="O18" s="2"/>
      <c r="P18" s="2"/>
      <c r="Q18" s="2"/>
      <c r="R18" s="2"/>
      <c r="S18" s="2"/>
    </row>
    <row r="19" spans="1:19" ht="12.2" customHeight="1" x14ac:dyDescent="0.15">
      <c r="A19" s="71"/>
      <c r="B19" s="532"/>
      <c r="C19" s="384" t="s">
        <v>64</v>
      </c>
      <c r="D19" s="385"/>
      <c r="E19" s="107" t="s">
        <v>253</v>
      </c>
      <c r="F19" s="203"/>
      <c r="G19" s="175"/>
      <c r="H19" s="176"/>
      <c r="I19" s="203"/>
      <c r="J19" s="175"/>
      <c r="K19" s="176"/>
      <c r="L19" s="165" t="str">
        <f t="shared" si="1"/>
        <v>-</v>
      </c>
      <c r="M19" s="166" t="str">
        <f t="shared" si="0"/>
        <v>-</v>
      </c>
      <c r="N19" s="178" t="str">
        <f t="shared" si="0"/>
        <v>-</v>
      </c>
      <c r="O19" s="2"/>
      <c r="P19" s="2"/>
      <c r="Q19" s="2"/>
      <c r="R19" s="2"/>
      <c r="S19" s="2"/>
    </row>
    <row r="20" spans="1:19" ht="12.2" customHeight="1" x14ac:dyDescent="0.15">
      <c r="A20" s="71"/>
      <c r="B20" s="533"/>
      <c r="C20" s="384" t="s">
        <v>65</v>
      </c>
      <c r="D20" s="385"/>
      <c r="E20" s="107" t="s">
        <v>253</v>
      </c>
      <c r="F20" s="203"/>
      <c r="G20" s="175"/>
      <c r="H20" s="176"/>
      <c r="I20" s="203"/>
      <c r="J20" s="175"/>
      <c r="K20" s="176"/>
      <c r="L20" s="165" t="str">
        <f t="shared" si="1"/>
        <v>-</v>
      </c>
      <c r="M20" s="166" t="str">
        <f t="shared" si="0"/>
        <v>-</v>
      </c>
      <c r="N20" s="178" t="str">
        <f t="shared" si="0"/>
        <v>-</v>
      </c>
      <c r="O20" s="2"/>
      <c r="P20" s="2"/>
      <c r="Q20" s="2"/>
      <c r="R20" s="2"/>
      <c r="S20" s="2"/>
    </row>
    <row r="21" spans="1:19" ht="12.2" customHeight="1" x14ac:dyDescent="0.15">
      <c r="A21" s="71"/>
      <c r="B21" s="384" t="s">
        <v>66</v>
      </c>
      <c r="C21" s="385"/>
      <c r="D21" s="385"/>
      <c r="E21" s="21"/>
      <c r="F21" s="208"/>
      <c r="G21" s="175"/>
      <c r="H21" s="210"/>
      <c r="I21" s="208"/>
      <c r="J21" s="175"/>
      <c r="K21" s="210"/>
      <c r="L21" s="170"/>
      <c r="M21" s="166" t="str">
        <f t="shared" si="0"/>
        <v>-</v>
      </c>
      <c r="N21" s="171"/>
      <c r="O21" s="2"/>
      <c r="P21" s="2"/>
      <c r="Q21" s="2"/>
      <c r="R21" s="2"/>
      <c r="S21" s="2"/>
    </row>
    <row r="22" spans="1:19" ht="12.2" customHeight="1" x14ac:dyDescent="0.15">
      <c r="A22" s="71"/>
      <c r="B22" s="384" t="s">
        <v>50</v>
      </c>
      <c r="C22" s="385"/>
      <c r="D22" s="385"/>
      <c r="E22" s="21"/>
      <c r="F22" s="208"/>
      <c r="G22" s="175"/>
      <c r="H22" s="210"/>
      <c r="I22" s="208"/>
      <c r="J22" s="175"/>
      <c r="K22" s="210"/>
      <c r="L22" s="170"/>
      <c r="M22" s="166" t="str">
        <f t="shared" si="0"/>
        <v>-</v>
      </c>
      <c r="N22" s="171"/>
      <c r="O22" s="2"/>
      <c r="P22" s="2"/>
      <c r="Q22" s="2"/>
      <c r="R22" s="2"/>
      <c r="S22" s="2"/>
    </row>
    <row r="23" spans="1:19" ht="12.2" customHeight="1" x14ac:dyDescent="0.15">
      <c r="A23" s="12"/>
      <c r="B23" s="380" t="s">
        <v>45</v>
      </c>
      <c r="C23" s="381"/>
      <c r="D23" s="381"/>
      <c r="E23" s="23"/>
      <c r="F23" s="216"/>
      <c r="G23" s="180"/>
      <c r="H23" s="217"/>
      <c r="I23" s="216"/>
      <c r="J23" s="180"/>
      <c r="K23" s="217"/>
      <c r="L23" s="213"/>
      <c r="M23" s="168" t="str">
        <f t="shared" si="0"/>
        <v>-</v>
      </c>
      <c r="N23" s="214"/>
      <c r="O23" s="2"/>
      <c r="P23" s="2"/>
      <c r="Q23" s="2"/>
      <c r="R23" s="2"/>
      <c r="S23" s="2"/>
    </row>
    <row r="24" spans="1:19" ht="12.2" customHeight="1" x14ac:dyDescent="0.15">
      <c r="A24" s="398" t="s">
        <v>233</v>
      </c>
      <c r="B24" s="466"/>
      <c r="C24" s="466"/>
      <c r="D24" s="466"/>
      <c r="E24" s="73"/>
      <c r="F24" s="200"/>
      <c r="G24" s="206"/>
      <c r="H24" s="202"/>
      <c r="I24" s="200"/>
      <c r="J24" s="206"/>
      <c r="K24" s="202"/>
      <c r="L24" s="162"/>
      <c r="M24" s="169" t="str">
        <f t="shared" si="0"/>
        <v>-</v>
      </c>
      <c r="N24" s="164"/>
      <c r="O24" s="2"/>
      <c r="P24" s="2"/>
      <c r="Q24" s="2"/>
      <c r="R24" s="2"/>
      <c r="S24" s="2"/>
    </row>
    <row r="25" spans="1:19" ht="12.2" customHeight="1" x14ac:dyDescent="0.15">
      <c r="A25" s="71"/>
      <c r="B25" s="403" t="s">
        <v>164</v>
      </c>
      <c r="C25" s="404"/>
      <c r="D25" s="404"/>
      <c r="E25" s="27" t="s">
        <v>251</v>
      </c>
      <c r="F25" s="203"/>
      <c r="G25" s="175"/>
      <c r="H25" s="176"/>
      <c r="I25" s="203"/>
      <c r="J25" s="175"/>
      <c r="K25" s="176"/>
      <c r="L25" s="165" t="str">
        <f>IFERROR(100*(F25-I25)/I25,"-")</f>
        <v>-</v>
      </c>
      <c r="M25" s="166" t="str">
        <f t="shared" si="0"/>
        <v>-</v>
      </c>
      <c r="N25" s="178" t="str">
        <f>IFERROR(100*(H25-K25)/K25,"-")</f>
        <v>-</v>
      </c>
      <c r="O25" s="2"/>
      <c r="P25" s="2"/>
      <c r="Q25" s="2"/>
      <c r="R25" s="2"/>
      <c r="S25" s="2"/>
    </row>
    <row r="26" spans="1:19" ht="12.2" customHeight="1" x14ac:dyDescent="0.15">
      <c r="A26" s="71"/>
      <c r="B26" s="384" t="s">
        <v>50</v>
      </c>
      <c r="C26" s="385"/>
      <c r="D26" s="385"/>
      <c r="E26" s="21"/>
      <c r="F26" s="208"/>
      <c r="G26" s="175"/>
      <c r="H26" s="210"/>
      <c r="I26" s="208"/>
      <c r="J26" s="175"/>
      <c r="K26" s="210"/>
      <c r="L26" s="170"/>
      <c r="M26" s="166" t="str">
        <f t="shared" si="0"/>
        <v>-</v>
      </c>
      <c r="N26" s="171"/>
      <c r="O26" s="2"/>
      <c r="P26" s="2"/>
      <c r="Q26" s="2"/>
      <c r="R26" s="2"/>
      <c r="S26" s="2"/>
    </row>
    <row r="27" spans="1:19" ht="12.2" customHeight="1" x14ac:dyDescent="0.15">
      <c r="A27" s="12"/>
      <c r="B27" s="380" t="s">
        <v>45</v>
      </c>
      <c r="C27" s="381"/>
      <c r="D27" s="381"/>
      <c r="E27" s="23"/>
      <c r="F27" s="216"/>
      <c r="G27" s="180"/>
      <c r="H27" s="217"/>
      <c r="I27" s="216"/>
      <c r="J27" s="180"/>
      <c r="K27" s="217"/>
      <c r="L27" s="213"/>
      <c r="M27" s="168" t="str">
        <f t="shared" si="0"/>
        <v>-</v>
      </c>
      <c r="N27" s="214"/>
      <c r="O27" s="2"/>
      <c r="P27" s="2"/>
      <c r="Q27" s="2"/>
      <c r="R27" s="2"/>
      <c r="S27" s="2"/>
    </row>
    <row r="28" spans="1:19" ht="12.2" customHeight="1" x14ac:dyDescent="0.15">
      <c r="A28" s="398" t="s">
        <v>5</v>
      </c>
      <c r="B28" s="466"/>
      <c r="C28" s="466"/>
      <c r="D28" s="466"/>
      <c r="E28" s="73"/>
      <c r="F28" s="200"/>
      <c r="G28" s="206"/>
      <c r="H28" s="202"/>
      <c r="I28" s="200"/>
      <c r="J28" s="206"/>
      <c r="K28" s="202"/>
      <c r="L28" s="162"/>
      <c r="M28" s="169" t="str">
        <f t="shared" si="0"/>
        <v>-</v>
      </c>
      <c r="N28" s="164"/>
    </row>
    <row r="29" spans="1:19" ht="12.2" customHeight="1" x14ac:dyDescent="0.15">
      <c r="A29" s="71"/>
      <c r="B29" s="463" t="s">
        <v>214</v>
      </c>
      <c r="C29" s="528"/>
      <c r="D29" s="69" t="s">
        <v>67</v>
      </c>
      <c r="E29" s="21"/>
      <c r="F29" s="208"/>
      <c r="G29" s="175"/>
      <c r="H29" s="218"/>
      <c r="I29" s="208"/>
      <c r="J29" s="175"/>
      <c r="K29" s="218"/>
      <c r="L29" s="208"/>
      <c r="M29" s="166" t="str">
        <f t="shared" si="0"/>
        <v>-</v>
      </c>
      <c r="N29" s="171"/>
    </row>
    <row r="30" spans="1:19" ht="12.2" customHeight="1" x14ac:dyDescent="0.15">
      <c r="A30" s="71"/>
      <c r="B30" s="461"/>
      <c r="C30" s="462"/>
      <c r="D30" s="69" t="s">
        <v>68</v>
      </c>
      <c r="E30" s="21"/>
      <c r="F30" s="208"/>
      <c r="G30" s="175"/>
      <c r="H30" s="218"/>
      <c r="I30" s="208"/>
      <c r="J30" s="175"/>
      <c r="K30" s="218"/>
      <c r="L30" s="208"/>
      <c r="M30" s="166" t="str">
        <f t="shared" si="0"/>
        <v>-</v>
      </c>
      <c r="N30" s="171"/>
    </row>
    <row r="31" spans="1:19" ht="12.2" customHeight="1" x14ac:dyDescent="0.15">
      <c r="A31" s="20"/>
      <c r="B31" s="384" t="s">
        <v>69</v>
      </c>
      <c r="C31" s="385"/>
      <c r="D31" s="385"/>
      <c r="E31" s="21"/>
      <c r="F31" s="208"/>
      <c r="G31" s="175"/>
      <c r="H31" s="210"/>
      <c r="I31" s="208"/>
      <c r="J31" s="175"/>
      <c r="K31" s="210"/>
      <c r="L31" s="170"/>
      <c r="M31" s="166" t="str">
        <f t="shared" si="0"/>
        <v>-</v>
      </c>
      <c r="N31" s="171"/>
    </row>
    <row r="32" spans="1:19" ht="12.2" customHeight="1" x14ac:dyDescent="0.15">
      <c r="A32" s="20"/>
      <c r="B32" s="384" t="s">
        <v>70</v>
      </c>
      <c r="C32" s="385"/>
      <c r="D32" s="385"/>
      <c r="E32" s="21"/>
      <c r="F32" s="208"/>
      <c r="G32" s="175"/>
      <c r="H32" s="210"/>
      <c r="I32" s="208"/>
      <c r="J32" s="175"/>
      <c r="K32" s="210"/>
      <c r="L32" s="170"/>
      <c r="M32" s="166" t="str">
        <f t="shared" si="0"/>
        <v>-</v>
      </c>
      <c r="N32" s="171"/>
    </row>
    <row r="33" spans="1:23" ht="12.2" customHeight="1" x14ac:dyDescent="0.15">
      <c r="A33" s="12"/>
      <c r="B33" s="468" t="s">
        <v>50</v>
      </c>
      <c r="C33" s="469"/>
      <c r="D33" s="469"/>
      <c r="E33" s="24"/>
      <c r="F33" s="216"/>
      <c r="G33" s="180"/>
      <c r="H33" s="217"/>
      <c r="I33" s="216"/>
      <c r="J33" s="180"/>
      <c r="K33" s="217"/>
      <c r="L33" s="213"/>
      <c r="M33" s="168" t="str">
        <f t="shared" si="0"/>
        <v>-</v>
      </c>
      <c r="N33" s="214"/>
    </row>
    <row r="34" spans="1:23" ht="12.75" customHeight="1" x14ac:dyDescent="0.15">
      <c r="A34" s="398" t="s">
        <v>6</v>
      </c>
      <c r="B34" s="466"/>
      <c r="C34" s="466"/>
      <c r="D34" s="466"/>
      <c r="E34" s="73"/>
      <c r="F34" s="200"/>
      <c r="G34" s="206"/>
      <c r="H34" s="202"/>
      <c r="I34" s="200"/>
      <c r="J34" s="186"/>
      <c r="K34" s="202"/>
      <c r="L34" s="162"/>
      <c r="M34" s="163" t="str">
        <f t="shared" si="0"/>
        <v>-</v>
      </c>
      <c r="N34" s="164"/>
    </row>
    <row r="35" spans="1:23" ht="12.75" customHeight="1" x14ac:dyDescent="0.15">
      <c r="A35" s="71"/>
      <c r="B35" s="463" t="s">
        <v>71</v>
      </c>
      <c r="C35" s="528"/>
      <c r="D35" s="69" t="s">
        <v>72</v>
      </c>
      <c r="E35" s="21"/>
      <c r="F35" s="208"/>
      <c r="G35" s="175"/>
      <c r="H35" s="210"/>
      <c r="I35" s="208"/>
      <c r="J35" s="175"/>
      <c r="K35" s="210"/>
      <c r="L35" s="170"/>
      <c r="M35" s="166" t="str">
        <f t="shared" si="0"/>
        <v>-</v>
      </c>
      <c r="N35" s="171"/>
    </row>
    <row r="36" spans="1:23" ht="12.75" customHeight="1" x14ac:dyDescent="0.15">
      <c r="A36" s="71"/>
      <c r="B36" s="529"/>
      <c r="C36" s="530"/>
      <c r="D36" s="69" t="s">
        <v>73</v>
      </c>
      <c r="E36" s="21"/>
      <c r="F36" s="208"/>
      <c r="G36" s="175"/>
      <c r="H36" s="210"/>
      <c r="I36" s="208"/>
      <c r="J36" s="175"/>
      <c r="K36" s="210"/>
      <c r="L36" s="170"/>
      <c r="M36" s="169" t="str">
        <f t="shared" si="0"/>
        <v>-</v>
      </c>
      <c r="N36" s="171"/>
    </row>
    <row r="37" spans="1:23" ht="12.75" customHeight="1" x14ac:dyDescent="0.15">
      <c r="A37" s="71"/>
      <c r="B37" s="461"/>
      <c r="C37" s="462"/>
      <c r="D37" s="69" t="s">
        <v>74</v>
      </c>
      <c r="E37" s="21"/>
      <c r="F37" s="208"/>
      <c r="G37" s="175"/>
      <c r="H37" s="210"/>
      <c r="I37" s="208"/>
      <c r="J37" s="175"/>
      <c r="K37" s="210"/>
      <c r="L37" s="170"/>
      <c r="M37" s="166" t="str">
        <f t="shared" si="0"/>
        <v>-</v>
      </c>
      <c r="N37" s="171"/>
    </row>
    <row r="38" spans="1:23" ht="12.75" customHeight="1" x14ac:dyDescent="0.15">
      <c r="A38" s="71"/>
      <c r="B38" s="384" t="s">
        <v>75</v>
      </c>
      <c r="C38" s="385"/>
      <c r="D38" s="385"/>
      <c r="E38" s="21"/>
      <c r="F38" s="208"/>
      <c r="G38" s="175"/>
      <c r="H38" s="210"/>
      <c r="I38" s="208"/>
      <c r="J38" s="175"/>
      <c r="K38" s="210"/>
      <c r="L38" s="170"/>
      <c r="M38" s="166" t="str">
        <f t="shared" si="0"/>
        <v>-</v>
      </c>
      <c r="N38" s="171"/>
    </row>
    <row r="39" spans="1:23" ht="12.75" customHeight="1" x14ac:dyDescent="0.15">
      <c r="A39" s="71"/>
      <c r="B39" s="384" t="s">
        <v>76</v>
      </c>
      <c r="C39" s="385"/>
      <c r="D39" s="385"/>
      <c r="E39" s="21" t="s">
        <v>212</v>
      </c>
      <c r="F39" s="203"/>
      <c r="G39" s="175"/>
      <c r="H39" s="176"/>
      <c r="I39" s="203"/>
      <c r="J39" s="175"/>
      <c r="K39" s="176"/>
      <c r="L39" s="165" t="str">
        <f t="shared" ref="L39:L45" si="2">IFERROR(100*(F39-I39)/I39,"-")</f>
        <v>-</v>
      </c>
      <c r="M39" s="166" t="str">
        <f t="shared" si="0"/>
        <v>-</v>
      </c>
      <c r="N39" s="178" t="str">
        <f t="shared" si="0"/>
        <v>-</v>
      </c>
    </row>
    <row r="40" spans="1:23" ht="12.75" customHeight="1" x14ac:dyDescent="0.15">
      <c r="A40" s="71"/>
      <c r="B40" s="384" t="s">
        <v>77</v>
      </c>
      <c r="C40" s="385"/>
      <c r="D40" s="385"/>
      <c r="E40" s="21" t="s">
        <v>212</v>
      </c>
      <c r="F40" s="203"/>
      <c r="G40" s="175"/>
      <c r="H40" s="176"/>
      <c r="I40" s="203"/>
      <c r="J40" s="175"/>
      <c r="K40" s="176"/>
      <c r="L40" s="165" t="str">
        <f t="shared" si="2"/>
        <v>-</v>
      </c>
      <c r="M40" s="166" t="str">
        <f t="shared" si="0"/>
        <v>-</v>
      </c>
      <c r="N40" s="178" t="str">
        <f t="shared" si="0"/>
        <v>-</v>
      </c>
    </row>
    <row r="41" spans="1:23" ht="12.75" customHeight="1" x14ac:dyDescent="0.15">
      <c r="A41" s="71"/>
      <c r="B41" s="384" t="s">
        <v>78</v>
      </c>
      <c r="C41" s="385"/>
      <c r="D41" s="385"/>
      <c r="E41" s="21" t="s">
        <v>212</v>
      </c>
      <c r="F41" s="203"/>
      <c r="G41" s="175"/>
      <c r="H41" s="176"/>
      <c r="I41" s="203"/>
      <c r="J41" s="175"/>
      <c r="K41" s="176"/>
      <c r="L41" s="165" t="str">
        <f t="shared" si="2"/>
        <v>-</v>
      </c>
      <c r="M41" s="166" t="str">
        <f t="shared" si="0"/>
        <v>-</v>
      </c>
      <c r="N41" s="178" t="str">
        <f t="shared" si="0"/>
        <v>-</v>
      </c>
    </row>
    <row r="42" spans="1:23" ht="12.75" customHeight="1" x14ac:dyDescent="0.15">
      <c r="A42" s="71"/>
      <c r="B42" s="384" t="s">
        <v>79</v>
      </c>
      <c r="C42" s="385"/>
      <c r="D42" s="385"/>
      <c r="E42" s="21" t="s">
        <v>234</v>
      </c>
      <c r="F42" s="203"/>
      <c r="G42" s="175"/>
      <c r="H42" s="176"/>
      <c r="I42" s="203"/>
      <c r="J42" s="175"/>
      <c r="K42" s="176"/>
      <c r="L42" s="165" t="str">
        <f t="shared" si="2"/>
        <v>-</v>
      </c>
      <c r="M42" s="166" t="str">
        <f t="shared" si="0"/>
        <v>-</v>
      </c>
      <c r="N42" s="178" t="str">
        <f t="shared" si="0"/>
        <v>-</v>
      </c>
    </row>
    <row r="43" spans="1:23" ht="12.75" customHeight="1" x14ac:dyDescent="0.15">
      <c r="A43" s="71"/>
      <c r="B43" s="384" t="s">
        <v>80</v>
      </c>
      <c r="C43" s="385"/>
      <c r="D43" s="385"/>
      <c r="E43" s="88" t="s">
        <v>235</v>
      </c>
      <c r="F43" s="203"/>
      <c r="G43" s="175"/>
      <c r="H43" s="176"/>
      <c r="I43" s="203"/>
      <c r="J43" s="175"/>
      <c r="K43" s="176"/>
      <c r="L43" s="165" t="str">
        <f t="shared" si="2"/>
        <v>-</v>
      </c>
      <c r="M43" s="166" t="str">
        <f t="shared" si="0"/>
        <v>-</v>
      </c>
      <c r="N43" s="178" t="str">
        <f t="shared" si="0"/>
        <v>-</v>
      </c>
    </row>
    <row r="44" spans="1:23" ht="12.75" customHeight="1" x14ac:dyDescent="0.15">
      <c r="A44" s="71"/>
      <c r="B44" s="384" t="s">
        <v>81</v>
      </c>
      <c r="C44" s="385"/>
      <c r="D44" s="385"/>
      <c r="E44" s="88" t="s">
        <v>235</v>
      </c>
      <c r="F44" s="203"/>
      <c r="G44" s="175"/>
      <c r="H44" s="176"/>
      <c r="I44" s="203"/>
      <c r="J44" s="175"/>
      <c r="K44" s="176"/>
      <c r="L44" s="165" t="str">
        <f t="shared" si="2"/>
        <v>-</v>
      </c>
      <c r="M44" s="166" t="str">
        <f t="shared" si="0"/>
        <v>-</v>
      </c>
      <c r="N44" s="178" t="str">
        <f t="shared" si="0"/>
        <v>-</v>
      </c>
    </row>
    <row r="45" spans="1:23" ht="12.75" customHeight="1" x14ac:dyDescent="0.15">
      <c r="A45" s="71"/>
      <c r="B45" s="384" t="s">
        <v>82</v>
      </c>
      <c r="C45" s="385"/>
      <c r="D45" s="385"/>
      <c r="E45" s="88" t="s">
        <v>235</v>
      </c>
      <c r="F45" s="203"/>
      <c r="G45" s="175"/>
      <c r="H45" s="176"/>
      <c r="I45" s="203"/>
      <c r="J45" s="175"/>
      <c r="K45" s="176"/>
      <c r="L45" s="165" t="str">
        <f t="shared" si="2"/>
        <v>-</v>
      </c>
      <c r="M45" s="166" t="str">
        <f t="shared" si="0"/>
        <v>-</v>
      </c>
      <c r="N45" s="178" t="str">
        <f t="shared" si="0"/>
        <v>-</v>
      </c>
      <c r="T45" s="10"/>
      <c r="U45" s="10"/>
      <c r="V45" s="10"/>
      <c r="W45" s="10"/>
    </row>
    <row r="46" spans="1:23" ht="12.75" customHeight="1" x14ac:dyDescent="0.15">
      <c r="A46" s="12"/>
      <c r="B46" s="380" t="s">
        <v>50</v>
      </c>
      <c r="C46" s="381"/>
      <c r="D46" s="381"/>
      <c r="E46" s="23"/>
      <c r="F46" s="211"/>
      <c r="G46" s="180"/>
      <c r="H46" s="198"/>
      <c r="I46" s="211"/>
      <c r="J46" s="180"/>
      <c r="K46" s="198"/>
      <c r="L46" s="172"/>
      <c r="M46" s="168" t="str">
        <f t="shared" si="0"/>
        <v>-</v>
      </c>
      <c r="N46" s="173"/>
    </row>
    <row r="47" spans="1:23" ht="12.75" customHeight="1" x14ac:dyDescent="0.15">
      <c r="A47" s="72"/>
      <c r="B47" s="72"/>
      <c r="C47" s="72"/>
      <c r="D47" s="72"/>
      <c r="E47" s="70"/>
      <c r="F47" s="35"/>
      <c r="G47" s="18"/>
      <c r="H47" s="35"/>
      <c r="I47" s="35"/>
      <c r="J47" s="18"/>
      <c r="K47" s="35"/>
      <c r="L47" s="76"/>
      <c r="M47" s="76"/>
      <c r="N47" s="76"/>
    </row>
  </sheetData>
  <mergeCells count="45">
    <mergeCell ref="L1:N1"/>
    <mergeCell ref="L2:N2"/>
    <mergeCell ref="A5:E7"/>
    <mergeCell ref="F5:H5"/>
    <mergeCell ref="I5:K5"/>
    <mergeCell ref="L5:N5"/>
    <mergeCell ref="I6:I7"/>
    <mergeCell ref="F6:F7"/>
    <mergeCell ref="A8:D8"/>
    <mergeCell ref="B11:D11"/>
    <mergeCell ref="B12:D12"/>
    <mergeCell ref="B13:D13"/>
    <mergeCell ref="A34:D34"/>
    <mergeCell ref="C20:D20"/>
    <mergeCell ref="B21:D21"/>
    <mergeCell ref="B22:D22"/>
    <mergeCell ref="B23:D23"/>
    <mergeCell ref="B9:D9"/>
    <mergeCell ref="B10:D10"/>
    <mergeCell ref="A14:D14"/>
    <mergeCell ref="B15:B20"/>
    <mergeCell ref="C15:D15"/>
    <mergeCell ref="C16:D16"/>
    <mergeCell ref="C17:D17"/>
    <mergeCell ref="B43:D43"/>
    <mergeCell ref="B44:D44"/>
    <mergeCell ref="B45:D45"/>
    <mergeCell ref="B46:D46"/>
    <mergeCell ref="B35:C37"/>
    <mergeCell ref="B38:D38"/>
    <mergeCell ref="B39:D39"/>
    <mergeCell ref="B40:D40"/>
    <mergeCell ref="B41:D41"/>
    <mergeCell ref="B42:D42"/>
    <mergeCell ref="C18:D18"/>
    <mergeCell ref="C19:D19"/>
    <mergeCell ref="B31:D31"/>
    <mergeCell ref="B32:D32"/>
    <mergeCell ref="B33:D33"/>
    <mergeCell ref="A24:D24"/>
    <mergeCell ref="B25:D25"/>
    <mergeCell ref="B26:D26"/>
    <mergeCell ref="B27:D27"/>
    <mergeCell ref="A28:D28"/>
    <mergeCell ref="B29:C30"/>
  </mergeCells>
  <phoneticPr fontId="1"/>
  <pageMargins left="0.78740157480314965" right="0.43307086614173229" top="0.78740157480314965" bottom="0.39370078740157483" header="0.43307086614173229" footer="0.19685039370078741"/>
  <pageSetup paperSize="9" scale="7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V48"/>
  <sheetViews>
    <sheetView showGridLines="0" view="pageBreakPreview" zoomScaleNormal="100" zoomScaleSheetLayoutView="100" workbookViewId="0"/>
  </sheetViews>
  <sheetFormatPr defaultColWidth="9" defaultRowHeight="15" customHeight="1" x14ac:dyDescent="0.15"/>
  <cols>
    <col min="1" max="40" width="3.625" style="2" customWidth="1"/>
    <col min="41" max="43" width="5.625" style="2" customWidth="1"/>
    <col min="44" max="16384" width="9" style="2"/>
  </cols>
  <sheetData>
    <row r="1" spans="1:48" ht="15" customHeight="1" x14ac:dyDescent="0.15">
      <c r="A1" s="1" t="str">
        <f>No.1!A1&amp;"年産　米生産費統計（個別経営体）　個別結果検討表　№５"</f>
        <v>2019年産　米生産費統計（個別経営体）　個別結果検討表　№５</v>
      </c>
      <c r="B1" s="1"/>
      <c r="C1" s="1"/>
      <c r="D1" s="1"/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55"/>
      <c r="Y1" s="555"/>
      <c r="Z1" s="555"/>
      <c r="AA1" s="555"/>
      <c r="AB1" s="555"/>
      <c r="AC1" s="555"/>
      <c r="AD1" s="555"/>
      <c r="AE1" s="555"/>
      <c r="AF1" s="114"/>
      <c r="AH1" s="289" t="s">
        <v>165</v>
      </c>
      <c r="AI1" s="290"/>
      <c r="AJ1" s="290"/>
      <c r="AK1" s="290"/>
      <c r="AL1" s="290"/>
      <c r="AM1" s="290"/>
      <c r="AN1" s="290"/>
      <c r="AO1" s="291"/>
    </row>
    <row r="2" spans="1:48" ht="1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563"/>
      <c r="Y2" s="563"/>
      <c r="Z2" s="563"/>
      <c r="AA2" s="563"/>
      <c r="AB2" s="563"/>
      <c r="AC2" s="563"/>
      <c r="AD2" s="563"/>
      <c r="AE2" s="563"/>
      <c r="AF2" s="115"/>
      <c r="AH2" s="485" t="str">
        <f>IF(No.1!O2="","",No.1!O2)</f>
        <v/>
      </c>
      <c r="AI2" s="486"/>
      <c r="AJ2" s="486"/>
      <c r="AK2" s="486"/>
      <c r="AL2" s="486"/>
      <c r="AM2" s="486"/>
      <c r="AN2" s="486"/>
      <c r="AO2" s="487"/>
    </row>
    <row r="3" spans="1:48" ht="1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48" ht="15" customHeight="1" x14ac:dyDescent="0.15">
      <c r="A4" s="5" t="s">
        <v>287</v>
      </c>
      <c r="Q4" s="5"/>
      <c r="AJ4" s="13"/>
      <c r="AK4" s="13"/>
      <c r="AL4" s="13"/>
      <c r="AM4" s="13"/>
      <c r="AO4" s="13"/>
      <c r="AP4" s="13"/>
      <c r="AQ4" s="13"/>
      <c r="AR4" s="13"/>
      <c r="AS4" s="13"/>
      <c r="AT4" s="13"/>
      <c r="AU4" s="13"/>
      <c r="AV4" s="13"/>
    </row>
    <row r="5" spans="1:48" ht="15" customHeight="1" x14ac:dyDescent="0.15">
      <c r="A5" s="453"/>
      <c r="B5" s="454"/>
      <c r="C5" s="454"/>
      <c r="D5" s="454"/>
      <c r="E5" s="454"/>
      <c r="F5" s="455"/>
      <c r="G5" s="344">
        <f>No.1!H5</f>
        <v>19</v>
      </c>
      <c r="H5" s="339"/>
      <c r="I5" s="339"/>
      <c r="J5" s="338">
        <f>G5-1</f>
        <v>18</v>
      </c>
      <c r="K5" s="339"/>
      <c r="L5" s="340"/>
      <c r="M5" s="346" t="s">
        <v>0</v>
      </c>
      <c r="N5" s="346"/>
      <c r="O5" s="347"/>
      <c r="P5" s="83"/>
      <c r="Q5" s="453"/>
      <c r="R5" s="454"/>
      <c r="S5" s="454"/>
      <c r="T5" s="454"/>
      <c r="U5" s="454"/>
      <c r="V5" s="454"/>
      <c r="W5" s="454"/>
      <c r="X5" s="539" t="s">
        <v>288</v>
      </c>
      <c r="Y5" s="488"/>
      <c r="Z5" s="488"/>
      <c r="AA5" s="488"/>
      <c r="AB5" s="488"/>
      <c r="AC5" s="488"/>
      <c r="AD5" s="488"/>
      <c r="AE5" s="488"/>
      <c r="AF5" s="489"/>
      <c r="AG5" s="570" t="s">
        <v>83</v>
      </c>
      <c r="AH5" s="571"/>
      <c r="AI5" s="571"/>
      <c r="AJ5" s="571"/>
      <c r="AK5" s="571"/>
      <c r="AL5" s="571"/>
      <c r="AM5" s="571"/>
      <c r="AN5" s="571"/>
      <c r="AO5" s="572"/>
      <c r="AP5" s="13"/>
      <c r="AQ5" s="13"/>
      <c r="AR5" s="13"/>
      <c r="AS5" s="13"/>
    </row>
    <row r="6" spans="1:48" ht="15" customHeight="1" x14ac:dyDescent="0.15">
      <c r="A6" s="456"/>
      <c r="B6" s="457"/>
      <c r="C6" s="457"/>
      <c r="D6" s="457"/>
      <c r="E6" s="457"/>
      <c r="F6" s="458"/>
      <c r="G6" s="550" t="s">
        <v>1</v>
      </c>
      <c r="H6" s="332"/>
      <c r="I6" s="332"/>
      <c r="J6" s="551" t="s">
        <v>236</v>
      </c>
      <c r="K6" s="332"/>
      <c r="L6" s="552"/>
      <c r="M6" s="332" t="s">
        <v>220</v>
      </c>
      <c r="N6" s="332"/>
      <c r="O6" s="333"/>
      <c r="P6" s="79"/>
      <c r="Q6" s="490"/>
      <c r="R6" s="491"/>
      <c r="S6" s="491"/>
      <c r="T6" s="491"/>
      <c r="U6" s="491"/>
      <c r="V6" s="491"/>
      <c r="W6" s="491"/>
      <c r="X6" s="344">
        <f>$G$5</f>
        <v>19</v>
      </c>
      <c r="Y6" s="339"/>
      <c r="Z6" s="339"/>
      <c r="AA6" s="338">
        <f>$J$5</f>
        <v>18</v>
      </c>
      <c r="AB6" s="339"/>
      <c r="AC6" s="340"/>
      <c r="AD6" s="346" t="s">
        <v>0</v>
      </c>
      <c r="AE6" s="346"/>
      <c r="AF6" s="347"/>
      <c r="AG6" s="344">
        <f>$G$5</f>
        <v>19</v>
      </c>
      <c r="AH6" s="339"/>
      <c r="AI6" s="339"/>
      <c r="AJ6" s="338">
        <f>$J$5</f>
        <v>18</v>
      </c>
      <c r="AK6" s="339"/>
      <c r="AL6" s="340"/>
      <c r="AM6" s="346" t="s">
        <v>0</v>
      </c>
      <c r="AN6" s="346"/>
      <c r="AO6" s="347"/>
      <c r="AP6" s="13"/>
      <c r="AQ6" s="13"/>
      <c r="AR6" s="13"/>
      <c r="AS6" s="13"/>
    </row>
    <row r="7" spans="1:48" ht="12.75" customHeight="1" x14ac:dyDescent="0.15">
      <c r="A7" s="398" t="s">
        <v>113</v>
      </c>
      <c r="B7" s="466"/>
      <c r="C7" s="466"/>
      <c r="D7" s="466"/>
      <c r="E7" s="466"/>
      <c r="F7" s="466"/>
      <c r="G7" s="328"/>
      <c r="H7" s="329"/>
      <c r="I7" s="329"/>
      <c r="J7" s="330"/>
      <c r="K7" s="329"/>
      <c r="L7" s="331"/>
      <c r="M7" s="323" t="str">
        <f>IFERROR(100*(G7-J7)/J7,"-")</f>
        <v>-</v>
      </c>
      <c r="N7" s="304"/>
      <c r="O7" s="305"/>
      <c r="P7" s="19"/>
      <c r="Q7" s="456"/>
      <c r="R7" s="457"/>
      <c r="S7" s="457"/>
      <c r="T7" s="457"/>
      <c r="U7" s="457"/>
      <c r="V7" s="457"/>
      <c r="W7" s="457"/>
      <c r="X7" s="550" t="s">
        <v>84</v>
      </c>
      <c r="Y7" s="332"/>
      <c r="Z7" s="332"/>
      <c r="AA7" s="551" t="s">
        <v>84</v>
      </c>
      <c r="AB7" s="332"/>
      <c r="AC7" s="552"/>
      <c r="AD7" s="332" t="s">
        <v>220</v>
      </c>
      <c r="AE7" s="332"/>
      <c r="AF7" s="333"/>
      <c r="AG7" s="550" t="s">
        <v>1</v>
      </c>
      <c r="AH7" s="332"/>
      <c r="AI7" s="332"/>
      <c r="AJ7" s="551" t="s">
        <v>237</v>
      </c>
      <c r="AK7" s="332"/>
      <c r="AL7" s="552"/>
      <c r="AM7" s="332" t="s">
        <v>220</v>
      </c>
      <c r="AN7" s="332"/>
      <c r="AO7" s="333"/>
      <c r="AP7" s="13"/>
      <c r="AQ7" s="13"/>
      <c r="AR7" s="13"/>
      <c r="AS7" s="13"/>
    </row>
    <row r="8" spans="1:48" ht="12.75" customHeight="1" x14ac:dyDescent="0.15">
      <c r="A8" s="113"/>
      <c r="B8" s="375" t="s">
        <v>114</v>
      </c>
      <c r="C8" s="376"/>
      <c r="D8" s="376"/>
      <c r="E8" s="376"/>
      <c r="F8" s="377"/>
      <c r="G8" s="320"/>
      <c r="H8" s="312"/>
      <c r="I8" s="312"/>
      <c r="J8" s="311"/>
      <c r="K8" s="312"/>
      <c r="L8" s="313"/>
      <c r="M8" s="307" t="str">
        <f t="shared" ref="M8:M28" si="0">IFERROR(100*(G8-J8)/J8,"-")</f>
        <v>-</v>
      </c>
      <c r="N8" s="307"/>
      <c r="O8" s="310"/>
      <c r="P8" s="19"/>
      <c r="Q8" s="554" t="s">
        <v>85</v>
      </c>
      <c r="R8" s="555"/>
      <c r="S8" s="555"/>
      <c r="T8" s="555"/>
      <c r="U8" s="555"/>
      <c r="V8" s="555"/>
      <c r="W8" s="555"/>
      <c r="X8" s="553"/>
      <c r="Y8" s="359"/>
      <c r="Z8" s="359"/>
      <c r="AA8" s="358"/>
      <c r="AB8" s="359"/>
      <c r="AC8" s="549"/>
      <c r="AD8" s="359"/>
      <c r="AE8" s="359"/>
      <c r="AF8" s="549"/>
      <c r="AG8" s="328"/>
      <c r="AH8" s="329"/>
      <c r="AI8" s="331"/>
      <c r="AJ8" s="330"/>
      <c r="AK8" s="329"/>
      <c r="AL8" s="331"/>
      <c r="AM8" s="304" t="str">
        <f>IFERROR(100*(AG8-AJ8)/AJ8,"-")</f>
        <v>-</v>
      </c>
      <c r="AN8" s="304"/>
      <c r="AO8" s="305"/>
    </row>
    <row r="9" spans="1:48" ht="12.75" customHeight="1" x14ac:dyDescent="0.15">
      <c r="A9" s="113"/>
      <c r="B9" s="86"/>
      <c r="C9" s="384" t="s">
        <v>115</v>
      </c>
      <c r="D9" s="385"/>
      <c r="E9" s="385"/>
      <c r="F9" s="386"/>
      <c r="G9" s="320"/>
      <c r="H9" s="312"/>
      <c r="I9" s="312"/>
      <c r="J9" s="311"/>
      <c r="K9" s="312"/>
      <c r="L9" s="313"/>
      <c r="M9" s="307" t="str">
        <f t="shared" si="0"/>
        <v>-</v>
      </c>
      <c r="N9" s="307"/>
      <c r="O9" s="310"/>
      <c r="P9" s="19"/>
      <c r="Q9" s="113"/>
      <c r="R9" s="375" t="s">
        <v>86</v>
      </c>
      <c r="S9" s="376"/>
      <c r="T9" s="376"/>
      <c r="U9" s="376"/>
      <c r="V9" s="376"/>
      <c r="W9" s="376"/>
      <c r="X9" s="544"/>
      <c r="Y9" s="545"/>
      <c r="Z9" s="545"/>
      <c r="AA9" s="546"/>
      <c r="AB9" s="545"/>
      <c r="AC9" s="547"/>
      <c r="AD9" s="545"/>
      <c r="AE9" s="545"/>
      <c r="AF9" s="547"/>
      <c r="AG9" s="320"/>
      <c r="AH9" s="312"/>
      <c r="AI9" s="313"/>
      <c r="AJ9" s="311"/>
      <c r="AK9" s="312"/>
      <c r="AL9" s="313"/>
      <c r="AM9" s="307" t="str">
        <f t="shared" ref="AM9:AM48" si="1">IFERROR(100*(AG9-AJ9)/AJ9,"-")</f>
        <v>-</v>
      </c>
      <c r="AN9" s="307"/>
      <c r="AO9" s="310"/>
    </row>
    <row r="10" spans="1:48" ht="12.75" customHeight="1" x14ac:dyDescent="0.15">
      <c r="A10" s="20"/>
      <c r="B10" s="86"/>
      <c r="C10" s="384" t="s">
        <v>93</v>
      </c>
      <c r="D10" s="385"/>
      <c r="E10" s="385"/>
      <c r="F10" s="386"/>
      <c r="G10" s="320"/>
      <c r="H10" s="312"/>
      <c r="I10" s="312"/>
      <c r="J10" s="311"/>
      <c r="K10" s="312"/>
      <c r="L10" s="313"/>
      <c r="M10" s="307" t="str">
        <f t="shared" si="0"/>
        <v>-</v>
      </c>
      <c r="N10" s="307"/>
      <c r="O10" s="310"/>
      <c r="P10" s="19"/>
      <c r="Q10" s="113"/>
      <c r="R10" s="86"/>
      <c r="S10" s="55"/>
      <c r="T10" s="384" t="s">
        <v>134</v>
      </c>
      <c r="U10" s="385"/>
      <c r="V10" s="385"/>
      <c r="W10" s="386"/>
      <c r="X10" s="544"/>
      <c r="Y10" s="545"/>
      <c r="Z10" s="545"/>
      <c r="AA10" s="546"/>
      <c r="AB10" s="545"/>
      <c r="AC10" s="547"/>
      <c r="AD10" s="545"/>
      <c r="AE10" s="545"/>
      <c r="AF10" s="547"/>
      <c r="AG10" s="320"/>
      <c r="AH10" s="312"/>
      <c r="AI10" s="313"/>
      <c r="AJ10" s="311"/>
      <c r="AK10" s="312"/>
      <c r="AL10" s="313"/>
      <c r="AM10" s="307" t="str">
        <f t="shared" si="1"/>
        <v>-</v>
      </c>
      <c r="AN10" s="307"/>
      <c r="AO10" s="310"/>
    </row>
    <row r="11" spans="1:48" ht="12.75" customHeight="1" x14ac:dyDescent="0.15">
      <c r="A11" s="113"/>
      <c r="B11" s="375" t="s">
        <v>116</v>
      </c>
      <c r="C11" s="376"/>
      <c r="D11" s="376"/>
      <c r="E11" s="376"/>
      <c r="F11" s="376"/>
      <c r="G11" s="320"/>
      <c r="H11" s="312"/>
      <c r="I11" s="312"/>
      <c r="J11" s="311"/>
      <c r="K11" s="312"/>
      <c r="L11" s="313"/>
      <c r="M11" s="307" t="str">
        <f t="shared" si="0"/>
        <v>-</v>
      </c>
      <c r="N11" s="307"/>
      <c r="O11" s="310"/>
      <c r="P11" s="19"/>
      <c r="Q11" s="113"/>
      <c r="R11" s="86"/>
      <c r="S11" s="384" t="s">
        <v>279</v>
      </c>
      <c r="T11" s="385"/>
      <c r="U11" s="385"/>
      <c r="V11" s="385"/>
      <c r="W11" s="385"/>
      <c r="X11" s="544"/>
      <c r="Y11" s="545"/>
      <c r="Z11" s="545"/>
      <c r="AA11" s="546"/>
      <c r="AB11" s="545"/>
      <c r="AC11" s="547"/>
      <c r="AD11" s="545"/>
      <c r="AE11" s="545"/>
      <c r="AF11" s="547"/>
      <c r="AG11" s="320"/>
      <c r="AH11" s="312"/>
      <c r="AI11" s="313"/>
      <c r="AJ11" s="311"/>
      <c r="AK11" s="312"/>
      <c r="AL11" s="313"/>
      <c r="AM11" s="307" t="str">
        <f t="shared" si="1"/>
        <v>-</v>
      </c>
      <c r="AN11" s="307"/>
      <c r="AO11" s="310"/>
    </row>
    <row r="12" spans="1:48" ht="12.75" customHeight="1" x14ac:dyDescent="0.15">
      <c r="A12" s="113"/>
      <c r="B12" s="375" t="s">
        <v>117</v>
      </c>
      <c r="C12" s="376"/>
      <c r="D12" s="376"/>
      <c r="E12" s="376"/>
      <c r="F12" s="376"/>
      <c r="G12" s="320"/>
      <c r="H12" s="312"/>
      <c r="I12" s="312"/>
      <c r="J12" s="311"/>
      <c r="K12" s="312"/>
      <c r="L12" s="313"/>
      <c r="M12" s="307" t="str">
        <f t="shared" si="0"/>
        <v>-</v>
      </c>
      <c r="N12" s="307"/>
      <c r="O12" s="310"/>
      <c r="P12" s="19"/>
      <c r="Q12" s="113"/>
      <c r="R12" s="86"/>
      <c r="S12" s="384" t="s">
        <v>87</v>
      </c>
      <c r="T12" s="385"/>
      <c r="U12" s="385"/>
      <c r="V12" s="385"/>
      <c r="W12" s="385"/>
      <c r="X12" s="544"/>
      <c r="Y12" s="545"/>
      <c r="Z12" s="545"/>
      <c r="AA12" s="546"/>
      <c r="AB12" s="545"/>
      <c r="AC12" s="547"/>
      <c r="AD12" s="545"/>
      <c r="AE12" s="545"/>
      <c r="AF12" s="547"/>
      <c r="AG12" s="320"/>
      <c r="AH12" s="312"/>
      <c r="AI12" s="313"/>
      <c r="AJ12" s="311"/>
      <c r="AK12" s="312"/>
      <c r="AL12" s="313"/>
      <c r="AM12" s="307" t="str">
        <f t="shared" si="1"/>
        <v>-</v>
      </c>
      <c r="AN12" s="307"/>
      <c r="AO12" s="310"/>
    </row>
    <row r="13" spans="1:48" ht="12.75" customHeight="1" x14ac:dyDescent="0.15">
      <c r="A13" s="113"/>
      <c r="B13" s="375" t="s">
        <v>118</v>
      </c>
      <c r="C13" s="376"/>
      <c r="D13" s="376"/>
      <c r="E13" s="376"/>
      <c r="F13" s="376"/>
      <c r="G13" s="320"/>
      <c r="H13" s="312"/>
      <c r="I13" s="312"/>
      <c r="J13" s="311"/>
      <c r="K13" s="312"/>
      <c r="L13" s="313"/>
      <c r="M13" s="307" t="str">
        <f t="shared" si="0"/>
        <v>-</v>
      </c>
      <c r="N13" s="307"/>
      <c r="O13" s="310"/>
      <c r="P13" s="19"/>
      <c r="Q13" s="113"/>
      <c r="R13" s="86"/>
      <c r="S13" s="384" t="s">
        <v>88</v>
      </c>
      <c r="T13" s="385"/>
      <c r="U13" s="385"/>
      <c r="V13" s="385"/>
      <c r="W13" s="385"/>
      <c r="X13" s="544"/>
      <c r="Y13" s="545"/>
      <c r="Z13" s="545"/>
      <c r="AA13" s="546"/>
      <c r="AB13" s="545"/>
      <c r="AC13" s="547"/>
      <c r="AD13" s="545"/>
      <c r="AE13" s="545"/>
      <c r="AF13" s="547"/>
      <c r="AG13" s="320"/>
      <c r="AH13" s="312"/>
      <c r="AI13" s="313"/>
      <c r="AJ13" s="311"/>
      <c r="AK13" s="312"/>
      <c r="AL13" s="313"/>
      <c r="AM13" s="307" t="str">
        <f t="shared" si="1"/>
        <v>-</v>
      </c>
      <c r="AN13" s="307"/>
      <c r="AO13" s="310"/>
    </row>
    <row r="14" spans="1:48" ht="12.75" customHeight="1" x14ac:dyDescent="0.15">
      <c r="A14" s="113"/>
      <c r="B14" s="375" t="s">
        <v>119</v>
      </c>
      <c r="C14" s="376"/>
      <c r="D14" s="376"/>
      <c r="E14" s="376"/>
      <c r="F14" s="376"/>
      <c r="G14" s="320"/>
      <c r="H14" s="312"/>
      <c r="I14" s="312"/>
      <c r="J14" s="354"/>
      <c r="K14" s="353"/>
      <c r="L14" s="355"/>
      <c r="M14" s="356" t="str">
        <f t="shared" si="0"/>
        <v>-</v>
      </c>
      <c r="N14" s="356"/>
      <c r="O14" s="357"/>
      <c r="P14" s="19"/>
      <c r="Q14" s="113"/>
      <c r="R14" s="86"/>
      <c r="S14" s="384" t="s">
        <v>89</v>
      </c>
      <c r="T14" s="385"/>
      <c r="U14" s="385"/>
      <c r="V14" s="385"/>
      <c r="W14" s="385"/>
      <c r="X14" s="544"/>
      <c r="Y14" s="545"/>
      <c r="Z14" s="545"/>
      <c r="AA14" s="546"/>
      <c r="AB14" s="545"/>
      <c r="AC14" s="547"/>
      <c r="AD14" s="545"/>
      <c r="AE14" s="545"/>
      <c r="AF14" s="547"/>
      <c r="AG14" s="320"/>
      <c r="AH14" s="312"/>
      <c r="AI14" s="313"/>
      <c r="AJ14" s="311"/>
      <c r="AK14" s="312"/>
      <c r="AL14" s="313"/>
      <c r="AM14" s="307" t="str">
        <f t="shared" si="1"/>
        <v>-</v>
      </c>
      <c r="AN14" s="307"/>
      <c r="AO14" s="310"/>
    </row>
    <row r="15" spans="1:48" ht="12.75" customHeight="1" x14ac:dyDescent="0.15">
      <c r="A15" s="113"/>
      <c r="B15" s="375" t="s">
        <v>215</v>
      </c>
      <c r="C15" s="376"/>
      <c r="D15" s="376"/>
      <c r="E15" s="376"/>
      <c r="F15" s="376"/>
      <c r="G15" s="320"/>
      <c r="H15" s="312"/>
      <c r="I15" s="312"/>
      <c r="J15" s="311"/>
      <c r="K15" s="312"/>
      <c r="L15" s="313"/>
      <c r="M15" s="307" t="str">
        <f t="shared" si="0"/>
        <v>-</v>
      </c>
      <c r="N15" s="307"/>
      <c r="O15" s="310"/>
      <c r="P15" s="19"/>
      <c r="Q15" s="20"/>
      <c r="R15" s="86"/>
      <c r="S15" s="387" t="s">
        <v>90</v>
      </c>
      <c r="T15" s="388"/>
      <c r="U15" s="388"/>
      <c r="V15" s="388"/>
      <c r="W15" s="389"/>
      <c r="X15" s="544"/>
      <c r="Y15" s="545"/>
      <c r="Z15" s="545"/>
      <c r="AA15" s="546"/>
      <c r="AB15" s="545"/>
      <c r="AC15" s="547"/>
      <c r="AD15" s="545"/>
      <c r="AE15" s="545"/>
      <c r="AF15" s="547"/>
      <c r="AG15" s="320"/>
      <c r="AH15" s="312"/>
      <c r="AI15" s="313"/>
      <c r="AJ15" s="311"/>
      <c r="AK15" s="312"/>
      <c r="AL15" s="313"/>
      <c r="AM15" s="307" t="str">
        <f t="shared" si="1"/>
        <v>-</v>
      </c>
      <c r="AN15" s="307"/>
      <c r="AO15" s="310"/>
    </row>
    <row r="16" spans="1:48" ht="12.75" customHeight="1" x14ac:dyDescent="0.15">
      <c r="A16" s="113"/>
      <c r="B16" s="375" t="s">
        <v>120</v>
      </c>
      <c r="C16" s="376"/>
      <c r="D16" s="376"/>
      <c r="E16" s="376"/>
      <c r="F16" s="376"/>
      <c r="G16" s="320"/>
      <c r="H16" s="312"/>
      <c r="I16" s="312"/>
      <c r="J16" s="311"/>
      <c r="K16" s="312"/>
      <c r="L16" s="313"/>
      <c r="M16" s="307" t="str">
        <f t="shared" si="0"/>
        <v>-</v>
      </c>
      <c r="N16" s="307"/>
      <c r="O16" s="310"/>
      <c r="P16" s="19"/>
      <c r="Q16" s="20"/>
      <c r="R16" s="86"/>
      <c r="S16" s="384" t="s">
        <v>91</v>
      </c>
      <c r="T16" s="385"/>
      <c r="U16" s="385"/>
      <c r="V16" s="385"/>
      <c r="W16" s="385"/>
      <c r="X16" s="544"/>
      <c r="Y16" s="545"/>
      <c r="Z16" s="545"/>
      <c r="AA16" s="546"/>
      <c r="AB16" s="545"/>
      <c r="AC16" s="547"/>
      <c r="AD16" s="545"/>
      <c r="AE16" s="545"/>
      <c r="AF16" s="547"/>
      <c r="AG16" s="320"/>
      <c r="AH16" s="312"/>
      <c r="AI16" s="313"/>
      <c r="AJ16" s="311"/>
      <c r="AK16" s="312"/>
      <c r="AL16" s="313"/>
      <c r="AM16" s="307" t="str">
        <f t="shared" si="1"/>
        <v>-</v>
      </c>
      <c r="AN16" s="307"/>
      <c r="AO16" s="310"/>
    </row>
    <row r="17" spans="1:41" ht="12.75" customHeight="1" x14ac:dyDescent="0.15">
      <c r="A17" s="113"/>
      <c r="B17" s="375" t="s">
        <v>121</v>
      </c>
      <c r="C17" s="376"/>
      <c r="D17" s="376"/>
      <c r="E17" s="376"/>
      <c r="F17" s="376"/>
      <c r="G17" s="320"/>
      <c r="H17" s="312"/>
      <c r="I17" s="312"/>
      <c r="J17" s="311"/>
      <c r="K17" s="312"/>
      <c r="L17" s="313"/>
      <c r="M17" s="307" t="str">
        <f t="shared" si="0"/>
        <v>-</v>
      </c>
      <c r="N17" s="307"/>
      <c r="O17" s="310"/>
      <c r="P17" s="19"/>
      <c r="Q17" s="113"/>
      <c r="R17" s="86"/>
      <c r="S17" s="384" t="s">
        <v>133</v>
      </c>
      <c r="T17" s="385"/>
      <c r="U17" s="385"/>
      <c r="V17" s="385"/>
      <c r="W17" s="385"/>
      <c r="X17" s="544"/>
      <c r="Y17" s="545"/>
      <c r="Z17" s="545"/>
      <c r="AA17" s="546"/>
      <c r="AB17" s="545"/>
      <c r="AC17" s="547"/>
      <c r="AD17" s="545"/>
      <c r="AE17" s="545"/>
      <c r="AF17" s="547"/>
      <c r="AG17" s="320"/>
      <c r="AH17" s="312"/>
      <c r="AI17" s="313"/>
      <c r="AJ17" s="311"/>
      <c r="AK17" s="312"/>
      <c r="AL17" s="313"/>
      <c r="AM17" s="307" t="str">
        <f t="shared" si="1"/>
        <v>-</v>
      </c>
      <c r="AN17" s="307"/>
      <c r="AO17" s="310"/>
    </row>
    <row r="18" spans="1:41" ht="12.75" customHeight="1" x14ac:dyDescent="0.15">
      <c r="A18" s="12"/>
      <c r="B18" s="380" t="s">
        <v>122</v>
      </c>
      <c r="C18" s="381"/>
      <c r="D18" s="381"/>
      <c r="E18" s="381"/>
      <c r="F18" s="381"/>
      <c r="G18" s="320"/>
      <c r="H18" s="312"/>
      <c r="I18" s="312"/>
      <c r="J18" s="316"/>
      <c r="K18" s="315"/>
      <c r="L18" s="317"/>
      <c r="M18" s="318" t="str">
        <f t="shared" si="0"/>
        <v>-</v>
      </c>
      <c r="N18" s="318"/>
      <c r="O18" s="319"/>
      <c r="P18" s="19"/>
      <c r="Q18" s="113"/>
      <c r="R18" s="86"/>
      <c r="S18" s="384" t="s">
        <v>50</v>
      </c>
      <c r="T18" s="385"/>
      <c r="U18" s="385"/>
      <c r="V18" s="385"/>
      <c r="W18" s="385"/>
      <c r="X18" s="544"/>
      <c r="Y18" s="545"/>
      <c r="Z18" s="545"/>
      <c r="AA18" s="546"/>
      <c r="AB18" s="545"/>
      <c r="AC18" s="547"/>
      <c r="AD18" s="545"/>
      <c r="AE18" s="545"/>
      <c r="AF18" s="547"/>
      <c r="AG18" s="320"/>
      <c r="AH18" s="312"/>
      <c r="AI18" s="313"/>
      <c r="AJ18" s="311"/>
      <c r="AK18" s="312"/>
      <c r="AL18" s="313"/>
      <c r="AM18" s="307" t="str">
        <f t="shared" si="1"/>
        <v>-</v>
      </c>
      <c r="AN18" s="307"/>
      <c r="AO18" s="310"/>
    </row>
    <row r="19" spans="1:41" ht="12.75" customHeight="1" x14ac:dyDescent="0.15">
      <c r="A19" s="554" t="s">
        <v>123</v>
      </c>
      <c r="B19" s="555"/>
      <c r="C19" s="555"/>
      <c r="D19" s="555"/>
      <c r="E19" s="555"/>
      <c r="F19" s="555"/>
      <c r="G19" s="328"/>
      <c r="H19" s="329"/>
      <c r="I19" s="329"/>
      <c r="J19" s="330"/>
      <c r="K19" s="329"/>
      <c r="L19" s="331"/>
      <c r="M19" s="304" t="str">
        <f t="shared" si="0"/>
        <v>-</v>
      </c>
      <c r="N19" s="304"/>
      <c r="O19" s="305"/>
      <c r="P19" s="19"/>
      <c r="Q19" s="20"/>
      <c r="R19" s="375" t="s">
        <v>92</v>
      </c>
      <c r="S19" s="376"/>
      <c r="T19" s="376"/>
      <c r="U19" s="376"/>
      <c r="V19" s="376"/>
      <c r="W19" s="376"/>
      <c r="X19" s="544"/>
      <c r="Y19" s="545"/>
      <c r="Z19" s="545"/>
      <c r="AA19" s="546"/>
      <c r="AB19" s="545"/>
      <c r="AC19" s="547"/>
      <c r="AD19" s="545"/>
      <c r="AE19" s="545"/>
      <c r="AF19" s="547"/>
      <c r="AG19" s="320"/>
      <c r="AH19" s="312"/>
      <c r="AI19" s="313"/>
      <c r="AJ19" s="311"/>
      <c r="AK19" s="312"/>
      <c r="AL19" s="313"/>
      <c r="AM19" s="307" t="str">
        <f t="shared" si="1"/>
        <v>-</v>
      </c>
      <c r="AN19" s="307"/>
      <c r="AO19" s="310"/>
    </row>
    <row r="20" spans="1:41" ht="12.75" customHeight="1" x14ac:dyDescent="0.15">
      <c r="A20" s="113"/>
      <c r="B20" s="384" t="s">
        <v>124</v>
      </c>
      <c r="C20" s="385"/>
      <c r="D20" s="385"/>
      <c r="E20" s="385"/>
      <c r="F20" s="385"/>
      <c r="G20" s="320"/>
      <c r="H20" s="312"/>
      <c r="I20" s="312"/>
      <c r="J20" s="311"/>
      <c r="K20" s="312"/>
      <c r="L20" s="313"/>
      <c r="M20" s="307" t="str">
        <f t="shared" si="0"/>
        <v>-</v>
      </c>
      <c r="N20" s="307"/>
      <c r="O20" s="310"/>
      <c r="P20" s="19"/>
      <c r="Q20" s="113"/>
      <c r="R20" s="86"/>
      <c r="S20" s="112"/>
      <c r="T20" s="384" t="s">
        <v>134</v>
      </c>
      <c r="U20" s="385"/>
      <c r="V20" s="385"/>
      <c r="W20" s="386"/>
      <c r="X20" s="544"/>
      <c r="Y20" s="545"/>
      <c r="Z20" s="545"/>
      <c r="AA20" s="546"/>
      <c r="AB20" s="545"/>
      <c r="AC20" s="547"/>
      <c r="AD20" s="545"/>
      <c r="AE20" s="545"/>
      <c r="AF20" s="547"/>
      <c r="AG20" s="320"/>
      <c r="AH20" s="312"/>
      <c r="AI20" s="313"/>
      <c r="AJ20" s="311"/>
      <c r="AK20" s="312"/>
      <c r="AL20" s="313"/>
      <c r="AM20" s="307" t="str">
        <f t="shared" si="1"/>
        <v>-</v>
      </c>
      <c r="AN20" s="307"/>
      <c r="AO20" s="310"/>
    </row>
    <row r="21" spans="1:41" ht="12.75" customHeight="1" x14ac:dyDescent="0.15">
      <c r="A21" s="113"/>
      <c r="B21" s="384" t="s">
        <v>125</v>
      </c>
      <c r="C21" s="385"/>
      <c r="D21" s="385"/>
      <c r="E21" s="385"/>
      <c r="F21" s="385"/>
      <c r="G21" s="320"/>
      <c r="H21" s="312"/>
      <c r="I21" s="312"/>
      <c r="J21" s="311"/>
      <c r="K21" s="312"/>
      <c r="L21" s="313"/>
      <c r="M21" s="307" t="str">
        <f t="shared" si="0"/>
        <v>-</v>
      </c>
      <c r="N21" s="307"/>
      <c r="O21" s="310"/>
      <c r="P21" s="19"/>
      <c r="Q21" s="20"/>
      <c r="R21" s="86"/>
      <c r="S21" s="384" t="s">
        <v>219</v>
      </c>
      <c r="T21" s="385"/>
      <c r="U21" s="385"/>
      <c r="V21" s="385"/>
      <c r="W21" s="385"/>
      <c r="X21" s="306"/>
      <c r="Y21" s="307"/>
      <c r="Z21" s="307"/>
      <c r="AA21" s="309"/>
      <c r="AB21" s="307"/>
      <c r="AC21" s="308"/>
      <c r="AD21" s="307" t="str">
        <f>IFERROR(100*(X21-AA21)/AA21,"-")</f>
        <v>-</v>
      </c>
      <c r="AE21" s="307"/>
      <c r="AF21" s="310"/>
      <c r="AG21" s="320"/>
      <c r="AH21" s="312"/>
      <c r="AI21" s="313"/>
      <c r="AJ21" s="311"/>
      <c r="AK21" s="312"/>
      <c r="AL21" s="313"/>
      <c r="AM21" s="307" t="str">
        <f t="shared" si="1"/>
        <v>-</v>
      </c>
      <c r="AN21" s="307"/>
      <c r="AO21" s="310"/>
    </row>
    <row r="22" spans="1:41" ht="12.75" customHeight="1" x14ac:dyDescent="0.15">
      <c r="A22" s="113"/>
      <c r="B22" s="384" t="s">
        <v>126</v>
      </c>
      <c r="C22" s="385"/>
      <c r="D22" s="385"/>
      <c r="E22" s="385"/>
      <c r="F22" s="385"/>
      <c r="G22" s="320"/>
      <c r="H22" s="312"/>
      <c r="I22" s="312"/>
      <c r="J22" s="311"/>
      <c r="K22" s="312"/>
      <c r="L22" s="313"/>
      <c r="M22" s="307" t="str">
        <f t="shared" si="0"/>
        <v>-</v>
      </c>
      <c r="N22" s="307"/>
      <c r="O22" s="310"/>
      <c r="P22" s="19"/>
      <c r="Q22" s="20"/>
      <c r="R22" s="86"/>
      <c r="S22" s="384" t="s">
        <v>50</v>
      </c>
      <c r="T22" s="385"/>
      <c r="U22" s="385"/>
      <c r="V22" s="385"/>
      <c r="W22" s="385"/>
      <c r="X22" s="544"/>
      <c r="Y22" s="545"/>
      <c r="Z22" s="545"/>
      <c r="AA22" s="546"/>
      <c r="AB22" s="545"/>
      <c r="AC22" s="547"/>
      <c r="AD22" s="545"/>
      <c r="AE22" s="545"/>
      <c r="AF22" s="547"/>
      <c r="AG22" s="320"/>
      <c r="AH22" s="312"/>
      <c r="AI22" s="313"/>
      <c r="AJ22" s="311"/>
      <c r="AK22" s="312"/>
      <c r="AL22" s="313"/>
      <c r="AM22" s="307" t="str">
        <f t="shared" si="1"/>
        <v>-</v>
      </c>
      <c r="AN22" s="307"/>
      <c r="AO22" s="310"/>
    </row>
    <row r="23" spans="1:41" ht="12.75" customHeight="1" x14ac:dyDescent="0.15">
      <c r="A23" s="113"/>
      <c r="B23" s="384" t="s">
        <v>216</v>
      </c>
      <c r="C23" s="385"/>
      <c r="D23" s="385"/>
      <c r="E23" s="385"/>
      <c r="F23" s="385"/>
      <c r="G23" s="320"/>
      <c r="H23" s="312"/>
      <c r="I23" s="312"/>
      <c r="J23" s="311"/>
      <c r="K23" s="312"/>
      <c r="L23" s="313"/>
      <c r="M23" s="307" t="str">
        <f t="shared" si="0"/>
        <v>-</v>
      </c>
      <c r="N23" s="307"/>
      <c r="O23" s="310"/>
      <c r="P23" s="19"/>
      <c r="Q23" s="20"/>
      <c r="R23" s="375" t="s">
        <v>93</v>
      </c>
      <c r="S23" s="376"/>
      <c r="T23" s="376"/>
      <c r="U23" s="376"/>
      <c r="V23" s="376"/>
      <c r="W23" s="376"/>
      <c r="X23" s="544"/>
      <c r="Y23" s="545"/>
      <c r="Z23" s="545"/>
      <c r="AA23" s="546"/>
      <c r="AB23" s="545"/>
      <c r="AC23" s="547"/>
      <c r="AD23" s="545"/>
      <c r="AE23" s="545"/>
      <c r="AF23" s="547"/>
      <c r="AG23" s="320"/>
      <c r="AH23" s="312"/>
      <c r="AI23" s="313"/>
      <c r="AJ23" s="311"/>
      <c r="AK23" s="312"/>
      <c r="AL23" s="313"/>
      <c r="AM23" s="307" t="str">
        <f t="shared" si="1"/>
        <v>-</v>
      </c>
      <c r="AN23" s="307"/>
      <c r="AO23" s="310"/>
    </row>
    <row r="24" spans="1:41" ht="12.75" customHeight="1" x14ac:dyDescent="0.15">
      <c r="A24" s="12"/>
      <c r="B24" s="468" t="s">
        <v>127</v>
      </c>
      <c r="C24" s="469"/>
      <c r="D24" s="469"/>
      <c r="E24" s="469"/>
      <c r="F24" s="469"/>
      <c r="G24" s="314"/>
      <c r="H24" s="315"/>
      <c r="I24" s="317"/>
      <c r="J24" s="316"/>
      <c r="K24" s="315"/>
      <c r="L24" s="317"/>
      <c r="M24" s="318" t="str">
        <f t="shared" si="0"/>
        <v>-</v>
      </c>
      <c r="N24" s="318"/>
      <c r="O24" s="319"/>
      <c r="P24" s="19"/>
      <c r="Q24" s="113"/>
      <c r="R24" s="86"/>
      <c r="S24" s="112"/>
      <c r="T24" s="384" t="s">
        <v>134</v>
      </c>
      <c r="U24" s="385"/>
      <c r="V24" s="385"/>
      <c r="W24" s="386"/>
      <c r="X24" s="544"/>
      <c r="Y24" s="545"/>
      <c r="Z24" s="545"/>
      <c r="AA24" s="546"/>
      <c r="AB24" s="545"/>
      <c r="AC24" s="547"/>
      <c r="AD24" s="545"/>
      <c r="AE24" s="545"/>
      <c r="AF24" s="547"/>
      <c r="AG24" s="320"/>
      <c r="AH24" s="312"/>
      <c r="AI24" s="313"/>
      <c r="AJ24" s="311"/>
      <c r="AK24" s="312"/>
      <c r="AL24" s="313"/>
      <c r="AM24" s="307" t="str">
        <f t="shared" si="1"/>
        <v>-</v>
      </c>
      <c r="AN24" s="307"/>
      <c r="AO24" s="310"/>
    </row>
    <row r="25" spans="1:41" ht="12.75" customHeight="1" x14ac:dyDescent="0.15">
      <c r="A25" s="556" t="s">
        <v>128</v>
      </c>
      <c r="B25" s="557"/>
      <c r="C25" s="557"/>
      <c r="D25" s="557"/>
      <c r="E25" s="557"/>
      <c r="F25" s="557"/>
      <c r="G25" s="365"/>
      <c r="H25" s="366"/>
      <c r="I25" s="366"/>
      <c r="J25" s="367"/>
      <c r="K25" s="366"/>
      <c r="L25" s="368"/>
      <c r="M25" s="369" t="str">
        <f t="shared" si="0"/>
        <v>-</v>
      </c>
      <c r="N25" s="369"/>
      <c r="O25" s="370"/>
      <c r="P25" s="19"/>
      <c r="Q25" s="56"/>
      <c r="R25" s="57"/>
      <c r="S25" s="384" t="s">
        <v>94</v>
      </c>
      <c r="T25" s="385"/>
      <c r="U25" s="385"/>
      <c r="V25" s="385"/>
      <c r="W25" s="385"/>
      <c r="X25" s="306"/>
      <c r="Y25" s="307"/>
      <c r="Z25" s="307"/>
      <c r="AA25" s="309"/>
      <c r="AB25" s="307"/>
      <c r="AC25" s="308"/>
      <c r="AD25" s="307" t="str">
        <f t="shared" ref="AD25:AD45" si="2">IFERROR(100*(X25-AA25)/AA25,"-")</f>
        <v>-</v>
      </c>
      <c r="AE25" s="307"/>
      <c r="AF25" s="310"/>
      <c r="AG25" s="320"/>
      <c r="AH25" s="312"/>
      <c r="AI25" s="313"/>
      <c r="AJ25" s="311"/>
      <c r="AK25" s="312"/>
      <c r="AL25" s="313"/>
      <c r="AM25" s="307" t="str">
        <f t="shared" si="1"/>
        <v>-</v>
      </c>
      <c r="AN25" s="307"/>
      <c r="AO25" s="310"/>
    </row>
    <row r="26" spans="1:41" ht="12.75" customHeight="1" x14ac:dyDescent="0.15">
      <c r="A26" s="383" t="s">
        <v>129</v>
      </c>
      <c r="B26" s="558"/>
      <c r="C26" s="384" t="s">
        <v>217</v>
      </c>
      <c r="D26" s="385"/>
      <c r="E26" s="385"/>
      <c r="F26" s="386"/>
      <c r="G26" s="320"/>
      <c r="H26" s="312"/>
      <c r="I26" s="312"/>
      <c r="J26" s="311"/>
      <c r="K26" s="312"/>
      <c r="L26" s="313"/>
      <c r="M26" s="307" t="str">
        <f t="shared" si="0"/>
        <v>-</v>
      </c>
      <c r="N26" s="307"/>
      <c r="O26" s="310"/>
      <c r="P26" s="19"/>
      <c r="Q26" s="56"/>
      <c r="R26" s="57"/>
      <c r="S26" s="384" t="s">
        <v>95</v>
      </c>
      <c r="T26" s="385"/>
      <c r="U26" s="385"/>
      <c r="V26" s="385"/>
      <c r="W26" s="385"/>
      <c r="X26" s="306"/>
      <c r="Y26" s="307"/>
      <c r="Z26" s="307"/>
      <c r="AA26" s="309"/>
      <c r="AB26" s="307"/>
      <c r="AC26" s="308"/>
      <c r="AD26" s="307" t="str">
        <f t="shared" si="2"/>
        <v>-</v>
      </c>
      <c r="AE26" s="307"/>
      <c r="AF26" s="310"/>
      <c r="AG26" s="320"/>
      <c r="AH26" s="312"/>
      <c r="AI26" s="313"/>
      <c r="AJ26" s="311"/>
      <c r="AK26" s="312"/>
      <c r="AL26" s="313"/>
      <c r="AM26" s="307" t="str">
        <f t="shared" si="1"/>
        <v>-</v>
      </c>
      <c r="AN26" s="307"/>
      <c r="AO26" s="310"/>
    </row>
    <row r="27" spans="1:41" ht="12.75" customHeight="1" x14ac:dyDescent="0.15">
      <c r="A27" s="378"/>
      <c r="B27" s="559"/>
      <c r="C27" s="384" t="s">
        <v>218</v>
      </c>
      <c r="D27" s="385"/>
      <c r="E27" s="385"/>
      <c r="F27" s="386"/>
      <c r="G27" s="320"/>
      <c r="H27" s="312"/>
      <c r="I27" s="312"/>
      <c r="J27" s="311"/>
      <c r="K27" s="312"/>
      <c r="L27" s="313"/>
      <c r="M27" s="307" t="str">
        <f t="shared" si="0"/>
        <v>-</v>
      </c>
      <c r="N27" s="307"/>
      <c r="O27" s="310"/>
      <c r="P27" s="19"/>
      <c r="Q27" s="56"/>
      <c r="R27" s="57"/>
      <c r="S27" s="384" t="s">
        <v>96</v>
      </c>
      <c r="T27" s="385"/>
      <c r="U27" s="385"/>
      <c r="V27" s="385"/>
      <c r="W27" s="385"/>
      <c r="X27" s="306"/>
      <c r="Y27" s="307"/>
      <c r="Z27" s="307"/>
      <c r="AA27" s="309"/>
      <c r="AB27" s="307"/>
      <c r="AC27" s="308"/>
      <c r="AD27" s="307" t="str">
        <f t="shared" si="2"/>
        <v>-</v>
      </c>
      <c r="AE27" s="307"/>
      <c r="AF27" s="310"/>
      <c r="AG27" s="320"/>
      <c r="AH27" s="312"/>
      <c r="AI27" s="313"/>
      <c r="AJ27" s="311"/>
      <c r="AK27" s="312"/>
      <c r="AL27" s="313"/>
      <c r="AM27" s="307" t="str">
        <f t="shared" si="1"/>
        <v>-</v>
      </c>
      <c r="AN27" s="307"/>
      <c r="AO27" s="310"/>
    </row>
    <row r="28" spans="1:41" ht="12.75" customHeight="1" x14ac:dyDescent="0.15">
      <c r="A28" s="419" t="s">
        <v>130</v>
      </c>
      <c r="B28" s="381"/>
      <c r="C28" s="381"/>
      <c r="D28" s="381"/>
      <c r="E28" s="381"/>
      <c r="F28" s="381"/>
      <c r="G28" s="314"/>
      <c r="H28" s="315"/>
      <c r="I28" s="317"/>
      <c r="J28" s="316"/>
      <c r="K28" s="315"/>
      <c r="L28" s="317"/>
      <c r="M28" s="318" t="str">
        <f t="shared" si="0"/>
        <v>-</v>
      </c>
      <c r="N28" s="318"/>
      <c r="O28" s="319"/>
      <c r="P28" s="82"/>
      <c r="Q28" s="113"/>
      <c r="R28" s="111"/>
      <c r="S28" s="564" t="s">
        <v>221</v>
      </c>
      <c r="T28" s="565"/>
      <c r="U28" s="384" t="s">
        <v>97</v>
      </c>
      <c r="V28" s="385"/>
      <c r="W28" s="386"/>
      <c r="X28" s="306"/>
      <c r="Y28" s="307"/>
      <c r="Z28" s="307"/>
      <c r="AA28" s="309"/>
      <c r="AB28" s="307"/>
      <c r="AC28" s="308"/>
      <c r="AD28" s="307" t="str">
        <f t="shared" si="2"/>
        <v>-</v>
      </c>
      <c r="AE28" s="307"/>
      <c r="AF28" s="310"/>
      <c r="AG28" s="320"/>
      <c r="AH28" s="312"/>
      <c r="AI28" s="313"/>
      <c r="AJ28" s="311"/>
      <c r="AK28" s="312"/>
      <c r="AL28" s="313"/>
      <c r="AM28" s="307" t="str">
        <f t="shared" si="1"/>
        <v>-</v>
      </c>
      <c r="AN28" s="307"/>
      <c r="AO28" s="310"/>
    </row>
    <row r="29" spans="1:41" ht="12.75" customHeight="1" x14ac:dyDescent="0.15">
      <c r="Q29" s="113"/>
      <c r="R29" s="111"/>
      <c r="S29" s="566"/>
      <c r="T29" s="567"/>
      <c r="U29" s="560" t="s">
        <v>98</v>
      </c>
      <c r="V29" s="561"/>
      <c r="W29" s="562"/>
      <c r="X29" s="306"/>
      <c r="Y29" s="307"/>
      <c r="Z29" s="307"/>
      <c r="AA29" s="309"/>
      <c r="AB29" s="307"/>
      <c r="AC29" s="308"/>
      <c r="AD29" s="307" t="str">
        <f t="shared" si="2"/>
        <v>-</v>
      </c>
      <c r="AE29" s="307"/>
      <c r="AF29" s="310"/>
      <c r="AG29" s="320"/>
      <c r="AH29" s="312"/>
      <c r="AI29" s="313"/>
      <c r="AJ29" s="311"/>
      <c r="AK29" s="312"/>
      <c r="AL29" s="313"/>
      <c r="AM29" s="307" t="str">
        <f t="shared" si="1"/>
        <v>-</v>
      </c>
      <c r="AN29" s="307"/>
      <c r="AO29" s="310"/>
    </row>
    <row r="30" spans="1:41" ht="12.75" customHeight="1" x14ac:dyDescent="0.15">
      <c r="Q30" s="113"/>
      <c r="R30" s="110"/>
      <c r="S30" s="568"/>
      <c r="T30" s="569"/>
      <c r="U30" s="384" t="s">
        <v>99</v>
      </c>
      <c r="V30" s="385"/>
      <c r="W30" s="386"/>
      <c r="X30" s="306"/>
      <c r="Y30" s="307"/>
      <c r="Z30" s="307"/>
      <c r="AA30" s="309"/>
      <c r="AB30" s="307"/>
      <c r="AC30" s="308"/>
      <c r="AD30" s="307" t="str">
        <f t="shared" si="2"/>
        <v>-</v>
      </c>
      <c r="AE30" s="307"/>
      <c r="AF30" s="310"/>
      <c r="AG30" s="320"/>
      <c r="AH30" s="312"/>
      <c r="AI30" s="313"/>
      <c r="AJ30" s="311"/>
      <c r="AK30" s="312"/>
      <c r="AL30" s="313"/>
      <c r="AM30" s="307" t="str">
        <f t="shared" si="1"/>
        <v>-</v>
      </c>
      <c r="AN30" s="307"/>
      <c r="AO30" s="310"/>
    </row>
    <row r="31" spans="1:41" ht="12.75" customHeight="1" x14ac:dyDescent="0.15">
      <c r="Q31" s="56"/>
      <c r="R31" s="57"/>
      <c r="S31" s="375" t="s">
        <v>224</v>
      </c>
      <c r="T31" s="376"/>
      <c r="U31" s="376"/>
      <c r="V31" s="376"/>
      <c r="W31" s="377"/>
      <c r="X31" s="306"/>
      <c r="Y31" s="307"/>
      <c r="Z31" s="307"/>
      <c r="AA31" s="309"/>
      <c r="AB31" s="307"/>
      <c r="AC31" s="308"/>
      <c r="AD31" s="307" t="str">
        <f t="shared" si="2"/>
        <v>-</v>
      </c>
      <c r="AE31" s="307"/>
      <c r="AF31" s="310"/>
      <c r="AG31" s="320"/>
      <c r="AH31" s="312"/>
      <c r="AI31" s="313"/>
      <c r="AJ31" s="311"/>
      <c r="AK31" s="312"/>
      <c r="AL31" s="313"/>
      <c r="AM31" s="307" t="str">
        <f t="shared" si="1"/>
        <v>-</v>
      </c>
      <c r="AN31" s="307"/>
      <c r="AO31" s="310"/>
    </row>
    <row r="32" spans="1:41" ht="12.75" customHeight="1" x14ac:dyDescent="0.15">
      <c r="Q32" s="56"/>
      <c r="R32" s="57"/>
      <c r="S32" s="384" t="s">
        <v>100</v>
      </c>
      <c r="T32" s="385"/>
      <c r="U32" s="385"/>
      <c r="V32" s="385"/>
      <c r="W32" s="385"/>
      <c r="X32" s="306"/>
      <c r="Y32" s="307"/>
      <c r="Z32" s="307"/>
      <c r="AA32" s="309"/>
      <c r="AB32" s="307"/>
      <c r="AC32" s="308"/>
      <c r="AD32" s="307" t="str">
        <f t="shared" si="2"/>
        <v>-</v>
      </c>
      <c r="AE32" s="307"/>
      <c r="AF32" s="310"/>
      <c r="AG32" s="320"/>
      <c r="AH32" s="312"/>
      <c r="AI32" s="313"/>
      <c r="AJ32" s="311"/>
      <c r="AK32" s="312"/>
      <c r="AL32" s="313"/>
      <c r="AM32" s="307" t="str">
        <f t="shared" si="1"/>
        <v>-</v>
      </c>
      <c r="AN32" s="307"/>
      <c r="AO32" s="310"/>
    </row>
    <row r="33" spans="17:41" ht="12.75" customHeight="1" x14ac:dyDescent="0.15">
      <c r="Q33" s="56"/>
      <c r="R33" s="57"/>
      <c r="S33" s="516" t="s">
        <v>101</v>
      </c>
      <c r="T33" s="573"/>
      <c r="U33" s="376" t="s">
        <v>102</v>
      </c>
      <c r="V33" s="376"/>
      <c r="W33" s="377"/>
      <c r="X33" s="306"/>
      <c r="Y33" s="307"/>
      <c r="Z33" s="307"/>
      <c r="AA33" s="309"/>
      <c r="AB33" s="307"/>
      <c r="AC33" s="308"/>
      <c r="AD33" s="307" t="str">
        <f t="shared" si="2"/>
        <v>-</v>
      </c>
      <c r="AE33" s="307"/>
      <c r="AF33" s="310"/>
      <c r="AG33" s="320"/>
      <c r="AH33" s="312"/>
      <c r="AI33" s="313"/>
      <c r="AJ33" s="311"/>
      <c r="AK33" s="312"/>
      <c r="AL33" s="313"/>
      <c r="AM33" s="307" t="str">
        <f t="shared" si="1"/>
        <v>-</v>
      </c>
      <c r="AN33" s="307"/>
      <c r="AO33" s="310"/>
    </row>
    <row r="34" spans="17:41" ht="12.75" customHeight="1" x14ac:dyDescent="0.15">
      <c r="Q34" s="113"/>
      <c r="R34" s="111"/>
      <c r="S34" s="574"/>
      <c r="T34" s="575"/>
      <c r="U34" s="387" t="s">
        <v>285</v>
      </c>
      <c r="V34" s="388"/>
      <c r="W34" s="389"/>
      <c r="X34" s="306"/>
      <c r="Y34" s="307"/>
      <c r="Z34" s="307"/>
      <c r="AA34" s="309"/>
      <c r="AB34" s="307"/>
      <c r="AC34" s="308"/>
      <c r="AD34" s="307" t="str">
        <f t="shared" si="2"/>
        <v>-</v>
      </c>
      <c r="AE34" s="307"/>
      <c r="AF34" s="310"/>
      <c r="AG34" s="320"/>
      <c r="AH34" s="312"/>
      <c r="AI34" s="313"/>
      <c r="AJ34" s="311"/>
      <c r="AK34" s="312"/>
      <c r="AL34" s="313"/>
      <c r="AM34" s="307" t="str">
        <f t="shared" si="1"/>
        <v>-</v>
      </c>
      <c r="AN34" s="307"/>
      <c r="AO34" s="310"/>
    </row>
    <row r="35" spans="17:41" ht="12.75" customHeight="1" x14ac:dyDescent="0.15">
      <c r="Q35" s="113"/>
      <c r="R35" s="111"/>
      <c r="S35" s="518"/>
      <c r="T35" s="576"/>
      <c r="U35" s="379" t="s">
        <v>103</v>
      </c>
      <c r="V35" s="379"/>
      <c r="W35" s="548"/>
      <c r="X35" s="306"/>
      <c r="Y35" s="307"/>
      <c r="Z35" s="307"/>
      <c r="AA35" s="309"/>
      <c r="AB35" s="307"/>
      <c r="AC35" s="308"/>
      <c r="AD35" s="307" t="str">
        <f t="shared" si="2"/>
        <v>-</v>
      </c>
      <c r="AE35" s="307"/>
      <c r="AF35" s="310"/>
      <c r="AG35" s="320"/>
      <c r="AH35" s="312"/>
      <c r="AI35" s="313"/>
      <c r="AJ35" s="311"/>
      <c r="AK35" s="312"/>
      <c r="AL35" s="313"/>
      <c r="AM35" s="307" t="str">
        <f t="shared" si="1"/>
        <v>-</v>
      </c>
      <c r="AN35" s="307"/>
      <c r="AO35" s="310"/>
    </row>
    <row r="36" spans="17:41" ht="12.75" customHeight="1" x14ac:dyDescent="0.15">
      <c r="Q36" s="113"/>
      <c r="R36" s="110"/>
      <c r="S36" s="375" t="s">
        <v>277</v>
      </c>
      <c r="T36" s="376"/>
      <c r="U36" s="376"/>
      <c r="V36" s="376"/>
      <c r="W36" s="376"/>
      <c r="X36" s="306"/>
      <c r="Y36" s="307"/>
      <c r="Z36" s="307"/>
      <c r="AA36" s="309"/>
      <c r="AB36" s="307"/>
      <c r="AC36" s="308"/>
      <c r="AD36" s="307" t="str">
        <f t="shared" si="2"/>
        <v>-</v>
      </c>
      <c r="AE36" s="307"/>
      <c r="AF36" s="310"/>
      <c r="AG36" s="320"/>
      <c r="AH36" s="312"/>
      <c r="AI36" s="313"/>
      <c r="AJ36" s="311"/>
      <c r="AK36" s="312"/>
      <c r="AL36" s="313"/>
      <c r="AM36" s="307" t="str">
        <f t="shared" si="1"/>
        <v>-</v>
      </c>
      <c r="AN36" s="307"/>
      <c r="AO36" s="310"/>
    </row>
    <row r="37" spans="17:41" ht="12.75" customHeight="1" x14ac:dyDescent="0.15">
      <c r="Q37" s="56"/>
      <c r="R37" s="57"/>
      <c r="S37" s="384" t="s">
        <v>104</v>
      </c>
      <c r="T37" s="385"/>
      <c r="U37" s="385"/>
      <c r="V37" s="385"/>
      <c r="W37" s="385"/>
      <c r="X37" s="306"/>
      <c r="Y37" s="307"/>
      <c r="Z37" s="307"/>
      <c r="AA37" s="309"/>
      <c r="AB37" s="307"/>
      <c r="AC37" s="308"/>
      <c r="AD37" s="307" t="str">
        <f t="shared" si="2"/>
        <v>-</v>
      </c>
      <c r="AE37" s="307"/>
      <c r="AF37" s="310"/>
      <c r="AG37" s="320"/>
      <c r="AH37" s="312"/>
      <c r="AI37" s="313"/>
      <c r="AJ37" s="311"/>
      <c r="AK37" s="312"/>
      <c r="AL37" s="313"/>
      <c r="AM37" s="307" t="str">
        <f t="shared" si="1"/>
        <v>-</v>
      </c>
      <c r="AN37" s="307"/>
      <c r="AO37" s="310"/>
    </row>
    <row r="38" spans="17:41" ht="12.75" customHeight="1" x14ac:dyDescent="0.15">
      <c r="Q38" s="56"/>
      <c r="R38" s="57"/>
      <c r="S38" s="384" t="s">
        <v>222</v>
      </c>
      <c r="T38" s="385"/>
      <c r="U38" s="385"/>
      <c r="V38" s="385"/>
      <c r="W38" s="385"/>
      <c r="X38" s="306"/>
      <c r="Y38" s="307"/>
      <c r="Z38" s="307"/>
      <c r="AA38" s="309"/>
      <c r="AB38" s="307"/>
      <c r="AC38" s="308"/>
      <c r="AD38" s="307" t="str">
        <f t="shared" si="2"/>
        <v>-</v>
      </c>
      <c r="AE38" s="307"/>
      <c r="AF38" s="310"/>
      <c r="AG38" s="320"/>
      <c r="AH38" s="312"/>
      <c r="AI38" s="313"/>
      <c r="AJ38" s="311"/>
      <c r="AK38" s="312"/>
      <c r="AL38" s="313"/>
      <c r="AM38" s="307" t="str">
        <f t="shared" si="1"/>
        <v>-</v>
      </c>
      <c r="AN38" s="307"/>
      <c r="AO38" s="310"/>
    </row>
    <row r="39" spans="17:41" ht="12.75" customHeight="1" x14ac:dyDescent="0.15">
      <c r="Q39" s="56"/>
      <c r="R39" s="57"/>
      <c r="S39" s="577" t="s">
        <v>223</v>
      </c>
      <c r="T39" s="578"/>
      <c r="U39" s="384" t="s">
        <v>105</v>
      </c>
      <c r="V39" s="385"/>
      <c r="W39" s="386"/>
      <c r="X39" s="306"/>
      <c r="Y39" s="307"/>
      <c r="Z39" s="307"/>
      <c r="AA39" s="309"/>
      <c r="AB39" s="307"/>
      <c r="AC39" s="308"/>
      <c r="AD39" s="307" t="str">
        <f t="shared" si="2"/>
        <v>-</v>
      </c>
      <c r="AE39" s="307"/>
      <c r="AF39" s="310"/>
      <c r="AG39" s="320"/>
      <c r="AH39" s="312"/>
      <c r="AI39" s="313"/>
      <c r="AJ39" s="311"/>
      <c r="AK39" s="312"/>
      <c r="AL39" s="313"/>
      <c r="AM39" s="307" t="str">
        <f t="shared" si="1"/>
        <v>-</v>
      </c>
      <c r="AN39" s="307"/>
      <c r="AO39" s="310"/>
    </row>
    <row r="40" spans="17:41" ht="12.75" customHeight="1" x14ac:dyDescent="0.15">
      <c r="Q40" s="113"/>
      <c r="R40" s="58"/>
      <c r="S40" s="579"/>
      <c r="T40" s="580"/>
      <c r="U40" s="500" t="s">
        <v>106</v>
      </c>
      <c r="V40" s="379"/>
      <c r="W40" s="548"/>
      <c r="X40" s="306"/>
      <c r="Y40" s="307"/>
      <c r="Z40" s="307"/>
      <c r="AA40" s="309"/>
      <c r="AB40" s="307"/>
      <c r="AC40" s="308"/>
      <c r="AD40" s="307" t="str">
        <f t="shared" si="2"/>
        <v>-</v>
      </c>
      <c r="AE40" s="307"/>
      <c r="AF40" s="310"/>
      <c r="AG40" s="320"/>
      <c r="AH40" s="312"/>
      <c r="AI40" s="313"/>
      <c r="AJ40" s="311"/>
      <c r="AK40" s="312"/>
      <c r="AL40" s="313"/>
      <c r="AM40" s="307" t="str">
        <f t="shared" si="1"/>
        <v>-</v>
      </c>
      <c r="AN40" s="307"/>
      <c r="AO40" s="310"/>
    </row>
    <row r="41" spans="17:41" ht="12.75" customHeight="1" x14ac:dyDescent="0.15">
      <c r="Q41" s="113"/>
      <c r="R41" s="59"/>
      <c r="S41" s="384" t="s">
        <v>107</v>
      </c>
      <c r="T41" s="385"/>
      <c r="U41" s="385"/>
      <c r="V41" s="385"/>
      <c r="W41" s="385"/>
      <c r="X41" s="306"/>
      <c r="Y41" s="307"/>
      <c r="Z41" s="307"/>
      <c r="AA41" s="309"/>
      <c r="AB41" s="307"/>
      <c r="AC41" s="308"/>
      <c r="AD41" s="307" t="str">
        <f t="shared" si="2"/>
        <v>-</v>
      </c>
      <c r="AE41" s="307"/>
      <c r="AF41" s="310"/>
      <c r="AG41" s="320"/>
      <c r="AH41" s="312"/>
      <c r="AI41" s="313"/>
      <c r="AJ41" s="311"/>
      <c r="AK41" s="312"/>
      <c r="AL41" s="313"/>
      <c r="AM41" s="307" t="str">
        <f t="shared" si="1"/>
        <v>-</v>
      </c>
      <c r="AN41" s="307"/>
      <c r="AO41" s="310"/>
    </row>
    <row r="42" spans="17:41" ht="12.75" customHeight="1" x14ac:dyDescent="0.15">
      <c r="Q42" s="56"/>
      <c r="R42" s="57"/>
      <c r="S42" s="384" t="s">
        <v>108</v>
      </c>
      <c r="T42" s="385"/>
      <c r="U42" s="385"/>
      <c r="V42" s="385"/>
      <c r="W42" s="385"/>
      <c r="X42" s="306"/>
      <c r="Y42" s="307"/>
      <c r="Z42" s="307"/>
      <c r="AA42" s="309"/>
      <c r="AB42" s="307"/>
      <c r="AC42" s="308"/>
      <c r="AD42" s="307" t="str">
        <f t="shared" si="2"/>
        <v>-</v>
      </c>
      <c r="AE42" s="307"/>
      <c r="AF42" s="310"/>
      <c r="AG42" s="320"/>
      <c r="AH42" s="312"/>
      <c r="AI42" s="313"/>
      <c r="AJ42" s="311"/>
      <c r="AK42" s="312"/>
      <c r="AL42" s="313"/>
      <c r="AM42" s="307" t="str">
        <f t="shared" si="1"/>
        <v>-</v>
      </c>
      <c r="AN42" s="307"/>
      <c r="AO42" s="310"/>
    </row>
    <row r="43" spans="17:41" ht="12.75" customHeight="1" x14ac:dyDescent="0.15">
      <c r="Q43" s="56"/>
      <c r="R43" s="57"/>
      <c r="S43" s="384" t="s">
        <v>284</v>
      </c>
      <c r="T43" s="385"/>
      <c r="U43" s="385"/>
      <c r="V43" s="385"/>
      <c r="W43" s="385"/>
      <c r="X43" s="306"/>
      <c r="Y43" s="307"/>
      <c r="Z43" s="307"/>
      <c r="AA43" s="309"/>
      <c r="AB43" s="307"/>
      <c r="AC43" s="308"/>
      <c r="AD43" s="307" t="str">
        <f t="shared" si="2"/>
        <v>-</v>
      </c>
      <c r="AE43" s="307"/>
      <c r="AF43" s="310"/>
      <c r="AG43" s="320"/>
      <c r="AH43" s="312"/>
      <c r="AI43" s="313"/>
      <c r="AJ43" s="311"/>
      <c r="AK43" s="312"/>
      <c r="AL43" s="313"/>
      <c r="AM43" s="307" t="str">
        <f t="shared" si="1"/>
        <v>-</v>
      </c>
      <c r="AN43" s="307"/>
      <c r="AO43" s="310"/>
    </row>
    <row r="44" spans="17:41" ht="12.75" customHeight="1" x14ac:dyDescent="0.15">
      <c r="Q44" s="56"/>
      <c r="R44" s="57"/>
      <c r="S44" s="516" t="s">
        <v>109</v>
      </c>
      <c r="T44" s="581"/>
      <c r="U44" s="384" t="s">
        <v>110</v>
      </c>
      <c r="V44" s="385"/>
      <c r="W44" s="386"/>
      <c r="X44" s="306"/>
      <c r="Y44" s="307"/>
      <c r="Z44" s="307"/>
      <c r="AA44" s="309"/>
      <c r="AB44" s="307"/>
      <c r="AC44" s="308"/>
      <c r="AD44" s="307" t="str">
        <f t="shared" si="2"/>
        <v>-</v>
      </c>
      <c r="AE44" s="307"/>
      <c r="AF44" s="310"/>
      <c r="AG44" s="320"/>
      <c r="AH44" s="312"/>
      <c r="AI44" s="313"/>
      <c r="AJ44" s="311"/>
      <c r="AK44" s="312"/>
      <c r="AL44" s="313"/>
      <c r="AM44" s="307" t="str">
        <f t="shared" si="1"/>
        <v>-</v>
      </c>
      <c r="AN44" s="307"/>
      <c r="AO44" s="310"/>
    </row>
    <row r="45" spans="17:41" ht="12.75" customHeight="1" x14ac:dyDescent="0.15">
      <c r="Q45" s="56"/>
      <c r="R45" s="57"/>
      <c r="S45" s="574"/>
      <c r="T45" s="582"/>
      <c r="U45" s="384" t="s">
        <v>111</v>
      </c>
      <c r="V45" s="385"/>
      <c r="W45" s="386"/>
      <c r="X45" s="306"/>
      <c r="Y45" s="307"/>
      <c r="Z45" s="307"/>
      <c r="AA45" s="309"/>
      <c r="AB45" s="307"/>
      <c r="AC45" s="308"/>
      <c r="AD45" s="307" t="str">
        <f t="shared" si="2"/>
        <v>-</v>
      </c>
      <c r="AE45" s="307"/>
      <c r="AF45" s="310"/>
      <c r="AG45" s="320"/>
      <c r="AH45" s="312"/>
      <c r="AI45" s="313"/>
      <c r="AJ45" s="311"/>
      <c r="AK45" s="312"/>
      <c r="AL45" s="313"/>
      <c r="AM45" s="307" t="str">
        <f t="shared" si="1"/>
        <v>-</v>
      </c>
      <c r="AN45" s="307"/>
      <c r="AO45" s="310"/>
    </row>
    <row r="46" spans="17:41" ht="12.75" customHeight="1" x14ac:dyDescent="0.15">
      <c r="Q46" s="56"/>
      <c r="R46" s="57"/>
      <c r="S46" s="375" t="s">
        <v>50</v>
      </c>
      <c r="T46" s="376"/>
      <c r="U46" s="376"/>
      <c r="V46" s="376"/>
      <c r="W46" s="377"/>
      <c r="X46" s="544"/>
      <c r="Y46" s="545"/>
      <c r="Z46" s="545"/>
      <c r="AA46" s="546"/>
      <c r="AB46" s="545"/>
      <c r="AC46" s="547"/>
      <c r="AD46" s="545"/>
      <c r="AE46" s="545"/>
      <c r="AF46" s="547"/>
      <c r="AG46" s="320"/>
      <c r="AH46" s="312"/>
      <c r="AI46" s="313"/>
      <c r="AJ46" s="311"/>
      <c r="AK46" s="312"/>
      <c r="AL46" s="313"/>
      <c r="AM46" s="307" t="str">
        <f t="shared" si="1"/>
        <v>-</v>
      </c>
      <c r="AN46" s="307"/>
      <c r="AO46" s="310"/>
    </row>
    <row r="47" spans="17:41" ht="12.75" customHeight="1" x14ac:dyDescent="0.15">
      <c r="Q47" s="56"/>
      <c r="R47" s="375" t="s">
        <v>112</v>
      </c>
      <c r="S47" s="376"/>
      <c r="T47" s="376"/>
      <c r="U47" s="376"/>
      <c r="V47" s="376"/>
      <c r="W47" s="377"/>
      <c r="X47" s="544"/>
      <c r="Y47" s="545"/>
      <c r="Z47" s="545"/>
      <c r="AA47" s="546"/>
      <c r="AB47" s="545"/>
      <c r="AC47" s="547"/>
      <c r="AD47" s="545"/>
      <c r="AE47" s="545"/>
      <c r="AF47" s="547"/>
      <c r="AG47" s="320"/>
      <c r="AH47" s="312"/>
      <c r="AI47" s="313"/>
      <c r="AJ47" s="311"/>
      <c r="AK47" s="312"/>
      <c r="AL47" s="313"/>
      <c r="AM47" s="307" t="str">
        <f t="shared" si="1"/>
        <v>-</v>
      </c>
      <c r="AN47" s="307"/>
      <c r="AO47" s="310"/>
    </row>
    <row r="48" spans="17:41" ht="12.75" customHeight="1" x14ac:dyDescent="0.15">
      <c r="Q48" s="60"/>
      <c r="R48" s="61"/>
      <c r="S48" s="380" t="s">
        <v>134</v>
      </c>
      <c r="T48" s="381"/>
      <c r="U48" s="381"/>
      <c r="V48" s="381"/>
      <c r="W48" s="382"/>
      <c r="X48" s="540"/>
      <c r="Y48" s="541"/>
      <c r="Z48" s="541"/>
      <c r="AA48" s="542"/>
      <c r="AB48" s="541"/>
      <c r="AC48" s="543"/>
      <c r="AD48" s="541"/>
      <c r="AE48" s="541"/>
      <c r="AF48" s="543"/>
      <c r="AG48" s="314"/>
      <c r="AH48" s="315"/>
      <c r="AI48" s="317"/>
      <c r="AJ48" s="316"/>
      <c r="AK48" s="315"/>
      <c r="AL48" s="317"/>
      <c r="AM48" s="318" t="str">
        <f t="shared" si="1"/>
        <v>-</v>
      </c>
      <c r="AN48" s="318"/>
      <c r="AO48" s="319"/>
    </row>
  </sheetData>
  <mergeCells count="406">
    <mergeCell ref="C26:F26"/>
    <mergeCell ref="C27:F27"/>
    <mergeCell ref="S46:W46"/>
    <mergeCell ref="R47:W47"/>
    <mergeCell ref="S48:W48"/>
    <mergeCell ref="S31:W31"/>
    <mergeCell ref="S32:W32"/>
    <mergeCell ref="S33:T35"/>
    <mergeCell ref="S36:W36"/>
    <mergeCell ref="S39:T40"/>
    <mergeCell ref="S41:W41"/>
    <mergeCell ref="S38:W38"/>
    <mergeCell ref="S42:W42"/>
    <mergeCell ref="S43:W43"/>
    <mergeCell ref="S44:T45"/>
    <mergeCell ref="AG5:AO5"/>
    <mergeCell ref="AD6:AF6"/>
    <mergeCell ref="AD7:AF7"/>
    <mergeCell ref="X5:AF5"/>
    <mergeCell ref="AG6:AI6"/>
    <mergeCell ref="T20:W20"/>
    <mergeCell ref="R9:W9"/>
    <mergeCell ref="T10:W10"/>
    <mergeCell ref="S11:W11"/>
    <mergeCell ref="S12:W12"/>
    <mergeCell ref="S13:W13"/>
    <mergeCell ref="S14:W14"/>
    <mergeCell ref="S15:W15"/>
    <mergeCell ref="S16:W16"/>
    <mergeCell ref="S17:W17"/>
    <mergeCell ref="S18:W18"/>
    <mergeCell ref="R19:W19"/>
    <mergeCell ref="AA8:AC8"/>
    <mergeCell ref="AA9:AC9"/>
    <mergeCell ref="AA10:AC10"/>
    <mergeCell ref="AA11:AC11"/>
    <mergeCell ref="AA12:AC12"/>
    <mergeCell ref="AJ6:AL6"/>
    <mergeCell ref="AM6:AO6"/>
    <mergeCell ref="A25:F25"/>
    <mergeCell ref="A26:B27"/>
    <mergeCell ref="A28:F28"/>
    <mergeCell ref="U28:W28"/>
    <mergeCell ref="U29:W29"/>
    <mergeCell ref="Q8:W8"/>
    <mergeCell ref="X1:AE1"/>
    <mergeCell ref="X2:AE2"/>
    <mergeCell ref="Q5:W7"/>
    <mergeCell ref="X6:Z6"/>
    <mergeCell ref="X7:Z7"/>
    <mergeCell ref="AA6:AC6"/>
    <mergeCell ref="AA7:AC7"/>
    <mergeCell ref="S27:W27"/>
    <mergeCell ref="S28:T30"/>
    <mergeCell ref="S21:W21"/>
    <mergeCell ref="S22:W22"/>
    <mergeCell ref="R23:W23"/>
    <mergeCell ref="T24:W24"/>
    <mergeCell ref="S25:W25"/>
    <mergeCell ref="S26:W26"/>
    <mergeCell ref="U30:W30"/>
    <mergeCell ref="A5:F6"/>
    <mergeCell ref="A7:F7"/>
    <mergeCell ref="X9:Z9"/>
    <mergeCell ref="X10:Z10"/>
    <mergeCell ref="X8:Z8"/>
    <mergeCell ref="X11:Z11"/>
    <mergeCell ref="X12:Z12"/>
    <mergeCell ref="B23:F23"/>
    <mergeCell ref="B24:F24"/>
    <mergeCell ref="B15:F15"/>
    <mergeCell ref="B16:F16"/>
    <mergeCell ref="B17:F17"/>
    <mergeCell ref="B18:F18"/>
    <mergeCell ref="A19:F19"/>
    <mergeCell ref="B11:F11"/>
    <mergeCell ref="X24:Z24"/>
    <mergeCell ref="X18:Z18"/>
    <mergeCell ref="X19:Z19"/>
    <mergeCell ref="X20:Z20"/>
    <mergeCell ref="X22:Z22"/>
    <mergeCell ref="X13:Z13"/>
    <mergeCell ref="X14:Z14"/>
    <mergeCell ref="X15:Z15"/>
    <mergeCell ref="X16:Z16"/>
    <mergeCell ref="X17:Z17"/>
    <mergeCell ref="B12:F12"/>
    <mergeCell ref="B13:F13"/>
    <mergeCell ref="B14:F14"/>
    <mergeCell ref="G7:I7"/>
    <mergeCell ref="J7:L7"/>
    <mergeCell ref="M7:O7"/>
    <mergeCell ref="G8:I8"/>
    <mergeCell ref="J8:L8"/>
    <mergeCell ref="M8:O8"/>
    <mergeCell ref="J13:L13"/>
    <mergeCell ref="M13:O13"/>
    <mergeCell ref="G14:I14"/>
    <mergeCell ref="J14:L14"/>
    <mergeCell ref="M14:O14"/>
    <mergeCell ref="C9:F9"/>
    <mergeCell ref="C10:F10"/>
    <mergeCell ref="G9:I9"/>
    <mergeCell ref="J9:L9"/>
    <mergeCell ref="M9:O9"/>
    <mergeCell ref="G10:I10"/>
    <mergeCell ref="J10:L10"/>
    <mergeCell ref="M10:O10"/>
    <mergeCell ref="B8:F8"/>
    <mergeCell ref="B20:F20"/>
    <mergeCell ref="B21:F21"/>
    <mergeCell ref="B22:F22"/>
    <mergeCell ref="G11:I11"/>
    <mergeCell ref="J11:L11"/>
    <mergeCell ref="M11:O11"/>
    <mergeCell ref="G12:I12"/>
    <mergeCell ref="J12:L12"/>
    <mergeCell ref="M12:O12"/>
    <mergeCell ref="G15:I15"/>
    <mergeCell ref="J15:L15"/>
    <mergeCell ref="M15:O15"/>
    <mergeCell ref="G16:I16"/>
    <mergeCell ref="J16:L16"/>
    <mergeCell ref="M16:O16"/>
    <mergeCell ref="G13:I13"/>
    <mergeCell ref="G20:I20"/>
    <mergeCell ref="J20:L20"/>
    <mergeCell ref="M20:O20"/>
    <mergeCell ref="G17:I17"/>
    <mergeCell ref="J17:L17"/>
    <mergeCell ref="M17:O17"/>
    <mergeCell ref="G18:I18"/>
    <mergeCell ref="J18:L18"/>
    <mergeCell ref="M18:O18"/>
    <mergeCell ref="G28:I28"/>
    <mergeCell ref="J28:L28"/>
    <mergeCell ref="M28:O28"/>
    <mergeCell ref="G25:I25"/>
    <mergeCell ref="J25:L25"/>
    <mergeCell ref="M25:O25"/>
    <mergeCell ref="G26:I26"/>
    <mergeCell ref="J26:L26"/>
    <mergeCell ref="M26:O26"/>
    <mergeCell ref="M5:O5"/>
    <mergeCell ref="M6:O6"/>
    <mergeCell ref="G5:I5"/>
    <mergeCell ref="G6:I6"/>
    <mergeCell ref="J5:L5"/>
    <mergeCell ref="J6:L6"/>
    <mergeCell ref="G27:I27"/>
    <mergeCell ref="J27:L27"/>
    <mergeCell ref="M27:O27"/>
    <mergeCell ref="G23:I23"/>
    <mergeCell ref="J23:L23"/>
    <mergeCell ref="M23:O23"/>
    <mergeCell ref="G24:I24"/>
    <mergeCell ref="J24:L24"/>
    <mergeCell ref="M24:O24"/>
    <mergeCell ref="G21:I21"/>
    <mergeCell ref="J21:L21"/>
    <mergeCell ref="M21:O21"/>
    <mergeCell ref="G22:I22"/>
    <mergeCell ref="J22:L22"/>
    <mergeCell ref="M22:O22"/>
    <mergeCell ref="G19:I19"/>
    <mergeCell ref="J19:L19"/>
    <mergeCell ref="M19:O19"/>
    <mergeCell ref="AG7:AI7"/>
    <mergeCell ref="AJ7:AL7"/>
    <mergeCell ref="AM7:AO7"/>
    <mergeCell ref="AG8:AI8"/>
    <mergeCell ref="AJ8:AL8"/>
    <mergeCell ref="AM8:AO8"/>
    <mergeCell ref="AG9:AI9"/>
    <mergeCell ref="AJ9:AL9"/>
    <mergeCell ref="AM9:AO9"/>
    <mergeCell ref="AA18:AC18"/>
    <mergeCell ref="AA19:AC19"/>
    <mergeCell ref="AA20:AC20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D17:AF17"/>
    <mergeCell ref="AD18:AF18"/>
    <mergeCell ref="AD19:AF19"/>
    <mergeCell ref="AD20:AF20"/>
    <mergeCell ref="AA13:AC13"/>
    <mergeCell ref="AA14:AC14"/>
    <mergeCell ref="AG12:AI12"/>
    <mergeCell ref="AJ12:AL12"/>
    <mergeCell ref="AM12:AO12"/>
    <mergeCell ref="AG13:AI13"/>
    <mergeCell ref="AJ13:AL13"/>
    <mergeCell ref="AM13:AO13"/>
    <mergeCell ref="AG10:AI10"/>
    <mergeCell ref="AJ10:AL10"/>
    <mergeCell ref="AM10:AO10"/>
    <mergeCell ref="AG11:AI11"/>
    <mergeCell ref="AJ11:AL11"/>
    <mergeCell ref="AM11:AO11"/>
    <mergeCell ref="AA22:AC22"/>
    <mergeCell ref="AD22:AF22"/>
    <mergeCell ref="X23:Z23"/>
    <mergeCell ref="AA23:AC23"/>
    <mergeCell ref="AD23:AF23"/>
    <mergeCell ref="AG14:AI14"/>
    <mergeCell ref="AJ14:AL14"/>
    <mergeCell ref="AM14:AO14"/>
    <mergeCell ref="AG15:AI15"/>
    <mergeCell ref="AJ15:AL15"/>
    <mergeCell ref="AM15:AO15"/>
    <mergeCell ref="AA15:AC15"/>
    <mergeCell ref="AA16:AC16"/>
    <mergeCell ref="AA17:AC17"/>
    <mergeCell ref="AG18:AI18"/>
    <mergeCell ref="AJ18:AL18"/>
    <mergeCell ref="AM18:AO18"/>
    <mergeCell ref="AG19:AI19"/>
    <mergeCell ref="AJ19:AL19"/>
    <mergeCell ref="AM19:AO19"/>
    <mergeCell ref="AG16:AI16"/>
    <mergeCell ref="AJ16:AL16"/>
    <mergeCell ref="AM16:AO16"/>
    <mergeCell ref="AG17:AI17"/>
    <mergeCell ref="AA24:AC24"/>
    <mergeCell ref="AD24:AF24"/>
    <mergeCell ref="U39:W39"/>
    <mergeCell ref="U34:W34"/>
    <mergeCell ref="U35:W35"/>
    <mergeCell ref="X28:Z28"/>
    <mergeCell ref="AA28:AC28"/>
    <mergeCell ref="AD28:AF28"/>
    <mergeCell ref="X29:Z29"/>
    <mergeCell ref="AA29:AC29"/>
    <mergeCell ref="AD29:AF29"/>
    <mergeCell ref="X30:Z30"/>
    <mergeCell ref="AA30:AC30"/>
    <mergeCell ref="AD30:AF30"/>
    <mergeCell ref="X31:Z31"/>
    <mergeCell ref="AA31:AC31"/>
    <mergeCell ref="S37:W37"/>
    <mergeCell ref="U33:W33"/>
    <mergeCell ref="AD31:AF31"/>
    <mergeCell ref="X32:Z32"/>
    <mergeCell ref="AA32:AC32"/>
    <mergeCell ref="AD32:AF32"/>
    <mergeCell ref="X33:Z33"/>
    <mergeCell ref="AA33:AC33"/>
    <mergeCell ref="AJ17:AL17"/>
    <mergeCell ref="AM17:AO17"/>
    <mergeCell ref="AG22:AI22"/>
    <mergeCell ref="AJ22:AL22"/>
    <mergeCell ref="AM22:AO22"/>
    <mergeCell ref="AG23:AI23"/>
    <mergeCell ref="AJ23:AL23"/>
    <mergeCell ref="AM23:AO23"/>
    <mergeCell ref="AG20:AI20"/>
    <mergeCell ref="AJ20:AL20"/>
    <mergeCell ref="AM20:AO20"/>
    <mergeCell ref="AG21:AI21"/>
    <mergeCell ref="AJ21:AL21"/>
    <mergeCell ref="AM21:AO21"/>
    <mergeCell ref="AG26:AI26"/>
    <mergeCell ref="AJ26:AL26"/>
    <mergeCell ref="AM26:AO26"/>
    <mergeCell ref="AG27:AI27"/>
    <mergeCell ref="AJ27:AL27"/>
    <mergeCell ref="AM27:AO27"/>
    <mergeCell ref="AG24:AI24"/>
    <mergeCell ref="AJ24:AL24"/>
    <mergeCell ref="AM24:AO24"/>
    <mergeCell ref="AG25:AI25"/>
    <mergeCell ref="AJ25:AL25"/>
    <mergeCell ref="AM25:AO25"/>
    <mergeCell ref="AG30:AI30"/>
    <mergeCell ref="AJ30:AL30"/>
    <mergeCell ref="AM30:AO30"/>
    <mergeCell ref="AG31:AI31"/>
    <mergeCell ref="AJ31:AL31"/>
    <mergeCell ref="AM31:AO31"/>
    <mergeCell ref="AG28:AI28"/>
    <mergeCell ref="AJ28:AL28"/>
    <mergeCell ref="AM28:AO28"/>
    <mergeCell ref="AG29:AI29"/>
    <mergeCell ref="AJ29:AL29"/>
    <mergeCell ref="AM29:AO29"/>
    <mergeCell ref="AM34:AO34"/>
    <mergeCell ref="AG35:AI35"/>
    <mergeCell ref="AJ35:AL35"/>
    <mergeCell ref="AM35:AO35"/>
    <mergeCell ref="AG32:AI32"/>
    <mergeCell ref="AJ32:AL32"/>
    <mergeCell ref="AM32:AO32"/>
    <mergeCell ref="AG33:AI33"/>
    <mergeCell ref="AJ33:AL33"/>
    <mergeCell ref="AM33:AO33"/>
    <mergeCell ref="AM38:AO38"/>
    <mergeCell ref="AG39:AI39"/>
    <mergeCell ref="AJ39:AL39"/>
    <mergeCell ref="AM39:AO39"/>
    <mergeCell ref="AG36:AI36"/>
    <mergeCell ref="AJ36:AL36"/>
    <mergeCell ref="AM36:AO36"/>
    <mergeCell ref="AG37:AI37"/>
    <mergeCell ref="AJ37:AL37"/>
    <mergeCell ref="AM37:AO37"/>
    <mergeCell ref="AM45:AO45"/>
    <mergeCell ref="AG42:AI42"/>
    <mergeCell ref="AJ42:AL42"/>
    <mergeCell ref="AM42:AO42"/>
    <mergeCell ref="AG43:AI43"/>
    <mergeCell ref="AJ43:AL43"/>
    <mergeCell ref="AM43:AO43"/>
    <mergeCell ref="AG40:AI40"/>
    <mergeCell ref="AJ40:AL40"/>
    <mergeCell ref="AM40:AO40"/>
    <mergeCell ref="AG41:AI41"/>
    <mergeCell ref="AJ41:AL41"/>
    <mergeCell ref="AM41:AO41"/>
    <mergeCell ref="AM48:AO48"/>
    <mergeCell ref="U40:W40"/>
    <mergeCell ref="X21:Z21"/>
    <mergeCell ref="AA21:AC21"/>
    <mergeCell ref="AD21:AF21"/>
    <mergeCell ref="X25:Z25"/>
    <mergeCell ref="AA25:AC25"/>
    <mergeCell ref="AD25:AF25"/>
    <mergeCell ref="X26:Z26"/>
    <mergeCell ref="AA26:AC26"/>
    <mergeCell ref="AD26:AF26"/>
    <mergeCell ref="X27:Z27"/>
    <mergeCell ref="AA27:AC27"/>
    <mergeCell ref="AD27:AF27"/>
    <mergeCell ref="AG46:AI46"/>
    <mergeCell ref="AJ46:AL46"/>
    <mergeCell ref="AM46:AO46"/>
    <mergeCell ref="AG47:AI47"/>
    <mergeCell ref="AJ47:AL47"/>
    <mergeCell ref="AM47:AO47"/>
    <mergeCell ref="AG44:AI44"/>
    <mergeCell ref="AJ44:AL44"/>
    <mergeCell ref="AM44:AO44"/>
    <mergeCell ref="AG45:AI45"/>
    <mergeCell ref="AD33:AF33"/>
    <mergeCell ref="AG48:AI48"/>
    <mergeCell ref="AJ48:AL48"/>
    <mergeCell ref="AJ45:AL45"/>
    <mergeCell ref="AG38:AI38"/>
    <mergeCell ref="AJ38:AL38"/>
    <mergeCell ref="AG34:AI34"/>
    <mergeCell ref="AJ34:AL34"/>
    <mergeCell ref="X36:Z36"/>
    <mergeCell ref="AA36:AC36"/>
    <mergeCell ref="AD36:AF36"/>
    <mergeCell ref="X37:Z37"/>
    <mergeCell ref="AA37:AC37"/>
    <mergeCell ref="AD37:AF37"/>
    <mergeCell ref="X34:Z34"/>
    <mergeCell ref="AA34:AC34"/>
    <mergeCell ref="AD34:AF34"/>
    <mergeCell ref="X35:Z35"/>
    <mergeCell ref="AA35:AC35"/>
    <mergeCell ref="AD35:AF35"/>
    <mergeCell ref="AD43:AF43"/>
    <mergeCell ref="X40:Z40"/>
    <mergeCell ref="AA40:AC40"/>
    <mergeCell ref="AD40:AF40"/>
    <mergeCell ref="X41:Z41"/>
    <mergeCell ref="AA41:AC41"/>
    <mergeCell ref="AD41:AF41"/>
    <mergeCell ref="X38:Z38"/>
    <mergeCell ref="AA38:AC38"/>
    <mergeCell ref="AD38:AF38"/>
    <mergeCell ref="X39:Z39"/>
    <mergeCell ref="AA39:AC39"/>
    <mergeCell ref="AD39:AF39"/>
    <mergeCell ref="AH1:AO1"/>
    <mergeCell ref="AH2:AO2"/>
    <mergeCell ref="X48:Z48"/>
    <mergeCell ref="AA48:AC48"/>
    <mergeCell ref="AD48:AF48"/>
    <mergeCell ref="U44:W44"/>
    <mergeCell ref="U45:W45"/>
    <mergeCell ref="X46:Z46"/>
    <mergeCell ref="AA46:AC46"/>
    <mergeCell ref="AD46:AF46"/>
    <mergeCell ref="X47:Z47"/>
    <mergeCell ref="AA47:AC47"/>
    <mergeCell ref="AD47:AF47"/>
    <mergeCell ref="X44:Z44"/>
    <mergeCell ref="AA44:AC44"/>
    <mergeCell ref="AD44:AF44"/>
    <mergeCell ref="X45:Z45"/>
    <mergeCell ref="AA45:AC45"/>
    <mergeCell ref="AD45:AF45"/>
    <mergeCell ref="X42:Z42"/>
    <mergeCell ref="AA42:AC42"/>
    <mergeCell ref="AD42:AF42"/>
    <mergeCell ref="X43:Z43"/>
    <mergeCell ref="AA43:AC43"/>
  </mergeCells>
  <phoneticPr fontId="1"/>
  <pageMargins left="0.78740157480314965" right="0.43307086614173229" top="0.78740157480314965" bottom="0.39370078740157483" header="0.43307086614173229" footer="0.19685039370078741"/>
  <pageSetup paperSize="9" scale="7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Y28"/>
  <sheetViews>
    <sheetView showGridLines="0" tabSelected="1" view="pageBreakPreview" zoomScaleNormal="100" zoomScaleSheetLayoutView="100" workbookViewId="0"/>
  </sheetViews>
  <sheetFormatPr defaultColWidth="9" defaultRowHeight="12.75" customHeight="1" x14ac:dyDescent="0.15"/>
  <cols>
    <col min="1" max="1" width="3.5" style="2" customWidth="1"/>
    <col min="2" max="4" width="2.625" style="2" customWidth="1"/>
    <col min="5" max="5" width="8.75" style="2" customWidth="1"/>
    <col min="6" max="6" width="9" style="2" customWidth="1"/>
    <col min="7" max="7" width="3.625" style="2" customWidth="1"/>
    <col min="8" max="9" width="10.625" style="2" customWidth="1"/>
    <col min="10" max="10" width="7.625" style="2" customWidth="1"/>
    <col min="11" max="11" width="8.625" style="2" customWidth="1"/>
    <col min="12" max="12" width="30.625" style="2" customWidth="1"/>
    <col min="13" max="13" width="11.625" style="2" customWidth="1"/>
    <col min="14" max="15" width="9.625" style="2" customWidth="1"/>
    <col min="16" max="16" width="7.125" style="2" hidden="1" customWidth="1"/>
    <col min="17" max="17" width="6.125" style="2" customWidth="1"/>
    <col min="18" max="18" width="3.625" style="2" customWidth="1"/>
    <col min="19" max="21" width="2.625" style="2" customWidth="1"/>
    <col min="22" max="22" width="8.625" style="2" customWidth="1"/>
    <col min="23" max="23" width="7.625" style="2" customWidth="1"/>
    <col min="24" max="24" width="6" style="2" customWidth="1"/>
    <col min="25" max="25" width="6.125" style="2" customWidth="1"/>
    <col min="26" max="16384" width="9" style="2"/>
  </cols>
  <sheetData>
    <row r="1" spans="1:25" ht="15" customHeight="1" x14ac:dyDescent="0.15">
      <c r="A1" s="1" t="str">
        <f>No.1!A1&amp;"年産　米生産費統計（個別経営体）　個別結果検討表　№６"</f>
        <v>2019年産　米生産費統計（個別経営体）　個別結果検討表　№６</v>
      </c>
      <c r="C1" s="1"/>
      <c r="D1" s="1"/>
      <c r="E1" s="1"/>
      <c r="F1" s="1"/>
      <c r="G1" s="1"/>
      <c r="H1" s="1"/>
      <c r="I1" s="1"/>
      <c r="M1" s="289" t="s">
        <v>165</v>
      </c>
      <c r="N1" s="290"/>
      <c r="O1" s="291"/>
      <c r="S1" s="10"/>
      <c r="T1" s="10"/>
      <c r="U1" s="10"/>
      <c r="V1" s="106"/>
      <c r="W1" s="106"/>
    </row>
    <row r="2" spans="1:25" ht="15" customHeight="1" x14ac:dyDescent="0.15">
      <c r="B2" s="1"/>
      <c r="C2" s="1"/>
      <c r="D2" s="1"/>
      <c r="E2" s="1"/>
      <c r="F2" s="1"/>
      <c r="G2" s="1"/>
      <c r="H2" s="1"/>
      <c r="I2" s="1"/>
      <c r="M2" s="485" t="str">
        <f>IF(No.1!O2="","",No.1!O2)</f>
        <v/>
      </c>
      <c r="N2" s="486"/>
      <c r="O2" s="487"/>
      <c r="S2" s="49"/>
      <c r="T2" s="49"/>
      <c r="U2" s="49"/>
      <c r="V2" s="105"/>
      <c r="W2" s="29"/>
    </row>
    <row r="3" spans="1:25" ht="14.25" customHeight="1" x14ac:dyDescent="0.15">
      <c r="B3" s="1"/>
      <c r="C3" s="1"/>
      <c r="D3" s="1"/>
      <c r="E3" s="1"/>
      <c r="F3" s="1"/>
      <c r="G3" s="1"/>
      <c r="H3" s="1"/>
      <c r="I3" s="1"/>
      <c r="S3" s="9"/>
      <c r="T3" s="38"/>
      <c r="U3" s="38"/>
      <c r="V3" s="9"/>
      <c r="W3" s="3"/>
      <c r="X3" s="3"/>
      <c r="Y3" s="3"/>
    </row>
    <row r="4" spans="1:25" ht="14.45" customHeight="1" thickBot="1" x14ac:dyDescent="0.2">
      <c r="A4" s="39" t="s">
        <v>254</v>
      </c>
      <c r="B4" s="10"/>
      <c r="C4" s="10"/>
      <c r="D4" s="10"/>
      <c r="E4" s="10"/>
      <c r="F4" s="10"/>
      <c r="G4" s="10"/>
      <c r="H4" s="10"/>
      <c r="I4" s="10"/>
      <c r="J4" s="10"/>
      <c r="K4" s="39"/>
      <c r="L4" s="10"/>
      <c r="M4" s="10"/>
      <c r="N4" s="10"/>
      <c r="O4" s="10"/>
      <c r="P4" s="10"/>
      <c r="Q4" s="10"/>
      <c r="R4" s="10"/>
      <c r="S4" s="39"/>
      <c r="T4" s="10"/>
      <c r="U4" s="10"/>
      <c r="V4" s="10"/>
      <c r="W4" s="10"/>
      <c r="X4" s="10"/>
      <c r="Y4" s="10"/>
    </row>
    <row r="5" spans="1:25" ht="15" customHeight="1" x14ac:dyDescent="0.15">
      <c r="A5" s="240" t="s">
        <v>166</v>
      </c>
      <c r="B5" s="241"/>
      <c r="C5" s="241"/>
      <c r="D5" s="241"/>
      <c r="E5" s="241"/>
      <c r="F5" s="241"/>
      <c r="G5" s="244" t="s">
        <v>167</v>
      </c>
      <c r="H5" s="257">
        <f>No.1!H5</f>
        <v>19</v>
      </c>
      <c r="I5" s="255">
        <f>H5-1</f>
        <v>18</v>
      </c>
      <c r="J5" s="91" t="s">
        <v>203</v>
      </c>
      <c r="K5" s="253" t="s">
        <v>250</v>
      </c>
      <c r="L5" s="295" t="s">
        <v>204</v>
      </c>
      <c r="M5" s="296"/>
      <c r="N5" s="296"/>
      <c r="O5" s="297"/>
      <c r="P5" s="44"/>
      <c r="Q5" s="47"/>
      <c r="R5" s="47"/>
      <c r="S5" s="47"/>
      <c r="T5" s="47"/>
      <c r="U5" s="47"/>
      <c r="V5" s="47"/>
      <c r="W5" s="47"/>
      <c r="X5" s="47"/>
      <c r="Y5" s="47"/>
    </row>
    <row r="6" spans="1:25" ht="15" customHeight="1" thickBot="1" x14ac:dyDescent="0.2">
      <c r="A6" s="242"/>
      <c r="B6" s="243"/>
      <c r="C6" s="243"/>
      <c r="D6" s="243"/>
      <c r="E6" s="243"/>
      <c r="F6" s="243"/>
      <c r="G6" s="245"/>
      <c r="H6" s="258"/>
      <c r="I6" s="256"/>
      <c r="J6" s="31" t="s">
        <v>206</v>
      </c>
      <c r="K6" s="254"/>
      <c r="L6" s="298"/>
      <c r="M6" s="299"/>
      <c r="N6" s="299"/>
      <c r="O6" s="300"/>
      <c r="P6" s="45"/>
      <c r="Q6" s="47"/>
      <c r="R6" s="47"/>
      <c r="S6" s="47"/>
      <c r="T6" s="47"/>
      <c r="U6" s="47"/>
      <c r="V6" s="47"/>
      <c r="W6" s="47"/>
      <c r="X6" s="47"/>
      <c r="Y6" s="47"/>
    </row>
    <row r="7" spans="1:25" ht="18.75" customHeight="1" x14ac:dyDescent="0.15">
      <c r="A7" s="598" t="s">
        <v>168</v>
      </c>
      <c r="B7" s="599" t="s">
        <v>169</v>
      </c>
      <c r="C7" s="600"/>
      <c r="D7" s="600"/>
      <c r="E7" s="600"/>
      <c r="F7" s="601"/>
      <c r="G7" s="63" t="s">
        <v>170</v>
      </c>
      <c r="H7" s="219"/>
      <c r="I7" s="220"/>
      <c r="J7" s="221" t="str">
        <f>IFERROR(100*(H7-I7)/I7,"-")</f>
        <v>-</v>
      </c>
      <c r="K7" s="125">
        <f>H7-I7</f>
        <v>0</v>
      </c>
      <c r="L7" s="602"/>
      <c r="M7" s="603"/>
      <c r="N7" s="603"/>
      <c r="O7" s="604"/>
      <c r="P7" s="46"/>
      <c r="Q7" s="48"/>
      <c r="R7" s="48"/>
      <c r="S7" s="48"/>
      <c r="T7" s="48"/>
    </row>
    <row r="8" spans="1:25" ht="18.75" customHeight="1" x14ac:dyDescent="0.15">
      <c r="A8" s="264"/>
      <c r="B8" s="239"/>
      <c r="C8" s="231" t="s">
        <v>171</v>
      </c>
      <c r="D8" s="231"/>
      <c r="E8" s="231"/>
      <c r="F8" s="232"/>
      <c r="G8" s="64" t="s">
        <v>172</v>
      </c>
      <c r="H8" s="126"/>
      <c r="I8" s="130"/>
      <c r="J8" s="222" t="str">
        <f t="shared" ref="J8:J28" si="0">IFERROR(100*(H8-I8)/I8,"-")</f>
        <v>-</v>
      </c>
      <c r="K8" s="130">
        <f t="shared" ref="K8:K28" si="1">H8-I8</f>
        <v>0</v>
      </c>
      <c r="L8" s="586"/>
      <c r="M8" s="587"/>
      <c r="N8" s="587"/>
      <c r="O8" s="588"/>
      <c r="P8" s="41"/>
      <c r="Q8" s="48"/>
      <c r="R8" s="48"/>
      <c r="S8" s="48"/>
      <c r="T8" s="48"/>
    </row>
    <row r="9" spans="1:25" ht="18.75" customHeight="1" x14ac:dyDescent="0.15">
      <c r="A9" s="264"/>
      <c r="B9" s="231"/>
      <c r="C9" s="231" t="s">
        <v>173</v>
      </c>
      <c r="D9" s="231"/>
      <c r="E9" s="231"/>
      <c r="F9" s="232"/>
      <c r="G9" s="64" t="s">
        <v>172</v>
      </c>
      <c r="H9" s="126"/>
      <c r="I9" s="130"/>
      <c r="J9" s="222" t="str">
        <f t="shared" si="0"/>
        <v>-</v>
      </c>
      <c r="K9" s="130">
        <f t="shared" si="1"/>
        <v>0</v>
      </c>
      <c r="L9" s="586"/>
      <c r="M9" s="587"/>
      <c r="N9" s="587"/>
      <c r="O9" s="588"/>
      <c r="P9" s="41"/>
      <c r="Q9" s="48"/>
      <c r="R9" s="48"/>
      <c r="S9" s="48"/>
      <c r="T9" s="48"/>
    </row>
    <row r="10" spans="1:25" ht="18.75" customHeight="1" x14ac:dyDescent="0.15">
      <c r="A10" s="264"/>
      <c r="B10" s="231"/>
      <c r="C10" s="231" t="s">
        <v>174</v>
      </c>
      <c r="D10" s="231"/>
      <c r="E10" s="231"/>
      <c r="F10" s="232"/>
      <c r="G10" s="64" t="s">
        <v>172</v>
      </c>
      <c r="H10" s="126"/>
      <c r="I10" s="130"/>
      <c r="J10" s="222" t="str">
        <f t="shared" si="0"/>
        <v>-</v>
      </c>
      <c r="K10" s="130">
        <f t="shared" si="1"/>
        <v>0</v>
      </c>
      <c r="L10" s="586"/>
      <c r="M10" s="587"/>
      <c r="N10" s="587"/>
      <c r="O10" s="588"/>
      <c r="P10" s="41"/>
      <c r="Q10" s="48"/>
      <c r="R10" s="48"/>
      <c r="S10" s="48"/>
      <c r="T10" s="48"/>
    </row>
    <row r="11" spans="1:25" ht="18.75" customHeight="1" x14ac:dyDescent="0.15">
      <c r="A11" s="264"/>
      <c r="B11" s="231"/>
      <c r="C11" s="231" t="s">
        <v>175</v>
      </c>
      <c r="D11" s="231"/>
      <c r="E11" s="231"/>
      <c r="F11" s="232"/>
      <c r="G11" s="64" t="s">
        <v>172</v>
      </c>
      <c r="H11" s="126"/>
      <c r="I11" s="130"/>
      <c r="J11" s="222" t="str">
        <f t="shared" si="0"/>
        <v>-</v>
      </c>
      <c r="K11" s="130">
        <f t="shared" si="1"/>
        <v>0</v>
      </c>
      <c r="L11" s="586"/>
      <c r="M11" s="587"/>
      <c r="N11" s="587"/>
      <c r="O11" s="588"/>
      <c r="P11" s="41"/>
      <c r="Q11" s="48"/>
      <c r="R11" s="48"/>
      <c r="S11" s="48"/>
      <c r="T11" s="48"/>
    </row>
    <row r="12" spans="1:25" ht="18.75" customHeight="1" x14ac:dyDescent="0.15">
      <c r="A12" s="264"/>
      <c r="B12" s="231"/>
      <c r="C12" s="231" t="s">
        <v>176</v>
      </c>
      <c r="D12" s="231"/>
      <c r="E12" s="231"/>
      <c r="F12" s="232"/>
      <c r="G12" s="64" t="s">
        <v>172</v>
      </c>
      <c r="H12" s="126"/>
      <c r="I12" s="130"/>
      <c r="J12" s="222" t="str">
        <f t="shared" si="0"/>
        <v>-</v>
      </c>
      <c r="K12" s="130">
        <f t="shared" si="1"/>
        <v>0</v>
      </c>
      <c r="L12" s="586"/>
      <c r="M12" s="587"/>
      <c r="N12" s="587"/>
      <c r="O12" s="588"/>
      <c r="P12" s="41"/>
      <c r="Q12" s="48"/>
      <c r="R12" s="48"/>
      <c r="S12" s="48"/>
      <c r="T12" s="48"/>
    </row>
    <row r="13" spans="1:25" ht="18.75" customHeight="1" x14ac:dyDescent="0.15">
      <c r="A13" s="264"/>
      <c r="B13" s="231"/>
      <c r="C13" s="250" t="s">
        <v>274</v>
      </c>
      <c r="D13" s="250"/>
      <c r="E13" s="250"/>
      <c r="F13" s="251"/>
      <c r="G13" s="64" t="s">
        <v>172</v>
      </c>
      <c r="H13" s="126"/>
      <c r="I13" s="130"/>
      <c r="J13" s="222" t="str">
        <f t="shared" si="0"/>
        <v>-</v>
      </c>
      <c r="K13" s="130">
        <f t="shared" si="1"/>
        <v>0</v>
      </c>
      <c r="L13" s="586"/>
      <c r="M13" s="587"/>
      <c r="N13" s="587"/>
      <c r="O13" s="588"/>
      <c r="P13" s="41"/>
      <c r="Q13" s="48"/>
      <c r="R13" s="48"/>
      <c r="S13" s="48"/>
      <c r="T13" s="48"/>
    </row>
    <row r="14" spans="1:25" ht="18.75" customHeight="1" x14ac:dyDescent="0.15">
      <c r="A14" s="264"/>
      <c r="B14" s="231"/>
      <c r="C14" s="250" t="s">
        <v>276</v>
      </c>
      <c r="D14" s="250"/>
      <c r="E14" s="250"/>
      <c r="F14" s="251"/>
      <c r="G14" s="64" t="s">
        <v>172</v>
      </c>
      <c r="H14" s="126"/>
      <c r="I14" s="130"/>
      <c r="J14" s="222" t="str">
        <f t="shared" si="0"/>
        <v>-</v>
      </c>
      <c r="K14" s="130">
        <f t="shared" si="1"/>
        <v>0</v>
      </c>
      <c r="L14" s="586"/>
      <c r="M14" s="587"/>
      <c r="N14" s="587"/>
      <c r="O14" s="588"/>
      <c r="P14" s="41"/>
      <c r="Q14" s="48"/>
      <c r="R14" s="48"/>
      <c r="S14" s="48"/>
      <c r="T14" s="48"/>
    </row>
    <row r="15" spans="1:25" ht="18.75" customHeight="1" x14ac:dyDescent="0.15">
      <c r="A15" s="265"/>
      <c r="B15" s="605"/>
      <c r="C15" s="605" t="s">
        <v>278</v>
      </c>
      <c r="D15" s="605"/>
      <c r="E15" s="605"/>
      <c r="F15" s="606"/>
      <c r="G15" s="66" t="s">
        <v>275</v>
      </c>
      <c r="H15" s="145"/>
      <c r="I15" s="148"/>
      <c r="J15" s="223" t="str">
        <f t="shared" si="0"/>
        <v>-</v>
      </c>
      <c r="K15" s="148">
        <f t="shared" si="1"/>
        <v>0</v>
      </c>
      <c r="L15" s="607"/>
      <c r="M15" s="608"/>
      <c r="N15" s="608"/>
      <c r="O15" s="609"/>
      <c r="P15" s="41"/>
      <c r="Q15" s="48"/>
      <c r="R15" s="48"/>
      <c r="S15" s="48"/>
      <c r="T15" s="48"/>
    </row>
    <row r="16" spans="1:25" ht="18.75" customHeight="1" x14ac:dyDescent="0.15">
      <c r="A16" s="595" t="s">
        <v>267</v>
      </c>
      <c r="B16" s="247" t="s">
        <v>255</v>
      </c>
      <c r="C16" s="247"/>
      <c r="D16" s="247"/>
      <c r="E16" s="247"/>
      <c r="F16" s="247"/>
      <c r="G16" s="108" t="s">
        <v>202</v>
      </c>
      <c r="H16" s="610"/>
      <c r="I16" s="224"/>
      <c r="J16" s="225" t="str">
        <f t="shared" si="0"/>
        <v>-</v>
      </c>
      <c r="K16" s="224">
        <f t="shared" si="1"/>
        <v>0</v>
      </c>
      <c r="L16" s="592"/>
      <c r="M16" s="593"/>
      <c r="N16" s="593"/>
      <c r="O16" s="594"/>
      <c r="P16" s="46"/>
      <c r="Q16" s="48"/>
      <c r="R16" s="48"/>
      <c r="S16" s="48"/>
      <c r="T16" s="48"/>
    </row>
    <row r="17" spans="1:20" ht="18.75" customHeight="1" x14ac:dyDescent="0.15">
      <c r="A17" s="596"/>
      <c r="B17" s="231" t="s">
        <v>256</v>
      </c>
      <c r="C17" s="231"/>
      <c r="D17" s="231"/>
      <c r="E17" s="231"/>
      <c r="F17" s="231"/>
      <c r="G17" s="64" t="s">
        <v>172</v>
      </c>
      <c r="H17" s="153"/>
      <c r="I17" s="226"/>
      <c r="J17" s="222" t="str">
        <f t="shared" si="0"/>
        <v>-</v>
      </c>
      <c r="K17" s="226">
        <f t="shared" si="1"/>
        <v>0</v>
      </c>
      <c r="L17" s="586"/>
      <c r="M17" s="587"/>
      <c r="N17" s="587"/>
      <c r="O17" s="588"/>
      <c r="P17" s="41"/>
      <c r="Q17" s="48"/>
      <c r="R17" s="48"/>
      <c r="S17" s="48"/>
      <c r="T17" s="48"/>
    </row>
    <row r="18" spans="1:20" ht="18.75" customHeight="1" x14ac:dyDescent="0.15">
      <c r="A18" s="596"/>
      <c r="B18" s="231" t="s">
        <v>257</v>
      </c>
      <c r="C18" s="231"/>
      <c r="D18" s="231"/>
      <c r="E18" s="231"/>
      <c r="F18" s="231"/>
      <c r="G18" s="64" t="s">
        <v>172</v>
      </c>
      <c r="H18" s="153"/>
      <c r="I18" s="226"/>
      <c r="J18" s="222" t="str">
        <f t="shared" si="0"/>
        <v>-</v>
      </c>
      <c r="K18" s="226">
        <f t="shared" si="1"/>
        <v>0</v>
      </c>
      <c r="L18" s="586"/>
      <c r="M18" s="587"/>
      <c r="N18" s="587"/>
      <c r="O18" s="588"/>
      <c r="P18" s="41"/>
      <c r="Q18" s="48"/>
      <c r="R18" s="48"/>
      <c r="S18" s="48"/>
      <c r="T18" s="48"/>
    </row>
    <row r="19" spans="1:20" ht="18.75" customHeight="1" x14ac:dyDescent="0.15">
      <c r="A19" s="596"/>
      <c r="B19" s="231" t="s">
        <v>258</v>
      </c>
      <c r="C19" s="231"/>
      <c r="D19" s="231"/>
      <c r="E19" s="231"/>
      <c r="F19" s="231"/>
      <c r="G19" s="64" t="s">
        <v>172</v>
      </c>
      <c r="H19" s="153"/>
      <c r="I19" s="226"/>
      <c r="J19" s="222" t="str">
        <f t="shared" si="0"/>
        <v>-</v>
      </c>
      <c r="K19" s="226">
        <f t="shared" si="1"/>
        <v>0</v>
      </c>
      <c r="L19" s="586"/>
      <c r="M19" s="587"/>
      <c r="N19" s="587"/>
      <c r="O19" s="588"/>
      <c r="P19" s="41"/>
      <c r="Q19" s="48"/>
      <c r="R19" s="48"/>
      <c r="S19" s="48"/>
      <c r="T19" s="48"/>
    </row>
    <row r="20" spans="1:20" ht="18.75" customHeight="1" x14ac:dyDescent="0.15">
      <c r="A20" s="596"/>
      <c r="B20" s="231" t="s">
        <v>259</v>
      </c>
      <c r="C20" s="231"/>
      <c r="D20" s="231"/>
      <c r="E20" s="231"/>
      <c r="F20" s="231"/>
      <c r="G20" s="64" t="s">
        <v>172</v>
      </c>
      <c r="H20" s="153"/>
      <c r="I20" s="226"/>
      <c r="J20" s="222" t="str">
        <f t="shared" si="0"/>
        <v>-</v>
      </c>
      <c r="K20" s="226">
        <f t="shared" si="1"/>
        <v>0</v>
      </c>
      <c r="L20" s="586"/>
      <c r="M20" s="587"/>
      <c r="N20" s="587"/>
      <c r="O20" s="588"/>
      <c r="P20" s="41"/>
      <c r="Q20" s="48"/>
      <c r="R20" s="48"/>
      <c r="S20" s="48"/>
      <c r="T20" s="48"/>
    </row>
    <row r="21" spans="1:20" ht="18.75" customHeight="1" x14ac:dyDescent="0.15">
      <c r="A21" s="596"/>
      <c r="B21" s="231" t="s">
        <v>260</v>
      </c>
      <c r="C21" s="231"/>
      <c r="D21" s="231"/>
      <c r="E21" s="231"/>
      <c r="F21" s="231"/>
      <c r="G21" s="64" t="s">
        <v>172</v>
      </c>
      <c r="H21" s="153"/>
      <c r="I21" s="226"/>
      <c r="J21" s="222" t="str">
        <f t="shared" si="0"/>
        <v>-</v>
      </c>
      <c r="K21" s="226">
        <f t="shared" si="1"/>
        <v>0</v>
      </c>
      <c r="L21" s="586"/>
      <c r="M21" s="587"/>
      <c r="N21" s="587"/>
      <c r="O21" s="588"/>
      <c r="P21" s="41"/>
      <c r="Q21" s="48"/>
      <c r="R21" s="48"/>
      <c r="S21" s="48"/>
      <c r="T21" s="48"/>
    </row>
    <row r="22" spans="1:20" ht="18.75" customHeight="1" x14ac:dyDescent="0.15">
      <c r="A22" s="596"/>
      <c r="B22" s="231" t="s">
        <v>261</v>
      </c>
      <c r="C22" s="231"/>
      <c r="D22" s="231"/>
      <c r="E22" s="231"/>
      <c r="F22" s="231"/>
      <c r="G22" s="64" t="s">
        <v>172</v>
      </c>
      <c r="H22" s="153"/>
      <c r="I22" s="226"/>
      <c r="J22" s="222" t="str">
        <f t="shared" si="0"/>
        <v>-</v>
      </c>
      <c r="K22" s="226">
        <f t="shared" si="1"/>
        <v>0</v>
      </c>
      <c r="L22" s="586"/>
      <c r="M22" s="587"/>
      <c r="N22" s="587"/>
      <c r="O22" s="588"/>
      <c r="P22" s="41"/>
      <c r="Q22" s="48"/>
      <c r="R22" s="48"/>
      <c r="S22" s="48"/>
      <c r="T22" s="48"/>
    </row>
    <row r="23" spans="1:20" ht="18.75" customHeight="1" x14ac:dyDescent="0.15">
      <c r="A23" s="596"/>
      <c r="B23" s="231" t="s">
        <v>262</v>
      </c>
      <c r="C23" s="231"/>
      <c r="D23" s="231"/>
      <c r="E23" s="231"/>
      <c r="F23" s="231"/>
      <c r="G23" s="64" t="s">
        <v>172</v>
      </c>
      <c r="H23" s="153"/>
      <c r="I23" s="226"/>
      <c r="J23" s="222" t="str">
        <f t="shared" si="0"/>
        <v>-</v>
      </c>
      <c r="K23" s="226">
        <f t="shared" si="1"/>
        <v>0</v>
      </c>
      <c r="L23" s="586"/>
      <c r="M23" s="587"/>
      <c r="N23" s="587"/>
      <c r="O23" s="588"/>
      <c r="P23" s="41"/>
      <c r="Q23" s="48"/>
      <c r="R23" s="48"/>
      <c r="S23" s="48"/>
      <c r="T23" s="48"/>
    </row>
    <row r="24" spans="1:20" ht="18.75" customHeight="1" x14ac:dyDescent="0.15">
      <c r="A24" s="596"/>
      <c r="B24" s="231" t="s">
        <v>265</v>
      </c>
      <c r="C24" s="231"/>
      <c r="D24" s="231"/>
      <c r="E24" s="231"/>
      <c r="F24" s="231"/>
      <c r="G24" s="64" t="s">
        <v>172</v>
      </c>
      <c r="H24" s="153"/>
      <c r="I24" s="226"/>
      <c r="J24" s="222" t="str">
        <f t="shared" si="0"/>
        <v>-</v>
      </c>
      <c r="K24" s="226">
        <f t="shared" si="1"/>
        <v>0</v>
      </c>
      <c r="L24" s="586"/>
      <c r="M24" s="587"/>
      <c r="N24" s="587"/>
      <c r="O24" s="588"/>
      <c r="P24" s="41"/>
      <c r="Q24" s="48"/>
      <c r="R24" s="48"/>
      <c r="S24" s="48"/>
      <c r="T24" s="48"/>
    </row>
    <row r="25" spans="1:20" ht="18.75" customHeight="1" x14ac:dyDescent="0.15">
      <c r="A25" s="596"/>
      <c r="B25" s="231" t="s">
        <v>266</v>
      </c>
      <c r="C25" s="231"/>
      <c r="D25" s="231"/>
      <c r="E25" s="231"/>
      <c r="F25" s="231"/>
      <c r="G25" s="64" t="s">
        <v>172</v>
      </c>
      <c r="H25" s="153"/>
      <c r="I25" s="226"/>
      <c r="J25" s="222" t="str">
        <f t="shared" si="0"/>
        <v>-</v>
      </c>
      <c r="K25" s="226">
        <f t="shared" si="1"/>
        <v>0</v>
      </c>
      <c r="L25" s="586"/>
      <c r="M25" s="587"/>
      <c r="N25" s="587"/>
      <c r="O25" s="588"/>
      <c r="P25" s="41"/>
      <c r="Q25" s="48"/>
      <c r="R25" s="48"/>
      <c r="S25" s="48"/>
      <c r="T25" s="48"/>
    </row>
    <row r="26" spans="1:20" ht="18.75" customHeight="1" x14ac:dyDescent="0.15">
      <c r="A26" s="596"/>
      <c r="B26" s="231" t="s">
        <v>263</v>
      </c>
      <c r="C26" s="231"/>
      <c r="D26" s="231"/>
      <c r="E26" s="231"/>
      <c r="F26" s="231"/>
      <c r="G26" s="64" t="s">
        <v>172</v>
      </c>
      <c r="H26" s="153"/>
      <c r="I26" s="226"/>
      <c r="J26" s="222" t="str">
        <f t="shared" si="0"/>
        <v>-</v>
      </c>
      <c r="K26" s="226">
        <f t="shared" si="1"/>
        <v>0</v>
      </c>
      <c r="L26" s="586"/>
      <c r="M26" s="587"/>
      <c r="N26" s="587"/>
      <c r="O26" s="588"/>
      <c r="P26" s="41"/>
      <c r="Q26" s="48"/>
      <c r="R26" s="48"/>
      <c r="S26" s="48"/>
      <c r="T26" s="48"/>
    </row>
    <row r="27" spans="1:20" ht="18.75" customHeight="1" x14ac:dyDescent="0.15">
      <c r="A27" s="597"/>
      <c r="B27" s="231" t="s">
        <v>264</v>
      </c>
      <c r="C27" s="231"/>
      <c r="D27" s="231"/>
      <c r="E27" s="231"/>
      <c r="F27" s="231"/>
      <c r="G27" s="64" t="s">
        <v>172</v>
      </c>
      <c r="H27" s="153"/>
      <c r="I27" s="226"/>
      <c r="J27" s="222" t="str">
        <f t="shared" si="0"/>
        <v>-</v>
      </c>
      <c r="K27" s="226">
        <f t="shared" si="1"/>
        <v>0</v>
      </c>
      <c r="L27" s="586"/>
      <c r="M27" s="587"/>
      <c r="N27" s="587"/>
      <c r="O27" s="588"/>
      <c r="P27" s="41"/>
      <c r="Q27" s="48"/>
      <c r="R27" s="48"/>
      <c r="S27" s="48"/>
      <c r="T27" s="48"/>
    </row>
    <row r="28" spans="1:20" ht="18.75" customHeight="1" thickBot="1" x14ac:dyDescent="0.2">
      <c r="A28" s="589" t="s">
        <v>283</v>
      </c>
      <c r="B28" s="590"/>
      <c r="C28" s="590"/>
      <c r="D28" s="590"/>
      <c r="E28" s="590"/>
      <c r="F28" s="591"/>
      <c r="G28" s="109" t="s">
        <v>208</v>
      </c>
      <c r="H28" s="227"/>
      <c r="I28" s="228"/>
      <c r="J28" s="229" t="str">
        <f t="shared" si="0"/>
        <v>-</v>
      </c>
      <c r="K28" s="228">
        <f t="shared" si="1"/>
        <v>0</v>
      </c>
      <c r="L28" s="583"/>
      <c r="M28" s="584"/>
      <c r="N28" s="584"/>
      <c r="O28" s="585"/>
      <c r="P28" s="43"/>
      <c r="Q28" s="48"/>
      <c r="R28" s="48"/>
      <c r="S28" s="48"/>
      <c r="T28" s="48"/>
    </row>
  </sheetData>
  <mergeCells count="55">
    <mergeCell ref="L8:O8"/>
    <mergeCell ref="C9:F9"/>
    <mergeCell ref="C13:F13"/>
    <mergeCell ref="L13:O13"/>
    <mergeCell ref="C14:F14"/>
    <mergeCell ref="L14:O14"/>
    <mergeCell ref="M1:O1"/>
    <mergeCell ref="M2:O2"/>
    <mergeCell ref="A5:F6"/>
    <mergeCell ref="G5:G6"/>
    <mergeCell ref="H5:H6"/>
    <mergeCell ref="I5:I6"/>
    <mergeCell ref="K5:K6"/>
    <mergeCell ref="L5:O6"/>
    <mergeCell ref="L22:O22"/>
    <mergeCell ref="L23:O23"/>
    <mergeCell ref="A7:A15"/>
    <mergeCell ref="B7:F7"/>
    <mergeCell ref="L7:O7"/>
    <mergeCell ref="L9:O9"/>
    <mergeCell ref="C10:F10"/>
    <mergeCell ref="L10:O10"/>
    <mergeCell ref="C15:F15"/>
    <mergeCell ref="L15:O15"/>
    <mergeCell ref="C11:F11"/>
    <mergeCell ref="L11:O11"/>
    <mergeCell ref="C12:F12"/>
    <mergeCell ref="L12:O12"/>
    <mergeCell ref="B8:B15"/>
    <mergeCell ref="C8:F8"/>
    <mergeCell ref="B16:F16"/>
    <mergeCell ref="L16:O16"/>
    <mergeCell ref="B17:F17"/>
    <mergeCell ref="L17:O17"/>
    <mergeCell ref="A16:A27"/>
    <mergeCell ref="B18:F18"/>
    <mergeCell ref="L18:O18"/>
    <mergeCell ref="B19:F19"/>
    <mergeCell ref="L19:O19"/>
    <mergeCell ref="B20:F20"/>
    <mergeCell ref="L20:O20"/>
    <mergeCell ref="L27:O27"/>
    <mergeCell ref="B21:F21"/>
    <mergeCell ref="L21:O21"/>
    <mergeCell ref="B22:F22"/>
    <mergeCell ref="B23:F23"/>
    <mergeCell ref="L28:O28"/>
    <mergeCell ref="B24:F24"/>
    <mergeCell ref="L24:O24"/>
    <mergeCell ref="B25:F25"/>
    <mergeCell ref="L25:O25"/>
    <mergeCell ref="B26:F26"/>
    <mergeCell ref="L26:O26"/>
    <mergeCell ref="B27:F27"/>
    <mergeCell ref="A28:F28"/>
  </mergeCells>
  <phoneticPr fontId="1"/>
  <pageMargins left="0.78740157480314965" right="0.43307086614173229" top="0.78740157480314965" bottom="0.39370078740157483" header="0.43307086614173229" footer="0.19685039370078741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3FD74E-957B-48FF-95E0-1CF6DDBCEF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E2B092-6245-4744-8EFF-8F7BE0AD0F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534DD2-2ACE-4BD9-9587-642DF399699F}">
  <ds:schemaRefs>
    <ds:schemaRef ds:uri="http://purl.org/dc/terms/"/>
    <ds:schemaRef ds:uri="http://schemas.openxmlformats.org/package/2006/metadata/core-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No.1</vt:lpstr>
      <vt:lpstr>No.2</vt:lpstr>
      <vt:lpstr>No.3</vt:lpstr>
      <vt:lpstr>No.4</vt:lpstr>
      <vt:lpstr>No.5</vt:lpstr>
      <vt:lpstr>No.6</vt:lpstr>
      <vt:lpstr>No.1!Print_Area</vt:lpstr>
      <vt:lpstr>No.2!Print_Area</vt:lpstr>
      <vt:lpstr>No.3!Print_Area</vt:lpstr>
      <vt:lpstr>No.4!Print_Area</vt:lpstr>
      <vt:lpstr>No.5!Print_Area</vt:lpstr>
      <vt:lpstr>No.6!Print_Area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takeru.watanabe</cp:lastModifiedBy>
  <cp:lastPrinted>2019-11-28T07:42:20Z</cp:lastPrinted>
  <dcterms:created xsi:type="dcterms:W3CDTF">2011-03-14T15:00:00Z</dcterms:created>
  <dcterms:modified xsi:type="dcterms:W3CDTF">2020-11-19T06:41:53Z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