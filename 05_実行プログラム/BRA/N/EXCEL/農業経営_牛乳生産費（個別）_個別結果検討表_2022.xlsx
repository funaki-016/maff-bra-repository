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新しいフォルダー\"/>
    </mc:Choice>
  </mc:AlternateContent>
  <xr:revisionPtr revIDLastSave="0" documentId="13_ncr:1_{A1E8ABCB-CB0B-40CE-B892-9294D40280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1" sheetId="57" r:id="rId1"/>
    <sheet name="No2" sheetId="55" r:id="rId2"/>
    <sheet name="No3" sheetId="56" r:id="rId3"/>
  </sheets>
  <definedNames>
    <definedName name="_xlnm.Print_Area" localSheetId="0">'No1'!$A$1:$AZ$45</definedName>
    <definedName name="_xlnm.Print_Area" localSheetId="1">'No2'!$A$1:$DB$45</definedName>
    <definedName name="_xlnm.Print_Area" localSheetId="2">'No3'!$A$1:$DP$47</definedName>
    <definedName name="経費範囲" localSheetId="0">#REF!</definedName>
    <definedName name="経費範囲">#REF!</definedName>
    <definedName name="現場調査費" localSheetId="0">#REF!</definedName>
    <definedName name="現場調査費">#REF!</definedName>
    <definedName name="現調単価" localSheetId="0">#REF!</definedName>
    <definedName name="現調単価">#REF!</definedName>
    <definedName name="合計" localSheetId="0">#REF!</definedName>
    <definedName name="合計">#REF!</definedName>
    <definedName name="材料範囲" localSheetId="0">#REF!</definedName>
    <definedName name="材料範囲">#REF!</definedName>
    <definedName name="諸経費率" localSheetId="0">#REF!</definedName>
    <definedName name="諸経費率">#REF!</definedName>
    <definedName name="範囲" localSheetId="0">#REF!</definedName>
    <definedName name="範囲">#REF!</definedName>
    <definedName name="労務範囲" localSheetId="0">#REF!</definedName>
    <definedName name="労務範囲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V47" i="56" l="1"/>
  <c r="BV46" i="56"/>
  <c r="BV45" i="56"/>
  <c r="BS44" i="56"/>
  <c r="BP44" i="56"/>
  <c r="CE28" i="56"/>
  <c r="CE27" i="56"/>
  <c r="CE26" i="56"/>
  <c r="CE25" i="56"/>
  <c r="CE24" i="56"/>
  <c r="CE23" i="56"/>
  <c r="CE22" i="56"/>
  <c r="CE21" i="56"/>
  <c r="CE20" i="56"/>
  <c r="CE19" i="56"/>
  <c r="CE8" i="56"/>
  <c r="CE7" i="56"/>
  <c r="BV41" i="56"/>
  <c r="BV40" i="56"/>
  <c r="BV39" i="56"/>
  <c r="BV38" i="56"/>
  <c r="BV37" i="56"/>
  <c r="BV36" i="56"/>
  <c r="BV32" i="56"/>
  <c r="BV28" i="56"/>
  <c r="BV27" i="56"/>
  <c r="BV26" i="56"/>
  <c r="BV25" i="56"/>
  <c r="BV24" i="56"/>
  <c r="BV23" i="56"/>
  <c r="BV22" i="56"/>
  <c r="BV21" i="56"/>
  <c r="BV20" i="56"/>
  <c r="BV19" i="56"/>
  <c r="BV14" i="56"/>
  <c r="BV13" i="56"/>
  <c r="BV8" i="56"/>
  <c r="BV7" i="56"/>
  <c r="W31" i="56"/>
  <c r="W30" i="56"/>
  <c r="W29" i="56"/>
  <c r="W28" i="56"/>
  <c r="W27" i="56"/>
  <c r="W26" i="56"/>
  <c r="W25" i="56"/>
  <c r="W24" i="56"/>
  <c r="W23" i="56"/>
  <c r="W22" i="56"/>
  <c r="W21" i="56"/>
  <c r="W20" i="56"/>
  <c r="W8" i="56"/>
  <c r="W7" i="56"/>
  <c r="N42" i="56"/>
  <c r="N41" i="56"/>
  <c r="N40" i="56"/>
  <c r="N39" i="56"/>
  <c r="N38" i="56"/>
  <c r="N37" i="56"/>
  <c r="N36" i="56"/>
  <c r="N31" i="56"/>
  <c r="N30" i="56"/>
  <c r="N29" i="56"/>
  <c r="N28" i="56"/>
  <c r="N27" i="56"/>
  <c r="N26" i="56"/>
  <c r="N25" i="56"/>
  <c r="N24" i="56"/>
  <c r="N23" i="56"/>
  <c r="N22" i="56"/>
  <c r="N21" i="56"/>
  <c r="N20" i="56"/>
  <c r="N19" i="56"/>
  <c r="N8" i="56"/>
  <c r="N7" i="56"/>
  <c r="CP22" i="55"/>
  <c r="CP21" i="55"/>
  <c r="CP20" i="55"/>
  <c r="CP13" i="55"/>
  <c r="CP12" i="55"/>
  <c r="CP11" i="55"/>
  <c r="CP10" i="55"/>
  <c r="CP9" i="55"/>
  <c r="CP8" i="55"/>
  <c r="CP7" i="55"/>
  <c r="CG37" i="55"/>
  <c r="CG36" i="55"/>
  <c r="CG35" i="55"/>
  <c r="CG34" i="55"/>
  <c r="CG33" i="55"/>
  <c r="CG32" i="55"/>
  <c r="CG31" i="55"/>
  <c r="CG30" i="55"/>
  <c r="BX37" i="55"/>
  <c r="BX36" i="55"/>
  <c r="BX35" i="55"/>
  <c r="BX34" i="55"/>
  <c r="BX33" i="55"/>
  <c r="BX32" i="55"/>
  <c r="BX31" i="55"/>
  <c r="BX30" i="55"/>
  <c r="BO37" i="55"/>
  <c r="BO36" i="55"/>
  <c r="BO35" i="55"/>
  <c r="BO34" i="55"/>
  <c r="BO33" i="55"/>
  <c r="BO32" i="55"/>
  <c r="BO31" i="55"/>
  <c r="BO30" i="55"/>
  <c r="BO24" i="55"/>
  <c r="BO23" i="55"/>
  <c r="BO22" i="55"/>
  <c r="BO15" i="55"/>
  <c r="BO14" i="55"/>
  <c r="BO13" i="55"/>
  <c r="BO12" i="55"/>
  <c r="BO7" i="55"/>
  <c r="N35" i="55"/>
  <c r="N34" i="55"/>
  <c r="N33" i="55"/>
  <c r="N32" i="55"/>
  <c r="N31" i="55"/>
  <c r="N30" i="55"/>
  <c r="N29" i="55"/>
  <c r="N28" i="55"/>
  <c r="N27" i="55"/>
  <c r="N26" i="55"/>
  <c r="N21" i="55"/>
  <c r="N20" i="55"/>
  <c r="N19" i="55"/>
  <c r="N18" i="55"/>
  <c r="N17" i="55"/>
  <c r="N16" i="55"/>
  <c r="N15" i="55"/>
  <c r="N14" i="55"/>
  <c r="N13" i="55"/>
  <c r="N12" i="55"/>
  <c r="N11" i="55"/>
  <c r="N10" i="55"/>
  <c r="N9" i="55"/>
  <c r="N8" i="55"/>
  <c r="N7" i="55"/>
  <c r="V43" i="57"/>
  <c r="V42" i="57"/>
  <c r="V41" i="57"/>
  <c r="V40" i="57"/>
  <c r="V39" i="57"/>
  <c r="V38" i="57"/>
  <c r="V37" i="57"/>
  <c r="V36" i="57"/>
  <c r="V35" i="57"/>
  <c r="V34" i="57"/>
  <c r="V33" i="57"/>
  <c r="V32" i="57"/>
  <c r="V31" i="57"/>
  <c r="V30" i="57"/>
  <c r="V29" i="57"/>
  <c r="V28" i="57"/>
  <c r="V27" i="57"/>
  <c r="V26" i="57"/>
  <c r="V25" i="57"/>
  <c r="V24" i="57"/>
  <c r="V23" i="57"/>
  <c r="V22" i="57"/>
  <c r="V21" i="57"/>
  <c r="V20" i="57"/>
  <c r="V19" i="57"/>
  <c r="V18" i="57"/>
  <c r="V17" i="57"/>
  <c r="V16" i="57"/>
  <c r="V15" i="57"/>
  <c r="V14" i="57"/>
  <c r="V13" i="57"/>
  <c r="V12" i="57"/>
  <c r="V11" i="57"/>
  <c r="V10" i="57"/>
  <c r="V9" i="57"/>
  <c r="V8" i="57"/>
  <c r="V7" i="57"/>
  <c r="AV2" i="56"/>
  <c r="AO2" i="55"/>
  <c r="H5" i="55" l="1"/>
  <c r="BO16" i="55" l="1"/>
  <c r="AF41" i="55"/>
  <c r="W44" i="55"/>
  <c r="BO17" i="55" l="1"/>
  <c r="Y7" i="57" l="1"/>
  <c r="N44" i="55" l="1"/>
  <c r="AF43" i="55"/>
  <c r="W43" i="55"/>
  <c r="N43" i="55"/>
  <c r="AF42" i="55"/>
  <c r="W42" i="55"/>
  <c r="N42" i="55"/>
  <c r="W41" i="55"/>
  <c r="N41" i="55"/>
  <c r="H6" i="56" l="1"/>
  <c r="O5" i="57"/>
  <c r="A1" i="57"/>
  <c r="BY6" i="56" l="1"/>
  <c r="BP35" i="56"/>
  <c r="CA28" i="55"/>
  <c r="CJ18" i="55"/>
  <c r="CJ5" i="55"/>
  <c r="A1" i="56"/>
  <c r="K5" i="55"/>
  <c r="A1" i="55"/>
  <c r="K6" i="56"/>
  <c r="Q6" i="56"/>
  <c r="H18" i="56"/>
  <c r="Q18" i="56"/>
  <c r="H35" i="56"/>
  <c r="BP31" i="56"/>
  <c r="BP18" i="56"/>
  <c r="BY18" i="56"/>
  <c r="BP12" i="56"/>
  <c r="BP6" i="56"/>
  <c r="H24" i="55"/>
  <c r="H40" i="55"/>
  <c r="Q40" i="55"/>
  <c r="Z40" i="55"/>
  <c r="BI5" i="55"/>
  <c r="BI10" i="55"/>
  <c r="BI20" i="55"/>
  <c r="BI28" i="55"/>
  <c r="BR28" i="55"/>
  <c r="BS35" i="56" l="1"/>
  <c r="CM5" i="55"/>
  <c r="CM18" i="55"/>
  <c r="CB6" i="56"/>
  <c r="BS6" i="56"/>
  <c r="BS12" i="56"/>
  <c r="CB18" i="56"/>
  <c r="BS18" i="56"/>
  <c r="BS31" i="56"/>
  <c r="K35" i="56"/>
  <c r="T18" i="56"/>
  <c r="K18" i="56"/>
  <c r="T6" i="56"/>
  <c r="CD28" i="55"/>
  <c r="BU28" i="55"/>
  <c r="BL28" i="55"/>
  <c r="BL20" i="55"/>
  <c r="BL10" i="55"/>
  <c r="BL5" i="55"/>
  <c r="AC40" i="55"/>
  <c r="T40" i="55"/>
  <c r="K40" i="55"/>
  <c r="K24" i="55"/>
  <c r="Y8" i="57" l="1"/>
  <c r="Y9" i="57"/>
  <c r="Y10" i="57"/>
  <c r="Y11" i="57"/>
  <c r="Y12" i="57"/>
  <c r="Y13" i="57"/>
  <c r="Y14" i="57"/>
  <c r="Y15" i="57"/>
  <c r="Y16" i="57"/>
  <c r="Y17" i="57"/>
  <c r="Y18" i="57"/>
  <c r="Y19" i="57"/>
  <c r="Y20" i="57" l="1"/>
  <c r="Y21" i="57" l="1"/>
  <c r="Y22" i="57" l="1"/>
  <c r="L24" i="57"/>
  <c r="L10" i="57" l="1"/>
  <c r="L8" i="57"/>
  <c r="L25" i="57"/>
  <c r="L11" i="57"/>
  <c r="L9" i="57"/>
  <c r="L7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Y23" i="57"/>
  <c r="Y24" i="57" l="1"/>
  <c r="S25" i="57" l="1"/>
  <c r="S7" i="57"/>
  <c r="S8" i="57"/>
  <c r="S9" i="57"/>
  <c r="S10" i="57"/>
  <c r="S11" i="57"/>
  <c r="S12" i="57"/>
  <c r="S13" i="57"/>
  <c r="S14" i="57"/>
  <c r="S15" i="57"/>
  <c r="S16" i="57"/>
  <c r="S17" i="57"/>
  <c r="S18" i="57"/>
  <c r="S19" i="57"/>
  <c r="S20" i="57"/>
  <c r="S21" i="57"/>
  <c r="S22" i="57"/>
  <c r="Y25" i="57"/>
  <c r="S23" i="57"/>
  <c r="S24" i="57"/>
  <c r="Y26" i="57" l="1"/>
  <c r="Y27" i="57" l="1"/>
  <c r="Y28" i="57" l="1"/>
  <c r="Y29" i="57" l="1"/>
  <c r="Y30" i="57" l="1"/>
  <c r="Y31" i="57" l="1"/>
  <c r="Y32" i="57" l="1"/>
  <c r="Y33" i="57" l="1"/>
  <c r="Y34" i="57" l="1"/>
  <c r="Y35" i="57" l="1"/>
  <c r="Y36" i="57" l="1"/>
  <c r="Y37" i="57" l="1"/>
  <c r="Y38" i="57" l="1"/>
  <c r="Y39" i="57" l="1"/>
  <c r="Y40" i="57" l="1"/>
  <c r="Y41" i="57" l="1"/>
  <c r="Y43" i="57"/>
  <c r="V45" i="57" l="1"/>
  <c r="Y45" i="57"/>
  <c r="Y42" i="57"/>
</calcChain>
</file>

<file path=xl/sharedStrings.xml><?xml version="1.0" encoding="utf-8"?>
<sst xmlns="http://schemas.openxmlformats.org/spreadsheetml/2006/main" count="319" uniqueCount="171">
  <si>
    <t>計</t>
    <rPh sb="0" eb="1">
      <t>ケイ</t>
    </rPh>
    <phoneticPr fontId="2"/>
  </si>
  <si>
    <t>物財費</t>
    <rPh sb="0" eb="2">
      <t>ブツザイ</t>
    </rPh>
    <rPh sb="2" eb="3">
      <t>ヒ</t>
    </rPh>
    <phoneticPr fontId="2"/>
  </si>
  <si>
    <t>種付料</t>
    <rPh sb="0" eb="2">
      <t>タネツ</t>
    </rPh>
    <rPh sb="2" eb="3">
      <t>リョウ</t>
    </rPh>
    <phoneticPr fontId="2"/>
  </si>
  <si>
    <t>敷料費</t>
    <rPh sb="0" eb="1">
      <t>シ</t>
    </rPh>
    <rPh sb="1" eb="2">
      <t>リョウ</t>
    </rPh>
    <rPh sb="2" eb="3">
      <t>ヒ</t>
    </rPh>
    <phoneticPr fontId="2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</si>
  <si>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2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</si>
  <si>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</si>
  <si>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</si>
  <si>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2"/>
  </si>
  <si>
    <t>乳牛償却費</t>
    <rPh sb="0" eb="2">
      <t>ニュウギュウ</t>
    </rPh>
    <rPh sb="2" eb="5">
      <t>ショウキャクヒ</t>
    </rPh>
    <phoneticPr fontId="2"/>
  </si>
  <si>
    <t>建物費</t>
    <rPh sb="0" eb="2">
      <t>タテモノ</t>
    </rPh>
    <rPh sb="2" eb="3">
      <t>ヒ</t>
    </rPh>
    <phoneticPr fontId="2"/>
  </si>
  <si>
    <t>自動車費</t>
    <rPh sb="0" eb="3">
      <t>ジドウシャ</t>
    </rPh>
    <rPh sb="3" eb="4">
      <t>ヒ</t>
    </rPh>
    <phoneticPr fontId="2"/>
  </si>
  <si>
    <t>農機具費</t>
    <rPh sb="0" eb="3">
      <t>ノウキグ</t>
    </rPh>
    <rPh sb="3" eb="4">
      <t>ヒ</t>
    </rPh>
    <phoneticPr fontId="2"/>
  </si>
  <si>
    <t>生産管理費</t>
    <rPh sb="0" eb="2">
      <t>セイサン</t>
    </rPh>
    <rPh sb="2" eb="4">
      <t>カンリ</t>
    </rPh>
    <rPh sb="4" eb="5">
      <t>ヒ</t>
    </rPh>
    <phoneticPr fontId="2"/>
  </si>
  <si>
    <t>労働費</t>
    <rPh sb="0" eb="3">
      <t>ロウドウヒ</t>
    </rPh>
    <phoneticPr fontId="2"/>
  </si>
  <si>
    <t>費用合計</t>
    <rPh sb="0" eb="2">
      <t>ヒヨウ</t>
    </rPh>
    <rPh sb="2" eb="4">
      <t>ゴウケイ</t>
    </rPh>
    <phoneticPr fontId="2"/>
  </si>
  <si>
    <t>副産物価額</t>
    <rPh sb="0" eb="3">
      <t>フクサンブツ</t>
    </rPh>
    <rPh sb="3" eb="5">
      <t>カガク</t>
    </rPh>
    <phoneticPr fontId="2"/>
  </si>
  <si>
    <t>生産費</t>
    <rPh sb="0" eb="3">
      <t>セイサンヒ</t>
    </rPh>
    <phoneticPr fontId="2"/>
  </si>
  <si>
    <t>支払地代</t>
    <rPh sb="0" eb="2">
      <t>シハラ</t>
    </rPh>
    <rPh sb="2" eb="4">
      <t>チダイ</t>
    </rPh>
    <phoneticPr fontId="2"/>
  </si>
  <si>
    <t>自己資本利子</t>
    <rPh sb="0" eb="2">
      <t>ジコ</t>
    </rPh>
    <rPh sb="2" eb="4">
      <t>シホン</t>
    </rPh>
    <rPh sb="4" eb="6">
      <t>リシ</t>
    </rPh>
    <phoneticPr fontId="2"/>
  </si>
  <si>
    <t>全算入生産費</t>
    <rPh sb="0" eb="1">
      <t>ゼン</t>
    </rPh>
    <rPh sb="1" eb="3">
      <t>サンニュウ</t>
    </rPh>
    <rPh sb="3" eb="6">
      <t>セイサンヒ</t>
    </rPh>
    <phoneticPr fontId="2"/>
  </si>
  <si>
    <t>搾乳量</t>
    <rPh sb="0" eb="3">
      <t>サクニュウリョウ</t>
    </rPh>
    <phoneticPr fontId="2"/>
  </si>
  <si>
    <t>販売</t>
    <rPh sb="0" eb="2">
      <t>ハンバイ</t>
    </rPh>
    <phoneticPr fontId="2"/>
  </si>
  <si>
    <t>自家農業仕向</t>
    <rPh sb="0" eb="2">
      <t>ジカ</t>
    </rPh>
    <rPh sb="2" eb="4">
      <t>ノウギョウ</t>
    </rPh>
    <rPh sb="4" eb="6">
      <t>シムケ</t>
    </rPh>
    <phoneticPr fontId="2"/>
  </si>
  <si>
    <t>その他</t>
    <rPh sb="2" eb="3">
      <t>タ</t>
    </rPh>
    <phoneticPr fontId="2"/>
  </si>
  <si>
    <t>大麦</t>
    <rPh sb="0" eb="2">
      <t>オオムギ</t>
    </rPh>
    <phoneticPr fontId="2"/>
  </si>
  <si>
    <t>配合飼料</t>
    <rPh sb="0" eb="2">
      <t>ハイゴウ</t>
    </rPh>
    <rPh sb="2" eb="4">
      <t>シリョウ</t>
    </rPh>
    <phoneticPr fontId="2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</si>
  <si>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2"/>
  </si>
  <si>
    <t>生牧草</t>
    <rPh sb="0" eb="1">
      <t>ナマ</t>
    </rPh>
    <rPh sb="1" eb="3">
      <t>ボクソウ</t>
    </rPh>
    <phoneticPr fontId="2"/>
  </si>
  <si>
    <t>とうもろこし</t>
    <phoneticPr fontId="2"/>
  </si>
  <si>
    <t>牛乳脱脂乳</t>
    <rPh sb="0" eb="2">
      <t>ギュウニュウ</t>
    </rPh>
    <rPh sb="2" eb="5">
      <t>ダッシニュウ</t>
    </rPh>
    <phoneticPr fontId="2"/>
  </si>
  <si>
    <t>サイレージ</t>
    <phoneticPr fontId="2"/>
  </si>
  <si>
    <t>デントコーン</t>
    <phoneticPr fontId="2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</si>
  <si>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2"/>
  </si>
  <si>
    <t>搾乳・処理・運搬</t>
    <rPh sb="0" eb="2">
      <t>サクニュウ</t>
    </rPh>
    <rPh sb="3" eb="5">
      <t>ショリ</t>
    </rPh>
    <rPh sb="6" eb="8">
      <t>ウンパン</t>
    </rPh>
    <phoneticPr fontId="2"/>
  </si>
  <si>
    <t>間接労働時間</t>
    <rPh sb="0" eb="2">
      <t>カンセツ</t>
    </rPh>
    <rPh sb="2" eb="4">
      <t>ロウドウ</t>
    </rPh>
    <rPh sb="4" eb="6">
      <t>ジカン</t>
    </rPh>
    <phoneticPr fontId="2"/>
  </si>
  <si>
    <t>自給牧草労働時間</t>
    <rPh sb="0" eb="2">
      <t>ジキュウ</t>
    </rPh>
    <rPh sb="2" eb="4">
      <t>ボクソウ</t>
    </rPh>
    <rPh sb="4" eb="6">
      <t>ロウドウ</t>
    </rPh>
    <rPh sb="6" eb="8">
      <t>ジカン</t>
    </rPh>
    <phoneticPr fontId="2"/>
  </si>
  <si>
    <t>家族</t>
    <rPh sb="0" eb="2">
      <t>カゾク</t>
    </rPh>
    <phoneticPr fontId="2"/>
  </si>
  <si>
    <t>所有地</t>
    <rPh sb="0" eb="3">
      <t>ショユウチ</t>
    </rPh>
    <phoneticPr fontId="2"/>
  </si>
  <si>
    <t>採草地</t>
    <rPh sb="0" eb="3">
      <t>サイソウチ</t>
    </rPh>
    <phoneticPr fontId="2"/>
  </si>
  <si>
    <t>建物敷地</t>
    <rPh sb="0" eb="2">
      <t>タテモノ</t>
    </rPh>
    <rPh sb="2" eb="4">
      <t>シキチ</t>
    </rPh>
    <phoneticPr fontId="2"/>
  </si>
  <si>
    <t>牧草栽培地</t>
    <rPh sb="0" eb="2">
      <t>ボクソウ</t>
    </rPh>
    <rPh sb="2" eb="5">
      <t>サイバイチ</t>
    </rPh>
    <phoneticPr fontId="2"/>
  </si>
  <si>
    <t>ＴＭＲ</t>
    <phoneticPr fontId="2"/>
  </si>
  <si>
    <t>濃厚飼料</t>
    <rPh sb="0" eb="2">
      <t>ノウコウ</t>
    </rPh>
    <rPh sb="2" eb="4">
      <t>シリョウ</t>
    </rPh>
    <phoneticPr fontId="2"/>
  </si>
  <si>
    <t>粗飼料</t>
    <rPh sb="0" eb="3">
      <t>ソシリョウ</t>
    </rPh>
    <phoneticPr fontId="2"/>
  </si>
  <si>
    <t>流通飼料費</t>
    <rPh sb="0" eb="2">
      <t>リュウツウ</t>
    </rPh>
    <rPh sb="2" eb="5">
      <t>シリョウヒ</t>
    </rPh>
    <phoneticPr fontId="2"/>
  </si>
  <si>
    <t>穀類計</t>
    <rPh sb="0" eb="1">
      <t>コク</t>
    </rPh>
    <rPh sb="1" eb="2">
      <t>タグイ</t>
    </rPh>
    <rPh sb="2" eb="3">
      <t>ケイ</t>
    </rPh>
    <phoneticPr fontId="2"/>
  </si>
  <si>
    <t>その他わら類計</t>
    <rPh sb="2" eb="3">
      <t>タ</t>
    </rPh>
    <rPh sb="5" eb="6">
      <t>ルイ</t>
    </rPh>
    <rPh sb="6" eb="7">
      <t>ケイ</t>
    </rPh>
    <phoneticPr fontId="2"/>
  </si>
  <si>
    <t>イタリアンライグラス</t>
    <phoneticPr fontId="2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</si>
  <si>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2"/>
  </si>
  <si>
    <t>10日齢評価販売</t>
    <rPh sb="2" eb="3">
      <t>ニチ</t>
    </rPh>
    <rPh sb="3" eb="4">
      <t>レイ</t>
    </rPh>
    <rPh sb="4" eb="6">
      <t>ヒョウカ</t>
    </rPh>
    <rPh sb="6" eb="8">
      <t>ハンバイ</t>
    </rPh>
    <phoneticPr fontId="2"/>
  </si>
  <si>
    <t>10日齢死亡廃棄</t>
    <rPh sb="2" eb="3">
      <t>ニチ</t>
    </rPh>
    <rPh sb="3" eb="4">
      <t>レイ</t>
    </rPh>
    <rPh sb="4" eb="6">
      <t>シボウ</t>
    </rPh>
    <rPh sb="6" eb="8">
      <t>ハイキ</t>
    </rPh>
    <phoneticPr fontId="2"/>
  </si>
  <si>
    <t>ぬか・ふすま</t>
    <phoneticPr fontId="2"/>
  </si>
  <si>
    <t>植物性かす類</t>
    <rPh sb="0" eb="3">
      <t>ショクブツセイ</t>
    </rPh>
    <rPh sb="5" eb="6">
      <t>ルイ</t>
    </rPh>
    <phoneticPr fontId="2"/>
  </si>
  <si>
    <t>乾牧草</t>
    <rPh sb="0" eb="1">
      <t>イヌイ</t>
    </rPh>
    <rPh sb="1" eb="3">
      <t>ボクソウ</t>
    </rPh>
    <phoneticPr fontId="2"/>
  </si>
  <si>
    <t>生乳100kg当たり</t>
    <rPh sb="0" eb="2">
      <t>セイニュウ</t>
    </rPh>
    <rPh sb="7" eb="8">
      <t>ア</t>
    </rPh>
    <phoneticPr fontId="2"/>
  </si>
  <si>
    <t>センサス番号</t>
    <rPh sb="4" eb="6">
      <t>バンゴウ</t>
    </rPh>
    <phoneticPr fontId="2"/>
  </si>
  <si>
    <t>直接労働時間</t>
    <rPh sb="0" eb="2">
      <t>チョクセツ</t>
    </rPh>
    <rPh sb="2" eb="4">
      <t>ロウドウ</t>
    </rPh>
    <rPh sb="4" eb="6">
      <t>ジカン</t>
    </rPh>
    <phoneticPr fontId="2"/>
  </si>
  <si>
    <t>搾乳牛通年換算頭数</t>
    <rPh sb="0" eb="2">
      <t>サクニュウ</t>
    </rPh>
    <rPh sb="2" eb="3">
      <t>ウシ</t>
    </rPh>
    <rPh sb="3" eb="5">
      <t>ツウネン</t>
    </rPh>
    <rPh sb="5" eb="7">
      <t>カンサン</t>
    </rPh>
    <rPh sb="7" eb="9">
      <t>トウスウ</t>
    </rPh>
    <phoneticPr fontId="2"/>
  </si>
  <si>
    <t>放牧地</t>
    <rPh sb="0" eb="3">
      <t>ホウボクチ</t>
    </rPh>
    <phoneticPr fontId="2"/>
  </si>
  <si>
    <t>借入地</t>
    <rPh sb="0" eb="1">
      <t>カ</t>
    </rPh>
    <rPh sb="1" eb="2">
      <t>イ</t>
    </rPh>
    <rPh sb="2" eb="3">
      <t>チ</t>
    </rPh>
    <phoneticPr fontId="2"/>
  </si>
  <si>
    <t>【経営の規模（経営体当たり）】</t>
    <rPh sb="1" eb="3">
      <t>ケイエイ</t>
    </rPh>
    <rPh sb="4" eb="6">
      <t>キボ</t>
    </rPh>
    <rPh sb="7" eb="10">
      <t>ケイエイタイ</t>
    </rPh>
    <rPh sb="10" eb="11">
      <t>ア</t>
    </rPh>
    <phoneticPr fontId="2"/>
  </si>
  <si>
    <t>雇用</t>
    <rPh sb="0" eb="2">
      <t>コヨウ</t>
    </rPh>
    <phoneticPr fontId="2"/>
  </si>
  <si>
    <t>調査始未償還残高</t>
    <rPh sb="0" eb="2">
      <t>チョウサ</t>
    </rPh>
    <rPh sb="2" eb="3">
      <t>ハジメ</t>
    </rPh>
    <rPh sb="3" eb="6">
      <t>ミショウカン</t>
    </rPh>
    <rPh sb="6" eb="8">
      <t>ザンダカ</t>
    </rPh>
    <phoneticPr fontId="2"/>
  </si>
  <si>
    <t>(円)</t>
    <rPh sb="0" eb="1">
      <t>エン</t>
    </rPh>
    <phoneticPr fontId="2"/>
  </si>
  <si>
    <t>(時間)</t>
    <rPh sb="0" eb="1">
      <t>エン</t>
    </rPh>
    <rPh sb="1" eb="3">
      <t>ジカン</t>
    </rPh>
    <phoneticPr fontId="2"/>
  </si>
  <si>
    <t>(kg)</t>
    <rPh sb="0" eb="1">
      <t>エン</t>
    </rPh>
    <phoneticPr fontId="2"/>
  </si>
  <si>
    <t>(頭)</t>
    <rPh sb="0" eb="1">
      <t>エン</t>
    </rPh>
    <rPh sb="1" eb="2">
      <t>トウ</t>
    </rPh>
    <phoneticPr fontId="2"/>
  </si>
  <si>
    <t>10ａ当たり地代(円)</t>
    <rPh sb="3" eb="4">
      <t>ア</t>
    </rPh>
    <rPh sb="6" eb="8">
      <t>チダイ</t>
    </rPh>
    <rPh sb="9" eb="10">
      <t>エン</t>
    </rPh>
    <phoneticPr fontId="2"/>
  </si>
  <si>
    <t>使用地面積(ａ)</t>
    <rPh sb="0" eb="2">
      <t>シヨウ</t>
    </rPh>
    <rPh sb="2" eb="3">
      <t>チ</t>
    </rPh>
    <rPh sb="3" eb="5">
      <t>メンセキ</t>
    </rPh>
    <phoneticPr fontId="2"/>
  </si>
  <si>
    <t>うち処分差損失(円)</t>
    <rPh sb="2" eb="4">
      <t>ショブン</t>
    </rPh>
    <rPh sb="4" eb="5">
      <t>サ</t>
    </rPh>
    <rPh sb="5" eb="7">
      <t>ソンシツ</t>
    </rPh>
    <rPh sb="8" eb="9">
      <t>エン</t>
    </rPh>
    <phoneticPr fontId="2"/>
  </si>
  <si>
    <t>増減率(%)</t>
  </si>
  <si>
    <t>増減率(%)</t>
    <phoneticPr fontId="2"/>
  </si>
  <si>
    <t>【流通飼料（搾乳牛通年換算１頭当たり）】</t>
    <rPh sb="1" eb="3">
      <t>リュウツウ</t>
    </rPh>
    <rPh sb="3" eb="5">
      <t>シリョウ</t>
    </rPh>
    <phoneticPr fontId="2"/>
  </si>
  <si>
    <t>【自給牧草（搾乳牛通年換算１頭当たり）】</t>
    <rPh sb="1" eb="3">
      <t>ジキュウ</t>
    </rPh>
    <rPh sb="3" eb="5">
      <t>ボクソウ</t>
    </rPh>
    <phoneticPr fontId="2"/>
  </si>
  <si>
    <t>【物件税及び公課諸負担（搾乳牛通年換算１頭当たり）】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phoneticPr fontId="2"/>
  </si>
  <si>
    <t>【副産物（きゅう肥）（搾乳牛通年換算１頭当たり）】</t>
    <rPh sb="1" eb="4">
      <t>フクサンブツ</t>
    </rPh>
    <rPh sb="8" eb="9">
      <t>ヒ</t>
    </rPh>
    <phoneticPr fontId="2"/>
  </si>
  <si>
    <t>【副産物（子牛）（経営体当たり）】</t>
    <rPh sb="1" eb="2">
      <t>フク</t>
    </rPh>
    <rPh sb="2" eb="3">
      <t>サン</t>
    </rPh>
    <rPh sb="3" eb="4">
      <t>ブツ</t>
    </rPh>
    <rPh sb="5" eb="7">
      <t>コウシ</t>
    </rPh>
    <rPh sb="9" eb="12">
      <t>ケイエイタイ</t>
    </rPh>
    <rPh sb="12" eb="13">
      <t>ア</t>
    </rPh>
    <phoneticPr fontId="2"/>
  </si>
  <si>
    <t>【減価償却額・資本額（搾乳牛通年換算１頭当たり）】</t>
    <rPh sb="1" eb="3">
      <t>ゲンカ</t>
    </rPh>
    <rPh sb="3" eb="6">
      <t>ショウキャクガク</t>
    </rPh>
    <rPh sb="7" eb="10">
      <t>シホンガク</t>
    </rPh>
    <phoneticPr fontId="2"/>
  </si>
  <si>
    <t>合計</t>
    <rPh sb="0" eb="1">
      <t>ゴウ</t>
    </rPh>
    <rPh sb="1" eb="2">
      <t>ケイ</t>
    </rPh>
    <phoneticPr fontId="2"/>
  </si>
  <si>
    <t>単　　価(円)</t>
    <rPh sb="0" eb="1">
      <t>タン</t>
    </rPh>
    <rPh sb="3" eb="4">
      <t>アタイ</t>
    </rPh>
    <rPh sb="5" eb="6">
      <t>エン</t>
    </rPh>
    <phoneticPr fontId="2"/>
  </si>
  <si>
    <t>数　　量(kg)</t>
    <rPh sb="0" eb="1">
      <t>カズ</t>
    </rPh>
    <rPh sb="3" eb="4">
      <t>リョウ</t>
    </rPh>
    <phoneticPr fontId="2"/>
  </si>
  <si>
    <t>頭　　数(頭)</t>
    <rPh sb="0" eb="1">
      <t>アタマ</t>
    </rPh>
    <rPh sb="3" eb="4">
      <t>スウ</t>
    </rPh>
    <rPh sb="5" eb="6">
      <t>トウ</t>
    </rPh>
    <phoneticPr fontId="2"/>
  </si>
  <si>
    <t>償　却　費(円)</t>
    <rPh sb="0" eb="1">
      <t>ショウ</t>
    </rPh>
    <rPh sb="2" eb="3">
      <t>キャク</t>
    </rPh>
    <rPh sb="4" eb="5">
      <t>ヒ</t>
    </rPh>
    <rPh sb="6" eb="7">
      <t>エン</t>
    </rPh>
    <phoneticPr fontId="2"/>
  </si>
  <si>
    <t>資　本　額(円)</t>
    <rPh sb="0" eb="1">
      <t>シ</t>
    </rPh>
    <rPh sb="2" eb="3">
      <t>ホン</t>
    </rPh>
    <rPh sb="4" eb="5">
      <t>ガク</t>
    </rPh>
    <rPh sb="6" eb="7">
      <t>エン</t>
    </rPh>
    <phoneticPr fontId="2"/>
  </si>
  <si>
    <t>【作業別労働時間（搾乳牛通年換算１頭当たり）】</t>
    <rPh sb="1" eb="4">
      <t>サギョウベツ</t>
    </rPh>
    <rPh sb="4" eb="6">
      <t>ロウドウ</t>
    </rPh>
    <rPh sb="6" eb="8">
      <t>ジカン</t>
    </rPh>
    <rPh sb="9" eb="11">
      <t>サクニュウ</t>
    </rPh>
    <rPh sb="11" eb="12">
      <t>ウシ</t>
    </rPh>
    <rPh sb="12" eb="14">
      <t>ツウネン</t>
    </rPh>
    <rPh sb="14" eb="16">
      <t>カンサン</t>
    </rPh>
    <rPh sb="17" eb="18">
      <t>トウ</t>
    </rPh>
    <rPh sb="18" eb="19">
      <t>ア</t>
    </rPh>
    <phoneticPr fontId="2"/>
  </si>
  <si>
    <t>【主産物（搾乳牛通年換算１頭当たり）】</t>
    <rPh sb="1" eb="4">
      <t>シュサンブツ</t>
    </rPh>
    <rPh sb="7" eb="8">
      <t>ウシ</t>
    </rPh>
    <phoneticPr fontId="2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</si>
  <si>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2"/>
  </si>
  <si>
    <t>調査期間関係頭数</t>
    <rPh sb="0" eb="2">
      <t>チョウサ</t>
    </rPh>
    <rPh sb="2" eb="4">
      <t>キカン</t>
    </rPh>
    <rPh sb="4" eb="6">
      <t>カンケイ</t>
    </rPh>
    <rPh sb="6" eb="8">
      <t>トウスウ</t>
    </rPh>
    <phoneticPr fontId="2"/>
  </si>
  <si>
    <t>取得価額</t>
    <rPh sb="0" eb="2">
      <t>シュトク</t>
    </rPh>
    <rPh sb="2" eb="4">
      <t>カガク</t>
    </rPh>
    <phoneticPr fontId="2"/>
  </si>
  <si>
    <t>減価償却額</t>
    <rPh sb="0" eb="2">
      <t>ゲンカ</t>
    </rPh>
    <rPh sb="2" eb="4">
      <t>ショウキャク</t>
    </rPh>
    <rPh sb="4" eb="5">
      <t>ガク</t>
    </rPh>
    <phoneticPr fontId="2"/>
  </si>
  <si>
    <t>売却</t>
    <rPh sb="0" eb="2">
      <t>バイキャク</t>
    </rPh>
    <phoneticPr fontId="2"/>
  </si>
  <si>
    <t>頭数</t>
    <rPh sb="0" eb="2">
      <t>トウスウ</t>
    </rPh>
    <phoneticPr fontId="2"/>
  </si>
  <si>
    <t>価額</t>
    <rPh sb="0" eb="2">
      <t>カガク</t>
    </rPh>
    <phoneticPr fontId="2"/>
  </si>
  <si>
    <t>うち処分差損失</t>
    <rPh sb="2" eb="4">
      <t>ショブン</t>
    </rPh>
    <rPh sb="4" eb="5">
      <t>サ</t>
    </rPh>
    <rPh sb="5" eb="7">
      <t>ソンシツ</t>
    </rPh>
    <phoneticPr fontId="2"/>
  </si>
  <si>
    <t>注１：減価償却額、うち処分差損失は搾乳牛通年換算１頭当たり</t>
    <rPh sb="0" eb="1">
      <t>チュウ</t>
    </rPh>
    <rPh sb="3" eb="5">
      <t>ゲンカ</t>
    </rPh>
    <rPh sb="5" eb="8">
      <t>ショウキャクガク</t>
    </rPh>
    <rPh sb="11" eb="13">
      <t>ショブン</t>
    </rPh>
    <rPh sb="13" eb="14">
      <t>サ</t>
    </rPh>
    <rPh sb="14" eb="16">
      <t>ソンシツ</t>
    </rPh>
    <rPh sb="17" eb="19">
      <t>サクニュウ</t>
    </rPh>
    <rPh sb="19" eb="20">
      <t>ウシ</t>
    </rPh>
    <rPh sb="20" eb="22">
      <t>ツウネン</t>
    </rPh>
    <rPh sb="22" eb="24">
      <t>カンサン</t>
    </rPh>
    <rPh sb="25" eb="26">
      <t>トウ</t>
    </rPh>
    <rPh sb="26" eb="27">
      <t>ア</t>
    </rPh>
    <phoneticPr fontId="2"/>
  </si>
  <si>
    <t>注２：取得価額、売却価額は関係頭数１頭当たり</t>
    <rPh sb="0" eb="1">
      <t>チュウ</t>
    </rPh>
    <rPh sb="3" eb="5">
      <t>シュトク</t>
    </rPh>
    <rPh sb="5" eb="7">
      <t>カガク</t>
    </rPh>
    <rPh sb="8" eb="10">
      <t>バイキャク</t>
    </rPh>
    <rPh sb="10" eb="12">
      <t>カガク</t>
    </rPh>
    <rPh sb="13" eb="15">
      <t>カンケイ</t>
    </rPh>
    <rPh sb="15" eb="17">
      <t>トウスウ</t>
    </rPh>
    <rPh sb="18" eb="19">
      <t>トウ</t>
    </rPh>
    <rPh sb="19" eb="20">
      <t>ア</t>
    </rPh>
    <phoneticPr fontId="2"/>
  </si>
  <si>
    <t>主産物価額</t>
    <rPh sb="0" eb="3">
      <t>シュサンブツ</t>
    </rPh>
    <rPh sb="3" eb="5">
      <t>カガク</t>
    </rPh>
    <phoneticPr fontId="2"/>
  </si>
  <si>
    <t>１kg当たり単価</t>
    <rPh sb="3" eb="4">
      <t>ア</t>
    </rPh>
    <rPh sb="6" eb="8">
      <t>タンカ</t>
    </rPh>
    <phoneticPr fontId="2"/>
  </si>
  <si>
    <t>(頭)</t>
    <rPh sb="1" eb="2">
      <t>トウ</t>
    </rPh>
    <phoneticPr fontId="2"/>
  </si>
  <si>
    <t>(円)</t>
    <rPh sb="1" eb="2">
      <t>エン</t>
    </rPh>
    <phoneticPr fontId="2"/>
  </si>
  <si>
    <t>(kg)</t>
    <phoneticPr fontId="2"/>
  </si>
  <si>
    <t>(％)</t>
    <phoneticPr fontId="2"/>
  </si>
  <si>
    <t>実搾乳量</t>
    <rPh sb="0" eb="1">
      <t>ジツ</t>
    </rPh>
    <rPh sb="1" eb="4">
      <t>サクニュウリョウ</t>
    </rPh>
    <phoneticPr fontId="2"/>
  </si>
  <si>
    <t>3.5％換算乳量</t>
    <rPh sb="4" eb="6">
      <t>カンザン</t>
    </rPh>
    <rPh sb="6" eb="8">
      <t>ニュウリョウ</t>
    </rPh>
    <phoneticPr fontId="2"/>
  </si>
  <si>
    <t>乳脂肪分率</t>
    <rPh sb="0" eb="3">
      <t>ニュウシボウ</t>
    </rPh>
    <rPh sb="3" eb="4">
      <t>ブン</t>
    </rPh>
    <rPh sb="4" eb="5">
      <t>リツ</t>
    </rPh>
    <phoneticPr fontId="2"/>
  </si>
  <si>
    <t>無脂乳固形分率</t>
    <rPh sb="0" eb="1">
      <t>ム</t>
    </rPh>
    <rPh sb="1" eb="2">
      <t>アブラ</t>
    </rPh>
    <rPh sb="2" eb="3">
      <t>チチ</t>
    </rPh>
    <rPh sb="3" eb="5">
      <t>コケイ</t>
    </rPh>
    <rPh sb="5" eb="6">
      <t>ブン</t>
    </rPh>
    <rPh sb="6" eb="7">
      <t>リツ</t>
    </rPh>
    <phoneticPr fontId="2"/>
  </si>
  <si>
    <t>光熱動力費</t>
    <rPh sb="0" eb="2">
      <t>コウネツ</t>
    </rPh>
    <rPh sb="2" eb="5">
      <t>ドウリョクヒ</t>
    </rPh>
    <phoneticPr fontId="2"/>
  </si>
  <si>
    <t>その他の諸材料</t>
    <rPh sb="2" eb="3">
      <t>タ</t>
    </rPh>
    <rPh sb="4" eb="5">
      <t>ショ</t>
    </rPh>
    <rPh sb="5" eb="7">
      <t>ザイリョウ</t>
    </rPh>
    <phoneticPr fontId="2"/>
  </si>
  <si>
    <t>【ＴＤＮ換算飼料給与量（搾乳牛通年換算１頭当たり）】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4" eb="15">
      <t>ウシ</t>
    </rPh>
    <phoneticPr fontId="2"/>
  </si>
  <si>
    <t>労賃単価</t>
    <rPh sb="0" eb="2">
      <t>ロウチン</t>
    </rPh>
    <rPh sb="2" eb="4">
      <t>タンカ</t>
    </rPh>
    <phoneticPr fontId="2"/>
  </si>
  <si>
    <t>公課諸負担</t>
    <rPh sb="0" eb="2">
      <t>コウカ</t>
    </rPh>
    <rPh sb="2" eb="3">
      <t>ショ</t>
    </rPh>
    <rPh sb="3" eb="5">
      <t>フタン</t>
    </rPh>
    <phoneticPr fontId="2"/>
  </si>
  <si>
    <t>物件税</t>
    <rPh sb="0" eb="1">
      <t>モノ</t>
    </rPh>
    <rPh sb="1" eb="2">
      <t>ケン</t>
    </rPh>
    <rPh sb="2" eb="3">
      <t>ゼイ</t>
    </rPh>
    <phoneticPr fontId="2"/>
  </si>
  <si>
    <t>区　　　　分</t>
    <rPh sb="0" eb="1">
      <t>ク</t>
    </rPh>
    <rPh sb="5" eb="6">
      <t>ブン</t>
    </rPh>
    <phoneticPr fontId="2"/>
  </si>
  <si>
    <t>単位</t>
    <rPh sb="0" eb="2">
      <t>タンイ</t>
    </rPh>
    <phoneticPr fontId="2"/>
  </si>
  <si>
    <t>構成比</t>
    <rPh sb="0" eb="3">
      <t>コウセイヒ</t>
    </rPh>
    <phoneticPr fontId="2"/>
  </si>
  <si>
    <t>増減率</t>
    <rPh sb="0" eb="2">
      <t>ゾウゲン</t>
    </rPh>
    <rPh sb="2" eb="3">
      <t>リツ</t>
    </rPh>
    <phoneticPr fontId="2"/>
  </si>
  <si>
    <t>増減</t>
    <rPh sb="0" eb="2">
      <t>ゾウゲン</t>
    </rPh>
    <phoneticPr fontId="2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</si>
  <si>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2"/>
  </si>
  <si>
    <t>（％）</t>
    <phoneticPr fontId="2"/>
  </si>
  <si>
    <t>物財費</t>
    <rPh sb="0" eb="1">
      <t>ブツ</t>
    </rPh>
    <rPh sb="1" eb="2">
      <t>ザイ</t>
    </rPh>
    <rPh sb="2" eb="3">
      <t>ヒ</t>
    </rPh>
    <phoneticPr fontId="2"/>
  </si>
  <si>
    <t>円</t>
    <rPh sb="0" eb="1">
      <t>エン</t>
    </rPh>
    <phoneticPr fontId="2"/>
  </si>
  <si>
    <t>〃</t>
  </si>
  <si>
    <t>飼料費</t>
    <rPh sb="0" eb="3">
      <t>シリョウヒ</t>
    </rPh>
    <phoneticPr fontId="2"/>
  </si>
  <si>
    <t>その他諸材料費</t>
    <rPh sb="2" eb="3">
      <t>タ</t>
    </rPh>
    <rPh sb="3" eb="7">
      <t>ショザイリョウヒ</t>
    </rPh>
    <phoneticPr fontId="2"/>
  </si>
  <si>
    <t>獣医師料・医薬品費</t>
    <rPh sb="0" eb="1">
      <t>ジュウ</t>
    </rPh>
    <rPh sb="1" eb="3">
      <t>イシ</t>
    </rPh>
    <rPh sb="3" eb="4">
      <t>リョウ</t>
    </rPh>
    <rPh sb="5" eb="8">
      <t>イヤクヒン</t>
    </rPh>
    <rPh sb="8" eb="9">
      <t>ヒ</t>
    </rPh>
    <phoneticPr fontId="2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</si>
  <si>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2"/>
  </si>
  <si>
    <t>生産管理費</t>
    <rPh sb="0" eb="2">
      <t>セイサン</t>
    </rPh>
    <rPh sb="2" eb="5">
      <t>カンリヒ</t>
    </rPh>
    <phoneticPr fontId="2"/>
  </si>
  <si>
    <t>うち家族労働費</t>
    <rPh sb="2" eb="4">
      <t>カゾク</t>
    </rPh>
    <rPh sb="4" eb="7">
      <t>ロウドウヒ</t>
    </rPh>
    <phoneticPr fontId="2"/>
  </si>
  <si>
    <t>支払利子</t>
    <rPh sb="0" eb="2">
      <t>シハライ</t>
    </rPh>
    <rPh sb="2" eb="4">
      <t>リシ</t>
    </rPh>
    <phoneticPr fontId="2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</si>
  <si>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2"/>
  </si>
  <si>
    <t>自作地地代</t>
    <rPh sb="0" eb="3">
      <t>ジサクチ</t>
    </rPh>
    <rPh sb="3" eb="5">
      <t>チダイ</t>
    </rPh>
    <phoneticPr fontId="2"/>
  </si>
  <si>
    <t>労働時間</t>
    <rPh sb="0" eb="2">
      <t>ロウドウ</t>
    </rPh>
    <rPh sb="2" eb="4">
      <t>ジカン</t>
    </rPh>
    <phoneticPr fontId="2"/>
  </si>
  <si>
    <t>時間</t>
    <rPh sb="0" eb="2">
      <t>ジカン</t>
    </rPh>
    <phoneticPr fontId="2"/>
  </si>
  <si>
    <t>うち家族労働時間</t>
    <rPh sb="2" eb="4">
      <t>カゾク</t>
    </rPh>
    <rPh sb="4" eb="6">
      <t>ロウドウ</t>
    </rPh>
    <rPh sb="6" eb="8">
      <t>ジカン</t>
    </rPh>
    <phoneticPr fontId="2"/>
  </si>
  <si>
    <t>〃</t>
    <phoneticPr fontId="2"/>
  </si>
  <si>
    <t>うち直接労働時間</t>
    <rPh sb="2" eb="4">
      <t>チョクセツ</t>
    </rPh>
    <rPh sb="4" eb="6">
      <t>ロウドウ</t>
    </rPh>
    <rPh sb="6" eb="8">
      <t>ジカン</t>
    </rPh>
    <phoneticPr fontId="2"/>
  </si>
  <si>
    <t>kg</t>
    <phoneticPr fontId="2"/>
  </si>
  <si>
    <t>粗収益</t>
    <rPh sb="0" eb="3">
      <t>ソシュウエキ</t>
    </rPh>
    <phoneticPr fontId="2"/>
  </si>
  <si>
    <t>所得</t>
    <rPh sb="0" eb="2">
      <t>ショトク</t>
    </rPh>
    <phoneticPr fontId="2"/>
  </si>
  <si>
    <t>１日当たり家族労働報酬</t>
    <rPh sb="1" eb="2">
      <t>ニチ</t>
    </rPh>
    <rPh sb="2" eb="3">
      <t>ア</t>
    </rPh>
    <rPh sb="5" eb="7">
      <t>カゾク</t>
    </rPh>
    <rPh sb="7" eb="9">
      <t>ロウドウ</t>
    </rPh>
    <rPh sb="9" eb="11">
      <t>ホウシュウ</t>
    </rPh>
    <phoneticPr fontId="2"/>
  </si>
  <si>
    <t>（１経営体当たり）</t>
    <rPh sb="2" eb="5">
      <t>ケイエイタイ</t>
    </rPh>
    <rPh sb="5" eb="6">
      <t>ア</t>
    </rPh>
    <phoneticPr fontId="2"/>
  </si>
  <si>
    <t>搾乳牛通年換算頭数</t>
    <rPh sb="0" eb="1">
      <t>サク</t>
    </rPh>
    <rPh sb="1" eb="3">
      <t>ニュウギュウ</t>
    </rPh>
    <rPh sb="3" eb="5">
      <t>ツウネン</t>
    </rPh>
    <rPh sb="5" eb="7">
      <t>カンザン</t>
    </rPh>
    <rPh sb="7" eb="9">
      <t>トウスウ</t>
    </rPh>
    <phoneticPr fontId="2"/>
  </si>
  <si>
    <t>頭</t>
    <rPh sb="0" eb="1">
      <t>トウ</t>
    </rPh>
    <phoneticPr fontId="2"/>
  </si>
  <si>
    <t>3.5％換算乳量</t>
    <rPh sb="4" eb="6">
      <t>カンサン</t>
    </rPh>
    <rPh sb="6" eb="8">
      <t>ニュウリョウ</t>
    </rPh>
    <phoneticPr fontId="2"/>
  </si>
  <si>
    <t>【生産費（搾乳牛通年換算１頭当たり）】</t>
    <rPh sb="1" eb="4">
      <t>セイサンヒ</t>
    </rPh>
    <rPh sb="5" eb="7">
      <t>サクニュウ</t>
    </rPh>
    <rPh sb="7" eb="8">
      <t>ウシ</t>
    </rPh>
    <rPh sb="8" eb="10">
      <t>ツウネン</t>
    </rPh>
    <rPh sb="10" eb="12">
      <t>カンサン</t>
    </rPh>
    <rPh sb="13" eb="14">
      <t>トウ</t>
    </rPh>
    <rPh sb="14" eb="15">
      <t>ア</t>
    </rPh>
    <phoneticPr fontId="2"/>
  </si>
  <si>
    <t>光熱動力費</t>
    <rPh sb="0" eb="1">
      <t>コウ</t>
    </rPh>
    <rPh sb="2" eb="4">
      <t>ドウリョク</t>
    </rPh>
    <rPh sb="4" eb="5">
      <t>ヒ</t>
    </rPh>
    <phoneticPr fontId="2"/>
  </si>
  <si>
    <t>【費用合計（購入）（搾乳牛通年換算１頭当たり）】</t>
    <rPh sb="1" eb="3">
      <t>ヒヨウ</t>
    </rPh>
    <rPh sb="3" eb="5">
      <t>ゴウケイ</t>
    </rPh>
    <rPh sb="6" eb="8">
      <t>コウニュウ</t>
    </rPh>
    <rPh sb="10" eb="12">
      <t>サクニュウ</t>
    </rPh>
    <rPh sb="12" eb="13">
      <t>ウシ</t>
    </rPh>
    <rPh sb="13" eb="15">
      <t>ツウネン</t>
    </rPh>
    <rPh sb="15" eb="17">
      <t>カンサン</t>
    </rPh>
    <rPh sb="18" eb="19">
      <t>トウ</t>
    </rPh>
    <rPh sb="19" eb="20">
      <t>ア</t>
    </rPh>
    <phoneticPr fontId="2"/>
  </si>
  <si>
    <t>労働費（支払賃金）</t>
    <rPh sb="0" eb="3">
      <t>ロウドウヒ</t>
    </rPh>
    <rPh sb="4" eb="6">
      <t>シハラ</t>
    </rPh>
    <rPh sb="6" eb="8">
      <t>チンギン</t>
    </rPh>
    <phoneticPr fontId="2"/>
  </si>
  <si>
    <t>【費用合計（自給）（搾乳牛通年換算１頭当たり）】</t>
    <rPh sb="1" eb="3">
      <t>ヒヨウ</t>
    </rPh>
    <rPh sb="3" eb="5">
      <t>ゴウケイ</t>
    </rPh>
    <rPh sb="6" eb="8">
      <t>ジキュウ</t>
    </rPh>
    <rPh sb="10" eb="12">
      <t>サクニュウ</t>
    </rPh>
    <rPh sb="12" eb="13">
      <t>ウシ</t>
    </rPh>
    <rPh sb="13" eb="15">
      <t>ツウネン</t>
    </rPh>
    <rPh sb="15" eb="17">
      <t>カンサン</t>
    </rPh>
    <rPh sb="18" eb="19">
      <t>トウ</t>
    </rPh>
    <rPh sb="19" eb="20">
      <t>ア</t>
    </rPh>
    <phoneticPr fontId="2"/>
  </si>
  <si>
    <t>労働費（家族労働）</t>
    <rPh sb="0" eb="3">
      <t>ロウドウヒ</t>
    </rPh>
    <rPh sb="4" eb="6">
      <t>カゾク</t>
    </rPh>
    <rPh sb="6" eb="8">
      <t>ロウドウ</t>
    </rPh>
    <phoneticPr fontId="2"/>
  </si>
  <si>
    <t>(時間)</t>
    <rPh sb="1" eb="3">
      <t>ジカン</t>
    </rPh>
    <phoneticPr fontId="2"/>
  </si>
  <si>
    <t>放牧時間</t>
    <rPh sb="0" eb="2">
      <t>ホウボク</t>
    </rPh>
    <rPh sb="2" eb="4">
      <t>ジカン</t>
    </rPh>
    <phoneticPr fontId="2"/>
  </si>
  <si>
    <t>月始め延べ月飼養頭数</t>
    <rPh sb="0" eb="2">
      <t>ツキハジ</t>
    </rPh>
    <rPh sb="3" eb="4">
      <t>ノ</t>
    </rPh>
    <rPh sb="5" eb="6">
      <t>ツキ</t>
    </rPh>
    <rPh sb="6" eb="8">
      <t>シヨウ</t>
    </rPh>
    <rPh sb="8" eb="10">
      <t>トウスウ</t>
    </rPh>
    <phoneticPr fontId="2"/>
  </si>
  <si>
    <t>給与量(kg)</t>
    <rPh sb="0" eb="2">
      <t>キュウヨ</t>
    </rPh>
    <rPh sb="2" eb="3">
      <t>リョウ</t>
    </rPh>
    <phoneticPr fontId="2"/>
  </si>
  <si>
    <t>【自給牧草の生産に要した費用（経営体当たり）】</t>
    <rPh sb="1" eb="3">
      <t>ジキュウ</t>
    </rPh>
    <rPh sb="3" eb="5">
      <t>ボクソウ</t>
    </rPh>
    <rPh sb="6" eb="8">
      <t>セイサン</t>
    </rPh>
    <rPh sb="9" eb="10">
      <t>ヨウ</t>
    </rPh>
    <rPh sb="12" eb="14">
      <t>ヒヨウ</t>
    </rPh>
    <rPh sb="15" eb="18">
      <t>ケイエイタイ</t>
    </rPh>
    <phoneticPr fontId="2"/>
  </si>
  <si>
    <t>【借入金（経営体当たり）】</t>
    <rPh sb="1" eb="4">
      <t>カリイレキン</t>
    </rPh>
    <rPh sb="5" eb="8">
      <t>ケイエイタイ</t>
    </rPh>
    <phoneticPr fontId="2"/>
  </si>
  <si>
    <t>【地代（経営体当たり）】</t>
    <rPh sb="1" eb="3">
      <t>チダイ</t>
    </rPh>
    <rPh sb="4" eb="7">
      <t>ケイエイタイ</t>
    </rPh>
    <rPh sb="7" eb="8">
      <t>ア</t>
    </rPh>
    <phoneticPr fontId="2"/>
  </si>
  <si>
    <t>【搾乳牛の概要（経営体当たり）】</t>
    <rPh sb="1" eb="2">
      <t>サク</t>
    </rPh>
    <rPh sb="2" eb="4">
      <t>ニュウギュウ</t>
    </rPh>
    <rPh sb="5" eb="7">
      <t>ガイヨウ</t>
    </rPh>
    <rPh sb="8" eb="11">
      <t>ケイエイタイ</t>
    </rPh>
    <rPh sb="11" eb="12">
      <t>ア</t>
    </rPh>
    <phoneticPr fontId="2"/>
  </si>
  <si>
    <t>【指標部　搾乳牛負担率】</t>
    <rPh sb="1" eb="3">
      <t>シヒョウ</t>
    </rPh>
    <rPh sb="3" eb="4">
      <t>ブ</t>
    </rPh>
    <rPh sb="5" eb="6">
      <t>サク</t>
    </rPh>
    <rPh sb="6" eb="8">
      <t>ニュウギュウ</t>
    </rPh>
    <rPh sb="8" eb="11">
      <t>フタンリツ</t>
    </rPh>
    <phoneticPr fontId="2"/>
  </si>
  <si>
    <t>飼料等</t>
    <rPh sb="0" eb="2">
      <t>シリョウ</t>
    </rPh>
    <rPh sb="2" eb="3">
      <t>トウ</t>
    </rPh>
    <phoneticPr fontId="2"/>
  </si>
  <si>
    <t>建物等</t>
    <rPh sb="0" eb="2">
      <t>タテモノ</t>
    </rPh>
    <rPh sb="2" eb="3">
      <t>トウ</t>
    </rPh>
    <phoneticPr fontId="2"/>
  </si>
  <si>
    <t>飼料関係作業</t>
    <rPh sb="0" eb="2">
      <t>シリョウ</t>
    </rPh>
    <rPh sb="2" eb="4">
      <t>カンケイ</t>
    </rPh>
    <rPh sb="4" eb="6">
      <t>サギョウ</t>
    </rPh>
    <phoneticPr fontId="2"/>
  </si>
  <si>
    <t>運動場</t>
    <rPh sb="0" eb="3">
      <t>ウンドウジョウ</t>
    </rPh>
    <phoneticPr fontId="2"/>
  </si>
  <si>
    <t>まぜまき計</t>
    <rPh sb="4" eb="5">
      <t>ケイ</t>
    </rPh>
    <phoneticPr fontId="2"/>
  </si>
  <si>
    <t>注：乳脂肪分率、無脂乳固形分率の増減率は増減差</t>
    <rPh sb="0" eb="1">
      <t>チュウ</t>
    </rPh>
    <rPh sb="2" eb="5">
      <t>ニュウシボウ</t>
    </rPh>
    <rPh sb="5" eb="6">
      <t>ブン</t>
    </rPh>
    <rPh sb="6" eb="7">
      <t>リツ</t>
    </rPh>
    <rPh sb="8" eb="9">
      <t>ム</t>
    </rPh>
    <rPh sb="9" eb="10">
      <t>シ</t>
    </rPh>
    <rPh sb="10" eb="11">
      <t>ニュウ</t>
    </rPh>
    <rPh sb="11" eb="13">
      <t>コケイ</t>
    </rPh>
    <rPh sb="13" eb="15">
      <t>ブンリツ</t>
    </rPh>
    <rPh sb="16" eb="19">
      <t>ゾウゲンリツ</t>
    </rPh>
    <rPh sb="20" eb="22">
      <t>ゾウゲン</t>
    </rPh>
    <rPh sb="22" eb="23">
      <t>サ</t>
    </rPh>
    <phoneticPr fontId="2"/>
  </si>
  <si>
    <t>備考欄</t>
    <rPh sb="0" eb="3">
      <t>ビコウラン</t>
    </rPh>
    <phoneticPr fontId="2"/>
  </si>
  <si>
    <t>【自給牧草の生産（経営体当たり）】</t>
    <rPh sb="1" eb="3">
      <t>ジキュウ</t>
    </rPh>
    <rPh sb="3" eb="5">
      <t>ボクソウ</t>
    </rPh>
    <rPh sb="6" eb="8">
      <t>セイサン</t>
    </rPh>
    <rPh sb="9" eb="12">
      <t>ケイエイタイ</t>
    </rPh>
    <phoneticPr fontId="2"/>
  </si>
  <si>
    <t>作付面積計</t>
    <rPh sb="0" eb="2">
      <t>サクツケ</t>
    </rPh>
    <rPh sb="2" eb="4">
      <t>メンセキ</t>
    </rPh>
    <rPh sb="4" eb="5">
      <t>ケイ</t>
    </rPh>
    <phoneticPr fontId="2"/>
  </si>
  <si>
    <t>(ａ)</t>
    <phoneticPr fontId="2"/>
  </si>
  <si>
    <t>収穫量計</t>
    <rPh sb="0" eb="3">
      <t>シュウカクリョウ</t>
    </rPh>
    <rPh sb="3" eb="4">
      <t>ケイ</t>
    </rPh>
    <phoneticPr fontId="2"/>
  </si>
  <si>
    <t>放牧場面積</t>
    <rPh sb="0" eb="2">
      <t>ホウボク</t>
    </rPh>
    <rPh sb="2" eb="3">
      <t>ジョウ</t>
    </rPh>
    <rPh sb="3" eb="5">
      <t>メンセキ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</si>
</sst>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\ ###\ ##0.0"/>
    <numFmt numFmtId="177" formatCode="###\ ###\ ##0.00;\-###\ ###\ ##0.00;"/>
    <numFmt numFmtId="178" formatCode="#0&quot;年&quot;"/>
    <numFmt numFmtId="179" formatCode="###\ ###\ ###\ ##0;\-###\ ###\ ###\ ##0;"/>
    <numFmt numFmtId="180" formatCode="#0&quot;年&quot;;&quot;???&quot;;"/>
    <numFmt numFmtId="181" formatCode="###\ ###\ ###\ ##0;\-###\ ###\ ###\ ##0;0"/>
    <numFmt numFmtId="182" formatCode="###\ ###\ ##0.0;\-###\ ###\ ##0.0;0.0"/>
    <numFmt numFmtId="183" formatCode="??0.0;\-??0.0;0.0"/>
    <numFmt numFmtId="184" formatCode="###\ ###\ ##0.00;\-###\ ###\ ##0.00;0.00"/>
    <numFmt numFmtId="185" formatCode="###\ ###\ ##0"/>
    <numFmt numFmtId="186" formatCode="#,##0.0"/>
    <numFmt numFmtId="187" formatCode="#,##0.0;[Red]\-#,##0.0"/>
    <numFmt numFmtId="188" formatCode="#,##0.0;\-??0.0;0.0"/>
  </numFmts>
  <fonts count="2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8"/>
      <name val="ＭＳ 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  <scheme val="major"/>
    </font>
    <font>
      <sz val="8"/>
      <color theme="1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color indexed="8"/>
      <name val="ＭＳ 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13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/>
      <bottom/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thin">
        <color indexed="64"/>
      </right>
      <top/>
      <bottom/>
      <diagonal style="hair">
        <color indexed="64"/>
      </diagonal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/>
      <bottom style="hair">
        <color indexed="64"/>
      </bottom>
      <diagonal style="hair">
        <color indexed="64"/>
      </diagonal>
    </border>
    <border diagonalDown="1">
      <left/>
      <right/>
      <top/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46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0" borderId="0"/>
    <xf numFmtId="0" fontId="20" fillId="4" borderId="0" applyNumberFormat="0" applyBorder="0" applyAlignment="0" applyProtection="0">
      <alignment vertical="center"/>
    </xf>
    <xf numFmtId="0" fontId="1" fillId="0" borderId="0"/>
    <xf numFmtId="0" fontId="1" fillId="0" borderId="0"/>
    <xf numFmtId="38" fontId="1" fillId="0" borderId="0" applyFont="0" applyFill="0" applyBorder="0" applyAlignment="0" applyProtection="0">
      <alignment vertical="center"/>
    </xf>
  </cellStyleXfs>
  <cellXfs count="614">
    <xf numFmtId="0" fontId="0" fillId="0" borderId="0" xfId="0">
      <alignment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right" vertical="center"/>
    </xf>
    <xf numFmtId="49" fontId="21" fillId="0" borderId="0" xfId="0" applyNumberFormat="1" applyFont="1" applyAlignment="1">
      <alignment horizontal="right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right" vertical="center"/>
    </xf>
    <xf numFmtId="179" fontId="21" fillId="0" borderId="0" xfId="0" applyNumberFormat="1" applyFont="1" applyAlignment="1">
      <alignment horizontal="right" shrinkToFit="1"/>
    </xf>
    <xf numFmtId="181" fontId="21" fillId="0" borderId="0" xfId="0" applyNumberFormat="1" applyFont="1" applyAlignment="1">
      <alignment horizontal="center" shrinkToFit="1"/>
    </xf>
    <xf numFmtId="0" fontId="21" fillId="0" borderId="0" xfId="0" applyFont="1" applyAlignment="1">
      <alignment horizontal="center" vertical="center" shrinkToFit="1"/>
    </xf>
    <xf numFmtId="183" fontId="21" fillId="0" borderId="0" xfId="0" applyNumberFormat="1" applyFont="1" applyAlignment="1">
      <alignment horizontal="center" shrinkToFit="1"/>
    </xf>
    <xf numFmtId="181" fontId="21" fillId="0" borderId="0" xfId="0" applyNumberFormat="1" applyFont="1" applyAlignment="1">
      <alignment horizontal="right" shrinkToFit="1"/>
    </xf>
    <xf numFmtId="0" fontId="21" fillId="0" borderId="51" xfId="0" applyFont="1" applyBorder="1" applyAlignment="1">
      <alignment horizontal="distributed" vertical="center"/>
    </xf>
    <xf numFmtId="0" fontId="21" fillId="0" borderId="10" xfId="0" applyFont="1" applyBorder="1" applyAlignment="1">
      <alignment horizontal="distributed" vertical="center"/>
    </xf>
    <xf numFmtId="0" fontId="21" fillId="0" borderId="69" xfId="0" applyFont="1" applyBorder="1" applyAlignment="1">
      <alignment horizontal="distributed" vertical="center"/>
    </xf>
    <xf numFmtId="0" fontId="21" fillId="0" borderId="70" xfId="0" applyFont="1" applyBorder="1" applyAlignment="1">
      <alignment horizontal="distributed" vertical="center"/>
    </xf>
    <xf numFmtId="0" fontId="21" fillId="0" borderId="35" xfId="0" applyFont="1" applyBorder="1" applyAlignment="1">
      <alignment vertical="center" shrinkToFit="1"/>
    </xf>
    <xf numFmtId="0" fontId="21" fillId="0" borderId="30" xfId="0" applyFont="1" applyBorder="1" applyAlignment="1">
      <alignment vertical="center" shrinkToFit="1"/>
    </xf>
    <xf numFmtId="0" fontId="21" fillId="0" borderId="27" xfId="0" applyFont="1" applyBorder="1" applyAlignment="1">
      <alignment horizontal="distributed" vertical="center"/>
    </xf>
    <xf numFmtId="0" fontId="21" fillId="0" borderId="37" xfId="0" applyFont="1" applyBorder="1" applyAlignment="1">
      <alignment vertical="center" shrinkToFit="1"/>
    </xf>
    <xf numFmtId="0" fontId="21" fillId="0" borderId="38" xfId="0" applyFont="1" applyBorder="1" applyAlignment="1">
      <alignment vertical="center" shrinkToFit="1"/>
    </xf>
    <xf numFmtId="0" fontId="24" fillId="0" borderId="69" xfId="0" applyFont="1" applyBorder="1" applyAlignment="1">
      <alignment horizontal="distributed" vertical="center" textRotation="255" shrinkToFit="1"/>
    </xf>
    <xf numFmtId="0" fontId="24" fillId="0" borderId="70" xfId="0" applyFont="1" applyBorder="1" applyAlignment="1">
      <alignment horizontal="distributed" vertical="center" textRotation="255" shrinkToFit="1"/>
    </xf>
    <xf numFmtId="0" fontId="21" fillId="0" borderId="68" xfId="0" applyFont="1" applyBorder="1" applyAlignment="1">
      <alignment horizontal="distributed" vertical="center" textRotation="255"/>
    </xf>
    <xf numFmtId="0" fontId="21" fillId="0" borderId="0" xfId="0" applyFont="1" applyAlignment="1">
      <alignment vertical="center" shrinkToFit="1"/>
    </xf>
    <xf numFmtId="0" fontId="24" fillId="0" borderId="0" xfId="0" applyFont="1" applyAlignment="1">
      <alignment horizontal="distributed" vertical="center" textRotation="255" shrinkToFit="1"/>
    </xf>
    <xf numFmtId="180" fontId="21" fillId="0" borderId="0" xfId="0" quotePrefix="1" applyNumberFormat="1" applyFont="1">
      <alignment vertical="center"/>
    </xf>
    <xf numFmtId="178" fontId="21" fillId="0" borderId="0" xfId="0" applyNumberFormat="1" applyFont="1">
      <alignment vertical="center"/>
    </xf>
    <xf numFmtId="0" fontId="21" fillId="0" borderId="0" xfId="0" applyFont="1" applyAlignment="1">
      <alignment vertical="center" wrapText="1" shrinkToFit="1"/>
    </xf>
    <xf numFmtId="181" fontId="21" fillId="0" borderId="0" xfId="0" applyNumberFormat="1" applyFont="1" applyAlignment="1">
      <alignment shrinkToFit="1"/>
    </xf>
    <xf numFmtId="184" fontId="21" fillId="0" borderId="0" xfId="0" applyNumberFormat="1" applyFont="1" applyAlignment="1">
      <alignment shrinkToFit="1"/>
    </xf>
    <xf numFmtId="0" fontId="21" fillId="0" borderId="0" xfId="0" applyFont="1" applyAlignment="1">
      <alignment vertical="center" justifyLastLine="1"/>
    </xf>
    <xf numFmtId="0" fontId="24" fillId="0" borderId="0" xfId="0" applyFont="1">
      <alignment vertical="center"/>
    </xf>
    <xf numFmtId="0" fontId="21" fillId="0" borderId="0" xfId="0" applyFont="1" applyAlignment="1"/>
    <xf numFmtId="0" fontId="21" fillId="0" borderId="0" xfId="0" applyFont="1" applyAlignment="1">
      <alignment shrinkToFit="1"/>
    </xf>
    <xf numFmtId="0" fontId="25" fillId="0" borderId="0" xfId="0" applyFont="1">
      <alignment vertical="center"/>
    </xf>
    <xf numFmtId="0" fontId="25" fillId="0" borderId="0" xfId="0" applyFont="1" applyAlignment="1">
      <alignment horizontal="distributed" vertical="center"/>
    </xf>
    <xf numFmtId="0" fontId="21" fillId="0" borderId="51" xfId="0" applyFont="1" applyBorder="1">
      <alignment vertical="center"/>
    </xf>
    <xf numFmtId="0" fontId="21" fillId="0" borderId="10" xfId="0" applyFont="1" applyBorder="1" applyAlignment="1">
      <alignment vertical="center" shrinkToFit="1"/>
    </xf>
    <xf numFmtId="0" fontId="22" fillId="0" borderId="0" xfId="0" applyFont="1" applyAlignment="1">
      <alignment horizontal="left" vertical="top"/>
    </xf>
    <xf numFmtId="0" fontId="22" fillId="0" borderId="0" xfId="0" applyFont="1" applyAlignment="1">
      <alignment horizontal="center" vertical="top"/>
    </xf>
    <xf numFmtId="0" fontId="21" fillId="0" borderId="75" xfId="0" applyFont="1" applyBorder="1" applyAlignment="1">
      <alignment vertical="center" shrinkToFit="1"/>
    </xf>
    <xf numFmtId="183" fontId="21" fillId="0" borderId="0" xfId="0" applyNumberFormat="1" applyFont="1" applyAlignment="1">
      <alignment shrinkToFit="1"/>
    </xf>
    <xf numFmtId="182" fontId="21" fillId="0" borderId="0" xfId="0" applyNumberFormat="1" applyFont="1" applyAlignment="1">
      <alignment shrinkToFit="1"/>
    </xf>
    <xf numFmtId="182" fontId="21" fillId="0" borderId="0" xfId="0" applyNumberFormat="1" applyFont="1" applyAlignment="1">
      <alignment horizontal="right" shrinkToFit="1"/>
    </xf>
    <xf numFmtId="183" fontId="21" fillId="0" borderId="0" xfId="0" applyNumberFormat="1" applyFont="1" applyAlignment="1">
      <alignment horizontal="right" shrinkToFit="1"/>
    </xf>
    <xf numFmtId="176" fontId="21" fillId="0" borderId="0" xfId="0" applyNumberFormat="1" applyFont="1" applyAlignment="1">
      <alignment horizontal="center" shrinkToFit="1"/>
    </xf>
    <xf numFmtId="0" fontId="21" fillId="0" borderId="74" xfId="0" applyFont="1" applyBorder="1">
      <alignment vertical="center"/>
    </xf>
    <xf numFmtId="0" fontId="21" fillId="0" borderId="75" xfId="0" applyFont="1" applyBorder="1">
      <alignment vertical="center"/>
    </xf>
    <xf numFmtId="177" fontId="21" fillId="0" borderId="0" xfId="0" applyNumberFormat="1" applyFont="1" applyAlignment="1">
      <alignment shrinkToFit="1"/>
    </xf>
    <xf numFmtId="186" fontId="21" fillId="0" borderId="0" xfId="0" applyNumberFormat="1" applyFont="1" applyAlignment="1">
      <alignment shrinkToFit="1"/>
    </xf>
    <xf numFmtId="186" fontId="21" fillId="0" borderId="20" xfId="0" applyNumberFormat="1" applyFont="1" applyBorder="1" applyAlignment="1">
      <alignment horizontal="right" shrinkToFit="1"/>
    </xf>
    <xf numFmtId="0" fontId="21" fillId="0" borderId="20" xfId="0" applyFont="1" applyBorder="1">
      <alignment vertical="center"/>
    </xf>
    <xf numFmtId="3" fontId="22" fillId="0" borderId="20" xfId="0" applyNumberFormat="1" applyFont="1" applyBorder="1" applyAlignment="1">
      <alignment horizontal="right" shrinkToFit="1"/>
    </xf>
    <xf numFmtId="184" fontId="21" fillId="0" borderId="0" xfId="0" applyNumberFormat="1" applyFont="1" applyAlignment="1">
      <alignment horizontal="right" shrinkToFit="1"/>
    </xf>
    <xf numFmtId="177" fontId="21" fillId="0" borderId="0" xfId="0" applyNumberFormat="1" applyFont="1" applyAlignment="1">
      <alignment horizontal="right" shrinkToFit="1"/>
    </xf>
    <xf numFmtId="3" fontId="22" fillId="0" borderId="0" xfId="0" applyNumberFormat="1" applyFont="1" applyAlignment="1">
      <alignment vertical="center" shrinkToFit="1"/>
    </xf>
    <xf numFmtId="186" fontId="21" fillId="0" borderId="0" xfId="0" applyNumberFormat="1" applyFont="1" applyAlignment="1">
      <alignment vertical="center" shrinkToFit="1"/>
    </xf>
    <xf numFmtId="0" fontId="21" fillId="0" borderId="0" xfId="0" applyFont="1" applyAlignment="1">
      <alignment vertical="top"/>
    </xf>
    <xf numFmtId="0" fontId="21" fillId="0" borderId="68" xfId="0" applyFont="1" applyBorder="1" applyAlignment="1">
      <alignment horizontal="distributed" vertical="center"/>
    </xf>
    <xf numFmtId="0" fontId="21" fillId="0" borderId="0" xfId="0" applyFont="1" applyAlignment="1">
      <alignment horizontal="distributed" vertical="center"/>
    </xf>
    <xf numFmtId="0" fontId="21" fillId="0" borderId="57" xfId="0" applyFont="1" applyBorder="1" applyAlignment="1">
      <alignment horizontal="distributed" vertical="center"/>
    </xf>
    <xf numFmtId="0" fontId="21" fillId="0" borderId="20" xfId="0" applyFont="1" applyBorder="1" applyAlignment="1">
      <alignment horizontal="distributed" vertical="center"/>
    </xf>
    <xf numFmtId="0" fontId="26" fillId="0" borderId="100" xfId="0" applyFont="1" applyBorder="1" applyAlignment="1">
      <alignment horizontal="center" vertical="center" wrapText="1"/>
    </xf>
    <xf numFmtId="0" fontId="26" fillId="0" borderId="86" xfId="0" applyFont="1" applyBorder="1" applyAlignment="1">
      <alignment horizontal="center" vertical="center" wrapText="1"/>
    </xf>
    <xf numFmtId="0" fontId="26" fillId="0" borderId="87" xfId="0" applyFont="1" applyBorder="1" applyAlignment="1">
      <alignment horizontal="center" vertical="center" wrapText="1"/>
    </xf>
    <xf numFmtId="0" fontId="21" fillId="0" borderId="68" xfId="0" applyFont="1" applyBorder="1" applyAlignment="1">
      <alignment horizontal="distributed" vertical="center" wrapText="1"/>
    </xf>
    <xf numFmtId="0" fontId="26" fillId="0" borderId="86" xfId="0" applyFont="1" applyBorder="1" applyAlignment="1">
      <alignment horizontal="center" vertical="center"/>
    </xf>
    <xf numFmtId="0" fontId="21" fillId="0" borderId="70" xfId="0" applyFont="1" applyBorder="1" applyAlignment="1">
      <alignment horizontal="distributed" vertical="distributed" textRotation="255"/>
    </xf>
    <xf numFmtId="0" fontId="26" fillId="0" borderId="83" xfId="0" applyFont="1" applyBorder="1" applyAlignment="1">
      <alignment horizontal="center" vertical="center" wrapText="1"/>
    </xf>
    <xf numFmtId="0" fontId="26" fillId="0" borderId="100" xfId="0" applyFont="1" applyBorder="1" applyAlignment="1">
      <alignment horizontal="center" vertical="center" shrinkToFit="1"/>
    </xf>
    <xf numFmtId="0" fontId="21" fillId="0" borderId="68" xfId="0" applyFont="1" applyBorder="1" applyAlignment="1">
      <alignment horizontal="distributed" vertical="distributed" textRotation="255"/>
    </xf>
    <xf numFmtId="0" fontId="26" fillId="0" borderId="85" xfId="0" applyFont="1" applyBorder="1" applyAlignment="1">
      <alignment horizontal="center" vertical="center"/>
    </xf>
    <xf numFmtId="0" fontId="21" fillId="0" borderId="57" xfId="0" applyFont="1" applyBorder="1" applyAlignment="1">
      <alignment horizontal="distributed" vertical="distributed" textRotation="255"/>
    </xf>
    <xf numFmtId="0" fontId="26" fillId="0" borderId="101" xfId="0" applyFont="1" applyBorder="1" applyAlignment="1">
      <alignment horizontal="center" vertical="center" wrapText="1"/>
    </xf>
    <xf numFmtId="0" fontId="26" fillId="0" borderId="85" xfId="0" applyFont="1" applyBorder="1" applyAlignment="1">
      <alignment horizontal="center" vertical="center" wrapText="1"/>
    </xf>
    <xf numFmtId="0" fontId="21" fillId="0" borderId="69" xfId="0" applyFont="1" applyBorder="1" applyAlignment="1">
      <alignment horizontal="distributed" wrapText="1"/>
    </xf>
    <xf numFmtId="0" fontId="26" fillId="0" borderId="94" xfId="0" applyFont="1" applyBorder="1" applyAlignment="1">
      <alignment horizontal="center" vertical="center" wrapText="1"/>
    </xf>
    <xf numFmtId="0" fontId="26" fillId="0" borderId="99" xfId="0" applyFont="1" applyBorder="1" applyAlignment="1">
      <alignment horizontal="center" vertical="center" wrapText="1"/>
    </xf>
    <xf numFmtId="0" fontId="22" fillId="0" borderId="0" xfId="0" applyFont="1">
      <alignment vertical="center"/>
    </xf>
    <xf numFmtId="3" fontId="23" fillId="0" borderId="94" xfId="0" applyNumberFormat="1" applyFont="1" applyBorder="1" applyAlignment="1">
      <alignment horizontal="right" vertical="center" shrinkToFit="1"/>
    </xf>
    <xf numFmtId="3" fontId="23" fillId="0" borderId="96" xfId="0" applyNumberFormat="1" applyFont="1" applyBorder="1" applyAlignment="1">
      <alignment horizontal="right" vertical="center" shrinkToFit="1"/>
    </xf>
    <xf numFmtId="176" fontId="21" fillId="0" borderId="17" xfId="0" applyNumberFormat="1" applyFont="1" applyBorder="1" applyAlignment="1">
      <alignment horizontal="left" vertical="center" shrinkToFit="1"/>
    </xf>
    <xf numFmtId="176" fontId="21" fillId="0" borderId="13" xfId="0" applyNumberFormat="1" applyFont="1" applyBorder="1" applyAlignment="1">
      <alignment horizontal="left" vertical="center" shrinkToFit="1"/>
    </xf>
    <xf numFmtId="176" fontId="21" fillId="0" borderId="30" xfId="0" applyNumberFormat="1" applyFont="1" applyBorder="1" applyAlignment="1">
      <alignment horizontal="left" vertical="center" shrinkToFit="1"/>
    </xf>
    <xf numFmtId="0" fontId="21" fillId="0" borderId="18" xfId="0" applyFont="1" applyBorder="1" applyAlignment="1">
      <alignment horizontal="distributed" wrapText="1"/>
    </xf>
    <xf numFmtId="0" fontId="21" fillId="0" borderId="14" xfId="0" applyFont="1" applyBorder="1" applyAlignment="1">
      <alignment horizontal="distributed" wrapText="1"/>
    </xf>
    <xf numFmtId="0" fontId="21" fillId="0" borderId="14" xfId="0" applyFont="1" applyBorder="1" applyAlignment="1">
      <alignment wrapText="1"/>
    </xf>
    <xf numFmtId="186" fontId="23" fillId="0" borderId="14" xfId="0" applyNumberFormat="1" applyFont="1" applyBorder="1" applyAlignment="1">
      <alignment horizontal="right" vertical="center" shrinkToFit="1"/>
    </xf>
    <xf numFmtId="186" fontId="23" fillId="0" borderId="42" xfId="0" applyNumberFormat="1" applyFont="1" applyBorder="1" applyAlignment="1">
      <alignment horizontal="right" vertical="center" shrinkToFit="1"/>
    </xf>
    <xf numFmtId="0" fontId="23" fillId="0" borderId="31" xfId="0" applyFont="1" applyBorder="1" applyAlignment="1">
      <alignment horizontal="right" vertical="center" shrinkToFit="1"/>
    </xf>
    <xf numFmtId="0" fontId="23" fillId="0" borderId="50" xfId="0" applyFont="1" applyBorder="1" applyAlignment="1">
      <alignment horizontal="right" vertical="center" shrinkToFit="1"/>
    </xf>
    <xf numFmtId="0" fontId="23" fillId="0" borderId="32" xfId="0" applyFont="1" applyBorder="1" applyAlignment="1">
      <alignment horizontal="right" vertical="center" shrinkToFit="1"/>
    </xf>
    <xf numFmtId="186" fontId="23" fillId="0" borderId="18" xfId="0" applyNumberFormat="1" applyFont="1" applyBorder="1" applyAlignment="1">
      <alignment horizontal="right" vertical="center" shrinkToFit="1"/>
    </xf>
    <xf numFmtId="188" fontId="28" fillId="0" borderId="36" xfId="0" applyNumberFormat="1" applyFont="1" applyBorder="1" applyAlignment="1">
      <alignment horizontal="right" vertical="center" shrinkToFit="1"/>
    </xf>
    <xf numFmtId="188" fontId="28" fillId="0" borderId="25" xfId="0" applyNumberFormat="1" applyFont="1" applyBorder="1" applyAlignment="1">
      <alignment horizontal="right" vertical="center" shrinkToFit="1"/>
    </xf>
    <xf numFmtId="186" fontId="23" fillId="0" borderId="25" xfId="0" applyNumberFormat="1" applyFont="1" applyBorder="1" applyAlignment="1">
      <alignment horizontal="right" vertical="center" shrinkToFit="1"/>
    </xf>
    <xf numFmtId="186" fontId="23" fillId="0" borderId="83" xfId="0" applyNumberFormat="1" applyFont="1" applyBorder="1" applyAlignment="1">
      <alignment horizontal="right" vertical="center" shrinkToFit="1"/>
    </xf>
    <xf numFmtId="176" fontId="21" fillId="0" borderId="18" xfId="0" applyNumberFormat="1" applyFont="1" applyBorder="1" applyAlignment="1">
      <alignment horizontal="left" vertical="center" shrinkToFit="1"/>
    </xf>
    <xf numFmtId="176" fontId="21" fillId="0" borderId="14" xfId="0" applyNumberFormat="1" applyFont="1" applyBorder="1" applyAlignment="1">
      <alignment horizontal="left" vertical="center" shrinkToFit="1"/>
    </xf>
    <xf numFmtId="176" fontId="21" fillId="0" borderId="37" xfId="0" applyNumberFormat="1" applyFont="1" applyBorder="1" applyAlignment="1">
      <alignment horizontal="left" vertical="center" shrinkToFit="1"/>
    </xf>
    <xf numFmtId="0" fontId="21" fillId="0" borderId="95" xfId="0" applyFont="1" applyBorder="1" applyAlignment="1">
      <alignment horizontal="distributed" vertical="center" wrapText="1"/>
    </xf>
    <xf numFmtId="0" fontId="21" fillId="0" borderId="94" xfId="0" applyFont="1" applyBorder="1" applyAlignment="1">
      <alignment horizontal="distributed" vertical="center" wrapText="1"/>
    </xf>
    <xf numFmtId="0" fontId="21" fillId="0" borderId="94" xfId="0" applyFont="1" applyBorder="1" applyAlignment="1">
      <alignment wrapText="1"/>
    </xf>
    <xf numFmtId="0" fontId="23" fillId="0" borderId="94" xfId="0" applyFont="1" applyBorder="1" applyAlignment="1">
      <alignment horizontal="right" vertical="center" shrinkToFit="1"/>
    </xf>
    <xf numFmtId="188" fontId="28" fillId="0" borderId="94" xfId="0" applyNumberFormat="1" applyFont="1" applyBorder="1" applyAlignment="1">
      <alignment horizontal="right" vertical="center" shrinkToFit="1"/>
    </xf>
    <xf numFmtId="3" fontId="23" fillId="0" borderId="23" xfId="0" applyNumberFormat="1" applyFont="1" applyBorder="1" applyAlignment="1">
      <alignment horizontal="right" vertical="center" shrinkToFit="1"/>
    </xf>
    <xf numFmtId="3" fontId="23" fillId="0" borderId="13" xfId="0" applyNumberFormat="1" applyFont="1" applyBorder="1" applyAlignment="1">
      <alignment horizontal="right" vertical="center" shrinkToFit="1"/>
    </xf>
    <xf numFmtId="3" fontId="23" fillId="0" borderId="30" xfId="0" applyNumberFormat="1" applyFont="1" applyBorder="1" applyAlignment="1">
      <alignment horizontal="right" vertical="center" shrinkToFit="1"/>
    </xf>
    <xf numFmtId="0" fontId="21" fillId="0" borderId="114" xfId="0" applyFont="1" applyBorder="1" applyAlignment="1">
      <alignment horizontal="center" vertical="center" shrinkToFit="1"/>
    </xf>
    <xf numFmtId="0" fontId="21" fillId="0" borderId="115" xfId="0" applyFont="1" applyBorder="1" applyAlignment="1">
      <alignment horizontal="center" vertical="center" shrinkToFit="1"/>
    </xf>
    <xf numFmtId="0" fontId="21" fillId="0" borderId="116" xfId="0" applyFont="1" applyBorder="1" applyAlignment="1">
      <alignment horizontal="center" vertical="center" shrinkToFit="1"/>
    </xf>
    <xf numFmtId="3" fontId="23" fillId="0" borderId="19" xfId="0" applyNumberFormat="1" applyFont="1" applyBorder="1" applyAlignment="1">
      <alignment horizontal="right" vertical="center" shrinkToFit="1"/>
    </xf>
    <xf numFmtId="3" fontId="23" fillId="0" borderId="40" xfId="0" applyNumberFormat="1" applyFont="1" applyBorder="1" applyAlignment="1">
      <alignment horizontal="right" vertical="center" shrinkToFit="1"/>
    </xf>
    <xf numFmtId="0" fontId="23" fillId="0" borderId="111" xfId="0" applyFont="1" applyBorder="1" applyAlignment="1">
      <alignment horizontal="right" vertical="center" shrinkToFit="1"/>
    </xf>
    <xf numFmtId="0" fontId="23" fillId="0" borderId="112" xfId="0" applyFont="1" applyBorder="1" applyAlignment="1">
      <alignment horizontal="right" vertical="center" shrinkToFit="1"/>
    </xf>
    <xf numFmtId="0" fontId="23" fillId="0" borderId="113" xfId="0" applyFont="1" applyBorder="1" applyAlignment="1">
      <alignment horizontal="right" vertical="center" shrinkToFit="1"/>
    </xf>
    <xf numFmtId="3" fontId="23" fillId="0" borderId="47" xfId="0" applyNumberFormat="1" applyFont="1" applyBorder="1" applyAlignment="1">
      <alignment horizontal="right" vertical="center" shrinkToFit="1"/>
    </xf>
    <xf numFmtId="188" fontId="28" fillId="0" borderId="117" xfId="0" applyNumberFormat="1" applyFont="1" applyBorder="1" applyAlignment="1">
      <alignment horizontal="right" vertical="center" shrinkToFit="1"/>
    </xf>
    <xf numFmtId="188" fontId="28" fillId="0" borderId="115" xfId="0" applyNumberFormat="1" applyFont="1" applyBorder="1" applyAlignment="1">
      <alignment horizontal="right" vertical="center" shrinkToFit="1"/>
    </xf>
    <xf numFmtId="188" fontId="28" fillId="0" borderId="116" xfId="0" applyNumberFormat="1" applyFont="1" applyBorder="1" applyAlignment="1">
      <alignment horizontal="right" vertical="center" shrinkToFit="1"/>
    </xf>
    <xf numFmtId="3" fontId="23" fillId="0" borderId="114" xfId="0" applyNumberFormat="1" applyFont="1" applyBorder="1" applyAlignment="1">
      <alignment horizontal="right" vertical="center" shrinkToFit="1"/>
    </xf>
    <xf numFmtId="3" fontId="23" fillId="0" borderId="115" xfId="0" applyNumberFormat="1" applyFont="1" applyBorder="1" applyAlignment="1">
      <alignment horizontal="right" vertical="center" shrinkToFit="1"/>
    </xf>
    <xf numFmtId="3" fontId="23" fillId="0" borderId="118" xfId="0" applyNumberFormat="1" applyFont="1" applyBorder="1" applyAlignment="1">
      <alignment horizontal="right" vertical="center" shrinkToFit="1"/>
    </xf>
    <xf numFmtId="0" fontId="21" fillId="0" borderId="47" xfId="0" applyFont="1" applyBorder="1" applyAlignment="1">
      <alignment horizontal="distributed" wrapText="1"/>
    </xf>
    <xf numFmtId="0" fontId="21" fillId="0" borderId="13" xfId="0" applyFont="1" applyBorder="1" applyAlignment="1">
      <alignment horizontal="distributed" wrapText="1"/>
    </xf>
    <xf numFmtId="0" fontId="21" fillId="0" borderId="13" xfId="0" applyFont="1" applyBorder="1" applyAlignment="1">
      <alignment wrapText="1"/>
    </xf>
    <xf numFmtId="3" fontId="23" fillId="0" borderId="17" xfId="0" applyNumberFormat="1" applyFont="1" applyBorder="1" applyAlignment="1">
      <alignment horizontal="right" vertical="center" shrinkToFit="1"/>
    </xf>
    <xf numFmtId="3" fontId="23" fillId="0" borderId="41" xfId="0" applyNumberFormat="1" applyFont="1" applyBorder="1" applyAlignment="1">
      <alignment horizontal="right" vertical="center" shrinkToFit="1"/>
    </xf>
    <xf numFmtId="0" fontId="23" fillId="0" borderId="105" xfId="0" applyFont="1" applyBorder="1" applyAlignment="1">
      <alignment horizontal="right" vertical="center" shrinkToFit="1"/>
    </xf>
    <xf numFmtId="0" fontId="23" fillId="0" borderId="106" xfId="0" applyFont="1" applyBorder="1" applyAlignment="1">
      <alignment horizontal="right" vertical="center" shrinkToFit="1"/>
    </xf>
    <xf numFmtId="0" fontId="23" fillId="0" borderId="107" xfId="0" applyFont="1" applyBorder="1" applyAlignment="1">
      <alignment horizontal="right" vertical="center" shrinkToFit="1"/>
    </xf>
    <xf numFmtId="188" fontId="28" fillId="0" borderId="17" xfId="0" applyNumberFormat="1" applyFont="1" applyBorder="1" applyAlignment="1">
      <alignment horizontal="right" vertical="center" shrinkToFit="1"/>
    </xf>
    <xf numFmtId="188" fontId="28" fillId="0" borderId="13" xfId="0" applyNumberFormat="1" applyFont="1" applyBorder="1" applyAlignment="1">
      <alignment horizontal="right" vertical="center" shrinkToFit="1"/>
    </xf>
    <xf numFmtId="188" fontId="28" fillId="0" borderId="41" xfId="0" applyNumberFormat="1" applyFont="1" applyBorder="1" applyAlignment="1">
      <alignment horizontal="right" vertical="center" shrinkToFit="1"/>
    </xf>
    <xf numFmtId="3" fontId="23" fillId="0" borderId="22" xfId="0" applyNumberFormat="1" applyFont="1" applyBorder="1" applyAlignment="1">
      <alignment horizontal="right" vertical="center" shrinkToFit="1"/>
    </xf>
    <xf numFmtId="3" fontId="23" fillId="0" borderId="14" xfId="0" applyNumberFormat="1" applyFont="1" applyBorder="1" applyAlignment="1">
      <alignment horizontal="right" vertical="center" shrinkToFit="1"/>
    </xf>
    <xf numFmtId="3" fontId="23" fillId="0" borderId="37" xfId="0" applyNumberFormat="1" applyFont="1" applyBorder="1" applyAlignment="1">
      <alignment horizontal="right" vertical="center" shrinkToFit="1"/>
    </xf>
    <xf numFmtId="0" fontId="21" fillId="0" borderId="48" xfId="0" applyFont="1" applyBorder="1" applyAlignment="1">
      <alignment horizontal="distributed" wrapText="1"/>
    </xf>
    <xf numFmtId="0" fontId="21" fillId="0" borderId="16" xfId="0" applyFont="1" applyBorder="1" applyAlignment="1">
      <alignment horizontal="distributed" wrapText="1"/>
    </xf>
    <xf numFmtId="0" fontId="21" fillId="0" borderId="16" xfId="0" applyFont="1" applyBorder="1" applyAlignment="1">
      <alignment wrapText="1"/>
    </xf>
    <xf numFmtId="3" fontId="23" fillId="0" borderId="46" xfId="0" applyNumberFormat="1" applyFont="1" applyBorder="1" applyAlignment="1">
      <alignment horizontal="right" vertical="center" shrinkToFit="1"/>
    </xf>
    <xf numFmtId="3" fontId="23" fillId="0" borderId="15" xfId="0" applyNumberFormat="1" applyFont="1" applyBorder="1" applyAlignment="1">
      <alignment horizontal="right" vertical="center" shrinkToFit="1"/>
    </xf>
    <xf numFmtId="3" fontId="23" fillId="0" borderId="43" xfId="0" applyNumberFormat="1" applyFont="1" applyBorder="1" applyAlignment="1">
      <alignment horizontal="right" vertical="center" shrinkToFit="1"/>
    </xf>
    <xf numFmtId="0" fontId="23" fillId="0" borderId="108" xfId="0" applyFont="1" applyBorder="1" applyAlignment="1">
      <alignment horizontal="right" vertical="center" shrinkToFit="1"/>
    </xf>
    <xf numFmtId="0" fontId="23" fillId="0" borderId="109" xfId="0" applyFont="1" applyBorder="1" applyAlignment="1">
      <alignment horizontal="right" vertical="center" shrinkToFit="1"/>
    </xf>
    <xf numFmtId="0" fontId="23" fillId="0" borderId="110" xfId="0" applyFont="1" applyBorder="1" applyAlignment="1">
      <alignment horizontal="right" vertical="center" shrinkToFit="1"/>
    </xf>
    <xf numFmtId="3" fontId="23" fillId="0" borderId="48" xfId="0" applyNumberFormat="1" applyFont="1" applyBorder="1" applyAlignment="1">
      <alignment horizontal="right" vertical="center" shrinkToFit="1"/>
    </xf>
    <xf numFmtId="3" fontId="23" fillId="0" borderId="16" xfId="0" applyNumberFormat="1" applyFont="1" applyBorder="1" applyAlignment="1">
      <alignment horizontal="right" vertical="center" shrinkToFit="1"/>
    </xf>
    <xf numFmtId="3" fontId="23" fillId="0" borderId="39" xfId="0" applyNumberFormat="1" applyFont="1" applyBorder="1" applyAlignment="1">
      <alignment horizontal="right" vertical="center" shrinkToFit="1"/>
    </xf>
    <xf numFmtId="188" fontId="28" fillId="0" borderId="46" xfId="0" applyNumberFormat="1" applyFont="1" applyBorder="1" applyAlignment="1">
      <alignment horizontal="right" vertical="center" shrinkToFit="1"/>
    </xf>
    <xf numFmtId="188" fontId="28" fillId="0" borderId="15" xfId="0" applyNumberFormat="1" applyFont="1" applyBorder="1" applyAlignment="1">
      <alignment horizontal="right" vertical="center" shrinkToFit="1"/>
    </xf>
    <xf numFmtId="188" fontId="28" fillId="0" borderId="43" xfId="0" applyNumberFormat="1" applyFont="1" applyBorder="1" applyAlignment="1">
      <alignment horizontal="right" vertical="center" shrinkToFit="1"/>
    </xf>
    <xf numFmtId="3" fontId="23" fillId="0" borderId="34" xfId="0" applyNumberFormat="1" applyFont="1" applyBorder="1" applyAlignment="1">
      <alignment horizontal="right" vertical="center" shrinkToFit="1"/>
    </xf>
    <xf numFmtId="3" fontId="23" fillId="0" borderId="35" xfId="0" applyNumberFormat="1" applyFont="1" applyBorder="1" applyAlignment="1">
      <alignment horizontal="right" vertical="center" shrinkToFit="1"/>
    </xf>
    <xf numFmtId="3" fontId="23" fillId="0" borderId="18" xfId="0" applyNumberFormat="1" applyFont="1" applyBorder="1" applyAlignment="1">
      <alignment horizontal="right" vertical="center" shrinkToFit="1"/>
    </xf>
    <xf numFmtId="3" fontId="23" fillId="0" borderId="42" xfId="0" applyNumberFormat="1" applyFont="1" applyBorder="1" applyAlignment="1">
      <alignment horizontal="right" vertical="center" shrinkToFit="1"/>
    </xf>
    <xf numFmtId="188" fontId="28" fillId="0" borderId="18" xfId="0" applyNumberFormat="1" applyFont="1" applyBorder="1" applyAlignment="1">
      <alignment horizontal="right" vertical="center" shrinkToFit="1"/>
    </xf>
    <xf numFmtId="188" fontId="28" fillId="0" borderId="14" xfId="0" applyNumberFormat="1" applyFont="1" applyBorder="1" applyAlignment="1">
      <alignment horizontal="right" vertical="center" shrinkToFit="1"/>
    </xf>
    <xf numFmtId="188" fontId="28" fillId="0" borderId="42" xfId="0" applyNumberFormat="1" applyFont="1" applyBorder="1" applyAlignment="1">
      <alignment horizontal="right" vertical="center" shrinkToFit="1"/>
    </xf>
    <xf numFmtId="0" fontId="25" fillId="0" borderId="17" xfId="0" applyFont="1" applyBorder="1" applyAlignment="1">
      <alignment horizontal="distributed" wrapText="1"/>
    </xf>
    <xf numFmtId="0" fontId="25" fillId="0" borderId="13" xfId="0" applyFont="1" applyBorder="1" applyAlignment="1">
      <alignment horizontal="distributed" wrapText="1"/>
    </xf>
    <xf numFmtId="0" fontId="21" fillId="0" borderId="46" xfId="0" applyFont="1" applyBorder="1" applyAlignment="1">
      <alignment horizontal="distributed" wrapText="1"/>
    </xf>
    <xf numFmtId="0" fontId="21" fillId="0" borderId="15" xfId="0" applyFont="1" applyBorder="1" applyAlignment="1">
      <alignment horizontal="distributed" wrapText="1"/>
    </xf>
    <xf numFmtId="0" fontId="21" fillId="0" borderId="15" xfId="0" applyFont="1" applyBorder="1" applyAlignment="1">
      <alignment wrapText="1"/>
    </xf>
    <xf numFmtId="0" fontId="23" fillId="0" borderId="102" xfId="0" applyFont="1" applyBorder="1" applyAlignment="1">
      <alignment horizontal="right" vertical="center" shrinkToFit="1"/>
    </xf>
    <xf numFmtId="0" fontId="23" fillId="0" borderId="103" xfId="0" applyFont="1" applyBorder="1" applyAlignment="1">
      <alignment horizontal="right" vertical="center" shrinkToFit="1"/>
    </xf>
    <xf numFmtId="0" fontId="23" fillId="0" borderId="104" xfId="0" applyFont="1" applyBorder="1" applyAlignment="1">
      <alignment horizontal="right" vertical="center" shrinkToFit="1"/>
    </xf>
    <xf numFmtId="4" fontId="23" fillId="0" borderId="23" xfId="0" applyNumberFormat="1" applyFont="1" applyBorder="1" applyAlignment="1">
      <alignment horizontal="right" vertical="center" shrinkToFit="1"/>
    </xf>
    <xf numFmtId="4" fontId="23" fillId="0" borderId="13" xfId="0" applyNumberFormat="1" applyFont="1" applyBorder="1" applyAlignment="1">
      <alignment horizontal="right" vertical="center" shrinkToFit="1"/>
    </xf>
    <xf numFmtId="4" fontId="23" fillId="0" borderId="30" xfId="0" applyNumberFormat="1" applyFont="1" applyBorder="1" applyAlignment="1">
      <alignment horizontal="right" vertical="center" shrinkToFit="1"/>
    </xf>
    <xf numFmtId="0" fontId="21" fillId="0" borderId="22" xfId="0" applyFont="1" applyBorder="1" applyAlignment="1">
      <alignment horizontal="distributed" wrapText="1"/>
    </xf>
    <xf numFmtId="4" fontId="23" fillId="0" borderId="18" xfId="0" applyNumberFormat="1" applyFont="1" applyBorder="1" applyAlignment="1">
      <alignment horizontal="right" vertical="center" shrinkToFit="1"/>
    </xf>
    <xf numFmtId="4" fontId="23" fillId="0" borderId="14" xfId="0" applyNumberFormat="1" applyFont="1" applyBorder="1" applyAlignment="1">
      <alignment horizontal="right" vertical="center" shrinkToFit="1"/>
    </xf>
    <xf numFmtId="4" fontId="23" fillId="0" borderId="42" xfId="0" applyNumberFormat="1" applyFont="1" applyBorder="1" applyAlignment="1">
      <alignment horizontal="right" vertical="center" shrinkToFit="1"/>
    </xf>
    <xf numFmtId="4" fontId="23" fillId="0" borderId="22" xfId="0" applyNumberFormat="1" applyFont="1" applyBorder="1" applyAlignment="1">
      <alignment horizontal="right" vertical="center" shrinkToFit="1"/>
    </xf>
    <xf numFmtId="4" fontId="23" fillId="0" borderId="37" xfId="0" applyNumberFormat="1" applyFont="1" applyBorder="1" applyAlignment="1">
      <alignment horizontal="right" vertical="center" shrinkToFit="1"/>
    </xf>
    <xf numFmtId="0" fontId="21" fillId="0" borderId="23" xfId="0" applyFont="1" applyBorder="1" applyAlignment="1">
      <alignment horizontal="distributed"/>
    </xf>
    <xf numFmtId="0" fontId="21" fillId="0" borderId="13" xfId="0" applyFont="1" applyBorder="1" applyAlignment="1">
      <alignment horizontal="distributed"/>
    </xf>
    <xf numFmtId="4" fontId="23" fillId="0" borderId="17" xfId="0" applyNumberFormat="1" applyFont="1" applyBorder="1" applyAlignment="1">
      <alignment horizontal="right" vertical="center" shrinkToFit="1"/>
    </xf>
    <xf numFmtId="4" fontId="23" fillId="0" borderId="41" xfId="0" applyNumberFormat="1" applyFont="1" applyBorder="1" applyAlignment="1">
      <alignment horizontal="right" vertical="center" shrinkToFit="1"/>
    </xf>
    <xf numFmtId="0" fontId="21" fillId="0" borderId="53" xfId="0" applyFont="1" applyBorder="1" applyAlignment="1">
      <alignment horizontal="distributed" vertical="distributed" wrapText="1"/>
    </xf>
    <xf numFmtId="0" fontId="21" fillId="0" borderId="20" xfId="0" applyFont="1" applyBorder="1" applyAlignment="1">
      <alignment horizontal="distributed" wrapText="1"/>
    </xf>
    <xf numFmtId="0" fontId="21" fillId="0" borderId="20" xfId="0" applyFont="1" applyBorder="1" applyAlignment="1">
      <alignment wrapText="1"/>
    </xf>
    <xf numFmtId="4" fontId="23" fillId="0" borderId="46" xfId="0" applyNumberFormat="1" applyFont="1" applyBorder="1" applyAlignment="1">
      <alignment horizontal="right" vertical="center" shrinkToFit="1"/>
    </xf>
    <xf numFmtId="4" fontId="23" fillId="0" borderId="15" xfId="0" applyNumberFormat="1" applyFont="1" applyBorder="1" applyAlignment="1">
      <alignment horizontal="right" vertical="center" shrinkToFit="1"/>
    </xf>
    <xf numFmtId="4" fontId="23" fillId="0" borderId="43" xfId="0" applyNumberFormat="1" applyFont="1" applyBorder="1" applyAlignment="1">
      <alignment horizontal="right" vertical="center" shrinkToFit="1"/>
    </xf>
    <xf numFmtId="4" fontId="23" fillId="0" borderId="34" xfId="0" applyNumberFormat="1" applyFont="1" applyBorder="1" applyAlignment="1">
      <alignment horizontal="right" vertical="center" shrinkToFit="1"/>
    </xf>
    <xf numFmtId="4" fontId="23" fillId="0" borderId="35" xfId="0" applyNumberFormat="1" applyFont="1" applyBorder="1" applyAlignment="1">
      <alignment horizontal="right" vertical="center" shrinkToFit="1"/>
    </xf>
    <xf numFmtId="0" fontId="21" fillId="0" borderId="22" xfId="0" applyFont="1" applyBorder="1" applyAlignment="1">
      <alignment horizontal="distributed" vertical="center" wrapText="1"/>
    </xf>
    <xf numFmtId="0" fontId="21" fillId="0" borderId="17" xfId="0" applyFont="1" applyBorder="1" applyAlignment="1">
      <alignment horizontal="distributed" wrapText="1"/>
    </xf>
    <xf numFmtId="186" fontId="23" fillId="0" borderId="23" xfId="0" applyNumberFormat="1" applyFont="1" applyBorder="1" applyAlignment="1">
      <alignment horizontal="right" vertical="center" shrinkToFit="1"/>
    </xf>
    <xf numFmtId="186" fontId="23" fillId="0" borderId="13" xfId="0" applyNumberFormat="1" applyFont="1" applyBorder="1" applyAlignment="1">
      <alignment horizontal="right" vertical="center" shrinkToFit="1"/>
    </xf>
    <xf numFmtId="186" fontId="23" fillId="0" borderId="30" xfId="0" applyNumberFormat="1" applyFont="1" applyBorder="1" applyAlignment="1">
      <alignment horizontal="right" vertical="center" shrinkToFit="1"/>
    </xf>
    <xf numFmtId="0" fontId="21" fillId="0" borderId="23" xfId="0" applyFont="1" applyBorder="1" applyAlignment="1">
      <alignment horizontal="distributed" vertical="center"/>
    </xf>
    <xf numFmtId="0" fontId="21" fillId="0" borderId="13" xfId="0" applyFont="1" applyBorder="1" applyAlignment="1">
      <alignment horizontal="distributed" vertical="center"/>
    </xf>
    <xf numFmtId="0" fontId="21" fillId="0" borderId="47" xfId="0" applyFont="1" applyBorder="1" applyAlignment="1">
      <alignment horizontal="distributed" vertical="center" wrapText="1"/>
    </xf>
    <xf numFmtId="0" fontId="21" fillId="0" borderId="19" xfId="0" applyFont="1" applyBorder="1" applyAlignment="1">
      <alignment horizontal="distributed" wrapText="1"/>
    </xf>
    <xf numFmtId="0" fontId="21" fillId="0" borderId="19" xfId="0" applyFont="1" applyBorder="1" applyAlignment="1">
      <alignment wrapText="1"/>
    </xf>
    <xf numFmtId="0" fontId="21" fillId="0" borderId="13" xfId="0" applyFont="1" applyBorder="1" applyAlignment="1">
      <alignment horizontal="distributed" vertical="center" wrapText="1"/>
    </xf>
    <xf numFmtId="0" fontId="21" fillId="0" borderId="23" xfId="0" applyFont="1" applyBorder="1" applyAlignment="1">
      <alignment horizontal="center" vertical="center" shrinkToFit="1"/>
    </xf>
    <xf numFmtId="0" fontId="21" fillId="0" borderId="13" xfId="0" applyFont="1" applyBorder="1" applyAlignment="1">
      <alignment horizontal="center" vertical="center" shrinkToFit="1"/>
    </xf>
    <xf numFmtId="0" fontId="21" fillId="0" borderId="41" xfId="0" applyFont="1" applyBorder="1" applyAlignment="1">
      <alignment horizontal="center" shrinkToFit="1"/>
    </xf>
    <xf numFmtId="0" fontId="21" fillId="0" borderId="53" xfId="0" applyFont="1" applyBorder="1" applyAlignment="1">
      <alignment horizontal="distributed" vertical="center" wrapText="1"/>
    </xf>
    <xf numFmtId="0" fontId="21" fillId="0" borderId="15" xfId="0" applyFont="1" applyBorder="1" applyAlignment="1">
      <alignment horizontal="distributed" vertical="center" wrapText="1"/>
    </xf>
    <xf numFmtId="186" fontId="23" fillId="0" borderId="34" xfId="0" applyNumberFormat="1" applyFont="1" applyBorder="1" applyAlignment="1">
      <alignment horizontal="right" vertical="center" shrinkToFit="1"/>
    </xf>
    <xf numFmtId="186" fontId="23" fillId="0" borderId="15" xfId="0" applyNumberFormat="1" applyFont="1" applyBorder="1" applyAlignment="1">
      <alignment horizontal="right" vertical="center" shrinkToFit="1"/>
    </xf>
    <xf numFmtId="186" fontId="23" fillId="0" borderId="35" xfId="0" applyNumberFormat="1" applyFont="1" applyBorder="1" applyAlignment="1">
      <alignment horizontal="right" vertical="center" shrinkToFit="1"/>
    </xf>
    <xf numFmtId="188" fontId="28" fillId="0" borderId="33" xfId="0" applyNumberFormat="1" applyFont="1" applyBorder="1" applyAlignment="1">
      <alignment horizontal="right" vertical="center" shrinkToFit="1"/>
    </xf>
    <xf numFmtId="188" fontId="28" fillId="0" borderId="26" xfId="0" applyNumberFormat="1" applyFont="1" applyBorder="1" applyAlignment="1">
      <alignment horizontal="right" vertical="center" shrinkToFit="1"/>
    </xf>
    <xf numFmtId="3" fontId="23" fillId="0" borderId="26" xfId="0" applyNumberFormat="1" applyFont="1" applyBorder="1" applyAlignment="1">
      <alignment horizontal="right" vertical="center" shrinkToFit="1"/>
    </xf>
    <xf numFmtId="3" fontId="23" fillId="0" borderId="100" xfId="0" applyNumberFormat="1" applyFont="1" applyBorder="1" applyAlignment="1">
      <alignment horizontal="right" vertical="center" shrinkToFit="1"/>
    </xf>
    <xf numFmtId="176" fontId="21" fillId="0" borderId="48" xfId="0" applyNumberFormat="1" applyFont="1" applyBorder="1" applyAlignment="1">
      <alignment horizontal="left" vertical="center" shrinkToFit="1"/>
    </xf>
    <xf numFmtId="176" fontId="21" fillId="0" borderId="16" xfId="0" applyNumberFormat="1" applyFont="1" applyBorder="1" applyAlignment="1">
      <alignment horizontal="left" vertical="center" shrinkToFit="1"/>
    </xf>
    <xf numFmtId="176" fontId="21" fillId="0" borderId="28" xfId="0" applyNumberFormat="1" applyFont="1" applyBorder="1" applyAlignment="1">
      <alignment horizontal="left" vertical="center" shrinkToFit="1"/>
    </xf>
    <xf numFmtId="0" fontId="21" fillId="0" borderId="69" xfId="0" applyFont="1" applyBorder="1" applyAlignment="1">
      <alignment horizontal="distributed" vertical="center" wrapText="1"/>
    </xf>
    <xf numFmtId="0" fontId="21" fillId="0" borderId="69" xfId="0" applyFont="1" applyBorder="1" applyAlignment="1">
      <alignment horizontal="distributed" wrapText="1"/>
    </xf>
    <xf numFmtId="0" fontId="21" fillId="0" borderId="27" xfId="0" applyFont="1" applyBorder="1" applyAlignment="1">
      <alignment horizontal="distributed" wrapText="1"/>
    </xf>
    <xf numFmtId="0" fontId="21" fillId="0" borderId="19" xfId="0" applyFont="1" applyBorder="1" applyAlignment="1">
      <alignment horizontal="distributed" vertical="center" wrapText="1"/>
    </xf>
    <xf numFmtId="0" fontId="22" fillId="0" borderId="0" xfId="0" applyFont="1" applyAlignment="1">
      <alignment horizontal="left" vertical="center"/>
    </xf>
    <xf numFmtId="0" fontId="22" fillId="0" borderId="49" xfId="0" applyFont="1" applyBorder="1" applyAlignment="1">
      <alignment horizontal="left" vertical="center"/>
    </xf>
    <xf numFmtId="0" fontId="21" fillId="0" borderId="52" xfId="0" applyFont="1" applyBorder="1" applyAlignment="1">
      <alignment horizontal="center" vertical="center"/>
    </xf>
    <xf numFmtId="49" fontId="27" fillId="0" borderId="52" xfId="0" applyNumberFormat="1" applyFont="1" applyBorder="1" applyAlignment="1">
      <alignment horizontal="center" vertical="top"/>
    </xf>
    <xf numFmtId="0" fontId="21" fillId="0" borderId="53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57" xfId="0" applyFont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/>
    </xf>
    <xf numFmtId="0" fontId="25" fillId="0" borderId="98" xfId="0" applyFont="1" applyBorder="1" applyAlignment="1">
      <alignment horizontal="center" vertical="center" wrapText="1"/>
    </xf>
    <xf numFmtId="0" fontId="25" fillId="0" borderId="99" xfId="0" applyFont="1" applyBorder="1" applyAlignment="1">
      <alignment horizontal="center" vertical="center" wrapText="1"/>
    </xf>
    <xf numFmtId="178" fontId="21" fillId="0" borderId="20" xfId="0" applyNumberFormat="1" applyFont="1" applyBorder="1" applyAlignment="1">
      <alignment horizontal="center" vertical="center" shrinkToFit="1"/>
    </xf>
    <xf numFmtId="178" fontId="21" fillId="0" borderId="54" xfId="0" applyNumberFormat="1" applyFont="1" applyBorder="1" applyAlignment="1">
      <alignment horizontal="center" vertical="center" shrinkToFit="1"/>
    </xf>
    <xf numFmtId="178" fontId="21" fillId="0" borderId="58" xfId="0" applyNumberFormat="1" applyFont="1" applyBorder="1" applyAlignment="1">
      <alignment horizontal="center" vertical="center" shrinkToFit="1"/>
    </xf>
    <xf numFmtId="178" fontId="21" fillId="0" borderId="59" xfId="0" applyNumberFormat="1" applyFont="1" applyBorder="1" applyAlignment="1">
      <alignment horizontal="center" vertical="center" shrinkToFit="1"/>
    </xf>
    <xf numFmtId="0" fontId="21" fillId="0" borderId="55" xfId="0" applyFont="1" applyBorder="1" applyAlignment="1">
      <alignment horizontal="center" vertical="center" shrinkToFit="1"/>
    </xf>
    <xf numFmtId="0" fontId="21" fillId="0" borderId="20" xfId="0" applyFont="1" applyBorder="1" applyAlignment="1">
      <alignment horizontal="center" vertical="center" shrinkToFit="1"/>
    </xf>
    <xf numFmtId="0" fontId="21" fillId="0" borderId="56" xfId="0" applyFont="1" applyBorder="1" applyAlignment="1">
      <alignment horizontal="center" vertical="center" shrinkToFit="1"/>
    </xf>
    <xf numFmtId="178" fontId="21" fillId="0" borderId="53" xfId="0" applyNumberFormat="1" applyFont="1" applyBorder="1" applyAlignment="1">
      <alignment horizontal="center" vertical="center" shrinkToFit="1"/>
    </xf>
    <xf numFmtId="178" fontId="21" fillId="0" borderId="57" xfId="0" applyNumberFormat="1" applyFont="1" applyBorder="1" applyAlignment="1">
      <alignment horizontal="center" vertical="center" shrinkToFit="1"/>
    </xf>
    <xf numFmtId="0" fontId="21" fillId="0" borderId="93" xfId="0" applyFont="1" applyBorder="1" applyAlignment="1">
      <alignment horizontal="center" vertical="center" shrinkToFit="1"/>
    </xf>
    <xf numFmtId="0" fontId="21" fillId="0" borderId="97" xfId="0" applyFont="1" applyBorder="1" applyAlignment="1">
      <alignment horizontal="center" vertical="center" shrinkToFit="1"/>
    </xf>
    <xf numFmtId="0" fontId="21" fillId="0" borderId="98" xfId="0" applyFont="1" applyBorder="1" applyAlignment="1">
      <alignment horizontal="center" vertical="center" shrinkToFit="1"/>
    </xf>
    <xf numFmtId="0" fontId="21" fillId="0" borderId="84" xfId="0" applyFont="1" applyBorder="1" applyAlignment="1">
      <alignment horizontal="center" vertical="center" shrinkToFit="1"/>
    </xf>
    <xf numFmtId="0" fontId="21" fillId="0" borderId="99" xfId="0" applyFont="1" applyBorder="1" applyAlignment="1">
      <alignment horizontal="center" vertical="center" shrinkToFit="1"/>
    </xf>
    <xf numFmtId="0" fontId="21" fillId="0" borderId="53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185" fontId="21" fillId="0" borderId="60" xfId="0" applyNumberFormat="1" applyFont="1" applyBorder="1" applyAlignment="1">
      <alignment horizontal="center" vertical="center" shrinkToFit="1"/>
    </xf>
    <xf numFmtId="185" fontId="21" fillId="0" borderId="58" xfId="0" applyNumberFormat="1" applyFont="1" applyBorder="1" applyAlignment="1">
      <alignment horizontal="center" vertical="center" shrinkToFit="1"/>
    </xf>
    <xf numFmtId="185" fontId="21" fillId="0" borderId="61" xfId="0" applyNumberFormat="1" applyFont="1" applyBorder="1" applyAlignment="1">
      <alignment horizontal="center" vertical="center" shrinkToFit="1"/>
    </xf>
    <xf numFmtId="185" fontId="21" fillId="0" borderId="70" xfId="0" applyNumberFormat="1" applyFont="1" applyBorder="1" applyAlignment="1">
      <alignment horizontal="center" vertical="center" shrinkToFit="1"/>
    </xf>
    <xf numFmtId="185" fontId="21" fillId="0" borderId="84" xfId="0" applyNumberFormat="1" applyFont="1" applyBorder="1" applyAlignment="1">
      <alignment horizontal="center" vertical="center" shrinkToFit="1"/>
    </xf>
    <xf numFmtId="38" fontId="23" fillId="0" borderId="74" xfId="45" applyFont="1" applyFill="1" applyBorder="1" applyAlignment="1">
      <alignment horizontal="right" vertical="center" shrinkToFit="1"/>
    </xf>
    <xf numFmtId="38" fontId="23" fillId="0" borderId="81" xfId="45" applyFont="1" applyFill="1" applyBorder="1" applyAlignment="1">
      <alignment horizontal="right" vertical="center" shrinkToFit="1"/>
    </xf>
    <xf numFmtId="38" fontId="23" fillId="0" borderId="43" xfId="45" applyFont="1" applyFill="1" applyBorder="1" applyAlignment="1">
      <alignment horizontal="right" vertical="center" shrinkToFit="1"/>
    </xf>
    <xf numFmtId="38" fontId="23" fillId="0" borderId="26" xfId="45" applyFont="1" applyFill="1" applyBorder="1" applyAlignment="1">
      <alignment horizontal="right" vertical="center" shrinkToFit="1"/>
    </xf>
    <xf numFmtId="38" fontId="23" fillId="0" borderId="41" xfId="45" applyFont="1" applyFill="1" applyBorder="1" applyAlignment="1">
      <alignment horizontal="right" vertical="center" shrinkToFit="1"/>
    </xf>
    <xf numFmtId="38" fontId="23" fillId="0" borderId="21" xfId="45" applyFont="1" applyFill="1" applyBorder="1" applyAlignment="1">
      <alignment horizontal="right" vertical="center" shrinkToFit="1"/>
    </xf>
    <xf numFmtId="0" fontId="21" fillId="0" borderId="46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4" fontId="23" fillId="0" borderId="17" xfId="45" applyNumberFormat="1" applyFont="1" applyFill="1" applyBorder="1" applyAlignment="1">
      <alignment horizontal="right" vertical="center" shrinkToFit="1"/>
    </xf>
    <xf numFmtId="4" fontId="23" fillId="0" borderId="13" xfId="45" applyNumberFormat="1" applyFont="1" applyFill="1" applyBorder="1" applyAlignment="1">
      <alignment horizontal="right" vertical="center" shrinkToFit="1"/>
    </xf>
    <xf numFmtId="4" fontId="23" fillId="0" borderId="41" xfId="45" applyNumberFormat="1" applyFont="1" applyFill="1" applyBorder="1" applyAlignment="1">
      <alignment horizontal="right" vertical="center" shrinkToFit="1"/>
    </xf>
    <xf numFmtId="4" fontId="23" fillId="0" borderId="23" xfId="45" applyNumberFormat="1" applyFont="1" applyFill="1" applyBorder="1" applyAlignment="1">
      <alignment horizontal="right" vertical="center" shrinkToFit="1"/>
    </xf>
    <xf numFmtId="188" fontId="23" fillId="0" borderId="22" xfId="0" applyNumberFormat="1" applyFont="1" applyBorder="1" applyAlignment="1">
      <alignment horizontal="right" vertical="center" shrinkToFit="1"/>
    </xf>
    <xf numFmtId="188" fontId="23" fillId="0" borderId="14" xfId="0" applyNumberFormat="1" applyFont="1" applyBorder="1" applyAlignment="1">
      <alignment horizontal="right" vertical="center" shrinkToFit="1"/>
    </xf>
    <xf numFmtId="188" fontId="23" fillId="0" borderId="37" xfId="0" applyNumberFormat="1" applyFont="1" applyBorder="1" applyAlignment="1">
      <alignment horizontal="right" vertical="center" shrinkToFit="1"/>
    </xf>
    <xf numFmtId="4" fontId="23" fillId="0" borderId="18" xfId="45" applyNumberFormat="1" applyFont="1" applyFill="1" applyBorder="1" applyAlignment="1">
      <alignment horizontal="right" vertical="center" shrinkToFit="1"/>
    </xf>
    <xf numFmtId="4" fontId="23" fillId="0" borderId="14" xfId="45" applyNumberFormat="1" applyFont="1" applyFill="1" applyBorder="1" applyAlignment="1">
      <alignment horizontal="right" vertical="center" shrinkToFit="1"/>
    </xf>
    <xf numFmtId="4" fontId="23" fillId="0" borderId="42" xfId="45" applyNumberFormat="1" applyFont="1" applyFill="1" applyBorder="1" applyAlignment="1">
      <alignment horizontal="right" vertical="center" shrinkToFit="1"/>
    </xf>
    <xf numFmtId="4" fontId="23" fillId="0" borderId="22" xfId="45" applyNumberFormat="1" applyFont="1" applyFill="1" applyBorder="1" applyAlignment="1">
      <alignment horizontal="right" vertical="center" shrinkToFit="1"/>
    </xf>
    <xf numFmtId="4" fontId="23" fillId="0" borderId="46" xfId="45" applyNumberFormat="1" applyFont="1" applyFill="1" applyBorder="1" applyAlignment="1">
      <alignment horizontal="right" vertical="center" shrinkToFit="1"/>
    </xf>
    <xf numFmtId="4" fontId="23" fillId="0" borderId="15" xfId="45" applyNumberFormat="1" applyFont="1" applyFill="1" applyBorder="1" applyAlignment="1">
      <alignment horizontal="right" vertical="center" shrinkToFit="1"/>
    </xf>
    <xf numFmtId="4" fontId="23" fillId="0" borderId="43" xfId="45" applyNumberFormat="1" applyFont="1" applyFill="1" applyBorder="1" applyAlignment="1">
      <alignment horizontal="right" vertical="center" shrinkToFit="1"/>
    </xf>
    <xf numFmtId="4" fontId="23" fillId="0" borderId="11" xfId="45" applyNumberFormat="1" applyFont="1" applyFill="1" applyBorder="1" applyAlignment="1">
      <alignment horizontal="right" vertical="center" shrinkToFit="1"/>
    </xf>
    <xf numFmtId="4" fontId="23" fillId="0" borderId="16" xfId="45" applyNumberFormat="1" applyFont="1" applyFill="1" applyBorder="1" applyAlignment="1">
      <alignment horizontal="right" vertical="center" shrinkToFit="1"/>
    </xf>
    <xf numFmtId="4" fontId="23" fillId="0" borderId="39" xfId="45" applyNumberFormat="1" applyFont="1" applyFill="1" applyBorder="1" applyAlignment="1">
      <alignment horizontal="right" vertical="center" shrinkToFit="1"/>
    </xf>
    <xf numFmtId="4" fontId="23" fillId="0" borderId="47" xfId="45" applyNumberFormat="1" applyFont="1" applyFill="1" applyBorder="1" applyAlignment="1">
      <alignment horizontal="right" vertical="center" shrinkToFit="1"/>
    </xf>
    <xf numFmtId="4" fontId="23" fillId="0" borderId="19" xfId="45" applyNumberFormat="1" applyFont="1" applyFill="1" applyBorder="1" applyAlignment="1">
      <alignment horizontal="right" vertical="center" shrinkToFit="1"/>
    </xf>
    <xf numFmtId="4" fontId="23" fillId="0" borderId="40" xfId="45" applyNumberFormat="1" applyFont="1" applyFill="1" applyBorder="1" applyAlignment="1">
      <alignment horizontal="right" vertical="center" shrinkToFit="1"/>
    </xf>
    <xf numFmtId="4" fontId="23" fillId="0" borderId="24" xfId="45" applyNumberFormat="1" applyFont="1" applyFill="1" applyBorder="1" applyAlignment="1">
      <alignment horizontal="right" vertical="center" shrinkToFit="1"/>
    </xf>
    <xf numFmtId="4" fontId="23" fillId="0" borderId="48" xfId="45" applyNumberFormat="1" applyFont="1" applyFill="1" applyBorder="1" applyAlignment="1">
      <alignment horizontal="right" vertical="center" shrinkToFit="1"/>
    </xf>
    <xf numFmtId="181" fontId="23" fillId="0" borderId="92" xfId="0" applyNumberFormat="1" applyFont="1" applyBorder="1" applyAlignment="1">
      <alignment horizontal="right" vertical="center" shrinkToFit="1"/>
    </xf>
    <xf numFmtId="179" fontId="23" fillId="0" borderId="92" xfId="0" applyNumberFormat="1" applyFont="1" applyBorder="1" applyAlignment="1">
      <alignment horizontal="right" vertical="center" shrinkToFit="1"/>
    </xf>
    <xf numFmtId="183" fontId="23" fillId="0" borderId="31" xfId="0" applyNumberFormat="1" applyFont="1" applyBorder="1" applyAlignment="1">
      <alignment horizontal="right" vertical="center" shrinkToFit="1"/>
    </xf>
    <xf numFmtId="183" fontId="23" fillId="0" borderId="50" xfId="0" applyNumberFormat="1" applyFont="1" applyBorder="1" applyAlignment="1">
      <alignment horizontal="right" vertical="center" shrinkToFit="1"/>
    </xf>
    <xf numFmtId="183" fontId="23" fillId="0" borderId="32" xfId="0" applyNumberFormat="1" applyFont="1" applyBorder="1" applyAlignment="1">
      <alignment horizontal="right" vertical="center" shrinkToFit="1"/>
    </xf>
    <xf numFmtId="0" fontId="21" fillId="0" borderId="22" xfId="0" applyFont="1" applyBorder="1" applyAlignment="1">
      <alignment horizontal="distributed" vertical="center"/>
    </xf>
    <xf numFmtId="0" fontId="21" fillId="0" borderId="14" xfId="0" applyFont="1" applyBorder="1" applyAlignment="1">
      <alignment horizontal="distributed" vertical="center"/>
    </xf>
    <xf numFmtId="0" fontId="21" fillId="0" borderId="37" xfId="0" applyFont="1" applyBorder="1" applyAlignment="1">
      <alignment horizontal="distributed" vertical="center"/>
    </xf>
    <xf numFmtId="188" fontId="23" fillId="0" borderId="23" xfId="0" applyNumberFormat="1" applyFont="1" applyBorder="1" applyAlignment="1">
      <alignment horizontal="right" vertical="center" shrinkToFit="1"/>
    </xf>
    <xf numFmtId="188" fontId="23" fillId="0" borderId="13" xfId="0" applyNumberFormat="1" applyFont="1" applyBorder="1" applyAlignment="1">
      <alignment horizontal="right" vertical="center" shrinkToFit="1"/>
    </xf>
    <xf numFmtId="188" fontId="23" fillId="0" borderId="30" xfId="0" applyNumberFormat="1" applyFont="1" applyBorder="1" applyAlignment="1">
      <alignment horizontal="right" vertical="center" shrinkToFit="1"/>
    </xf>
    <xf numFmtId="188" fontId="23" fillId="0" borderId="55" xfId="0" applyNumberFormat="1" applyFont="1" applyBorder="1" applyAlignment="1">
      <alignment horizontal="right" vertical="center" shrinkToFit="1"/>
    </xf>
    <xf numFmtId="188" fontId="23" fillId="0" borderId="20" xfId="0" applyNumberFormat="1" applyFont="1" applyBorder="1" applyAlignment="1">
      <alignment horizontal="right" vertical="center" shrinkToFit="1"/>
    </xf>
    <xf numFmtId="188" fontId="23" fillId="0" borderId="56" xfId="0" applyNumberFormat="1" applyFont="1" applyBorder="1" applyAlignment="1">
      <alignment horizontal="right" vertical="center" shrinkToFit="1"/>
    </xf>
    <xf numFmtId="178" fontId="21" fillId="0" borderId="44" xfId="0" applyNumberFormat="1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 shrinkToFit="1"/>
    </xf>
    <xf numFmtId="0" fontId="21" fillId="0" borderId="87" xfId="0" applyFont="1" applyBorder="1" applyAlignment="1">
      <alignment horizontal="center" vertical="center" shrinkToFit="1"/>
    </xf>
    <xf numFmtId="180" fontId="21" fillId="0" borderId="45" xfId="0" quotePrefix="1" applyNumberFormat="1" applyFont="1" applyBorder="1" applyAlignment="1">
      <alignment horizontal="center" vertical="center"/>
    </xf>
    <xf numFmtId="180" fontId="21" fillId="0" borderId="44" xfId="0" quotePrefix="1" applyNumberFormat="1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48" xfId="0" applyFont="1" applyBorder="1">
      <alignment vertical="center"/>
    </xf>
    <xf numFmtId="0" fontId="21" fillId="0" borderId="16" xfId="0" applyFont="1" applyBorder="1">
      <alignment vertical="center"/>
    </xf>
    <xf numFmtId="0" fontId="21" fillId="0" borderId="28" xfId="0" applyFont="1" applyBorder="1">
      <alignment vertical="center"/>
    </xf>
    <xf numFmtId="0" fontId="21" fillId="0" borderId="17" xfId="0" applyFont="1" applyBorder="1">
      <alignment vertical="center"/>
    </xf>
    <xf numFmtId="0" fontId="21" fillId="0" borderId="13" xfId="0" applyFont="1" applyBorder="1">
      <alignment vertical="center"/>
    </xf>
    <xf numFmtId="0" fontId="21" fillId="0" borderId="30" xfId="0" applyFont="1" applyBorder="1">
      <alignment vertical="center"/>
    </xf>
    <xf numFmtId="0" fontId="21" fillId="0" borderId="18" xfId="0" applyFont="1" applyBorder="1">
      <alignment vertical="center"/>
    </xf>
    <xf numFmtId="0" fontId="21" fillId="0" borderId="14" xfId="0" applyFont="1" applyBorder="1">
      <alignment vertical="center"/>
    </xf>
    <xf numFmtId="0" fontId="21" fillId="0" borderId="37" xfId="0" applyFont="1" applyBorder="1">
      <alignment vertical="center"/>
    </xf>
    <xf numFmtId="0" fontId="21" fillId="0" borderId="18" xfId="0" applyFont="1" applyBorder="1" applyAlignment="1">
      <alignment horizontal="distributed" vertical="center"/>
    </xf>
    <xf numFmtId="3" fontId="23" fillId="0" borderId="36" xfId="0" applyNumberFormat="1" applyFont="1" applyBorder="1" applyAlignment="1">
      <alignment horizontal="right" vertical="center" shrinkToFit="1"/>
    </xf>
    <xf numFmtId="3" fontId="23" fillId="0" borderId="25" xfId="0" applyNumberFormat="1" applyFont="1" applyBorder="1" applyAlignment="1">
      <alignment horizontal="right" vertical="center" shrinkToFit="1"/>
    </xf>
    <xf numFmtId="181" fontId="23" fillId="0" borderId="91" xfId="0" applyNumberFormat="1" applyFont="1" applyBorder="1" applyAlignment="1">
      <alignment horizontal="right" vertical="center" shrinkToFit="1"/>
    </xf>
    <xf numFmtId="0" fontId="21" fillId="0" borderId="17" xfId="0" applyFont="1" applyBorder="1" applyAlignment="1">
      <alignment horizontal="distributed" vertical="center"/>
    </xf>
    <xf numFmtId="0" fontId="21" fillId="0" borderId="30" xfId="0" applyFont="1" applyBorder="1" applyAlignment="1">
      <alignment horizontal="distributed" vertical="center"/>
    </xf>
    <xf numFmtId="3" fontId="23" fillId="0" borderId="29" xfId="0" applyNumberFormat="1" applyFont="1" applyBorder="1" applyAlignment="1">
      <alignment horizontal="right" vertical="center" shrinkToFit="1"/>
    </xf>
    <xf numFmtId="3" fontId="23" fillId="0" borderId="21" xfId="0" applyNumberFormat="1" applyFont="1" applyBorder="1" applyAlignment="1">
      <alignment horizontal="right" vertical="center" shrinkToFit="1"/>
    </xf>
    <xf numFmtId="38" fontId="23" fillId="0" borderId="42" xfId="45" applyFont="1" applyFill="1" applyBorder="1" applyAlignment="1">
      <alignment horizontal="right" vertical="center" shrinkToFit="1"/>
    </xf>
    <xf numFmtId="38" fontId="23" fillId="0" borderId="25" xfId="45" applyFont="1" applyFill="1" applyBorder="1" applyAlignment="1">
      <alignment horizontal="right" vertical="center" shrinkToFit="1"/>
    </xf>
    <xf numFmtId="188" fontId="23" fillId="0" borderId="34" xfId="0" applyNumberFormat="1" applyFont="1" applyBorder="1" applyAlignment="1">
      <alignment horizontal="right" vertical="center" shrinkToFit="1"/>
    </xf>
    <xf numFmtId="188" fontId="23" fillId="0" borderId="15" xfId="0" applyNumberFormat="1" applyFont="1" applyBorder="1" applyAlignment="1">
      <alignment horizontal="right" vertical="center" shrinkToFit="1"/>
    </xf>
    <xf numFmtId="188" fontId="23" fillId="0" borderId="35" xfId="0" applyNumberFormat="1" applyFont="1" applyBorder="1" applyAlignment="1">
      <alignment horizontal="right" vertical="center" shrinkToFit="1"/>
    </xf>
    <xf numFmtId="0" fontId="21" fillId="0" borderId="53" xfId="0" applyFont="1" applyBorder="1" applyAlignment="1">
      <alignment horizontal="distributed" vertical="center"/>
    </xf>
    <xf numFmtId="0" fontId="21" fillId="0" borderId="20" xfId="0" applyFont="1" applyBorder="1" applyAlignment="1">
      <alignment horizontal="distributed" vertical="center"/>
    </xf>
    <xf numFmtId="0" fontId="21" fillId="0" borderId="56" xfId="0" applyFont="1" applyBorder="1" applyAlignment="1">
      <alignment horizontal="distributed" vertical="center"/>
    </xf>
    <xf numFmtId="3" fontId="23" fillId="0" borderId="82" xfId="0" applyNumberFormat="1" applyFont="1" applyBorder="1" applyAlignment="1">
      <alignment horizontal="right" vertical="center" shrinkToFit="1"/>
    </xf>
    <xf numFmtId="3" fontId="23" fillId="0" borderId="74" xfId="0" applyNumberFormat="1" applyFont="1" applyBorder="1" applyAlignment="1">
      <alignment horizontal="right" vertical="center" shrinkToFit="1"/>
    </xf>
    <xf numFmtId="3" fontId="23" fillId="0" borderId="81" xfId="0" applyNumberFormat="1" applyFont="1" applyBorder="1" applyAlignment="1">
      <alignment horizontal="right" vertical="center" shrinkToFit="1"/>
    </xf>
    <xf numFmtId="0" fontId="21" fillId="0" borderId="73" xfId="0" applyFont="1" applyBorder="1" applyAlignment="1">
      <alignment horizontal="distributed" vertical="center"/>
    </xf>
    <xf numFmtId="0" fontId="21" fillId="0" borderId="74" xfId="0" applyFont="1" applyBorder="1" applyAlignment="1">
      <alignment horizontal="distributed" vertical="center"/>
    </xf>
    <xf numFmtId="188" fontId="23" fillId="0" borderId="82" xfId="0" applyNumberFormat="1" applyFont="1" applyBorder="1" applyAlignment="1">
      <alignment horizontal="right" vertical="center" shrinkToFit="1"/>
    </xf>
    <xf numFmtId="188" fontId="23" fillId="0" borderId="74" xfId="0" applyNumberFormat="1" applyFont="1" applyBorder="1" applyAlignment="1">
      <alignment horizontal="right" vertical="center" shrinkToFit="1"/>
    </xf>
    <xf numFmtId="188" fontId="23" fillId="0" borderId="75" xfId="0" applyNumberFormat="1" applyFont="1" applyBorder="1" applyAlignment="1">
      <alignment horizontal="right" vertical="center" shrinkToFit="1"/>
    </xf>
    <xf numFmtId="0" fontId="21" fillId="0" borderId="75" xfId="0" applyFont="1" applyBorder="1" applyAlignment="1">
      <alignment horizontal="distributed" vertical="center"/>
    </xf>
    <xf numFmtId="0" fontId="21" fillId="0" borderId="30" xfId="0" applyFont="1" applyBorder="1" applyAlignment="1">
      <alignment horizontal="distributed"/>
    </xf>
    <xf numFmtId="0" fontId="21" fillId="0" borderId="62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21" fillId="0" borderId="79" xfId="0" applyFont="1" applyBorder="1" applyAlignment="1">
      <alignment horizontal="center" vertical="center"/>
    </xf>
    <xf numFmtId="0" fontId="21" fillId="0" borderId="46" xfId="0" applyFont="1" applyBorder="1" applyAlignment="1">
      <alignment horizontal="distributed" vertical="center"/>
    </xf>
    <xf numFmtId="0" fontId="21" fillId="0" borderId="15" xfId="0" applyFont="1" applyBorder="1" applyAlignment="1">
      <alignment horizontal="distributed" vertical="center"/>
    </xf>
    <xf numFmtId="0" fontId="21" fillId="0" borderId="35" xfId="0" applyFont="1" applyBorder="1" applyAlignment="1">
      <alignment horizontal="distributed" vertical="center"/>
    </xf>
    <xf numFmtId="3" fontId="23" fillId="0" borderId="33" xfId="0" applyNumberFormat="1" applyFont="1" applyBorder="1" applyAlignment="1">
      <alignment horizontal="right" vertical="center" shrinkToFit="1"/>
    </xf>
    <xf numFmtId="0" fontId="21" fillId="0" borderId="22" xfId="0" applyFont="1" applyBorder="1" applyAlignment="1">
      <alignment horizontal="distributed"/>
    </xf>
    <xf numFmtId="0" fontId="21" fillId="0" borderId="14" xfId="0" applyFont="1" applyBorder="1" applyAlignment="1">
      <alignment horizontal="distributed"/>
    </xf>
    <xf numFmtId="0" fontId="21" fillId="0" borderId="37" xfId="0" applyFont="1" applyBorder="1" applyAlignment="1">
      <alignment horizontal="distributed"/>
    </xf>
    <xf numFmtId="3" fontId="23" fillId="0" borderId="73" xfId="0" applyNumberFormat="1" applyFont="1" applyBorder="1" applyAlignment="1">
      <alignment horizontal="right" vertical="center" shrinkToFit="1"/>
    </xf>
    <xf numFmtId="0" fontId="21" fillId="0" borderId="23" xfId="0" applyFont="1" applyBorder="1" applyAlignment="1">
      <alignment horizontal="center" shrinkToFit="1"/>
    </xf>
    <xf numFmtId="0" fontId="21" fillId="0" borderId="13" xfId="0" applyFont="1" applyBorder="1" applyAlignment="1">
      <alignment horizontal="center" shrinkToFit="1"/>
    </xf>
    <xf numFmtId="0" fontId="21" fillId="0" borderId="30" xfId="0" applyFont="1" applyBorder="1" applyAlignment="1">
      <alignment horizontal="center" shrinkToFit="1"/>
    </xf>
    <xf numFmtId="0" fontId="21" fillId="0" borderId="127" xfId="0" applyFont="1" applyBorder="1">
      <alignment vertical="center"/>
    </xf>
    <xf numFmtId="0" fontId="21" fillId="0" borderId="129" xfId="0" applyFont="1" applyBorder="1">
      <alignment vertical="center"/>
    </xf>
    <xf numFmtId="0" fontId="21" fillId="0" borderId="52" xfId="0" applyFont="1" applyBorder="1">
      <alignment vertical="center"/>
    </xf>
    <xf numFmtId="0" fontId="21" fillId="0" borderId="30" xfId="0" applyFont="1" applyBorder="1" applyAlignment="1">
      <alignment horizontal="center" vertical="center" shrinkToFit="1"/>
    </xf>
    <xf numFmtId="0" fontId="24" fillId="0" borderId="68" xfId="0" applyFont="1" applyBorder="1" applyAlignment="1">
      <alignment horizontal="distributed" vertical="center"/>
    </xf>
    <xf numFmtId="0" fontId="24" fillId="0" borderId="0" xfId="0" applyFont="1" applyAlignment="1">
      <alignment horizontal="distributed" vertical="center"/>
    </xf>
    <xf numFmtId="0" fontId="24" fillId="0" borderId="49" xfId="0" applyFont="1" applyBorder="1" applyAlignment="1">
      <alignment horizontal="distributed" vertical="center"/>
    </xf>
    <xf numFmtId="188" fontId="23" fillId="0" borderId="12" xfId="0" applyNumberFormat="1" applyFont="1" applyBorder="1" applyAlignment="1">
      <alignment horizontal="right" vertical="center" shrinkToFit="1"/>
    </xf>
    <xf numFmtId="188" fontId="23" fillId="0" borderId="0" xfId="0" applyNumberFormat="1" applyFont="1" applyAlignment="1">
      <alignment horizontal="right" vertical="center" shrinkToFit="1"/>
    </xf>
    <xf numFmtId="188" fontId="23" fillId="0" borderId="49" xfId="0" applyNumberFormat="1" applyFont="1" applyBorder="1" applyAlignment="1">
      <alignment horizontal="right" vertical="center" shrinkToFit="1"/>
    </xf>
    <xf numFmtId="4" fontId="23" fillId="0" borderId="68" xfId="45" applyNumberFormat="1" applyFont="1" applyFill="1" applyBorder="1" applyAlignment="1">
      <alignment horizontal="right" vertical="center" shrinkToFit="1"/>
    </xf>
    <xf numFmtId="4" fontId="23" fillId="0" borderId="0" xfId="45" applyNumberFormat="1" applyFont="1" applyFill="1" applyBorder="1" applyAlignment="1">
      <alignment horizontal="right" vertical="center" shrinkToFit="1"/>
    </xf>
    <xf numFmtId="4" fontId="23" fillId="0" borderId="80" xfId="45" applyNumberFormat="1" applyFont="1" applyFill="1" applyBorder="1" applyAlignment="1">
      <alignment horizontal="right" vertical="center" shrinkToFit="1"/>
    </xf>
    <xf numFmtId="4" fontId="23" fillId="0" borderId="12" xfId="45" applyNumberFormat="1" applyFont="1" applyFill="1" applyBorder="1" applyAlignment="1">
      <alignment horizontal="right" vertical="center" shrinkToFit="1"/>
    </xf>
    <xf numFmtId="0" fontId="21" fillId="0" borderId="24" xfId="0" applyFont="1" applyBorder="1" applyAlignment="1">
      <alignment horizontal="distributed" vertical="center"/>
    </xf>
    <xf numFmtId="180" fontId="21" fillId="0" borderId="19" xfId="0" quotePrefix="1" applyNumberFormat="1" applyFont="1" applyBorder="1" applyAlignment="1">
      <alignment horizontal="center" vertical="center"/>
    </xf>
    <xf numFmtId="180" fontId="21" fillId="0" borderId="40" xfId="0" quotePrefix="1" applyNumberFormat="1" applyFont="1" applyBorder="1" applyAlignment="1">
      <alignment horizontal="center" vertical="center"/>
    </xf>
    <xf numFmtId="178" fontId="21" fillId="0" borderId="24" xfId="0" applyNumberFormat="1" applyFont="1" applyBorder="1" applyAlignment="1">
      <alignment horizontal="center" vertical="center"/>
    </xf>
    <xf numFmtId="178" fontId="21" fillId="0" borderId="19" xfId="0" applyNumberFormat="1" applyFont="1" applyBorder="1" applyAlignment="1">
      <alignment horizontal="center" vertical="center"/>
    </xf>
    <xf numFmtId="178" fontId="21" fillId="0" borderId="40" xfId="0" applyNumberFormat="1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 wrapText="1" shrinkToFit="1"/>
    </xf>
    <xf numFmtId="0" fontId="21" fillId="0" borderId="19" xfId="0" applyFont="1" applyBorder="1" applyAlignment="1">
      <alignment horizontal="center" vertical="center" wrapText="1" shrinkToFit="1"/>
    </xf>
    <xf numFmtId="0" fontId="21" fillId="0" borderId="60" xfId="0" applyFont="1" applyBorder="1" applyAlignment="1">
      <alignment horizontal="center" vertical="center" wrapText="1" shrinkToFit="1"/>
    </xf>
    <xf numFmtId="0" fontId="21" fillId="0" borderId="58" xfId="0" applyFont="1" applyBorder="1" applyAlignment="1">
      <alignment horizontal="center" vertical="center" wrapText="1" shrinkToFit="1"/>
    </xf>
    <xf numFmtId="180" fontId="21" fillId="0" borderId="47" xfId="0" quotePrefix="1" applyNumberFormat="1" applyFont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21" fillId="0" borderId="67" xfId="0" applyFont="1" applyBorder="1" applyAlignment="1">
      <alignment horizontal="center" vertical="center"/>
    </xf>
    <xf numFmtId="0" fontId="21" fillId="0" borderId="15" xfId="0" applyFont="1" applyBorder="1" applyAlignment="1">
      <alignment horizontal="distributed" vertical="center" justifyLastLine="1"/>
    </xf>
    <xf numFmtId="0" fontId="21" fillId="0" borderId="35" xfId="0" applyFont="1" applyBorder="1" applyAlignment="1">
      <alignment horizontal="distributed" vertical="center" justifyLastLine="1"/>
    </xf>
    <xf numFmtId="180" fontId="21" fillId="0" borderId="58" xfId="0" quotePrefix="1" applyNumberFormat="1" applyFont="1" applyBorder="1" applyAlignment="1">
      <alignment horizontal="right" vertical="center"/>
    </xf>
    <xf numFmtId="180" fontId="21" fillId="0" borderId="59" xfId="0" quotePrefix="1" applyNumberFormat="1" applyFont="1" applyBorder="1" applyAlignment="1">
      <alignment horizontal="right" vertical="center"/>
    </xf>
    <xf numFmtId="180" fontId="21" fillId="0" borderId="60" xfId="0" quotePrefix="1" applyNumberFormat="1" applyFont="1" applyBorder="1" applyAlignment="1">
      <alignment horizontal="right" vertical="center"/>
    </xf>
    <xf numFmtId="180" fontId="21" fillId="0" borderId="57" xfId="0" quotePrefix="1" applyNumberFormat="1" applyFont="1" applyBorder="1" applyAlignment="1">
      <alignment horizontal="right" vertical="center"/>
    </xf>
    <xf numFmtId="186" fontId="23" fillId="0" borderId="22" xfId="0" applyNumberFormat="1" applyFont="1" applyBorder="1" applyAlignment="1">
      <alignment horizontal="right" vertical="center" shrinkToFit="1"/>
    </xf>
    <xf numFmtId="0" fontId="21" fillId="0" borderId="68" xfId="0" applyFont="1" applyBorder="1" applyAlignment="1">
      <alignment horizontal="distributed" vertical="center"/>
    </xf>
    <xf numFmtId="0" fontId="21" fillId="0" borderId="0" xfId="0" applyFont="1" applyAlignment="1">
      <alignment horizontal="distributed" vertical="center"/>
    </xf>
    <xf numFmtId="0" fontId="21" fillId="0" borderId="49" xfId="0" applyFont="1" applyBorder="1" applyAlignment="1">
      <alignment horizontal="distributed" vertical="center"/>
    </xf>
    <xf numFmtId="3" fontId="23" fillId="0" borderId="11" xfId="0" applyNumberFormat="1" applyFont="1" applyBorder="1" applyAlignment="1">
      <alignment horizontal="right" vertical="center" shrinkToFit="1"/>
    </xf>
    <xf numFmtId="188" fontId="23" fillId="0" borderId="11" xfId="0" applyNumberFormat="1" applyFont="1" applyBorder="1" applyAlignment="1">
      <alignment horizontal="right" vertical="center" shrinkToFit="1"/>
    </xf>
    <xf numFmtId="188" fontId="23" fillId="0" borderId="16" xfId="0" applyNumberFormat="1" applyFont="1" applyBorder="1" applyAlignment="1">
      <alignment horizontal="right" vertical="center" shrinkToFit="1"/>
    </xf>
    <xf numFmtId="188" fontId="23" fillId="0" borderId="28" xfId="0" applyNumberFormat="1" applyFont="1" applyBorder="1" applyAlignment="1">
      <alignment horizontal="right" vertical="center" shrinkToFit="1"/>
    </xf>
    <xf numFmtId="180" fontId="21" fillId="0" borderId="53" xfId="0" quotePrefix="1" applyNumberFormat="1" applyFont="1" applyBorder="1" applyAlignment="1">
      <alignment horizontal="center" vertical="center"/>
    </xf>
    <xf numFmtId="180" fontId="21" fillId="0" borderId="20" xfId="0" quotePrefix="1" applyNumberFormat="1" applyFont="1" applyBorder="1" applyAlignment="1">
      <alignment horizontal="center" vertical="center"/>
    </xf>
    <xf numFmtId="180" fontId="21" fillId="0" borderId="54" xfId="0" quotePrefix="1" applyNumberFormat="1" applyFont="1" applyBorder="1" applyAlignment="1">
      <alignment horizontal="center" vertical="center"/>
    </xf>
    <xf numFmtId="178" fontId="21" fillId="0" borderId="55" xfId="0" applyNumberFormat="1" applyFont="1" applyBorder="1" applyAlignment="1">
      <alignment horizontal="center" vertical="center"/>
    </xf>
    <xf numFmtId="178" fontId="21" fillId="0" borderId="20" xfId="0" applyNumberFormat="1" applyFont="1" applyBorder="1" applyAlignment="1">
      <alignment horizontal="center" vertical="center"/>
    </xf>
    <xf numFmtId="178" fontId="21" fillId="0" borderId="54" xfId="0" applyNumberFormat="1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 wrapText="1" shrinkToFit="1"/>
    </xf>
    <xf numFmtId="0" fontId="21" fillId="0" borderId="20" xfId="0" applyFont="1" applyBorder="1" applyAlignment="1">
      <alignment horizontal="center" vertical="center" wrapText="1" shrinkToFit="1"/>
    </xf>
    <xf numFmtId="0" fontId="21" fillId="0" borderId="56" xfId="0" applyFont="1" applyBorder="1" applyAlignment="1">
      <alignment horizontal="center" vertical="center" wrapText="1" shrinkToFit="1"/>
    </xf>
    <xf numFmtId="0" fontId="21" fillId="0" borderId="61" xfId="0" applyFont="1" applyBorder="1" applyAlignment="1">
      <alignment horizontal="center" vertical="center" wrapText="1" shrinkToFit="1"/>
    </xf>
    <xf numFmtId="0" fontId="21" fillId="0" borderId="126" xfId="0" applyFont="1" applyBorder="1">
      <alignment vertical="center"/>
    </xf>
    <xf numFmtId="0" fontId="21" fillId="0" borderId="48" xfId="0" applyFont="1" applyBorder="1" applyAlignment="1">
      <alignment horizontal="distributed" vertical="center"/>
    </xf>
    <xf numFmtId="0" fontId="21" fillId="0" borderId="16" xfId="0" applyFont="1" applyBorder="1" applyAlignment="1">
      <alignment horizontal="distributed" vertical="center"/>
    </xf>
    <xf numFmtId="0" fontId="21" fillId="0" borderId="28" xfId="0" applyFont="1" applyBorder="1" applyAlignment="1">
      <alignment horizontal="distributed" vertical="center"/>
    </xf>
    <xf numFmtId="186" fontId="23" fillId="0" borderId="46" xfId="0" applyNumberFormat="1" applyFont="1" applyBorder="1" applyAlignment="1">
      <alignment horizontal="right" vertical="center" shrinkToFit="1"/>
    </xf>
    <xf numFmtId="186" fontId="23" fillId="0" borderId="43" xfId="0" applyNumberFormat="1" applyFont="1" applyBorder="1" applyAlignment="1">
      <alignment horizontal="right" vertical="center" shrinkToFit="1"/>
    </xf>
    <xf numFmtId="186" fontId="23" fillId="0" borderId="11" xfId="0" applyNumberFormat="1" applyFont="1" applyBorder="1" applyAlignment="1">
      <alignment horizontal="right" vertical="center" shrinkToFit="1"/>
    </xf>
    <xf numFmtId="186" fontId="23" fillId="0" borderId="16" xfId="0" applyNumberFormat="1" applyFont="1" applyBorder="1" applyAlignment="1">
      <alignment horizontal="right" vertical="center" shrinkToFit="1"/>
    </xf>
    <xf numFmtId="186" fontId="23" fillId="0" borderId="39" xfId="0" applyNumberFormat="1" applyFont="1" applyBorder="1" applyAlignment="1">
      <alignment horizontal="right" vertical="center" shrinkToFit="1"/>
    </xf>
    <xf numFmtId="186" fontId="23" fillId="0" borderId="17" xfId="0" applyNumberFormat="1" applyFont="1" applyBorder="1" applyAlignment="1">
      <alignment horizontal="right" vertical="center" shrinkToFit="1"/>
    </xf>
    <xf numFmtId="186" fontId="23" fillId="0" borderId="41" xfId="0" applyNumberFormat="1" applyFont="1" applyBorder="1" applyAlignment="1">
      <alignment horizontal="right" vertical="center" shrinkToFit="1"/>
    </xf>
    <xf numFmtId="0" fontId="21" fillId="0" borderId="128" xfId="0" applyFont="1" applyBorder="1">
      <alignment vertical="center"/>
    </xf>
    <xf numFmtId="184" fontId="23" fillId="0" borderId="22" xfId="0" applyNumberFormat="1" applyFont="1" applyBorder="1" applyAlignment="1">
      <alignment horizontal="right" vertical="center" shrinkToFit="1"/>
    </xf>
    <xf numFmtId="184" fontId="23" fillId="0" borderId="14" xfId="0" applyNumberFormat="1" applyFont="1" applyBorder="1" applyAlignment="1">
      <alignment horizontal="right" vertical="center" shrinkToFit="1"/>
    </xf>
    <xf numFmtId="184" fontId="23" fillId="0" borderId="42" xfId="0" applyNumberFormat="1" applyFont="1" applyBorder="1" applyAlignment="1">
      <alignment horizontal="right" vertical="center" shrinkToFit="1"/>
    </xf>
    <xf numFmtId="2" fontId="23" fillId="0" borderId="22" xfId="0" applyNumberFormat="1" applyFont="1" applyBorder="1" applyAlignment="1">
      <alignment horizontal="right" vertical="center" shrinkToFit="1"/>
    </xf>
    <xf numFmtId="2" fontId="23" fillId="0" borderId="14" xfId="0" applyNumberFormat="1" applyFont="1" applyBorder="1" applyAlignment="1">
      <alignment horizontal="right" vertical="center" shrinkToFit="1"/>
    </xf>
    <xf numFmtId="2" fontId="23" fillId="0" borderId="37" xfId="0" applyNumberFormat="1" applyFont="1" applyBorder="1" applyAlignment="1">
      <alignment horizontal="right" vertical="center" shrinkToFit="1"/>
    </xf>
    <xf numFmtId="184" fontId="23" fillId="0" borderId="18" xfId="0" applyNumberFormat="1" applyFont="1" applyBorder="1" applyAlignment="1">
      <alignment horizontal="right" vertical="center" shrinkToFit="1"/>
    </xf>
    <xf numFmtId="184" fontId="23" fillId="0" borderId="46" xfId="0" applyNumberFormat="1" applyFont="1" applyBorder="1" applyAlignment="1">
      <alignment horizontal="right" vertical="center" shrinkToFit="1"/>
    </xf>
    <xf numFmtId="184" fontId="23" fillId="0" borderId="15" xfId="0" applyNumberFormat="1" applyFont="1" applyBorder="1" applyAlignment="1">
      <alignment horizontal="right" vertical="center" shrinkToFit="1"/>
    </xf>
    <xf numFmtId="184" fontId="23" fillId="0" borderId="43" xfId="0" applyNumberFormat="1" applyFont="1" applyBorder="1" applyAlignment="1">
      <alignment horizontal="right" vertical="center" shrinkToFit="1"/>
    </xf>
    <xf numFmtId="184" fontId="23" fillId="0" borderId="34" xfId="0" applyNumberFormat="1" applyFont="1" applyBorder="1" applyAlignment="1">
      <alignment horizontal="right" vertical="center" shrinkToFit="1"/>
    </xf>
    <xf numFmtId="2" fontId="23" fillId="0" borderId="34" xfId="0" applyNumberFormat="1" applyFont="1" applyBorder="1" applyAlignment="1">
      <alignment horizontal="right" vertical="center" shrinkToFit="1"/>
    </xf>
    <xf numFmtId="2" fontId="23" fillId="0" borderId="15" xfId="0" applyNumberFormat="1" applyFont="1" applyBorder="1" applyAlignment="1">
      <alignment horizontal="right" vertical="center" shrinkToFit="1"/>
    </xf>
    <xf numFmtId="2" fontId="23" fillId="0" borderId="35" xfId="0" applyNumberFormat="1" applyFont="1" applyBorder="1" applyAlignment="1">
      <alignment horizontal="right" vertical="center" shrinkToFit="1"/>
    </xf>
    <xf numFmtId="0" fontId="21" fillId="0" borderId="54" xfId="0" applyFont="1" applyBorder="1" applyAlignment="1">
      <alignment horizontal="distributed" vertical="center"/>
    </xf>
    <xf numFmtId="0" fontId="21" fillId="0" borderId="39" xfId="0" applyFont="1" applyBorder="1" applyAlignment="1">
      <alignment horizontal="distributed" vertical="center"/>
    </xf>
    <xf numFmtId="0" fontId="21" fillId="0" borderId="34" xfId="0" applyFont="1" applyBorder="1" applyAlignment="1">
      <alignment horizontal="distributed" vertical="center"/>
    </xf>
    <xf numFmtId="38" fontId="23" fillId="0" borderId="23" xfId="45" applyFont="1" applyFill="1" applyBorder="1" applyAlignment="1">
      <alignment horizontal="right" vertical="center" shrinkToFit="1"/>
    </xf>
    <xf numFmtId="38" fontId="23" fillId="0" borderId="13" xfId="45" applyFont="1" applyFill="1" applyBorder="1" applyAlignment="1">
      <alignment horizontal="right" vertical="center" shrinkToFit="1"/>
    </xf>
    <xf numFmtId="0" fontId="21" fillId="0" borderId="47" xfId="0" applyFont="1" applyBorder="1" applyAlignment="1">
      <alignment horizontal="distributed" vertical="center"/>
    </xf>
    <xf numFmtId="0" fontId="21" fillId="0" borderId="19" xfId="0" applyFont="1" applyBorder="1" applyAlignment="1">
      <alignment horizontal="distributed" vertical="center"/>
    </xf>
    <xf numFmtId="0" fontId="21" fillId="0" borderId="40" xfId="0" applyFont="1" applyBorder="1" applyAlignment="1">
      <alignment horizontal="distributed" vertical="center"/>
    </xf>
    <xf numFmtId="0" fontId="21" fillId="0" borderId="57" xfId="0" applyFont="1" applyBorder="1" applyAlignment="1">
      <alignment horizontal="distributed" vertical="center"/>
    </xf>
    <xf numFmtId="0" fontId="21" fillId="0" borderId="58" xfId="0" applyFont="1" applyBorder="1" applyAlignment="1">
      <alignment horizontal="distributed" vertical="center"/>
    </xf>
    <xf numFmtId="0" fontId="21" fillId="0" borderId="59" xfId="0" applyFont="1" applyBorder="1" applyAlignment="1">
      <alignment horizontal="distributed" vertical="center"/>
    </xf>
    <xf numFmtId="38" fontId="23" fillId="0" borderId="17" xfId="45" applyFont="1" applyFill="1" applyBorder="1" applyAlignment="1">
      <alignment horizontal="right" vertical="center" shrinkToFit="1"/>
    </xf>
    <xf numFmtId="38" fontId="23" fillId="0" borderId="47" xfId="45" applyFont="1" applyFill="1" applyBorder="1" applyAlignment="1">
      <alignment horizontal="right" vertical="center" shrinkToFit="1"/>
    </xf>
    <xf numFmtId="38" fontId="23" fillId="0" borderId="19" xfId="45" applyFont="1" applyFill="1" applyBorder="1" applyAlignment="1">
      <alignment horizontal="right" vertical="center" shrinkToFit="1"/>
    </xf>
    <xf numFmtId="38" fontId="23" fillId="0" borderId="40" xfId="45" applyFont="1" applyFill="1" applyBorder="1" applyAlignment="1">
      <alignment horizontal="right" vertical="center" shrinkToFit="1"/>
    </xf>
    <xf numFmtId="38" fontId="23" fillId="0" borderId="24" xfId="45" applyFont="1" applyFill="1" applyBorder="1" applyAlignment="1">
      <alignment horizontal="right" vertical="center" shrinkToFit="1"/>
    </xf>
    <xf numFmtId="38" fontId="23" fillId="0" borderId="18" xfId="45" applyFont="1" applyFill="1" applyBorder="1" applyAlignment="1">
      <alignment horizontal="right" vertical="center" shrinkToFit="1"/>
    </xf>
    <xf numFmtId="38" fontId="23" fillId="0" borderId="14" xfId="45" applyFont="1" applyFill="1" applyBorder="1" applyAlignment="1">
      <alignment horizontal="right" vertical="center" shrinkToFit="1"/>
    </xf>
    <xf numFmtId="38" fontId="23" fillId="0" borderId="22" xfId="45" applyFont="1" applyFill="1" applyBorder="1" applyAlignment="1">
      <alignment horizontal="right" vertical="center" shrinkToFit="1"/>
    </xf>
    <xf numFmtId="180" fontId="21" fillId="0" borderId="57" xfId="0" quotePrefix="1" applyNumberFormat="1" applyFont="1" applyBorder="1" applyAlignment="1">
      <alignment horizontal="center" vertical="center"/>
    </xf>
    <xf numFmtId="180" fontId="21" fillId="0" borderId="58" xfId="0" quotePrefix="1" applyNumberFormat="1" applyFont="1" applyBorder="1" applyAlignment="1">
      <alignment horizontal="center" vertical="center"/>
    </xf>
    <xf numFmtId="180" fontId="21" fillId="0" borderId="59" xfId="0" quotePrefix="1" applyNumberFormat="1" applyFont="1" applyBorder="1" applyAlignment="1">
      <alignment horizontal="center" vertical="center"/>
    </xf>
    <xf numFmtId="186" fontId="23" fillId="0" borderId="76" xfId="0" applyNumberFormat="1" applyFont="1" applyBorder="1" applyAlignment="1">
      <alignment horizontal="right" vertical="center" shrinkToFit="1"/>
    </xf>
    <xf numFmtId="186" fontId="23" fillId="0" borderId="77" xfId="0" applyNumberFormat="1" applyFont="1" applyBorder="1" applyAlignment="1">
      <alignment horizontal="right" vertical="center" shrinkToFit="1"/>
    </xf>
    <xf numFmtId="188" fontId="23" fillId="0" borderId="77" xfId="0" applyNumberFormat="1" applyFont="1" applyBorder="1" applyAlignment="1">
      <alignment horizontal="right" vertical="center" shrinkToFit="1"/>
    </xf>
    <xf numFmtId="188" fontId="23" fillId="0" borderId="78" xfId="0" applyNumberFormat="1" applyFont="1" applyBorder="1" applyAlignment="1">
      <alignment horizontal="right" vertical="center" shrinkToFit="1"/>
    </xf>
    <xf numFmtId="38" fontId="23" fillId="0" borderId="53" xfId="45" applyFont="1" applyFill="1" applyBorder="1" applyAlignment="1">
      <alignment horizontal="right" vertical="center" shrinkToFit="1"/>
    </xf>
    <xf numFmtId="38" fontId="23" fillId="0" borderId="20" xfId="45" applyFont="1" applyFill="1" applyBorder="1" applyAlignment="1">
      <alignment horizontal="right" vertical="center" shrinkToFit="1"/>
    </xf>
    <xf numFmtId="38" fontId="23" fillId="0" borderId="54" xfId="45" applyFont="1" applyFill="1" applyBorder="1" applyAlignment="1">
      <alignment horizontal="right" vertical="center" shrinkToFit="1"/>
    </xf>
    <xf numFmtId="38" fontId="23" fillId="0" borderId="55" xfId="45" applyFont="1" applyFill="1" applyBorder="1" applyAlignment="1">
      <alignment horizontal="right" vertical="center" shrinkToFit="1"/>
    </xf>
    <xf numFmtId="0" fontId="27" fillId="0" borderId="52" xfId="0" applyFont="1" applyBorder="1" applyAlignment="1">
      <alignment horizontal="center" vertical="top"/>
    </xf>
    <xf numFmtId="180" fontId="21" fillId="0" borderId="53" xfId="0" quotePrefix="1" applyNumberFormat="1" applyFont="1" applyBorder="1" applyAlignment="1">
      <alignment horizontal="center" vertical="center" shrinkToFit="1"/>
    </xf>
    <xf numFmtId="180" fontId="21" fillId="0" borderId="20" xfId="0" quotePrefix="1" applyNumberFormat="1" applyFont="1" applyBorder="1" applyAlignment="1">
      <alignment horizontal="center" vertical="center" shrinkToFit="1"/>
    </xf>
    <xf numFmtId="180" fontId="21" fillId="0" borderId="54" xfId="0" quotePrefix="1" applyNumberFormat="1" applyFont="1" applyBorder="1" applyAlignment="1">
      <alignment horizontal="center" vertical="center" shrinkToFit="1"/>
    </xf>
    <xf numFmtId="0" fontId="21" fillId="0" borderId="46" xfId="0" applyFont="1" applyBorder="1" applyAlignment="1">
      <alignment horizontal="distributed" vertical="center" justifyLastLine="1"/>
    </xf>
    <xf numFmtId="0" fontId="21" fillId="0" borderId="17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178" fontId="21" fillId="0" borderId="60" xfId="0" applyNumberFormat="1" applyFont="1" applyBorder="1" applyAlignment="1">
      <alignment horizontal="center" vertical="center"/>
    </xf>
    <xf numFmtId="178" fontId="21" fillId="0" borderId="58" xfId="0" applyNumberFormat="1" applyFont="1" applyBorder="1" applyAlignment="1">
      <alignment horizontal="center" vertical="center"/>
    </xf>
    <xf numFmtId="178" fontId="21" fillId="0" borderId="59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distributed" vertical="center" shrinkToFit="1"/>
    </xf>
    <xf numFmtId="0" fontId="21" fillId="0" borderId="13" xfId="0" applyFont="1" applyBorder="1" applyAlignment="1">
      <alignment horizontal="distributed" vertical="center" shrinkToFit="1"/>
    </xf>
    <xf numFmtId="0" fontId="21" fillId="0" borderId="73" xfId="0" applyFont="1" applyBorder="1">
      <alignment vertical="center"/>
    </xf>
    <xf numFmtId="0" fontId="21" fillId="0" borderId="74" xfId="0" applyFont="1" applyBorder="1">
      <alignment vertical="center"/>
    </xf>
    <xf numFmtId="0" fontId="21" fillId="0" borderId="75" xfId="0" applyFont="1" applyBorder="1">
      <alignment vertical="center"/>
    </xf>
    <xf numFmtId="0" fontId="21" fillId="0" borderId="46" xfId="0" applyFont="1" applyBorder="1">
      <alignment vertical="center"/>
    </xf>
    <xf numFmtId="0" fontId="21" fillId="0" borderId="15" xfId="0" applyFont="1" applyBorder="1">
      <alignment vertical="center"/>
    </xf>
    <xf numFmtId="0" fontId="21" fillId="0" borderId="35" xfId="0" applyFont="1" applyBorder="1">
      <alignment vertical="center"/>
    </xf>
    <xf numFmtId="0" fontId="21" fillId="0" borderId="47" xfId="0" applyFont="1" applyBorder="1">
      <alignment vertical="center"/>
    </xf>
    <xf numFmtId="0" fontId="21" fillId="0" borderId="19" xfId="0" applyFont="1" applyBorder="1">
      <alignment vertical="center"/>
    </xf>
    <xf numFmtId="0" fontId="21" fillId="0" borderId="38" xfId="0" applyFont="1" applyBorder="1">
      <alignment vertical="center"/>
    </xf>
    <xf numFmtId="0" fontId="21" fillId="0" borderId="38" xfId="0" applyFont="1" applyBorder="1" applyAlignment="1">
      <alignment horizontal="center" vertical="center" wrapText="1" shrinkToFit="1"/>
    </xf>
    <xf numFmtId="40" fontId="23" fillId="0" borderId="47" xfId="45" applyNumberFormat="1" applyFont="1" applyFill="1" applyBorder="1" applyAlignment="1">
      <alignment horizontal="right" vertical="center" shrinkToFit="1"/>
    </xf>
    <xf numFmtId="40" fontId="23" fillId="0" borderId="19" xfId="45" applyNumberFormat="1" applyFont="1" applyFill="1" applyBorder="1" applyAlignment="1">
      <alignment horizontal="right" vertical="center" shrinkToFit="1"/>
    </xf>
    <xf numFmtId="40" fontId="23" fillId="0" borderId="40" xfId="45" applyNumberFormat="1" applyFont="1" applyFill="1" applyBorder="1" applyAlignment="1">
      <alignment horizontal="right" vertical="center" shrinkToFit="1"/>
    </xf>
    <xf numFmtId="40" fontId="23" fillId="0" borderId="24" xfId="45" applyNumberFormat="1" applyFont="1" applyFill="1" applyBorder="1" applyAlignment="1">
      <alignment horizontal="right" vertical="center" shrinkToFit="1"/>
    </xf>
    <xf numFmtId="180" fontId="21" fillId="0" borderId="14" xfId="0" quotePrefix="1" applyNumberFormat="1" applyFont="1" applyBorder="1" applyAlignment="1">
      <alignment horizontal="center" vertical="center"/>
    </xf>
    <xf numFmtId="180" fontId="21" fillId="0" borderId="42" xfId="0" quotePrefix="1" applyNumberFormat="1" applyFont="1" applyBorder="1" applyAlignment="1">
      <alignment horizontal="center" vertical="center"/>
    </xf>
    <xf numFmtId="178" fontId="21" fillId="0" borderId="22" xfId="0" applyNumberFormat="1" applyFont="1" applyBorder="1" applyAlignment="1">
      <alignment horizontal="center" vertical="center"/>
    </xf>
    <xf numFmtId="178" fontId="21" fillId="0" borderId="14" xfId="0" applyNumberFormat="1" applyFont="1" applyBorder="1" applyAlignment="1">
      <alignment horizontal="center" vertical="center"/>
    </xf>
    <xf numFmtId="178" fontId="21" fillId="0" borderId="42" xfId="0" applyNumberFormat="1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 shrinkToFit="1"/>
    </xf>
    <xf numFmtId="0" fontId="21" fillId="0" borderId="83" xfId="0" applyFont="1" applyBorder="1" applyAlignment="1">
      <alignment horizontal="center" vertical="center" shrinkToFit="1"/>
    </xf>
    <xf numFmtId="180" fontId="21" fillId="0" borderId="36" xfId="0" quotePrefix="1" applyNumberFormat="1" applyFont="1" applyBorder="1" applyAlignment="1">
      <alignment horizontal="center" vertical="center"/>
    </xf>
    <xf numFmtId="180" fontId="21" fillId="0" borderId="25" xfId="0" quotePrefix="1" applyNumberFormat="1" applyFont="1" applyBorder="1" applyAlignment="1">
      <alignment horizontal="center" vertical="center"/>
    </xf>
    <xf numFmtId="187" fontId="23" fillId="0" borderId="14" xfId="45" applyNumberFormat="1" applyFont="1" applyFill="1" applyBorder="1" applyAlignment="1">
      <alignment horizontal="right" vertical="center" shrinkToFit="1"/>
    </xf>
    <xf numFmtId="187" fontId="23" fillId="0" borderId="42" xfId="45" applyNumberFormat="1" applyFont="1" applyFill="1" applyBorder="1" applyAlignment="1">
      <alignment horizontal="right" vertical="center" shrinkToFit="1"/>
    </xf>
    <xf numFmtId="187" fontId="23" fillId="0" borderId="22" xfId="45" applyNumberFormat="1" applyFont="1" applyFill="1" applyBorder="1" applyAlignment="1">
      <alignment horizontal="right" vertical="center" shrinkToFit="1"/>
    </xf>
    <xf numFmtId="187" fontId="23" fillId="0" borderId="13" xfId="45" applyNumberFormat="1" applyFont="1" applyFill="1" applyBorder="1" applyAlignment="1">
      <alignment horizontal="right" vertical="center" shrinkToFit="1"/>
    </xf>
    <xf numFmtId="187" fontId="23" fillId="0" borderId="41" xfId="45" applyNumberFormat="1" applyFont="1" applyFill="1" applyBorder="1" applyAlignment="1">
      <alignment horizontal="right" vertical="center" shrinkToFit="1"/>
    </xf>
    <xf numFmtId="187" fontId="23" fillId="0" borderId="23" xfId="45" applyNumberFormat="1" applyFont="1" applyFill="1" applyBorder="1" applyAlignment="1">
      <alignment horizontal="right" vertical="center" shrinkToFit="1"/>
    </xf>
    <xf numFmtId="0" fontId="21" fillId="0" borderId="11" xfId="0" applyFont="1" applyBorder="1" applyAlignment="1">
      <alignment horizontal="distributed" vertical="center"/>
    </xf>
    <xf numFmtId="188" fontId="23" fillId="0" borderId="120" xfId="0" applyNumberFormat="1" applyFont="1" applyBorder="1" applyAlignment="1">
      <alignment horizontal="right" vertical="center" shrinkToFit="1"/>
    </xf>
    <xf numFmtId="188" fontId="23" fillId="0" borderId="121" xfId="0" applyNumberFormat="1" applyFont="1" applyBorder="1" applyAlignment="1">
      <alignment horizontal="right" vertical="center" shrinkToFit="1"/>
    </xf>
    <xf numFmtId="184" fontId="21" fillId="0" borderId="20" xfId="0" applyNumberFormat="1" applyFont="1" applyBorder="1" applyAlignment="1">
      <alignment horizontal="right" vertical="center" shrinkToFit="1"/>
    </xf>
    <xf numFmtId="177" fontId="21" fillId="0" borderId="20" xfId="0" applyNumberFormat="1" applyFont="1" applyBorder="1" applyAlignment="1">
      <alignment horizontal="right" vertical="center" shrinkToFit="1"/>
    </xf>
    <xf numFmtId="183" fontId="21" fillId="0" borderId="20" xfId="0" applyNumberFormat="1" applyFont="1" applyBorder="1" applyAlignment="1">
      <alignment horizontal="right" vertical="center" shrinkToFit="1"/>
    </xf>
    <xf numFmtId="40" fontId="23" fillId="0" borderId="17" xfId="45" applyNumberFormat="1" applyFont="1" applyFill="1" applyBorder="1" applyAlignment="1">
      <alignment horizontal="right" vertical="center" shrinkToFit="1"/>
    </xf>
    <xf numFmtId="40" fontId="23" fillId="0" borderId="13" xfId="45" applyNumberFormat="1" applyFont="1" applyFill="1" applyBorder="1" applyAlignment="1">
      <alignment horizontal="right" vertical="center" shrinkToFit="1"/>
    </xf>
    <xf numFmtId="40" fontId="23" fillId="0" borderId="41" xfId="45" applyNumberFormat="1" applyFont="1" applyFill="1" applyBorder="1" applyAlignment="1">
      <alignment horizontal="right" vertical="center" shrinkToFit="1"/>
    </xf>
    <xf numFmtId="40" fontId="23" fillId="0" borderId="23" xfId="45" applyNumberFormat="1" applyFont="1" applyFill="1" applyBorder="1" applyAlignment="1">
      <alignment horizontal="right" vertical="center" shrinkToFit="1"/>
    </xf>
    <xf numFmtId="186" fontId="23" fillId="0" borderId="120" xfId="0" applyNumberFormat="1" applyFont="1" applyBorder="1" applyAlignment="1">
      <alignment horizontal="right" vertical="center" shrinkToFit="1"/>
    </xf>
    <xf numFmtId="186" fontId="23" fillId="0" borderId="119" xfId="0" applyNumberFormat="1" applyFont="1" applyBorder="1" applyAlignment="1">
      <alignment horizontal="right" vertical="center" shrinkToFit="1"/>
    </xf>
    <xf numFmtId="187" fontId="23" fillId="0" borderId="39" xfId="45" applyNumberFormat="1" applyFont="1" applyFill="1" applyBorder="1" applyAlignment="1">
      <alignment horizontal="right" vertical="center" shrinkToFit="1"/>
    </xf>
    <xf numFmtId="187" fontId="23" fillId="0" borderId="10" xfId="45" applyNumberFormat="1" applyFont="1" applyFill="1" applyBorder="1" applyAlignment="1">
      <alignment horizontal="right" vertical="center" shrinkToFit="1"/>
    </xf>
    <xf numFmtId="187" fontId="23" fillId="0" borderId="81" xfId="45" applyNumberFormat="1" applyFont="1" applyFill="1" applyBorder="1" applyAlignment="1">
      <alignment horizontal="right" vertical="center" shrinkToFit="1"/>
    </xf>
    <xf numFmtId="187" fontId="23" fillId="0" borderId="77" xfId="45" applyNumberFormat="1" applyFont="1" applyFill="1" applyBorder="1" applyAlignment="1">
      <alignment horizontal="right" vertical="center" shrinkToFit="1"/>
    </xf>
    <xf numFmtId="187" fontId="23" fillId="0" borderId="21" xfId="45" applyNumberFormat="1" applyFont="1" applyFill="1" applyBorder="1" applyAlignment="1">
      <alignment horizontal="right" vertical="center" shrinkToFit="1"/>
    </xf>
    <xf numFmtId="187" fontId="23" fillId="0" borderId="25" xfId="45" applyNumberFormat="1" applyFont="1" applyFill="1" applyBorder="1" applyAlignment="1">
      <alignment horizontal="right" vertical="center" shrinkToFit="1"/>
    </xf>
    <xf numFmtId="3" fontId="23" fillId="0" borderId="53" xfId="0" applyNumberFormat="1" applyFont="1" applyBorder="1" applyAlignment="1">
      <alignment vertical="center" shrinkToFit="1"/>
    </xf>
    <xf numFmtId="3" fontId="23" fillId="0" borderId="20" xfId="0" applyNumberFormat="1" applyFont="1" applyBorder="1" applyAlignment="1">
      <alignment vertical="center" shrinkToFit="1"/>
    </xf>
    <xf numFmtId="3" fontId="23" fillId="0" borderId="54" xfId="0" applyNumberFormat="1" applyFont="1" applyBorder="1" applyAlignment="1">
      <alignment vertical="center" shrinkToFit="1"/>
    </xf>
    <xf numFmtId="3" fontId="23" fillId="0" borderId="34" xfId="0" applyNumberFormat="1" applyFont="1" applyBorder="1" applyAlignment="1">
      <alignment horizontal="center" vertical="center" shrinkToFit="1"/>
    </xf>
    <xf numFmtId="3" fontId="23" fillId="0" borderId="15" xfId="0" applyNumberFormat="1" applyFont="1" applyBorder="1" applyAlignment="1">
      <alignment horizontal="center" vertical="center" shrinkToFit="1"/>
    </xf>
    <xf numFmtId="3" fontId="23" fillId="0" borderId="43" xfId="0" applyNumberFormat="1" applyFont="1" applyBorder="1" applyAlignment="1">
      <alignment horizontal="center" vertical="center" shrinkToFit="1"/>
    </xf>
    <xf numFmtId="187" fontId="23" fillId="0" borderId="19" xfId="45" applyNumberFormat="1" applyFont="1" applyFill="1" applyBorder="1" applyAlignment="1">
      <alignment horizontal="right" vertical="center" shrinkToFit="1"/>
    </xf>
    <xf numFmtId="187" fontId="23" fillId="0" borderId="40" xfId="45" applyNumberFormat="1" applyFont="1" applyFill="1" applyBorder="1" applyAlignment="1">
      <alignment horizontal="right" vertical="center" shrinkToFit="1"/>
    </xf>
    <xf numFmtId="187" fontId="23" fillId="0" borderId="24" xfId="45" applyNumberFormat="1" applyFont="1" applyFill="1" applyBorder="1" applyAlignment="1">
      <alignment horizontal="right" vertical="center" shrinkToFit="1"/>
    </xf>
    <xf numFmtId="40" fontId="23" fillId="0" borderId="29" xfId="45" applyNumberFormat="1" applyFont="1" applyFill="1" applyBorder="1" applyAlignment="1">
      <alignment horizontal="right" vertical="center" shrinkToFit="1"/>
    </xf>
    <xf numFmtId="40" fontId="23" fillId="0" borderId="21" xfId="45" applyNumberFormat="1" applyFont="1" applyFill="1" applyBorder="1" applyAlignment="1">
      <alignment horizontal="right" vertical="center" shrinkToFit="1"/>
    </xf>
    <xf numFmtId="40" fontId="23" fillId="0" borderId="44" xfId="45" applyNumberFormat="1" applyFont="1" applyFill="1" applyBorder="1" applyAlignment="1">
      <alignment horizontal="right" vertical="center" shrinkToFit="1"/>
    </xf>
    <xf numFmtId="178" fontId="21" fillId="0" borderId="25" xfId="0" applyNumberFormat="1" applyFont="1" applyBorder="1" applyAlignment="1">
      <alignment horizontal="center" vertical="center"/>
    </xf>
    <xf numFmtId="3" fontId="23" fillId="0" borderId="17" xfId="0" applyNumberFormat="1" applyFont="1" applyBorder="1" applyAlignment="1">
      <alignment vertical="center" shrinkToFit="1"/>
    </xf>
    <xf numFmtId="3" fontId="23" fillId="0" borderId="13" xfId="0" applyNumberFormat="1" applyFont="1" applyBorder="1" applyAlignment="1">
      <alignment vertical="center" shrinkToFit="1"/>
    </xf>
    <xf numFmtId="3" fontId="23" fillId="0" borderId="41" xfId="0" applyNumberFormat="1" applyFont="1" applyBorder="1" applyAlignment="1">
      <alignment vertical="center" shrinkToFit="1"/>
    </xf>
    <xf numFmtId="3" fontId="23" fillId="0" borderId="23" xfId="0" applyNumberFormat="1" applyFont="1" applyBorder="1" applyAlignment="1">
      <alignment horizontal="center" vertical="center" shrinkToFit="1"/>
    </xf>
    <xf numFmtId="3" fontId="23" fillId="0" borderId="13" xfId="0" applyNumberFormat="1" applyFont="1" applyBorder="1" applyAlignment="1">
      <alignment horizontal="center" vertical="center" shrinkToFit="1"/>
    </xf>
    <xf numFmtId="3" fontId="23" fillId="0" borderId="41" xfId="0" applyNumberFormat="1" applyFont="1" applyBorder="1" applyAlignment="1">
      <alignment horizontal="center" vertical="center" shrinkToFit="1"/>
    </xf>
    <xf numFmtId="0" fontId="21" fillId="0" borderId="88" xfId="0" applyFont="1" applyBorder="1" applyAlignment="1">
      <alignment horizontal="center" vertical="center"/>
    </xf>
    <xf numFmtId="0" fontId="21" fillId="0" borderId="89" xfId="0" applyFont="1" applyBorder="1" applyAlignment="1">
      <alignment horizontal="center" vertical="center"/>
    </xf>
    <xf numFmtId="0" fontId="21" fillId="0" borderId="90" xfId="0" applyFont="1" applyBorder="1" applyAlignment="1">
      <alignment horizontal="center" vertical="center"/>
    </xf>
    <xf numFmtId="40" fontId="23" fillId="0" borderId="45" xfId="45" applyNumberFormat="1" applyFont="1" applyFill="1" applyBorder="1" applyAlignment="1">
      <alignment horizontal="right" vertical="center" shrinkToFit="1"/>
    </xf>
    <xf numFmtId="188" fontId="23" fillId="0" borderId="10" xfId="0" applyNumberFormat="1" applyFont="1" applyBorder="1" applyAlignment="1">
      <alignment horizontal="right" vertical="center" shrinkToFit="1"/>
    </xf>
    <xf numFmtId="188" fontId="23" fillId="0" borderId="85" xfId="0" applyNumberFormat="1" applyFont="1" applyBorder="1" applyAlignment="1">
      <alignment horizontal="right" vertical="center" shrinkToFit="1"/>
    </xf>
    <xf numFmtId="188" fontId="23" fillId="0" borderId="24" xfId="0" applyNumberFormat="1" applyFont="1" applyBorder="1" applyAlignment="1">
      <alignment horizontal="right" vertical="center" shrinkToFit="1"/>
    </xf>
    <xf numFmtId="188" fontId="23" fillId="0" borderId="19" xfId="0" applyNumberFormat="1" applyFont="1" applyBorder="1" applyAlignment="1">
      <alignment horizontal="right" vertical="center" shrinkToFit="1"/>
    </xf>
    <xf numFmtId="188" fontId="23" fillId="0" borderId="38" xfId="0" applyNumberFormat="1" applyFont="1" applyBorder="1" applyAlignment="1">
      <alignment horizontal="right" vertical="center" shrinkToFit="1"/>
    </xf>
    <xf numFmtId="0" fontId="21" fillId="0" borderId="15" xfId="0" applyFont="1" applyBorder="1" applyAlignment="1">
      <alignment horizontal="center" vertical="center" justifyLastLine="1"/>
    </xf>
    <xf numFmtId="0" fontId="21" fillId="0" borderId="35" xfId="0" applyFont="1" applyBorder="1" applyAlignment="1">
      <alignment horizontal="center" vertical="center" justifyLastLine="1"/>
    </xf>
    <xf numFmtId="0" fontId="21" fillId="0" borderId="38" xfId="0" applyFont="1" applyBorder="1" applyAlignment="1">
      <alignment horizontal="distributed" vertical="center"/>
    </xf>
    <xf numFmtId="4" fontId="23" fillId="0" borderId="36" xfId="0" applyNumberFormat="1" applyFont="1" applyBorder="1" applyAlignment="1">
      <alignment horizontal="right" vertical="center" shrinkToFit="1"/>
    </xf>
    <xf numFmtId="4" fontId="23" fillId="0" borderId="25" xfId="0" applyNumberFormat="1" applyFont="1" applyBorder="1" applyAlignment="1">
      <alignment horizontal="right" vertical="center" shrinkToFit="1"/>
    </xf>
    <xf numFmtId="0" fontId="21" fillId="0" borderId="93" xfId="0" applyFont="1" applyBorder="1" applyAlignment="1">
      <alignment horizontal="center" vertical="center" textRotation="255"/>
    </xf>
    <xf numFmtId="0" fontId="21" fillId="0" borderId="69" xfId="0" applyFont="1" applyBorder="1" applyAlignment="1">
      <alignment horizontal="center" vertical="center" textRotation="255"/>
    </xf>
    <xf numFmtId="0" fontId="21" fillId="0" borderId="70" xfId="0" applyFont="1" applyBorder="1" applyAlignment="1">
      <alignment horizontal="center" vertical="center" textRotation="255"/>
    </xf>
    <xf numFmtId="4" fontId="23" fillId="0" borderId="29" xfId="0" applyNumberFormat="1" applyFont="1" applyBorder="1" applyAlignment="1">
      <alignment horizontal="right" vertical="center" shrinkToFit="1"/>
    </xf>
    <xf numFmtId="4" fontId="23" fillId="0" borderId="21" xfId="0" applyNumberFormat="1" applyFont="1" applyBorder="1" applyAlignment="1">
      <alignment horizontal="right" vertical="center" shrinkToFit="1"/>
    </xf>
    <xf numFmtId="188" fontId="23" fillId="0" borderId="21" xfId="0" applyNumberFormat="1" applyFont="1" applyBorder="1" applyAlignment="1">
      <alignment horizontal="right" vertical="center" shrinkToFit="1"/>
    </xf>
    <xf numFmtId="188" fontId="23" fillId="0" borderId="86" xfId="0" applyNumberFormat="1" applyFont="1" applyBorder="1" applyAlignment="1">
      <alignment horizontal="right" vertical="center" shrinkToFit="1"/>
    </xf>
    <xf numFmtId="187" fontId="23" fillId="0" borderId="16" xfId="45" applyNumberFormat="1" applyFont="1" applyFill="1" applyBorder="1" applyAlignment="1">
      <alignment horizontal="right" vertical="center" shrinkToFit="1"/>
    </xf>
    <xf numFmtId="187" fontId="23" fillId="0" borderId="11" xfId="45" applyNumberFormat="1" applyFont="1" applyFill="1" applyBorder="1" applyAlignment="1">
      <alignment horizontal="right" vertical="center" shrinkToFit="1"/>
    </xf>
    <xf numFmtId="186" fontId="23" fillId="0" borderId="122" xfId="0" applyNumberFormat="1" applyFont="1" applyBorder="1" applyAlignment="1">
      <alignment horizontal="right" vertical="center" shrinkToFit="1"/>
    </xf>
    <xf numFmtId="186" fontId="23" fillId="0" borderId="103" xfId="0" applyNumberFormat="1" applyFont="1" applyBorder="1" applyAlignment="1">
      <alignment horizontal="right" vertical="center" shrinkToFit="1"/>
    </xf>
    <xf numFmtId="186" fontId="23" fillId="0" borderId="123" xfId="0" applyNumberFormat="1" applyFont="1" applyBorder="1" applyAlignment="1">
      <alignment horizontal="right" vertical="center" shrinkToFit="1"/>
    </xf>
    <xf numFmtId="3" fontId="23" fillId="0" borderId="10" xfId="0" applyNumberFormat="1" applyFont="1" applyBorder="1" applyAlignment="1">
      <alignment horizontal="right" vertical="center" shrinkToFit="1"/>
    </xf>
    <xf numFmtId="0" fontId="21" fillId="0" borderId="60" xfId="0" applyFont="1" applyBorder="1" applyAlignment="1">
      <alignment horizontal="center" vertical="center"/>
    </xf>
    <xf numFmtId="188" fontId="23" fillId="0" borderId="124" xfId="0" applyNumberFormat="1" applyFont="1" applyBorder="1" applyAlignment="1">
      <alignment horizontal="right" vertical="center" shrinkToFit="1"/>
    </xf>
    <xf numFmtId="188" fontId="23" fillId="0" borderId="125" xfId="0" applyNumberFormat="1" applyFont="1" applyBorder="1" applyAlignment="1">
      <alignment horizontal="right" vertical="center" shrinkToFit="1"/>
    </xf>
    <xf numFmtId="0" fontId="21" fillId="0" borderId="46" xfId="0" applyFont="1" applyBorder="1" applyAlignment="1">
      <alignment horizontal="center" vertical="center" justifyLastLine="1"/>
    </xf>
    <xf numFmtId="38" fontId="23" fillId="0" borderId="39" xfId="45" applyFont="1" applyFill="1" applyBorder="1" applyAlignment="1">
      <alignment horizontal="right" vertical="center" shrinkToFit="1"/>
    </xf>
    <xf numFmtId="38" fontId="23" fillId="0" borderId="10" xfId="45" applyFont="1" applyFill="1" applyBorder="1" applyAlignment="1">
      <alignment horizontal="right" vertical="center" shrinkToFit="1"/>
    </xf>
    <xf numFmtId="38" fontId="23" fillId="0" borderId="27" xfId="45" applyFont="1" applyFill="1" applyBorder="1" applyAlignment="1">
      <alignment horizontal="right" vertical="center" shrinkToFit="1"/>
    </xf>
    <xf numFmtId="38" fontId="23" fillId="0" borderId="36" xfId="45" applyFont="1" applyFill="1" applyBorder="1" applyAlignment="1">
      <alignment horizontal="right" vertical="center" shrinkToFit="1"/>
    </xf>
    <xf numFmtId="38" fontId="23" fillId="0" borderId="11" xfId="45" applyFont="1" applyFill="1" applyBorder="1" applyAlignment="1">
      <alignment horizontal="right" vertical="center" shrinkToFit="1"/>
    </xf>
    <xf numFmtId="38" fontId="23" fillId="0" borderId="16" xfId="45" applyFont="1" applyFill="1" applyBorder="1" applyAlignment="1">
      <alignment horizontal="right" vertical="center" shrinkToFit="1"/>
    </xf>
    <xf numFmtId="0" fontId="21" fillId="0" borderId="82" xfId="0" applyFont="1" applyBorder="1" applyAlignment="1">
      <alignment horizontal="center" vertical="center" wrapText="1" shrinkToFit="1"/>
    </xf>
    <xf numFmtId="0" fontId="21" fillId="0" borderId="74" xfId="0" applyFont="1" applyBorder="1" applyAlignment="1">
      <alignment horizontal="center" vertical="center" wrapText="1" shrinkToFit="1"/>
    </xf>
    <xf numFmtId="0" fontId="21" fillId="0" borderId="75" xfId="0" applyFont="1" applyBorder="1" applyAlignment="1">
      <alignment horizontal="center" vertical="center" wrapText="1" shrinkToFit="1"/>
    </xf>
    <xf numFmtId="0" fontId="21" fillId="0" borderId="77" xfId="0" applyFont="1" applyBorder="1" applyAlignment="1">
      <alignment horizontal="center" vertical="center" shrinkToFit="1"/>
    </xf>
    <xf numFmtId="0" fontId="21" fillId="0" borderId="78" xfId="0" applyFont="1" applyBorder="1" applyAlignment="1">
      <alignment horizontal="center" vertical="center" shrinkToFit="1"/>
    </xf>
    <xf numFmtId="180" fontId="21" fillId="0" borderId="81" xfId="0" quotePrefix="1" applyNumberFormat="1" applyFont="1" applyBorder="1" applyAlignment="1">
      <alignment horizontal="center" vertical="center"/>
    </xf>
    <xf numFmtId="180" fontId="21" fillId="0" borderId="77" xfId="0" quotePrefix="1" applyNumberFormat="1" applyFont="1" applyBorder="1" applyAlignment="1">
      <alignment horizontal="center" vertical="center"/>
    </xf>
    <xf numFmtId="178" fontId="21" fillId="0" borderId="77" xfId="0" applyNumberFormat="1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74" xfId="0" applyFont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  <xf numFmtId="40" fontId="23" fillId="0" borderId="27" xfId="45" applyNumberFormat="1" applyFont="1" applyFill="1" applyBorder="1" applyAlignment="1">
      <alignment horizontal="right" vertical="center" shrinkToFit="1"/>
    </xf>
    <xf numFmtId="40" fontId="23" fillId="0" borderId="10" xfId="45" applyNumberFormat="1" applyFont="1" applyFill="1" applyBorder="1" applyAlignment="1">
      <alignment horizontal="right" vertical="center" shrinkToFit="1"/>
    </xf>
    <xf numFmtId="40" fontId="23" fillId="0" borderId="36" xfId="45" applyNumberFormat="1" applyFont="1" applyFill="1" applyBorder="1" applyAlignment="1">
      <alignment horizontal="right" vertical="center" shrinkToFit="1"/>
    </xf>
    <xf numFmtId="40" fontId="23" fillId="0" borderId="25" xfId="45" applyNumberFormat="1" applyFont="1" applyFill="1" applyBorder="1" applyAlignment="1">
      <alignment horizontal="right" vertical="center" shrinkToFit="1"/>
    </xf>
    <xf numFmtId="3" fontId="23" fillId="0" borderId="27" xfId="0" applyNumberFormat="1" applyFont="1" applyBorder="1" applyAlignment="1">
      <alignment horizontal="right" vertical="center" shrinkToFit="1"/>
    </xf>
    <xf numFmtId="0" fontId="21" fillId="0" borderId="57" xfId="0" applyFont="1" applyBorder="1">
      <alignment vertical="center"/>
    </xf>
    <xf numFmtId="0" fontId="21" fillId="0" borderId="58" xfId="0" applyFont="1" applyBorder="1">
      <alignment vertical="center"/>
    </xf>
    <xf numFmtId="0" fontId="21" fillId="0" borderId="61" xfId="0" applyFont="1" applyBorder="1">
      <alignment vertical="center"/>
    </xf>
    <xf numFmtId="3" fontId="23" fillId="0" borderId="18" xfId="0" applyNumberFormat="1" applyFont="1" applyBorder="1" applyAlignment="1">
      <alignment vertical="center" shrinkToFit="1"/>
    </xf>
    <xf numFmtId="3" fontId="23" fillId="0" borderId="14" xfId="0" applyNumberFormat="1" applyFont="1" applyBorder="1" applyAlignment="1">
      <alignment vertical="center" shrinkToFit="1"/>
    </xf>
    <xf numFmtId="3" fontId="23" fillId="0" borderId="42" xfId="0" applyNumberFormat="1" applyFont="1" applyBorder="1" applyAlignment="1">
      <alignment vertical="center" shrinkToFit="1"/>
    </xf>
    <xf numFmtId="3" fontId="23" fillId="0" borderId="22" xfId="0" applyNumberFormat="1" applyFont="1" applyBorder="1" applyAlignment="1">
      <alignment horizontal="center" vertical="center" shrinkToFit="1"/>
    </xf>
    <xf numFmtId="3" fontId="23" fillId="0" borderId="14" xfId="0" applyNumberFormat="1" applyFont="1" applyBorder="1" applyAlignment="1">
      <alignment horizontal="center" vertical="center" shrinkToFit="1"/>
    </xf>
    <xf numFmtId="3" fontId="23" fillId="0" borderId="42" xfId="0" applyNumberFormat="1" applyFont="1" applyBorder="1" applyAlignment="1">
      <alignment horizontal="center" vertical="center" shrinkToFit="1"/>
    </xf>
    <xf numFmtId="186" fontId="23" fillId="0" borderId="37" xfId="0" applyNumberFormat="1" applyFont="1" applyBorder="1" applyAlignment="1">
      <alignment horizontal="right" vertical="center" shrinkToFit="1"/>
    </xf>
    <xf numFmtId="3" fontId="23" fillId="0" borderId="53" xfId="0" applyNumberFormat="1" applyFont="1" applyBorder="1" applyAlignment="1">
      <alignment horizontal="right" vertical="center" shrinkToFit="1"/>
    </xf>
    <xf numFmtId="3" fontId="23" fillId="0" borderId="20" xfId="0" applyNumberFormat="1" applyFont="1" applyBorder="1" applyAlignment="1">
      <alignment horizontal="right" vertical="center" shrinkToFit="1"/>
    </xf>
    <xf numFmtId="3" fontId="23" fillId="0" borderId="54" xfId="0" applyNumberFormat="1" applyFont="1" applyBorder="1" applyAlignment="1">
      <alignment horizontal="right" vertical="center" shrinkToFi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A000000}"/>
    <cellStyle name="標準 3" xfId="43" xr:uid="{00000000-0005-0000-0000-00002B000000}"/>
    <cellStyle name="標準 4" xfId="44" xr:uid="{00000000-0005-0000-0000-00002C000000}"/>
    <cellStyle name="良い" xfId="42" builtinId="26" customBuiltin="1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52"/>
  <sheetViews>
    <sheetView showGridLines="0" tabSelected="1" view="pageBreakPreview" zoomScaleNormal="100" zoomScaleSheetLayoutView="100" workbookViewId="0">
      <selection sqref="A1:AN2"/>
    </sheetView>
  </sheetViews>
  <sheetFormatPr defaultColWidth="2.625" defaultRowHeight="14.1" customHeight="1" x14ac:dyDescent="0.15"/>
  <cols>
    <col min="1" max="6" width="2.625" style="1" customWidth="1"/>
    <col min="7" max="7" width="2.625" style="34" customWidth="1"/>
    <col min="8" max="79" width="2.625" style="1" customWidth="1"/>
    <col min="80" max="87" width="2.625" style="1"/>
    <col min="88" max="88" width="2.625" style="1" customWidth="1"/>
    <col min="89" max="16384" width="2.625" style="1"/>
  </cols>
  <sheetData>
    <row r="1" spans="1:89" ht="12.6" customHeight="1" x14ac:dyDescent="0.15">
      <c r="A1" s="218" t="str">
        <f>IF(H5="【個】[000101]","9999",H5)&amp;"年 農業経営統計調査 牛乳生産費統計 個別結果検討表 №１"</f>
        <v>年 農業経営統計調査 牛乳生産費統計 個別結果検討表 №１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9"/>
      <c r="AO1" s="220" t="s">
        <v>55</v>
      </c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</row>
    <row r="2" spans="1:89" ht="12.6" customHeight="1" x14ac:dyDescent="0.15">
      <c r="A2" s="218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9"/>
      <c r="AO2" s="221"/>
      <c r="AP2" s="221"/>
      <c r="AQ2" s="221"/>
      <c r="AR2" s="221"/>
      <c r="AS2" s="221"/>
      <c r="AT2" s="221"/>
      <c r="AU2" s="221"/>
      <c r="AV2" s="221"/>
      <c r="AW2" s="221"/>
      <c r="AX2" s="221"/>
      <c r="AY2" s="221"/>
      <c r="AZ2" s="221"/>
    </row>
    <row r="3" spans="1:89" ht="12.6" customHeight="1" x14ac:dyDescent="0.1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</row>
    <row r="4" spans="1:89" ht="12.6" customHeight="1" x14ac:dyDescent="0.15">
      <c r="A4" s="4" t="s">
        <v>144</v>
      </c>
      <c r="AY4" s="2"/>
      <c r="AZ4" s="2"/>
      <c r="BA4" s="2"/>
    </row>
    <row r="5" spans="1:89" ht="12.6" customHeight="1" x14ac:dyDescent="0.15">
      <c r="A5" s="222" t="s">
        <v>112</v>
      </c>
      <c r="B5" s="223"/>
      <c r="C5" s="223"/>
      <c r="D5" s="223"/>
      <c r="E5" s="223"/>
      <c r="F5" s="223"/>
      <c r="G5" s="226" t="s">
        <v>113</v>
      </c>
      <c r="H5" s="228"/>
      <c r="I5" s="228"/>
      <c r="J5" s="228"/>
      <c r="K5" s="229"/>
      <c r="L5" s="232" t="s">
        <v>114</v>
      </c>
      <c r="M5" s="233"/>
      <c r="N5" s="234"/>
      <c r="O5" s="235" t="str">
        <f>IF(H5="","",IF(H5="【個】[000101]","年",H5-1))</f>
        <v/>
      </c>
      <c r="P5" s="228"/>
      <c r="Q5" s="228"/>
      <c r="R5" s="229"/>
      <c r="S5" s="232" t="s">
        <v>114</v>
      </c>
      <c r="T5" s="233"/>
      <c r="U5" s="233"/>
      <c r="V5" s="237" t="s">
        <v>115</v>
      </c>
      <c r="W5" s="238"/>
      <c r="X5" s="238"/>
      <c r="Y5" s="238" t="s">
        <v>116</v>
      </c>
      <c r="Z5" s="238"/>
      <c r="AA5" s="239"/>
      <c r="AB5" s="242" t="s">
        <v>117</v>
      </c>
      <c r="AC5" s="243"/>
      <c r="AD5" s="243"/>
      <c r="AE5" s="243"/>
      <c r="AF5" s="243"/>
      <c r="AG5" s="243"/>
      <c r="AH5" s="243"/>
      <c r="AI5" s="243"/>
      <c r="AJ5" s="243"/>
      <c r="AK5" s="243"/>
      <c r="AL5" s="243"/>
      <c r="AM5" s="243"/>
      <c r="AN5" s="243"/>
      <c r="AO5" s="243"/>
      <c r="AP5" s="243"/>
      <c r="AQ5" s="243"/>
      <c r="AR5" s="243"/>
      <c r="AS5" s="243"/>
      <c r="AT5" s="243"/>
      <c r="AU5" s="243"/>
      <c r="AV5" s="243"/>
      <c r="AW5" s="243"/>
      <c r="AX5" s="243"/>
      <c r="AY5" s="243"/>
      <c r="AZ5" s="244"/>
      <c r="BA5" s="2"/>
      <c r="BB5" s="4"/>
      <c r="BQ5" s="2"/>
      <c r="BT5" s="4"/>
      <c r="CI5" s="2"/>
      <c r="CK5" s="2"/>
    </row>
    <row r="6" spans="1:89" ht="12.6" customHeight="1" x14ac:dyDescent="0.15">
      <c r="A6" s="224"/>
      <c r="B6" s="225"/>
      <c r="C6" s="225"/>
      <c r="D6" s="225"/>
      <c r="E6" s="225"/>
      <c r="F6" s="225"/>
      <c r="G6" s="227"/>
      <c r="H6" s="230"/>
      <c r="I6" s="230"/>
      <c r="J6" s="230"/>
      <c r="K6" s="231"/>
      <c r="L6" s="248" t="s">
        <v>118</v>
      </c>
      <c r="M6" s="249"/>
      <c r="N6" s="250"/>
      <c r="O6" s="236"/>
      <c r="P6" s="230"/>
      <c r="Q6" s="230"/>
      <c r="R6" s="231"/>
      <c r="S6" s="248" t="s">
        <v>118</v>
      </c>
      <c r="T6" s="249"/>
      <c r="U6" s="249"/>
      <c r="V6" s="251" t="s">
        <v>118</v>
      </c>
      <c r="W6" s="252"/>
      <c r="X6" s="252"/>
      <c r="Y6" s="240"/>
      <c r="Z6" s="240"/>
      <c r="AA6" s="241"/>
      <c r="AB6" s="245"/>
      <c r="AC6" s="246"/>
      <c r="AD6" s="246"/>
      <c r="AE6" s="246"/>
      <c r="AF6" s="246"/>
      <c r="AG6" s="246"/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7"/>
      <c r="BA6" s="2"/>
      <c r="BI6" s="25"/>
      <c r="BJ6" s="25"/>
      <c r="BK6" s="25"/>
      <c r="BL6" s="26"/>
      <c r="BM6" s="26"/>
      <c r="BN6" s="26"/>
      <c r="BO6" s="27"/>
      <c r="BP6" s="27"/>
      <c r="BQ6" s="27"/>
      <c r="CA6" s="25"/>
      <c r="CB6" s="25"/>
      <c r="CC6" s="25"/>
      <c r="CD6" s="26"/>
      <c r="CE6" s="26"/>
      <c r="CF6" s="26"/>
      <c r="CG6" s="27"/>
      <c r="CH6" s="27"/>
      <c r="CI6" s="27"/>
    </row>
    <row r="7" spans="1:89" ht="12.6" customHeight="1" x14ac:dyDescent="0.15">
      <c r="A7" s="202" t="s">
        <v>119</v>
      </c>
      <c r="B7" s="203"/>
      <c r="C7" s="203"/>
      <c r="D7" s="203"/>
      <c r="E7" s="203"/>
      <c r="F7" s="163"/>
      <c r="G7" s="62" t="s">
        <v>120</v>
      </c>
      <c r="H7" s="141"/>
      <c r="I7" s="141"/>
      <c r="J7" s="141"/>
      <c r="K7" s="142"/>
      <c r="L7" s="204" t="str">
        <f>IFERROR(ROUND(H7/$H$25*100,1),"-")</f>
        <v>-</v>
      </c>
      <c r="M7" s="205"/>
      <c r="N7" s="206"/>
      <c r="O7" s="140"/>
      <c r="P7" s="141"/>
      <c r="Q7" s="141"/>
      <c r="R7" s="142"/>
      <c r="S7" s="204" t="str">
        <f>IFERROR(ROUND(O7/$O$25*100,1),"-")</f>
        <v>-</v>
      </c>
      <c r="T7" s="205"/>
      <c r="U7" s="205"/>
      <c r="V7" s="207" t="str">
        <f>IF(H7="-", "-", IF(O7="-", "-", IF(ABS(O7)=0, "-", ROUND(100*(H7-O7)/ABS(O7),10))))</f>
        <v>-</v>
      </c>
      <c r="W7" s="208"/>
      <c r="X7" s="208"/>
      <c r="Y7" s="209">
        <f>H7-O7</f>
        <v>0</v>
      </c>
      <c r="Z7" s="209"/>
      <c r="AA7" s="210"/>
      <c r="AB7" s="211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2"/>
      <c r="AX7" s="212"/>
      <c r="AY7" s="212"/>
      <c r="AZ7" s="213"/>
      <c r="BA7" s="2"/>
      <c r="BI7" s="25"/>
      <c r="BJ7" s="25"/>
      <c r="BK7" s="25"/>
      <c r="BL7" s="25"/>
      <c r="BM7" s="25"/>
      <c r="BN7" s="25"/>
      <c r="BO7" s="27"/>
      <c r="BP7" s="27"/>
      <c r="BQ7" s="27"/>
      <c r="CA7" s="25"/>
      <c r="CB7" s="25"/>
      <c r="CC7" s="25"/>
      <c r="CD7" s="26"/>
      <c r="CE7" s="26"/>
      <c r="CF7" s="26"/>
      <c r="CG7" s="27"/>
      <c r="CH7" s="27"/>
      <c r="CI7" s="27"/>
    </row>
    <row r="8" spans="1:89" ht="12.6" customHeight="1" x14ac:dyDescent="0.15">
      <c r="A8" s="214"/>
      <c r="B8" s="198" t="s">
        <v>2</v>
      </c>
      <c r="C8" s="198"/>
      <c r="D8" s="198"/>
      <c r="E8" s="198"/>
      <c r="F8" s="125"/>
      <c r="G8" s="63" t="s">
        <v>121</v>
      </c>
      <c r="H8" s="106"/>
      <c r="I8" s="106"/>
      <c r="J8" s="106"/>
      <c r="K8" s="127"/>
      <c r="L8" s="190" t="str">
        <f t="shared" ref="L8:L25" si="0">IFERROR(ROUND(H8/$H$25*100,1),"-")</f>
        <v>-</v>
      </c>
      <c r="M8" s="191"/>
      <c r="N8" s="192"/>
      <c r="O8" s="126"/>
      <c r="P8" s="106"/>
      <c r="Q8" s="106"/>
      <c r="R8" s="127"/>
      <c r="S8" s="190" t="str">
        <f t="shared" ref="S8:S25" si="1">IFERROR(ROUND(O8/$O$25*100,1),"-")</f>
        <v>-</v>
      </c>
      <c r="T8" s="191"/>
      <c r="U8" s="192"/>
      <c r="V8" s="131" t="str">
        <f t="shared" ref="V8:V43" si="2">IF(H8="-", "-", IF(O8="-", "-", IF(ABS(O8)=0, "-", ROUND(100*(H8-O8)/ABS(O8),10))))</f>
        <v>-</v>
      </c>
      <c r="W8" s="132"/>
      <c r="X8" s="133"/>
      <c r="Y8" s="105">
        <f t="shared" ref="Y8:Y42" si="3">H8-O8</f>
        <v>0</v>
      </c>
      <c r="Z8" s="106"/>
      <c r="AA8" s="107"/>
      <c r="AB8" s="81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3"/>
      <c r="BA8" s="2"/>
      <c r="BI8" s="28"/>
      <c r="BJ8" s="28"/>
      <c r="BK8" s="28"/>
      <c r="BL8" s="28"/>
      <c r="BM8" s="28"/>
      <c r="BN8" s="28"/>
      <c r="BO8" s="41"/>
      <c r="BP8" s="41"/>
      <c r="BQ8" s="41"/>
      <c r="BZ8" s="23"/>
      <c r="CA8" s="28"/>
      <c r="CB8" s="28"/>
      <c r="CC8" s="28"/>
      <c r="CD8" s="28"/>
      <c r="CE8" s="28"/>
      <c r="CF8" s="28"/>
      <c r="CG8" s="41"/>
      <c r="CH8" s="41"/>
      <c r="CI8" s="41"/>
    </row>
    <row r="9" spans="1:89" ht="12.6" customHeight="1" x14ac:dyDescent="0.15">
      <c r="A9" s="215"/>
      <c r="B9" s="217" t="s">
        <v>122</v>
      </c>
      <c r="C9" s="198"/>
      <c r="D9" s="198"/>
      <c r="E9" s="198"/>
      <c r="F9" s="125"/>
      <c r="G9" s="63" t="s">
        <v>121</v>
      </c>
      <c r="H9" s="106"/>
      <c r="I9" s="106"/>
      <c r="J9" s="106"/>
      <c r="K9" s="127"/>
      <c r="L9" s="190" t="str">
        <f t="shared" si="0"/>
        <v>-</v>
      </c>
      <c r="M9" s="191"/>
      <c r="N9" s="192"/>
      <c r="O9" s="126"/>
      <c r="P9" s="106"/>
      <c r="Q9" s="106"/>
      <c r="R9" s="127"/>
      <c r="S9" s="190" t="str">
        <f t="shared" si="1"/>
        <v>-</v>
      </c>
      <c r="T9" s="191"/>
      <c r="U9" s="192"/>
      <c r="V9" s="131" t="str">
        <f t="shared" si="2"/>
        <v>-</v>
      </c>
      <c r="W9" s="132"/>
      <c r="X9" s="133"/>
      <c r="Y9" s="105">
        <f t="shared" si="3"/>
        <v>0</v>
      </c>
      <c r="Z9" s="106"/>
      <c r="AA9" s="107"/>
      <c r="AB9" s="81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3"/>
      <c r="BA9" s="2"/>
      <c r="BZ9" s="23"/>
      <c r="CA9" s="28"/>
      <c r="CB9" s="28"/>
      <c r="CC9" s="28"/>
      <c r="CD9" s="28"/>
      <c r="CE9" s="28"/>
      <c r="CF9" s="28"/>
      <c r="CG9" s="41"/>
      <c r="CH9" s="41"/>
      <c r="CI9" s="41"/>
    </row>
    <row r="10" spans="1:89" ht="12.6" customHeight="1" x14ac:dyDescent="0.15">
      <c r="A10" s="215"/>
      <c r="B10" s="36"/>
      <c r="C10" s="193" t="s">
        <v>44</v>
      </c>
      <c r="D10" s="194"/>
      <c r="E10" s="194"/>
      <c r="F10" s="194"/>
      <c r="G10" s="63" t="s">
        <v>121</v>
      </c>
      <c r="H10" s="106"/>
      <c r="I10" s="106"/>
      <c r="J10" s="106"/>
      <c r="K10" s="127"/>
      <c r="L10" s="190" t="str">
        <f t="shared" si="0"/>
        <v>-</v>
      </c>
      <c r="M10" s="191"/>
      <c r="N10" s="192"/>
      <c r="O10" s="126"/>
      <c r="P10" s="106"/>
      <c r="Q10" s="106"/>
      <c r="R10" s="127"/>
      <c r="S10" s="190" t="str">
        <f t="shared" si="1"/>
        <v>-</v>
      </c>
      <c r="T10" s="191"/>
      <c r="U10" s="192"/>
      <c r="V10" s="131" t="str">
        <f t="shared" si="2"/>
        <v>-</v>
      </c>
      <c r="W10" s="132"/>
      <c r="X10" s="133"/>
      <c r="Y10" s="105">
        <f t="shared" si="3"/>
        <v>0</v>
      </c>
      <c r="Z10" s="106"/>
      <c r="AA10" s="107"/>
      <c r="AB10" s="81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3"/>
      <c r="BA10" s="2"/>
      <c r="BZ10" s="23"/>
      <c r="CA10" s="28"/>
      <c r="CB10" s="28"/>
      <c r="CC10" s="28"/>
      <c r="CD10" s="28"/>
      <c r="CE10" s="28"/>
      <c r="CF10" s="28"/>
      <c r="CG10" s="41"/>
      <c r="CH10" s="41"/>
      <c r="CI10" s="41"/>
    </row>
    <row r="11" spans="1:89" ht="12.6" customHeight="1" x14ac:dyDescent="0.15">
      <c r="A11" s="215"/>
      <c r="B11" s="37"/>
      <c r="C11" s="199" t="s">
        <v>86</v>
      </c>
      <c r="D11" s="200"/>
      <c r="E11" s="200"/>
      <c r="F11" s="200"/>
      <c r="G11" s="63" t="s">
        <v>121</v>
      </c>
      <c r="H11" s="106"/>
      <c r="I11" s="106"/>
      <c r="J11" s="106"/>
      <c r="K11" s="127"/>
      <c r="L11" s="190" t="str">
        <f t="shared" si="0"/>
        <v>-</v>
      </c>
      <c r="M11" s="191"/>
      <c r="N11" s="192"/>
      <c r="O11" s="126"/>
      <c r="P11" s="106"/>
      <c r="Q11" s="106"/>
      <c r="R11" s="127"/>
      <c r="S11" s="190" t="str">
        <f t="shared" si="1"/>
        <v>-</v>
      </c>
      <c r="T11" s="191"/>
      <c r="U11" s="192"/>
      <c r="V11" s="131" t="str">
        <f t="shared" si="2"/>
        <v>-</v>
      </c>
      <c r="W11" s="132"/>
      <c r="X11" s="133"/>
      <c r="Y11" s="105">
        <f t="shared" si="3"/>
        <v>0</v>
      </c>
      <c r="Z11" s="106"/>
      <c r="AA11" s="107"/>
      <c r="AB11" s="81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3"/>
      <c r="BA11" s="2"/>
      <c r="BZ11" s="23"/>
      <c r="CA11" s="28"/>
      <c r="CB11" s="28"/>
      <c r="CC11" s="28"/>
      <c r="CD11" s="28"/>
      <c r="CE11" s="28"/>
      <c r="CF11" s="28"/>
      <c r="CG11" s="41"/>
      <c r="CH11" s="41"/>
      <c r="CI11" s="41"/>
    </row>
    <row r="12" spans="1:89" ht="12.6" customHeight="1" x14ac:dyDescent="0.15">
      <c r="A12" s="215"/>
      <c r="B12" s="198" t="s">
        <v>3</v>
      </c>
      <c r="C12" s="198"/>
      <c r="D12" s="198"/>
      <c r="E12" s="198"/>
      <c r="F12" s="125"/>
      <c r="G12" s="63" t="s">
        <v>121</v>
      </c>
      <c r="H12" s="106"/>
      <c r="I12" s="106"/>
      <c r="J12" s="106"/>
      <c r="K12" s="127"/>
      <c r="L12" s="190" t="str">
        <f t="shared" si="0"/>
        <v>-</v>
      </c>
      <c r="M12" s="191"/>
      <c r="N12" s="192"/>
      <c r="O12" s="126"/>
      <c r="P12" s="106"/>
      <c r="Q12" s="106"/>
      <c r="R12" s="127"/>
      <c r="S12" s="190" t="str">
        <f t="shared" si="1"/>
        <v>-</v>
      </c>
      <c r="T12" s="191"/>
      <c r="U12" s="192"/>
      <c r="V12" s="131" t="str">
        <f t="shared" si="2"/>
        <v>-</v>
      </c>
      <c r="W12" s="132"/>
      <c r="X12" s="133"/>
      <c r="Y12" s="105">
        <f t="shared" si="3"/>
        <v>0</v>
      </c>
      <c r="Z12" s="106"/>
      <c r="AA12" s="107"/>
      <c r="AB12" s="81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3"/>
      <c r="BA12" s="2"/>
      <c r="BB12" s="4"/>
      <c r="BC12" s="59"/>
      <c r="BD12" s="59"/>
      <c r="BE12" s="59"/>
      <c r="BF12" s="59"/>
      <c r="BG12" s="59"/>
      <c r="BH12" s="59"/>
      <c r="BI12" s="59"/>
      <c r="BJ12" s="59"/>
      <c r="BK12" s="3"/>
      <c r="BL12" s="3"/>
      <c r="BM12" s="3"/>
      <c r="BN12" s="3"/>
      <c r="BO12" s="3"/>
      <c r="BP12" s="3"/>
      <c r="BQ12" s="3"/>
      <c r="BZ12" s="23"/>
      <c r="CA12" s="28"/>
      <c r="CB12" s="28"/>
      <c r="CC12" s="28"/>
      <c r="CD12" s="28"/>
      <c r="CE12" s="28"/>
      <c r="CF12" s="28"/>
      <c r="CG12" s="41"/>
      <c r="CH12" s="41"/>
      <c r="CI12" s="41"/>
    </row>
    <row r="13" spans="1:89" ht="12.6" customHeight="1" x14ac:dyDescent="0.15">
      <c r="A13" s="215"/>
      <c r="B13" s="198" t="s">
        <v>106</v>
      </c>
      <c r="C13" s="198"/>
      <c r="D13" s="198"/>
      <c r="E13" s="198"/>
      <c r="F13" s="125"/>
      <c r="G13" s="63" t="s">
        <v>121</v>
      </c>
      <c r="H13" s="106"/>
      <c r="I13" s="106"/>
      <c r="J13" s="106"/>
      <c r="K13" s="127"/>
      <c r="L13" s="190" t="str">
        <f t="shared" si="0"/>
        <v>-</v>
      </c>
      <c r="M13" s="191"/>
      <c r="N13" s="192"/>
      <c r="O13" s="126"/>
      <c r="P13" s="106"/>
      <c r="Q13" s="106"/>
      <c r="R13" s="127"/>
      <c r="S13" s="190" t="str">
        <f t="shared" si="1"/>
        <v>-</v>
      </c>
      <c r="T13" s="191"/>
      <c r="U13" s="192"/>
      <c r="V13" s="131" t="str">
        <f t="shared" si="2"/>
        <v>-</v>
      </c>
      <c r="W13" s="132"/>
      <c r="X13" s="133"/>
      <c r="Y13" s="105">
        <f t="shared" si="3"/>
        <v>0</v>
      </c>
      <c r="Z13" s="106"/>
      <c r="AA13" s="107"/>
      <c r="AB13" s="81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3"/>
      <c r="BA13" s="2"/>
      <c r="BI13" s="25"/>
      <c r="BJ13" s="25"/>
      <c r="BK13" s="25"/>
      <c r="BL13" s="26"/>
      <c r="BM13" s="26"/>
      <c r="BN13" s="26"/>
      <c r="BO13" s="27"/>
      <c r="BP13" s="27"/>
      <c r="BQ13" s="27"/>
      <c r="BZ13" s="23"/>
      <c r="CA13" s="28"/>
      <c r="CB13" s="28"/>
      <c r="CC13" s="28"/>
      <c r="CD13" s="28"/>
      <c r="CE13" s="28"/>
      <c r="CF13" s="28"/>
      <c r="CG13" s="41"/>
      <c r="CH13" s="41"/>
      <c r="CI13" s="41"/>
    </row>
    <row r="14" spans="1:89" ht="12.6" customHeight="1" x14ac:dyDescent="0.15">
      <c r="A14" s="215"/>
      <c r="B14" s="198" t="s">
        <v>123</v>
      </c>
      <c r="C14" s="198"/>
      <c r="D14" s="198"/>
      <c r="E14" s="198"/>
      <c r="F14" s="125"/>
      <c r="G14" s="63" t="s">
        <v>121</v>
      </c>
      <c r="H14" s="106"/>
      <c r="I14" s="106"/>
      <c r="J14" s="106"/>
      <c r="K14" s="127"/>
      <c r="L14" s="190" t="str">
        <f t="shared" si="0"/>
        <v>-</v>
      </c>
      <c r="M14" s="191"/>
      <c r="N14" s="192"/>
      <c r="O14" s="126"/>
      <c r="P14" s="106"/>
      <c r="Q14" s="106"/>
      <c r="R14" s="127"/>
      <c r="S14" s="190" t="str">
        <f t="shared" si="1"/>
        <v>-</v>
      </c>
      <c r="T14" s="191"/>
      <c r="U14" s="192"/>
      <c r="V14" s="131" t="str">
        <f t="shared" si="2"/>
        <v>-</v>
      </c>
      <c r="W14" s="132"/>
      <c r="X14" s="133"/>
      <c r="Y14" s="105">
        <f t="shared" si="3"/>
        <v>0</v>
      </c>
      <c r="Z14" s="106"/>
      <c r="AA14" s="107"/>
      <c r="AB14" s="81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3"/>
      <c r="BA14" s="2"/>
      <c r="BI14" s="25"/>
      <c r="BJ14" s="25"/>
      <c r="BK14" s="25"/>
      <c r="BL14" s="26"/>
      <c r="BM14" s="26"/>
      <c r="BN14" s="26"/>
      <c r="BO14" s="27"/>
      <c r="BP14" s="27"/>
      <c r="BQ14" s="27"/>
      <c r="BZ14" s="23"/>
      <c r="CA14" s="29"/>
      <c r="CB14" s="29"/>
      <c r="CC14" s="29"/>
      <c r="CD14" s="29"/>
      <c r="CE14" s="29"/>
      <c r="CF14" s="29"/>
      <c r="CG14" s="41"/>
      <c r="CH14" s="41"/>
      <c r="CI14" s="41"/>
    </row>
    <row r="15" spans="1:89" ht="12.6" customHeight="1" x14ac:dyDescent="0.15">
      <c r="A15" s="215"/>
      <c r="B15" s="199" t="s">
        <v>124</v>
      </c>
      <c r="C15" s="200"/>
      <c r="D15" s="200"/>
      <c r="E15" s="200"/>
      <c r="F15" s="201"/>
      <c r="G15" s="63" t="s">
        <v>121</v>
      </c>
      <c r="H15" s="106"/>
      <c r="I15" s="106"/>
      <c r="J15" s="106"/>
      <c r="K15" s="127"/>
      <c r="L15" s="190" t="str">
        <f t="shared" si="0"/>
        <v>-</v>
      </c>
      <c r="M15" s="191"/>
      <c r="N15" s="192"/>
      <c r="O15" s="126"/>
      <c r="P15" s="106"/>
      <c r="Q15" s="106"/>
      <c r="R15" s="127"/>
      <c r="S15" s="190" t="str">
        <f t="shared" si="1"/>
        <v>-</v>
      </c>
      <c r="T15" s="191"/>
      <c r="U15" s="192"/>
      <c r="V15" s="131" t="str">
        <f t="shared" si="2"/>
        <v>-</v>
      </c>
      <c r="W15" s="132"/>
      <c r="X15" s="133"/>
      <c r="Y15" s="105">
        <f t="shared" si="3"/>
        <v>0</v>
      </c>
      <c r="Z15" s="106"/>
      <c r="AA15" s="107"/>
      <c r="AB15" s="81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3"/>
      <c r="BA15" s="2"/>
      <c r="BH15" s="23"/>
      <c r="BI15" s="42"/>
      <c r="BJ15" s="42"/>
      <c r="BK15" s="42"/>
      <c r="BL15" s="42"/>
      <c r="BM15" s="42"/>
      <c r="BN15" s="42"/>
      <c r="BO15" s="41"/>
      <c r="BP15" s="41"/>
      <c r="BQ15" s="41"/>
      <c r="BZ15" s="23"/>
      <c r="CA15" s="29"/>
      <c r="CB15" s="29"/>
      <c r="CC15" s="29"/>
      <c r="CD15" s="29"/>
      <c r="CE15" s="29"/>
      <c r="CF15" s="29"/>
      <c r="CG15" s="41"/>
      <c r="CH15" s="41"/>
      <c r="CI15" s="41"/>
    </row>
    <row r="16" spans="1:89" ht="12.6" customHeight="1" x14ac:dyDescent="0.15">
      <c r="A16" s="215"/>
      <c r="B16" s="198" t="s">
        <v>6</v>
      </c>
      <c r="C16" s="198"/>
      <c r="D16" s="198"/>
      <c r="E16" s="198"/>
      <c r="F16" s="125"/>
      <c r="G16" s="63" t="s">
        <v>121</v>
      </c>
      <c r="H16" s="106"/>
      <c r="I16" s="106"/>
      <c r="J16" s="106"/>
      <c r="K16" s="127"/>
      <c r="L16" s="190" t="str">
        <f t="shared" si="0"/>
        <v>-</v>
      </c>
      <c r="M16" s="191"/>
      <c r="N16" s="192"/>
      <c r="O16" s="126"/>
      <c r="P16" s="106"/>
      <c r="Q16" s="106"/>
      <c r="R16" s="127"/>
      <c r="S16" s="190" t="str">
        <f t="shared" si="1"/>
        <v>-</v>
      </c>
      <c r="T16" s="191"/>
      <c r="U16" s="192"/>
      <c r="V16" s="131" t="str">
        <f t="shared" si="2"/>
        <v>-</v>
      </c>
      <c r="W16" s="132"/>
      <c r="X16" s="133"/>
      <c r="Y16" s="105">
        <f t="shared" si="3"/>
        <v>0</v>
      </c>
      <c r="Z16" s="106"/>
      <c r="AA16" s="107"/>
      <c r="AB16" s="81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3"/>
      <c r="BA16" s="2"/>
      <c r="BH16" s="23"/>
      <c r="BI16" s="42"/>
      <c r="BJ16" s="42"/>
      <c r="BK16" s="42"/>
      <c r="BL16" s="42"/>
      <c r="BM16" s="42"/>
      <c r="BN16" s="42"/>
      <c r="BO16" s="41"/>
      <c r="BP16" s="41"/>
      <c r="BQ16" s="41"/>
    </row>
    <row r="17" spans="1:89" ht="12.6" customHeight="1" x14ac:dyDescent="0.15">
      <c r="A17" s="215"/>
      <c r="B17" s="199" t="s">
        <v>125</v>
      </c>
      <c r="C17" s="200"/>
      <c r="D17" s="200"/>
      <c r="E17" s="200"/>
      <c r="F17" s="201"/>
      <c r="G17" s="63" t="s">
        <v>121</v>
      </c>
      <c r="H17" s="106"/>
      <c r="I17" s="106"/>
      <c r="J17" s="106"/>
      <c r="K17" s="127"/>
      <c r="L17" s="190" t="str">
        <f t="shared" si="0"/>
        <v>-</v>
      </c>
      <c r="M17" s="191"/>
      <c r="N17" s="192"/>
      <c r="O17" s="126"/>
      <c r="P17" s="106"/>
      <c r="Q17" s="106"/>
      <c r="R17" s="127"/>
      <c r="S17" s="190" t="str">
        <f t="shared" si="1"/>
        <v>-</v>
      </c>
      <c r="T17" s="191"/>
      <c r="U17" s="192"/>
      <c r="V17" s="131" t="str">
        <f t="shared" si="2"/>
        <v>-</v>
      </c>
      <c r="W17" s="132"/>
      <c r="X17" s="133"/>
      <c r="Y17" s="105">
        <f t="shared" si="3"/>
        <v>0</v>
      </c>
      <c r="Z17" s="106"/>
      <c r="AA17" s="107"/>
      <c r="AB17" s="81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3"/>
      <c r="BA17" s="2"/>
      <c r="BH17" s="23"/>
      <c r="BI17" s="42"/>
      <c r="BJ17" s="42"/>
      <c r="BK17" s="42"/>
      <c r="BL17" s="42"/>
      <c r="BM17" s="42"/>
      <c r="BN17" s="42"/>
      <c r="BO17" s="41"/>
      <c r="BP17" s="41"/>
      <c r="BQ17" s="41"/>
    </row>
    <row r="18" spans="1:89" ht="12.6" customHeight="1" x14ac:dyDescent="0.15">
      <c r="A18" s="215"/>
      <c r="B18" s="198" t="s">
        <v>8</v>
      </c>
      <c r="C18" s="198"/>
      <c r="D18" s="198"/>
      <c r="E18" s="198"/>
      <c r="F18" s="125"/>
      <c r="G18" s="63" t="s">
        <v>121</v>
      </c>
      <c r="H18" s="106"/>
      <c r="I18" s="106"/>
      <c r="J18" s="106"/>
      <c r="K18" s="127"/>
      <c r="L18" s="190" t="str">
        <f t="shared" si="0"/>
        <v>-</v>
      </c>
      <c r="M18" s="191"/>
      <c r="N18" s="192"/>
      <c r="O18" s="126"/>
      <c r="P18" s="106"/>
      <c r="Q18" s="106"/>
      <c r="R18" s="127"/>
      <c r="S18" s="190" t="str">
        <f t="shared" si="1"/>
        <v>-</v>
      </c>
      <c r="T18" s="191"/>
      <c r="U18" s="192"/>
      <c r="V18" s="131" t="str">
        <f t="shared" si="2"/>
        <v>-</v>
      </c>
      <c r="W18" s="132"/>
      <c r="X18" s="133"/>
      <c r="Y18" s="105">
        <f t="shared" si="3"/>
        <v>0</v>
      </c>
      <c r="Z18" s="106"/>
      <c r="AA18" s="107"/>
      <c r="AB18" s="81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3"/>
      <c r="BA18" s="2"/>
      <c r="BH18" s="23"/>
      <c r="BI18" s="42"/>
      <c r="BJ18" s="42"/>
      <c r="BK18" s="42"/>
      <c r="BL18" s="42"/>
      <c r="BM18" s="42"/>
      <c r="BN18" s="42"/>
      <c r="BO18" s="41"/>
      <c r="BP18" s="41"/>
      <c r="BQ18" s="41"/>
      <c r="BT18" s="4"/>
      <c r="BU18" s="4"/>
    </row>
    <row r="19" spans="1:89" ht="12.6" customHeight="1" x14ac:dyDescent="0.15">
      <c r="A19" s="215"/>
      <c r="B19" s="198" t="s">
        <v>9</v>
      </c>
      <c r="C19" s="198"/>
      <c r="D19" s="198"/>
      <c r="E19" s="198"/>
      <c r="F19" s="125"/>
      <c r="G19" s="63" t="s">
        <v>121</v>
      </c>
      <c r="H19" s="106"/>
      <c r="I19" s="106"/>
      <c r="J19" s="106"/>
      <c r="K19" s="127"/>
      <c r="L19" s="190" t="str">
        <f t="shared" si="0"/>
        <v>-</v>
      </c>
      <c r="M19" s="191"/>
      <c r="N19" s="192"/>
      <c r="O19" s="126"/>
      <c r="P19" s="106"/>
      <c r="Q19" s="106"/>
      <c r="R19" s="127"/>
      <c r="S19" s="190" t="str">
        <f t="shared" si="1"/>
        <v>-</v>
      </c>
      <c r="T19" s="191"/>
      <c r="U19" s="192"/>
      <c r="V19" s="131" t="str">
        <f t="shared" si="2"/>
        <v>-</v>
      </c>
      <c r="W19" s="132"/>
      <c r="X19" s="133"/>
      <c r="Y19" s="105">
        <f t="shared" si="3"/>
        <v>0</v>
      </c>
      <c r="Z19" s="106"/>
      <c r="AA19" s="107"/>
      <c r="AB19" s="81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3"/>
      <c r="BB19" s="59"/>
      <c r="BC19" s="23"/>
      <c r="BD19" s="23"/>
      <c r="BE19" s="23"/>
      <c r="BF19" s="23"/>
      <c r="BG19" s="23"/>
      <c r="BH19" s="23"/>
      <c r="BI19" s="42"/>
      <c r="BJ19" s="42"/>
      <c r="BK19" s="42"/>
      <c r="BL19" s="42"/>
      <c r="BM19" s="42"/>
      <c r="BN19" s="42"/>
      <c r="BO19" s="41"/>
      <c r="BP19" s="41"/>
      <c r="BQ19" s="41"/>
      <c r="CA19" s="25"/>
      <c r="CB19" s="25"/>
      <c r="CC19" s="25"/>
      <c r="CD19" s="26"/>
      <c r="CE19" s="26"/>
      <c r="CF19" s="26"/>
      <c r="CG19" s="27"/>
      <c r="CH19" s="27"/>
      <c r="CI19" s="27"/>
    </row>
    <row r="20" spans="1:89" ht="12.6" customHeight="1" x14ac:dyDescent="0.15">
      <c r="A20" s="215"/>
      <c r="B20" s="198" t="s">
        <v>10</v>
      </c>
      <c r="C20" s="198"/>
      <c r="D20" s="198"/>
      <c r="E20" s="198"/>
      <c r="F20" s="125"/>
      <c r="G20" s="63" t="s">
        <v>121</v>
      </c>
      <c r="H20" s="106"/>
      <c r="I20" s="106"/>
      <c r="J20" s="106"/>
      <c r="K20" s="127"/>
      <c r="L20" s="190" t="str">
        <f t="shared" si="0"/>
        <v>-</v>
      </c>
      <c r="M20" s="191"/>
      <c r="N20" s="192"/>
      <c r="O20" s="126"/>
      <c r="P20" s="106"/>
      <c r="Q20" s="106"/>
      <c r="R20" s="127"/>
      <c r="S20" s="190" t="str">
        <f t="shared" si="1"/>
        <v>-</v>
      </c>
      <c r="T20" s="191"/>
      <c r="U20" s="192"/>
      <c r="V20" s="131" t="str">
        <f t="shared" si="2"/>
        <v>-</v>
      </c>
      <c r="W20" s="132"/>
      <c r="X20" s="133"/>
      <c r="Y20" s="105">
        <f t="shared" si="3"/>
        <v>0</v>
      </c>
      <c r="Z20" s="106"/>
      <c r="AA20" s="107"/>
      <c r="AB20" s="81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3"/>
      <c r="BA20" s="8"/>
      <c r="BH20" s="23"/>
      <c r="BI20" s="42"/>
      <c r="BJ20" s="42"/>
      <c r="BK20" s="42"/>
      <c r="BL20" s="42"/>
      <c r="BM20" s="42"/>
      <c r="BN20" s="42"/>
      <c r="BO20" s="41"/>
      <c r="BP20" s="41"/>
      <c r="BQ20" s="41"/>
      <c r="CA20" s="25"/>
      <c r="CB20" s="25"/>
      <c r="CC20" s="25"/>
      <c r="CD20" s="25"/>
      <c r="CE20" s="25"/>
      <c r="CF20" s="25"/>
      <c r="CG20" s="27"/>
      <c r="CH20" s="27"/>
      <c r="CI20" s="27"/>
    </row>
    <row r="21" spans="1:89" ht="12.6" customHeight="1" x14ac:dyDescent="0.15">
      <c r="A21" s="215"/>
      <c r="B21" s="198" t="s">
        <v>11</v>
      </c>
      <c r="C21" s="198"/>
      <c r="D21" s="198"/>
      <c r="E21" s="198"/>
      <c r="F21" s="125"/>
      <c r="G21" s="63" t="s">
        <v>121</v>
      </c>
      <c r="H21" s="106"/>
      <c r="I21" s="106"/>
      <c r="J21" s="106"/>
      <c r="K21" s="127"/>
      <c r="L21" s="190" t="str">
        <f t="shared" si="0"/>
        <v>-</v>
      </c>
      <c r="M21" s="191"/>
      <c r="N21" s="192"/>
      <c r="O21" s="126"/>
      <c r="P21" s="106"/>
      <c r="Q21" s="106"/>
      <c r="R21" s="127"/>
      <c r="S21" s="190" t="str">
        <f t="shared" si="1"/>
        <v>-</v>
      </c>
      <c r="T21" s="191"/>
      <c r="U21" s="192"/>
      <c r="V21" s="131" t="str">
        <f t="shared" si="2"/>
        <v>-</v>
      </c>
      <c r="W21" s="132"/>
      <c r="X21" s="133"/>
      <c r="Y21" s="105">
        <f t="shared" si="3"/>
        <v>0</v>
      </c>
      <c r="Z21" s="106"/>
      <c r="AA21" s="107"/>
      <c r="AB21" s="81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3"/>
      <c r="BH21" s="23"/>
      <c r="BI21" s="42"/>
      <c r="BJ21" s="42"/>
      <c r="BK21" s="42"/>
      <c r="BL21" s="42"/>
      <c r="BM21" s="42"/>
      <c r="BN21" s="42"/>
      <c r="BO21" s="41"/>
      <c r="BP21" s="41"/>
      <c r="BQ21" s="41"/>
      <c r="CA21" s="28"/>
      <c r="CB21" s="28"/>
      <c r="CC21" s="28"/>
      <c r="CD21" s="28"/>
      <c r="CE21" s="28"/>
      <c r="CF21" s="28"/>
      <c r="CG21" s="41"/>
      <c r="CH21" s="41"/>
      <c r="CI21" s="41"/>
    </row>
    <row r="22" spans="1:89" ht="12.6" customHeight="1" x14ac:dyDescent="0.15">
      <c r="A22" s="216"/>
      <c r="B22" s="198" t="s">
        <v>126</v>
      </c>
      <c r="C22" s="198"/>
      <c r="D22" s="198"/>
      <c r="E22" s="198"/>
      <c r="F22" s="125"/>
      <c r="G22" s="63" t="s">
        <v>121</v>
      </c>
      <c r="H22" s="106"/>
      <c r="I22" s="106"/>
      <c r="J22" s="106"/>
      <c r="K22" s="127"/>
      <c r="L22" s="190" t="str">
        <f t="shared" si="0"/>
        <v>-</v>
      </c>
      <c r="M22" s="191"/>
      <c r="N22" s="192"/>
      <c r="O22" s="126"/>
      <c r="P22" s="106"/>
      <c r="Q22" s="106"/>
      <c r="R22" s="127"/>
      <c r="S22" s="190" t="str">
        <f t="shared" si="1"/>
        <v>-</v>
      </c>
      <c r="T22" s="191"/>
      <c r="U22" s="192"/>
      <c r="V22" s="131" t="str">
        <f t="shared" si="2"/>
        <v>-</v>
      </c>
      <c r="W22" s="132"/>
      <c r="X22" s="133"/>
      <c r="Y22" s="105">
        <f t="shared" si="3"/>
        <v>0</v>
      </c>
      <c r="Z22" s="106"/>
      <c r="AA22" s="107"/>
      <c r="AB22" s="81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3"/>
    </row>
    <row r="23" spans="1:89" ht="12.6" customHeight="1" x14ac:dyDescent="0.15">
      <c r="A23" s="195" t="s">
        <v>13</v>
      </c>
      <c r="B23" s="196"/>
      <c r="C23" s="196"/>
      <c r="D23" s="196"/>
      <c r="E23" s="196"/>
      <c r="F23" s="197"/>
      <c r="G23" s="64" t="s">
        <v>121</v>
      </c>
      <c r="H23" s="106"/>
      <c r="I23" s="106"/>
      <c r="J23" s="106"/>
      <c r="K23" s="127"/>
      <c r="L23" s="190" t="str">
        <f t="shared" si="0"/>
        <v>-</v>
      </c>
      <c r="M23" s="191"/>
      <c r="N23" s="192"/>
      <c r="O23" s="126"/>
      <c r="P23" s="106"/>
      <c r="Q23" s="106"/>
      <c r="R23" s="127"/>
      <c r="S23" s="190" t="str">
        <f t="shared" si="1"/>
        <v>-</v>
      </c>
      <c r="T23" s="191"/>
      <c r="U23" s="192"/>
      <c r="V23" s="131" t="str">
        <f t="shared" si="2"/>
        <v>-</v>
      </c>
      <c r="W23" s="132"/>
      <c r="X23" s="133"/>
      <c r="Y23" s="105">
        <f t="shared" si="3"/>
        <v>0</v>
      </c>
      <c r="Z23" s="106"/>
      <c r="AA23" s="107"/>
      <c r="AB23" s="81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3"/>
    </row>
    <row r="24" spans="1:89" ht="12.6" customHeight="1" x14ac:dyDescent="0.15">
      <c r="A24" s="65"/>
      <c r="B24" s="193" t="s">
        <v>127</v>
      </c>
      <c r="C24" s="194"/>
      <c r="D24" s="194"/>
      <c r="E24" s="194"/>
      <c r="F24" s="194"/>
      <c r="G24" s="66" t="s">
        <v>121</v>
      </c>
      <c r="H24" s="106"/>
      <c r="I24" s="106"/>
      <c r="J24" s="106"/>
      <c r="K24" s="127"/>
      <c r="L24" s="190" t="str">
        <f t="shared" si="0"/>
        <v>-</v>
      </c>
      <c r="M24" s="191"/>
      <c r="N24" s="192"/>
      <c r="O24" s="126"/>
      <c r="P24" s="106"/>
      <c r="Q24" s="106"/>
      <c r="R24" s="127"/>
      <c r="S24" s="190" t="str">
        <f t="shared" si="1"/>
        <v>-</v>
      </c>
      <c r="T24" s="191"/>
      <c r="U24" s="192"/>
      <c r="V24" s="131" t="str">
        <f t="shared" si="2"/>
        <v>-</v>
      </c>
      <c r="W24" s="132"/>
      <c r="X24" s="133"/>
      <c r="Y24" s="105">
        <f t="shared" si="3"/>
        <v>0</v>
      </c>
      <c r="Z24" s="106"/>
      <c r="AA24" s="107"/>
      <c r="AB24" s="81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3"/>
      <c r="BT24" s="4"/>
      <c r="CK24" s="2"/>
    </row>
    <row r="25" spans="1:89" ht="12.6" customHeight="1" x14ac:dyDescent="0.15">
      <c r="A25" s="189" t="s">
        <v>14</v>
      </c>
      <c r="B25" s="124"/>
      <c r="C25" s="124"/>
      <c r="D25" s="124"/>
      <c r="E25" s="124"/>
      <c r="F25" s="125"/>
      <c r="G25" s="63" t="s">
        <v>121</v>
      </c>
      <c r="H25" s="106"/>
      <c r="I25" s="106"/>
      <c r="J25" s="106"/>
      <c r="K25" s="127"/>
      <c r="L25" s="190" t="str">
        <f t="shared" si="0"/>
        <v>-</v>
      </c>
      <c r="M25" s="191"/>
      <c r="N25" s="192"/>
      <c r="O25" s="126"/>
      <c r="P25" s="106"/>
      <c r="Q25" s="106"/>
      <c r="R25" s="127"/>
      <c r="S25" s="190" t="str">
        <f t="shared" si="1"/>
        <v>-</v>
      </c>
      <c r="T25" s="191"/>
      <c r="U25" s="192"/>
      <c r="V25" s="131" t="str">
        <f t="shared" si="2"/>
        <v>-</v>
      </c>
      <c r="W25" s="132"/>
      <c r="X25" s="133"/>
      <c r="Y25" s="105">
        <f t="shared" si="3"/>
        <v>0</v>
      </c>
      <c r="Z25" s="106"/>
      <c r="AA25" s="107"/>
      <c r="AB25" s="81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3"/>
      <c r="BB25" s="4"/>
      <c r="BQ25" s="2"/>
      <c r="BT25" s="4"/>
    </row>
    <row r="26" spans="1:89" ht="12.6" customHeight="1" x14ac:dyDescent="0.15">
      <c r="A26" s="189" t="s">
        <v>15</v>
      </c>
      <c r="B26" s="124"/>
      <c r="C26" s="124"/>
      <c r="D26" s="124"/>
      <c r="E26" s="124"/>
      <c r="F26" s="125"/>
      <c r="G26" s="63" t="s">
        <v>121</v>
      </c>
      <c r="H26" s="106"/>
      <c r="I26" s="106"/>
      <c r="J26" s="106"/>
      <c r="K26" s="127"/>
      <c r="L26" s="128"/>
      <c r="M26" s="129"/>
      <c r="N26" s="130"/>
      <c r="O26" s="126"/>
      <c r="P26" s="106"/>
      <c r="Q26" s="106"/>
      <c r="R26" s="127"/>
      <c r="S26" s="128"/>
      <c r="T26" s="129"/>
      <c r="U26" s="130"/>
      <c r="V26" s="131" t="str">
        <f t="shared" si="2"/>
        <v>-</v>
      </c>
      <c r="W26" s="132"/>
      <c r="X26" s="133"/>
      <c r="Y26" s="105">
        <f t="shared" si="3"/>
        <v>0</v>
      </c>
      <c r="Z26" s="106"/>
      <c r="AA26" s="107"/>
      <c r="AB26" s="81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3"/>
      <c r="BI26" s="25"/>
      <c r="BJ26" s="25"/>
      <c r="BK26" s="25"/>
      <c r="BL26" s="26"/>
      <c r="BM26" s="26"/>
      <c r="BN26" s="26"/>
      <c r="BO26" s="27"/>
      <c r="BP26" s="27"/>
      <c r="BQ26" s="27"/>
      <c r="CA26" s="25"/>
      <c r="CB26" s="25"/>
      <c r="CC26" s="25"/>
      <c r="CD26" s="26"/>
      <c r="CE26" s="26"/>
      <c r="CF26" s="26"/>
      <c r="CG26" s="27"/>
      <c r="CH26" s="27"/>
      <c r="CI26" s="27"/>
    </row>
    <row r="27" spans="1:89" ht="12.6" customHeight="1" x14ac:dyDescent="0.15">
      <c r="A27" s="123" t="s">
        <v>16</v>
      </c>
      <c r="B27" s="124"/>
      <c r="C27" s="124"/>
      <c r="D27" s="124"/>
      <c r="E27" s="124"/>
      <c r="F27" s="125"/>
      <c r="G27" s="63" t="s">
        <v>121</v>
      </c>
      <c r="H27" s="106"/>
      <c r="I27" s="106"/>
      <c r="J27" s="106"/>
      <c r="K27" s="127"/>
      <c r="L27" s="128"/>
      <c r="M27" s="129"/>
      <c r="N27" s="130"/>
      <c r="O27" s="126"/>
      <c r="P27" s="106"/>
      <c r="Q27" s="106"/>
      <c r="R27" s="127"/>
      <c r="S27" s="128"/>
      <c r="T27" s="129"/>
      <c r="U27" s="130"/>
      <c r="V27" s="131" t="str">
        <f t="shared" si="2"/>
        <v>-</v>
      </c>
      <c r="W27" s="132"/>
      <c r="X27" s="133"/>
      <c r="Y27" s="105">
        <f t="shared" si="3"/>
        <v>0</v>
      </c>
      <c r="Z27" s="106"/>
      <c r="AA27" s="107"/>
      <c r="AB27" s="81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3"/>
      <c r="BI27" s="25"/>
      <c r="BJ27" s="25"/>
      <c r="BK27" s="25"/>
      <c r="BL27" s="25"/>
      <c r="BM27" s="25"/>
      <c r="BN27" s="25"/>
      <c r="BO27" s="27"/>
      <c r="BP27" s="27"/>
      <c r="BQ27" s="27"/>
      <c r="CA27" s="25"/>
      <c r="CB27" s="25"/>
      <c r="CC27" s="25"/>
      <c r="CD27" s="25"/>
      <c r="CE27" s="25"/>
      <c r="CF27" s="25"/>
      <c r="CG27" s="27"/>
      <c r="CH27" s="27"/>
      <c r="CI27" s="27"/>
    </row>
    <row r="28" spans="1:89" ht="12.6" customHeight="1" x14ac:dyDescent="0.15">
      <c r="A28" s="189" t="s">
        <v>128</v>
      </c>
      <c r="B28" s="124"/>
      <c r="C28" s="124"/>
      <c r="D28" s="124"/>
      <c r="E28" s="124"/>
      <c r="F28" s="125"/>
      <c r="G28" s="63" t="s">
        <v>121</v>
      </c>
      <c r="H28" s="106"/>
      <c r="I28" s="106"/>
      <c r="J28" s="106"/>
      <c r="K28" s="127"/>
      <c r="L28" s="128"/>
      <c r="M28" s="129"/>
      <c r="N28" s="130"/>
      <c r="O28" s="126"/>
      <c r="P28" s="106"/>
      <c r="Q28" s="106"/>
      <c r="R28" s="127"/>
      <c r="S28" s="128"/>
      <c r="T28" s="129"/>
      <c r="U28" s="130"/>
      <c r="V28" s="131" t="str">
        <f t="shared" si="2"/>
        <v>-</v>
      </c>
      <c r="W28" s="132"/>
      <c r="X28" s="133"/>
      <c r="Y28" s="105">
        <f t="shared" si="3"/>
        <v>0</v>
      </c>
      <c r="Z28" s="106"/>
      <c r="AA28" s="107"/>
      <c r="AB28" s="81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3"/>
      <c r="BI28" s="28"/>
      <c r="BJ28" s="28"/>
      <c r="BK28" s="28"/>
      <c r="BL28" s="28"/>
      <c r="BM28" s="28"/>
      <c r="BN28" s="28"/>
      <c r="BO28" s="41"/>
      <c r="BP28" s="41"/>
      <c r="BQ28" s="41"/>
      <c r="CA28" s="28"/>
      <c r="CB28" s="28"/>
      <c r="CC28" s="28"/>
      <c r="CD28" s="28"/>
      <c r="CE28" s="28"/>
      <c r="CF28" s="28"/>
      <c r="CG28" s="41"/>
      <c r="CH28" s="41"/>
      <c r="CI28" s="41"/>
    </row>
    <row r="29" spans="1:89" ht="12.6" customHeight="1" x14ac:dyDescent="0.15">
      <c r="A29" s="189" t="s">
        <v>17</v>
      </c>
      <c r="B29" s="124"/>
      <c r="C29" s="124"/>
      <c r="D29" s="124"/>
      <c r="E29" s="124"/>
      <c r="F29" s="125"/>
      <c r="G29" s="63" t="s">
        <v>121</v>
      </c>
      <c r="H29" s="106"/>
      <c r="I29" s="106"/>
      <c r="J29" s="106"/>
      <c r="K29" s="127"/>
      <c r="L29" s="128"/>
      <c r="M29" s="129"/>
      <c r="N29" s="130"/>
      <c r="O29" s="126"/>
      <c r="P29" s="106"/>
      <c r="Q29" s="106"/>
      <c r="R29" s="127"/>
      <c r="S29" s="128"/>
      <c r="T29" s="129"/>
      <c r="U29" s="130"/>
      <c r="V29" s="131" t="str">
        <f t="shared" si="2"/>
        <v>-</v>
      </c>
      <c r="W29" s="132"/>
      <c r="X29" s="133"/>
      <c r="Y29" s="105">
        <f t="shared" si="3"/>
        <v>0</v>
      </c>
      <c r="Z29" s="106"/>
      <c r="AA29" s="107"/>
      <c r="AB29" s="81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3"/>
      <c r="BI29" s="28"/>
      <c r="BJ29" s="28"/>
      <c r="BK29" s="28"/>
      <c r="BL29" s="28"/>
      <c r="BM29" s="28"/>
      <c r="BN29" s="28"/>
      <c r="BO29" s="41"/>
      <c r="BP29" s="41"/>
      <c r="BQ29" s="41"/>
      <c r="CA29" s="28"/>
      <c r="CB29" s="28"/>
      <c r="CC29" s="28"/>
      <c r="CD29" s="28"/>
      <c r="CE29" s="28"/>
      <c r="CF29" s="28"/>
      <c r="CG29" s="41"/>
      <c r="CH29" s="41"/>
      <c r="CI29" s="41"/>
    </row>
    <row r="30" spans="1:89" ht="12.6" customHeight="1" x14ac:dyDescent="0.15">
      <c r="A30" s="123" t="s">
        <v>129</v>
      </c>
      <c r="B30" s="124"/>
      <c r="C30" s="124"/>
      <c r="D30" s="124"/>
      <c r="E30" s="124"/>
      <c r="F30" s="125"/>
      <c r="G30" s="63" t="s">
        <v>121</v>
      </c>
      <c r="H30" s="106"/>
      <c r="I30" s="106"/>
      <c r="J30" s="106"/>
      <c r="K30" s="127"/>
      <c r="L30" s="128"/>
      <c r="M30" s="129"/>
      <c r="N30" s="130"/>
      <c r="O30" s="126"/>
      <c r="P30" s="106"/>
      <c r="Q30" s="106"/>
      <c r="R30" s="127"/>
      <c r="S30" s="128"/>
      <c r="T30" s="129"/>
      <c r="U30" s="130"/>
      <c r="V30" s="131" t="str">
        <f t="shared" si="2"/>
        <v>-</v>
      </c>
      <c r="W30" s="132"/>
      <c r="X30" s="133"/>
      <c r="Y30" s="105">
        <f t="shared" si="3"/>
        <v>0</v>
      </c>
      <c r="Z30" s="106"/>
      <c r="AA30" s="107"/>
      <c r="AB30" s="81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3"/>
      <c r="BI30" s="28"/>
      <c r="BJ30" s="28"/>
      <c r="BK30" s="28"/>
      <c r="BL30" s="28"/>
      <c r="BM30" s="28"/>
      <c r="BN30" s="28"/>
      <c r="BO30" s="41"/>
      <c r="BP30" s="41"/>
      <c r="BQ30" s="41"/>
      <c r="CA30" s="28"/>
      <c r="CB30" s="28"/>
      <c r="CC30" s="28"/>
      <c r="CD30" s="28"/>
      <c r="CE30" s="28"/>
      <c r="CF30" s="28"/>
      <c r="CG30" s="41"/>
      <c r="CH30" s="41"/>
      <c r="CI30" s="41"/>
    </row>
    <row r="31" spans="1:89" ht="12.6" customHeight="1" x14ac:dyDescent="0.15">
      <c r="A31" s="189" t="s">
        <v>18</v>
      </c>
      <c r="B31" s="124"/>
      <c r="C31" s="124"/>
      <c r="D31" s="124"/>
      <c r="E31" s="124"/>
      <c r="F31" s="125"/>
      <c r="G31" s="63" t="s">
        <v>121</v>
      </c>
      <c r="H31" s="106"/>
      <c r="I31" s="106"/>
      <c r="J31" s="106"/>
      <c r="K31" s="127"/>
      <c r="L31" s="128"/>
      <c r="M31" s="129"/>
      <c r="N31" s="130"/>
      <c r="O31" s="126"/>
      <c r="P31" s="106"/>
      <c r="Q31" s="106"/>
      <c r="R31" s="127"/>
      <c r="S31" s="128"/>
      <c r="T31" s="129"/>
      <c r="U31" s="130"/>
      <c r="V31" s="131" t="str">
        <f t="shared" si="2"/>
        <v>-</v>
      </c>
      <c r="W31" s="132"/>
      <c r="X31" s="133"/>
      <c r="Y31" s="105">
        <f t="shared" si="3"/>
        <v>0</v>
      </c>
      <c r="Z31" s="106"/>
      <c r="AA31" s="107"/>
      <c r="AB31" s="81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3"/>
      <c r="CA31" s="28"/>
      <c r="CB31" s="28"/>
      <c r="CC31" s="28"/>
      <c r="CD31" s="28"/>
      <c r="CE31" s="28"/>
      <c r="CF31" s="28"/>
      <c r="CG31" s="41"/>
      <c r="CH31" s="41"/>
      <c r="CI31" s="41"/>
    </row>
    <row r="32" spans="1:89" ht="12.6" customHeight="1" x14ac:dyDescent="0.15">
      <c r="A32" s="189" t="s">
        <v>130</v>
      </c>
      <c r="B32" s="124"/>
      <c r="C32" s="124"/>
      <c r="D32" s="124"/>
      <c r="E32" s="124"/>
      <c r="F32" s="125"/>
      <c r="G32" s="63" t="s">
        <v>121</v>
      </c>
      <c r="H32" s="106"/>
      <c r="I32" s="106"/>
      <c r="J32" s="106"/>
      <c r="K32" s="127"/>
      <c r="L32" s="128"/>
      <c r="M32" s="129"/>
      <c r="N32" s="130"/>
      <c r="O32" s="126"/>
      <c r="P32" s="106"/>
      <c r="Q32" s="106"/>
      <c r="R32" s="127"/>
      <c r="S32" s="128"/>
      <c r="T32" s="129"/>
      <c r="U32" s="130"/>
      <c r="V32" s="131" t="str">
        <f t="shared" si="2"/>
        <v>-</v>
      </c>
      <c r="W32" s="132"/>
      <c r="X32" s="133"/>
      <c r="Y32" s="105">
        <f t="shared" si="3"/>
        <v>0</v>
      </c>
      <c r="Z32" s="106"/>
      <c r="AA32" s="107"/>
      <c r="AB32" s="81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3"/>
      <c r="CA32" s="28"/>
      <c r="CB32" s="28"/>
      <c r="CC32" s="28"/>
      <c r="CD32" s="28"/>
      <c r="CE32" s="28"/>
      <c r="CF32" s="28"/>
      <c r="CG32" s="41"/>
      <c r="CH32" s="41"/>
      <c r="CI32" s="41"/>
    </row>
    <row r="33" spans="1:87" ht="12.6" customHeight="1" x14ac:dyDescent="0.15">
      <c r="A33" s="123" t="s">
        <v>19</v>
      </c>
      <c r="B33" s="124"/>
      <c r="C33" s="124"/>
      <c r="D33" s="124"/>
      <c r="E33" s="124"/>
      <c r="F33" s="125"/>
      <c r="G33" s="63" t="s">
        <v>121</v>
      </c>
      <c r="H33" s="106"/>
      <c r="I33" s="106"/>
      <c r="J33" s="106"/>
      <c r="K33" s="127"/>
      <c r="L33" s="128"/>
      <c r="M33" s="129"/>
      <c r="N33" s="130"/>
      <c r="O33" s="126"/>
      <c r="P33" s="106"/>
      <c r="Q33" s="106"/>
      <c r="R33" s="127"/>
      <c r="S33" s="128"/>
      <c r="T33" s="129"/>
      <c r="U33" s="130"/>
      <c r="V33" s="131" t="str">
        <f t="shared" si="2"/>
        <v>-</v>
      </c>
      <c r="W33" s="132"/>
      <c r="X33" s="133"/>
      <c r="Y33" s="105">
        <f t="shared" si="3"/>
        <v>0</v>
      </c>
      <c r="Z33" s="106"/>
      <c r="AA33" s="107"/>
      <c r="AB33" s="81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3"/>
      <c r="CA33" s="28"/>
      <c r="CB33" s="28"/>
      <c r="CC33" s="28"/>
      <c r="CD33" s="28"/>
      <c r="CE33" s="28"/>
      <c r="CF33" s="28"/>
      <c r="CG33" s="41"/>
      <c r="CH33" s="41"/>
      <c r="CI33" s="41"/>
    </row>
    <row r="34" spans="1:87" ht="12.6" customHeight="1" x14ac:dyDescent="0.15">
      <c r="A34" s="67"/>
      <c r="B34" s="188" t="s">
        <v>54</v>
      </c>
      <c r="C34" s="85"/>
      <c r="D34" s="85"/>
      <c r="E34" s="85"/>
      <c r="F34" s="86"/>
      <c r="G34" s="68" t="s">
        <v>121</v>
      </c>
      <c r="H34" s="135"/>
      <c r="I34" s="135"/>
      <c r="J34" s="135"/>
      <c r="K34" s="155"/>
      <c r="L34" s="89"/>
      <c r="M34" s="90"/>
      <c r="N34" s="91"/>
      <c r="O34" s="154"/>
      <c r="P34" s="135"/>
      <c r="Q34" s="135"/>
      <c r="R34" s="155"/>
      <c r="S34" s="89"/>
      <c r="T34" s="90"/>
      <c r="U34" s="91"/>
      <c r="V34" s="156" t="str">
        <f t="shared" si="2"/>
        <v>-</v>
      </c>
      <c r="W34" s="157"/>
      <c r="X34" s="158"/>
      <c r="Y34" s="134">
        <f t="shared" si="3"/>
        <v>0</v>
      </c>
      <c r="Z34" s="135"/>
      <c r="AA34" s="136"/>
      <c r="AB34" s="81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3"/>
    </row>
    <row r="35" spans="1:87" ht="12.6" customHeight="1" x14ac:dyDescent="0.15">
      <c r="A35" s="180" t="s">
        <v>131</v>
      </c>
      <c r="B35" s="181"/>
      <c r="C35" s="181"/>
      <c r="D35" s="181"/>
      <c r="E35" s="181"/>
      <c r="F35" s="182"/>
      <c r="G35" s="69" t="s">
        <v>132</v>
      </c>
      <c r="H35" s="183"/>
      <c r="I35" s="184"/>
      <c r="J35" s="184"/>
      <c r="K35" s="185"/>
      <c r="L35" s="164"/>
      <c r="M35" s="165"/>
      <c r="N35" s="166"/>
      <c r="O35" s="183"/>
      <c r="P35" s="184"/>
      <c r="Q35" s="184"/>
      <c r="R35" s="185"/>
      <c r="S35" s="164"/>
      <c r="T35" s="165"/>
      <c r="U35" s="166"/>
      <c r="V35" s="149" t="str">
        <f t="shared" si="2"/>
        <v>-</v>
      </c>
      <c r="W35" s="150"/>
      <c r="X35" s="151"/>
      <c r="Y35" s="186">
        <f t="shared" si="3"/>
        <v>0</v>
      </c>
      <c r="Z35" s="184"/>
      <c r="AA35" s="187"/>
      <c r="AB35" s="81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3"/>
    </row>
    <row r="36" spans="1:87" ht="12.6" customHeight="1" x14ac:dyDescent="0.15">
      <c r="A36" s="70"/>
      <c r="B36" s="176" t="s">
        <v>133</v>
      </c>
      <c r="C36" s="177"/>
      <c r="D36" s="177"/>
      <c r="E36" s="177"/>
      <c r="F36" s="177"/>
      <c r="G36" s="71" t="s">
        <v>134</v>
      </c>
      <c r="H36" s="178"/>
      <c r="I36" s="168"/>
      <c r="J36" s="168"/>
      <c r="K36" s="179"/>
      <c r="L36" s="128"/>
      <c r="M36" s="129"/>
      <c r="N36" s="130"/>
      <c r="O36" s="178"/>
      <c r="P36" s="168"/>
      <c r="Q36" s="168"/>
      <c r="R36" s="179"/>
      <c r="S36" s="128"/>
      <c r="T36" s="129"/>
      <c r="U36" s="130"/>
      <c r="V36" s="131" t="str">
        <f t="shared" si="2"/>
        <v>-</v>
      </c>
      <c r="W36" s="132"/>
      <c r="X36" s="133"/>
      <c r="Y36" s="167">
        <f t="shared" si="3"/>
        <v>0</v>
      </c>
      <c r="Z36" s="168"/>
      <c r="AA36" s="169"/>
      <c r="AB36" s="81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3"/>
      <c r="BB36" s="4"/>
      <c r="BH36" s="59"/>
      <c r="BI36" s="7"/>
      <c r="BJ36" s="7"/>
      <c r="BK36" s="7"/>
      <c r="BL36" s="7"/>
      <c r="BM36" s="7"/>
      <c r="BN36" s="7"/>
      <c r="BO36" s="9"/>
      <c r="BP36" s="9"/>
      <c r="BQ36" s="9"/>
      <c r="CH36" s="2"/>
      <c r="CI36" s="2"/>
    </row>
    <row r="37" spans="1:87" ht="12.6" customHeight="1" x14ac:dyDescent="0.15">
      <c r="A37" s="72"/>
      <c r="B37" s="170" t="s">
        <v>135</v>
      </c>
      <c r="C37" s="85"/>
      <c r="D37" s="85"/>
      <c r="E37" s="85"/>
      <c r="F37" s="85"/>
      <c r="G37" s="68" t="s">
        <v>134</v>
      </c>
      <c r="H37" s="171"/>
      <c r="I37" s="172"/>
      <c r="J37" s="172"/>
      <c r="K37" s="173"/>
      <c r="L37" s="89"/>
      <c r="M37" s="90"/>
      <c r="N37" s="91"/>
      <c r="O37" s="171"/>
      <c r="P37" s="172"/>
      <c r="Q37" s="172"/>
      <c r="R37" s="173"/>
      <c r="S37" s="89"/>
      <c r="T37" s="90"/>
      <c r="U37" s="91"/>
      <c r="V37" s="156" t="str">
        <f t="shared" si="2"/>
        <v>-</v>
      </c>
      <c r="W37" s="157"/>
      <c r="X37" s="158"/>
      <c r="Y37" s="174">
        <f t="shared" si="3"/>
        <v>0</v>
      </c>
      <c r="Z37" s="172"/>
      <c r="AA37" s="175"/>
      <c r="AB37" s="81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3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</row>
    <row r="38" spans="1:87" ht="12.6" customHeight="1" x14ac:dyDescent="0.15">
      <c r="A38" s="161" t="s">
        <v>20</v>
      </c>
      <c r="B38" s="162"/>
      <c r="C38" s="162"/>
      <c r="D38" s="162"/>
      <c r="E38" s="162"/>
      <c r="F38" s="163"/>
      <c r="G38" s="62" t="s">
        <v>136</v>
      </c>
      <c r="H38" s="140"/>
      <c r="I38" s="141"/>
      <c r="J38" s="141"/>
      <c r="K38" s="142"/>
      <c r="L38" s="164"/>
      <c r="M38" s="165"/>
      <c r="N38" s="166"/>
      <c r="O38" s="140"/>
      <c r="P38" s="141"/>
      <c r="Q38" s="141"/>
      <c r="R38" s="142"/>
      <c r="S38" s="164"/>
      <c r="T38" s="165"/>
      <c r="U38" s="166"/>
      <c r="V38" s="149" t="str">
        <f t="shared" si="2"/>
        <v>-</v>
      </c>
      <c r="W38" s="150"/>
      <c r="X38" s="151"/>
      <c r="Y38" s="152">
        <f t="shared" si="3"/>
        <v>0</v>
      </c>
      <c r="Z38" s="141"/>
      <c r="AA38" s="153"/>
      <c r="AB38" s="81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3"/>
      <c r="BI38" s="25"/>
      <c r="BJ38" s="25"/>
      <c r="BK38" s="25"/>
      <c r="BL38" s="26"/>
      <c r="BM38" s="26"/>
      <c r="BN38" s="26"/>
      <c r="BO38" s="27"/>
      <c r="BP38" s="27"/>
      <c r="BQ38" s="27"/>
      <c r="BR38" s="25"/>
      <c r="BS38" s="25"/>
      <c r="BT38" s="25"/>
      <c r="BU38" s="26"/>
      <c r="BV38" s="26"/>
      <c r="BW38" s="26"/>
      <c r="BX38" s="27"/>
      <c r="BY38" s="27"/>
      <c r="BZ38" s="27"/>
      <c r="CA38" s="25"/>
      <c r="CB38" s="25"/>
      <c r="CC38" s="25"/>
      <c r="CD38" s="26"/>
      <c r="CE38" s="26"/>
      <c r="CF38" s="26"/>
      <c r="CG38" s="27"/>
      <c r="CH38" s="27"/>
      <c r="CI38" s="27"/>
    </row>
    <row r="39" spans="1:87" ht="12.6" customHeight="1" x14ac:dyDescent="0.15">
      <c r="A39" s="159" t="s">
        <v>143</v>
      </c>
      <c r="B39" s="160"/>
      <c r="C39" s="160"/>
      <c r="D39" s="160"/>
      <c r="E39" s="160"/>
      <c r="F39" s="160"/>
      <c r="G39" s="73" t="s">
        <v>134</v>
      </c>
      <c r="H39" s="126"/>
      <c r="I39" s="106"/>
      <c r="J39" s="106"/>
      <c r="K39" s="127"/>
      <c r="L39" s="128"/>
      <c r="M39" s="129"/>
      <c r="N39" s="130"/>
      <c r="O39" s="126"/>
      <c r="P39" s="106"/>
      <c r="Q39" s="106"/>
      <c r="R39" s="127"/>
      <c r="S39" s="128"/>
      <c r="T39" s="129"/>
      <c r="U39" s="130"/>
      <c r="V39" s="131" t="str">
        <f t="shared" si="2"/>
        <v>-</v>
      </c>
      <c r="W39" s="132"/>
      <c r="X39" s="133"/>
      <c r="Y39" s="105">
        <f t="shared" si="3"/>
        <v>0</v>
      </c>
      <c r="Z39" s="106"/>
      <c r="AA39" s="107"/>
      <c r="AB39" s="81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3"/>
      <c r="BI39" s="25"/>
      <c r="BJ39" s="25"/>
      <c r="BK39" s="25"/>
      <c r="BL39" s="25"/>
      <c r="BM39" s="25"/>
      <c r="BN39" s="25"/>
      <c r="BO39" s="27"/>
      <c r="BP39" s="27"/>
      <c r="BQ39" s="27"/>
      <c r="BR39" s="25"/>
      <c r="BS39" s="25"/>
      <c r="BT39" s="25"/>
      <c r="BU39" s="25"/>
      <c r="BV39" s="25"/>
      <c r="BW39" s="25"/>
      <c r="BX39" s="27"/>
      <c r="BY39" s="27"/>
      <c r="BZ39" s="27"/>
      <c r="CA39" s="25"/>
      <c r="CB39" s="25"/>
      <c r="CC39" s="25"/>
      <c r="CD39" s="25"/>
      <c r="CE39" s="25"/>
      <c r="CF39" s="25"/>
      <c r="CG39" s="27"/>
      <c r="CH39" s="27"/>
      <c r="CI39" s="27"/>
    </row>
    <row r="40" spans="1:87" ht="12.6" customHeight="1" x14ac:dyDescent="0.15">
      <c r="A40" s="84" t="s">
        <v>96</v>
      </c>
      <c r="B40" s="85"/>
      <c r="C40" s="85"/>
      <c r="D40" s="85"/>
      <c r="E40" s="85"/>
      <c r="F40" s="86"/>
      <c r="G40" s="68" t="s">
        <v>120</v>
      </c>
      <c r="H40" s="154"/>
      <c r="I40" s="135"/>
      <c r="J40" s="135"/>
      <c r="K40" s="155"/>
      <c r="L40" s="89"/>
      <c r="M40" s="90"/>
      <c r="N40" s="91"/>
      <c r="O40" s="154"/>
      <c r="P40" s="135"/>
      <c r="Q40" s="135"/>
      <c r="R40" s="155"/>
      <c r="S40" s="89"/>
      <c r="T40" s="90"/>
      <c r="U40" s="91"/>
      <c r="V40" s="156" t="str">
        <f t="shared" si="2"/>
        <v>-</v>
      </c>
      <c r="W40" s="157"/>
      <c r="X40" s="158"/>
      <c r="Y40" s="134">
        <f t="shared" si="3"/>
        <v>0</v>
      </c>
      <c r="Z40" s="135"/>
      <c r="AA40" s="136"/>
      <c r="AB40" s="81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3"/>
      <c r="BB40" s="31"/>
      <c r="BC40" s="31"/>
      <c r="BD40" s="31"/>
      <c r="BE40" s="31"/>
      <c r="BF40" s="31"/>
      <c r="BG40" s="31"/>
      <c r="BH40" s="31"/>
      <c r="BI40" s="42"/>
      <c r="BJ40" s="42"/>
      <c r="BK40" s="42"/>
      <c r="BL40" s="42"/>
      <c r="BM40" s="42"/>
      <c r="BN40" s="42"/>
      <c r="BO40" s="41"/>
      <c r="BP40" s="41"/>
      <c r="BQ40" s="41"/>
      <c r="BR40" s="42"/>
      <c r="BS40" s="42"/>
      <c r="BT40" s="42"/>
      <c r="BU40" s="42"/>
      <c r="BV40" s="42"/>
      <c r="BW40" s="42"/>
      <c r="BX40" s="41"/>
      <c r="BY40" s="41"/>
      <c r="BZ40" s="41"/>
      <c r="CA40" s="42"/>
      <c r="CB40" s="42"/>
      <c r="CC40" s="42"/>
      <c r="CD40" s="42"/>
      <c r="CE40" s="42"/>
      <c r="CF40" s="42"/>
      <c r="CG40" s="41"/>
      <c r="CH40" s="41"/>
      <c r="CI40" s="41"/>
    </row>
    <row r="41" spans="1:87" ht="12.6" customHeight="1" x14ac:dyDescent="0.15">
      <c r="A41" s="137" t="s">
        <v>137</v>
      </c>
      <c r="B41" s="138"/>
      <c r="C41" s="138"/>
      <c r="D41" s="138"/>
      <c r="E41" s="138"/>
      <c r="F41" s="139"/>
      <c r="G41" s="74" t="s">
        <v>134</v>
      </c>
      <c r="H41" s="140"/>
      <c r="I41" s="141"/>
      <c r="J41" s="141"/>
      <c r="K41" s="142"/>
      <c r="L41" s="143"/>
      <c r="M41" s="144"/>
      <c r="N41" s="145"/>
      <c r="O41" s="146"/>
      <c r="P41" s="147"/>
      <c r="Q41" s="147"/>
      <c r="R41" s="148"/>
      <c r="S41" s="143"/>
      <c r="T41" s="144"/>
      <c r="U41" s="145"/>
      <c r="V41" s="149" t="str">
        <f t="shared" si="2"/>
        <v>-</v>
      </c>
      <c r="W41" s="150"/>
      <c r="X41" s="151"/>
      <c r="Y41" s="152">
        <f t="shared" si="3"/>
        <v>0</v>
      </c>
      <c r="Z41" s="141"/>
      <c r="AA41" s="153"/>
      <c r="AB41" s="81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3"/>
      <c r="BB41" s="24"/>
      <c r="BC41" s="32"/>
      <c r="BD41" s="32"/>
      <c r="BE41" s="32"/>
      <c r="BF41" s="32"/>
      <c r="BG41" s="32"/>
      <c r="BH41" s="32"/>
      <c r="BI41" s="42"/>
      <c r="BJ41" s="42"/>
      <c r="BK41" s="42"/>
      <c r="BL41" s="42"/>
      <c r="BM41" s="42"/>
      <c r="BN41" s="42"/>
      <c r="BO41" s="41"/>
      <c r="BP41" s="41"/>
      <c r="BQ41" s="41"/>
      <c r="BR41" s="42"/>
      <c r="BS41" s="42"/>
      <c r="BT41" s="42"/>
      <c r="BU41" s="42"/>
      <c r="BV41" s="42"/>
      <c r="BW41" s="42"/>
      <c r="BX41" s="41"/>
      <c r="BY41" s="41"/>
      <c r="BZ41" s="41"/>
      <c r="CA41" s="42"/>
      <c r="CB41" s="42"/>
      <c r="CC41" s="42"/>
      <c r="CD41" s="42"/>
      <c r="CE41" s="42"/>
      <c r="CF41" s="42"/>
      <c r="CG41" s="41"/>
      <c r="CH41" s="41"/>
      <c r="CI41" s="41"/>
    </row>
    <row r="42" spans="1:87" ht="12.6" customHeight="1" x14ac:dyDescent="0.15">
      <c r="A42" s="123" t="s">
        <v>138</v>
      </c>
      <c r="B42" s="124"/>
      <c r="C42" s="124"/>
      <c r="D42" s="124"/>
      <c r="E42" s="124"/>
      <c r="F42" s="125"/>
      <c r="G42" s="63" t="s">
        <v>121</v>
      </c>
      <c r="H42" s="126"/>
      <c r="I42" s="106"/>
      <c r="J42" s="106"/>
      <c r="K42" s="127"/>
      <c r="L42" s="128"/>
      <c r="M42" s="129"/>
      <c r="N42" s="130"/>
      <c r="O42" s="126"/>
      <c r="P42" s="106"/>
      <c r="Q42" s="106"/>
      <c r="R42" s="127"/>
      <c r="S42" s="128"/>
      <c r="T42" s="129"/>
      <c r="U42" s="130"/>
      <c r="V42" s="131" t="str">
        <f t="shared" si="2"/>
        <v>-</v>
      </c>
      <c r="W42" s="132"/>
      <c r="X42" s="133"/>
      <c r="Y42" s="105">
        <f t="shared" si="3"/>
        <v>0</v>
      </c>
      <c r="Z42" s="106"/>
      <c r="AA42" s="107"/>
      <c r="AB42" s="81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3"/>
      <c r="BB42" s="24"/>
      <c r="BC42" s="33"/>
      <c r="BD42" s="33"/>
      <c r="BE42" s="33"/>
      <c r="BF42" s="33"/>
      <c r="BG42" s="33"/>
      <c r="BH42" s="33"/>
      <c r="BI42" s="42"/>
      <c r="BJ42" s="42"/>
      <c r="BK42" s="42"/>
      <c r="BL42" s="42"/>
      <c r="BM42" s="42"/>
      <c r="BN42" s="42"/>
      <c r="BO42" s="41"/>
      <c r="BP42" s="41"/>
      <c r="BQ42" s="41"/>
      <c r="BR42" s="42"/>
      <c r="BS42" s="42"/>
      <c r="BT42" s="42"/>
      <c r="BU42" s="42"/>
      <c r="BV42" s="42"/>
      <c r="BW42" s="42"/>
      <c r="BX42" s="41"/>
      <c r="BY42" s="41"/>
      <c r="BZ42" s="41"/>
      <c r="CA42" s="42"/>
      <c r="CB42" s="42"/>
      <c r="CC42" s="42"/>
      <c r="CD42" s="42"/>
      <c r="CE42" s="42"/>
      <c r="CF42" s="42"/>
      <c r="CG42" s="41"/>
      <c r="CH42" s="41"/>
      <c r="CI42" s="41"/>
    </row>
    <row r="43" spans="1:87" ht="12.6" customHeight="1" thickBot="1" x14ac:dyDescent="0.2">
      <c r="A43" s="75"/>
      <c r="B43" s="108" t="s">
        <v>139</v>
      </c>
      <c r="C43" s="109"/>
      <c r="D43" s="109"/>
      <c r="E43" s="109"/>
      <c r="F43" s="110"/>
      <c r="G43" s="73" t="s">
        <v>121</v>
      </c>
      <c r="H43" s="111"/>
      <c r="I43" s="111"/>
      <c r="J43" s="111"/>
      <c r="K43" s="112"/>
      <c r="L43" s="113"/>
      <c r="M43" s="114"/>
      <c r="N43" s="115"/>
      <c r="O43" s="116"/>
      <c r="P43" s="111"/>
      <c r="Q43" s="111"/>
      <c r="R43" s="112"/>
      <c r="S43" s="113"/>
      <c r="T43" s="114"/>
      <c r="U43" s="115"/>
      <c r="V43" s="117" t="str">
        <f t="shared" si="2"/>
        <v>-</v>
      </c>
      <c r="W43" s="118"/>
      <c r="X43" s="119"/>
      <c r="Y43" s="120">
        <f>H43-O43</f>
        <v>0</v>
      </c>
      <c r="Z43" s="121"/>
      <c r="AA43" s="122"/>
      <c r="AB43" s="81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3"/>
      <c r="BB43" s="24"/>
      <c r="BC43" s="32"/>
      <c r="BD43" s="32"/>
      <c r="BE43" s="32"/>
      <c r="BF43" s="32"/>
      <c r="BG43" s="32"/>
      <c r="BH43" s="32"/>
      <c r="BI43" s="42"/>
      <c r="BJ43" s="42"/>
      <c r="BK43" s="42"/>
      <c r="BL43" s="42"/>
      <c r="BM43" s="42"/>
      <c r="BN43" s="42"/>
      <c r="BO43" s="41"/>
      <c r="BP43" s="41"/>
      <c r="BQ43" s="41"/>
      <c r="BR43" s="42"/>
      <c r="BS43" s="42"/>
      <c r="BT43" s="42"/>
      <c r="BU43" s="42"/>
      <c r="BV43" s="42"/>
      <c r="BW43" s="42"/>
      <c r="BX43" s="41"/>
      <c r="BY43" s="41"/>
      <c r="BZ43" s="41"/>
      <c r="CA43" s="42"/>
      <c r="CB43" s="42"/>
      <c r="CC43" s="42"/>
      <c r="CD43" s="42"/>
      <c r="CE43" s="42"/>
      <c r="CF43" s="42"/>
      <c r="CG43" s="41"/>
      <c r="CH43" s="41"/>
      <c r="CI43" s="41"/>
    </row>
    <row r="44" spans="1:87" ht="12.6" customHeight="1" thickTop="1" x14ac:dyDescent="0.15">
      <c r="A44" s="100" t="s">
        <v>140</v>
      </c>
      <c r="B44" s="101"/>
      <c r="C44" s="101"/>
      <c r="D44" s="101"/>
      <c r="E44" s="101"/>
      <c r="F44" s="102"/>
      <c r="G44" s="76"/>
      <c r="H44" s="79"/>
      <c r="I44" s="79"/>
      <c r="J44" s="79"/>
      <c r="K44" s="79"/>
      <c r="L44" s="103"/>
      <c r="M44" s="103"/>
      <c r="N44" s="103"/>
      <c r="O44" s="79"/>
      <c r="P44" s="79"/>
      <c r="Q44" s="79"/>
      <c r="R44" s="79"/>
      <c r="S44" s="103"/>
      <c r="T44" s="103"/>
      <c r="U44" s="103"/>
      <c r="V44" s="104"/>
      <c r="W44" s="104"/>
      <c r="X44" s="104"/>
      <c r="Y44" s="79"/>
      <c r="Z44" s="79"/>
      <c r="AA44" s="80"/>
      <c r="AB44" s="81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3"/>
      <c r="BB44" s="24"/>
      <c r="BC44" s="32"/>
      <c r="BD44" s="32"/>
      <c r="BE44" s="32"/>
      <c r="BF44" s="32"/>
      <c r="BG44" s="32"/>
      <c r="BH44" s="32"/>
      <c r="BI44" s="42"/>
      <c r="BJ44" s="42"/>
      <c r="BK44" s="42"/>
      <c r="BL44" s="42"/>
      <c r="BM44" s="42"/>
      <c r="BN44" s="42"/>
      <c r="BO44" s="41"/>
      <c r="BP44" s="41"/>
      <c r="BQ44" s="41"/>
      <c r="BR44" s="42"/>
      <c r="BS44" s="42"/>
      <c r="BT44" s="42"/>
      <c r="BU44" s="42"/>
      <c r="BV44" s="42"/>
      <c r="BW44" s="42"/>
      <c r="BX44" s="41"/>
      <c r="BY44" s="41"/>
      <c r="BZ44" s="41"/>
      <c r="CA44" s="42"/>
      <c r="CB44" s="42"/>
      <c r="CC44" s="42"/>
      <c r="CD44" s="42"/>
      <c r="CE44" s="42"/>
      <c r="CF44" s="42"/>
      <c r="CG44" s="41"/>
      <c r="CH44" s="41"/>
      <c r="CI44" s="41"/>
    </row>
    <row r="45" spans="1:87" ht="12.6" customHeight="1" x14ac:dyDescent="0.15">
      <c r="A45" s="84" t="s">
        <v>141</v>
      </c>
      <c r="B45" s="85"/>
      <c r="C45" s="85"/>
      <c r="D45" s="85"/>
      <c r="E45" s="85"/>
      <c r="F45" s="86"/>
      <c r="G45" s="77" t="s">
        <v>142</v>
      </c>
      <c r="H45" s="87"/>
      <c r="I45" s="87"/>
      <c r="J45" s="87"/>
      <c r="K45" s="88"/>
      <c r="L45" s="89"/>
      <c r="M45" s="90"/>
      <c r="N45" s="91"/>
      <c r="O45" s="92"/>
      <c r="P45" s="87"/>
      <c r="Q45" s="87"/>
      <c r="R45" s="88"/>
      <c r="S45" s="89"/>
      <c r="T45" s="90"/>
      <c r="U45" s="91"/>
      <c r="V45" s="93" t="str">
        <f t="shared" ref="V45" si="4">IF(H45="-", "-", IF(O45="-", "-", IF(ABS(O45)=0, "-", ROUND(100*(H45-O45)/ABS(O45),1))))</f>
        <v>-</v>
      </c>
      <c r="W45" s="94"/>
      <c r="X45" s="94"/>
      <c r="Y45" s="95">
        <f>H45-O45</f>
        <v>0</v>
      </c>
      <c r="Z45" s="95"/>
      <c r="AA45" s="96"/>
      <c r="AB45" s="97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9"/>
      <c r="BI45" s="42"/>
      <c r="BJ45" s="42"/>
      <c r="BK45" s="42"/>
      <c r="BL45" s="42"/>
      <c r="BM45" s="42"/>
      <c r="BN45" s="42"/>
      <c r="BO45" s="41"/>
      <c r="BP45" s="41"/>
      <c r="BQ45" s="41"/>
      <c r="BR45" s="42"/>
      <c r="BS45" s="42"/>
      <c r="BT45" s="42"/>
      <c r="BU45" s="42"/>
      <c r="BV45" s="42"/>
      <c r="BW45" s="42"/>
      <c r="BX45" s="41"/>
      <c r="BY45" s="41"/>
      <c r="BZ45" s="41"/>
      <c r="CA45" s="42"/>
      <c r="CB45" s="42"/>
      <c r="CC45" s="42"/>
      <c r="CD45" s="42"/>
      <c r="CE45" s="42"/>
      <c r="CF45" s="42"/>
      <c r="CG45" s="41"/>
      <c r="CH45" s="41"/>
      <c r="CI45" s="41"/>
    </row>
    <row r="46" spans="1:87" ht="12.6" customHeight="1" x14ac:dyDescent="0.15">
      <c r="BB46" s="59"/>
      <c r="BI46" s="42"/>
      <c r="BJ46" s="42"/>
      <c r="BK46" s="42"/>
      <c r="BL46" s="42"/>
      <c r="BM46" s="42"/>
      <c r="BN46" s="42"/>
      <c r="BO46" s="41"/>
      <c r="BP46" s="41"/>
      <c r="BQ46" s="41"/>
      <c r="BR46" s="42"/>
      <c r="BS46" s="42"/>
      <c r="BT46" s="42"/>
      <c r="BU46" s="42"/>
      <c r="BV46" s="42"/>
      <c r="BW46" s="42"/>
      <c r="BX46" s="41"/>
      <c r="BY46" s="41"/>
      <c r="BZ46" s="41"/>
      <c r="CA46" s="42"/>
      <c r="CB46" s="42"/>
      <c r="CC46" s="42"/>
      <c r="CD46" s="42"/>
      <c r="CE46" s="42"/>
      <c r="CF46" s="42"/>
      <c r="CG46" s="41"/>
      <c r="CH46" s="41"/>
      <c r="CI46" s="41"/>
    </row>
    <row r="47" spans="1:87" ht="12.6" customHeight="1" x14ac:dyDescent="0.15">
      <c r="BH47" s="23"/>
      <c r="BI47" s="42"/>
      <c r="BJ47" s="42"/>
      <c r="BK47" s="42"/>
      <c r="BL47" s="42"/>
      <c r="BM47" s="42"/>
      <c r="BN47" s="42"/>
      <c r="BO47" s="41"/>
      <c r="BP47" s="41"/>
      <c r="BQ47" s="41"/>
      <c r="BR47" s="42"/>
      <c r="BS47" s="42"/>
      <c r="BT47" s="42"/>
      <c r="BU47" s="42"/>
      <c r="BV47" s="42"/>
      <c r="BW47" s="42"/>
      <c r="BX47" s="41"/>
      <c r="BY47" s="41"/>
      <c r="BZ47" s="41"/>
      <c r="CA47" s="42"/>
      <c r="CB47" s="42"/>
      <c r="CC47" s="42"/>
      <c r="CD47" s="42"/>
      <c r="CE47" s="42"/>
      <c r="CF47" s="42"/>
      <c r="CG47" s="41"/>
      <c r="CH47" s="41"/>
      <c r="CI47" s="41"/>
    </row>
    <row r="48" spans="1:87" ht="12.6" customHeight="1" x14ac:dyDescent="0.15"/>
    <row r="49" spans="7:66" ht="12.6" customHeight="1" x14ac:dyDescent="0.15"/>
    <row r="50" spans="7:66" ht="12.6" customHeight="1" x14ac:dyDescent="0.15"/>
    <row r="51" spans="7:66" ht="14.1" customHeight="1" x14ac:dyDescent="0.15">
      <c r="G51" s="3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5"/>
    </row>
    <row r="52" spans="7:66" ht="14.1" customHeight="1" x14ac:dyDescent="0.15">
      <c r="BA52" s="3"/>
    </row>
  </sheetData>
  <mergeCells count="328">
    <mergeCell ref="A1:AN2"/>
    <mergeCell ref="AO1:AZ1"/>
    <mergeCell ref="AO2:AZ2"/>
    <mergeCell ref="A5:F6"/>
    <mergeCell ref="G5:G6"/>
    <mergeCell ref="H5:K6"/>
    <mergeCell ref="L5:N5"/>
    <mergeCell ref="O5:R6"/>
    <mergeCell ref="S5:U5"/>
    <mergeCell ref="V5:X5"/>
    <mergeCell ref="Y5:AA6"/>
    <mergeCell ref="AB5:AZ6"/>
    <mergeCell ref="L6:N6"/>
    <mergeCell ref="S6:U6"/>
    <mergeCell ref="V6:X6"/>
    <mergeCell ref="A7:F7"/>
    <mergeCell ref="H7:K7"/>
    <mergeCell ref="L7:N7"/>
    <mergeCell ref="O7:R7"/>
    <mergeCell ref="S7:U7"/>
    <mergeCell ref="V7:X7"/>
    <mergeCell ref="Y7:AA7"/>
    <mergeCell ref="AB7:AZ7"/>
    <mergeCell ref="A8:A22"/>
    <mergeCell ref="B8:F8"/>
    <mergeCell ref="H8:K8"/>
    <mergeCell ref="L8:N8"/>
    <mergeCell ref="O8:R8"/>
    <mergeCell ref="S8:U8"/>
    <mergeCell ref="V8:X8"/>
    <mergeCell ref="Y8:AA8"/>
    <mergeCell ref="AB8:AZ8"/>
    <mergeCell ref="B9:F9"/>
    <mergeCell ref="H9:K9"/>
    <mergeCell ref="L9:N9"/>
    <mergeCell ref="O9:R9"/>
    <mergeCell ref="S9:U9"/>
    <mergeCell ref="V9:X9"/>
    <mergeCell ref="Y9:AA9"/>
    <mergeCell ref="AB9:AZ9"/>
    <mergeCell ref="Y10:AA10"/>
    <mergeCell ref="AB10:AZ10"/>
    <mergeCell ref="C11:F11"/>
    <mergeCell ref="H11:K11"/>
    <mergeCell ref="L11:N11"/>
    <mergeCell ref="O11:R11"/>
    <mergeCell ref="S11:U11"/>
    <mergeCell ref="V11:X11"/>
    <mergeCell ref="Y11:AA11"/>
    <mergeCell ref="AB11:AZ11"/>
    <mergeCell ref="C10:F10"/>
    <mergeCell ref="H10:K10"/>
    <mergeCell ref="L10:N10"/>
    <mergeCell ref="O10:R10"/>
    <mergeCell ref="S10:U10"/>
    <mergeCell ref="V10:X10"/>
    <mergeCell ref="Y12:AA12"/>
    <mergeCell ref="AB12:AZ12"/>
    <mergeCell ref="B13:F13"/>
    <mergeCell ref="H13:K13"/>
    <mergeCell ref="L13:N13"/>
    <mergeCell ref="O13:R13"/>
    <mergeCell ref="S13:U13"/>
    <mergeCell ref="V13:X13"/>
    <mergeCell ref="Y13:AA13"/>
    <mergeCell ref="AB13:AZ13"/>
    <mergeCell ref="B12:F12"/>
    <mergeCell ref="H12:K12"/>
    <mergeCell ref="L12:N12"/>
    <mergeCell ref="O12:R12"/>
    <mergeCell ref="S12:U12"/>
    <mergeCell ref="V12:X12"/>
    <mergeCell ref="Y14:AA14"/>
    <mergeCell ref="AB14:AZ14"/>
    <mergeCell ref="B15:F15"/>
    <mergeCell ref="H15:K15"/>
    <mergeCell ref="L15:N15"/>
    <mergeCell ref="O15:R15"/>
    <mergeCell ref="S15:U15"/>
    <mergeCell ref="V15:X15"/>
    <mergeCell ref="Y15:AA15"/>
    <mergeCell ref="AB15:AZ15"/>
    <mergeCell ref="B14:F14"/>
    <mergeCell ref="H14:K14"/>
    <mergeCell ref="L14:N14"/>
    <mergeCell ref="O14:R14"/>
    <mergeCell ref="S14:U14"/>
    <mergeCell ref="V14:X14"/>
    <mergeCell ref="Y16:AA16"/>
    <mergeCell ref="AB16:AZ16"/>
    <mergeCell ref="B17:F17"/>
    <mergeCell ref="H17:K17"/>
    <mergeCell ref="L17:N17"/>
    <mergeCell ref="O17:R17"/>
    <mergeCell ref="S17:U17"/>
    <mergeCell ref="V17:X17"/>
    <mergeCell ref="Y17:AA17"/>
    <mergeCell ref="AB17:AZ17"/>
    <mergeCell ref="B16:F16"/>
    <mergeCell ref="H16:K16"/>
    <mergeCell ref="L16:N16"/>
    <mergeCell ref="O16:R16"/>
    <mergeCell ref="S16:U16"/>
    <mergeCell ref="V16:X16"/>
    <mergeCell ref="Y18:AA18"/>
    <mergeCell ref="AB18:AZ18"/>
    <mergeCell ref="B19:F19"/>
    <mergeCell ref="H19:K19"/>
    <mergeCell ref="L19:N19"/>
    <mergeCell ref="O19:R19"/>
    <mergeCell ref="S19:U19"/>
    <mergeCell ref="V19:X19"/>
    <mergeCell ref="Y19:AA19"/>
    <mergeCell ref="AB19:AZ19"/>
    <mergeCell ref="B18:F18"/>
    <mergeCell ref="H18:K18"/>
    <mergeCell ref="L18:N18"/>
    <mergeCell ref="O18:R18"/>
    <mergeCell ref="S18:U18"/>
    <mergeCell ref="V18:X18"/>
    <mergeCell ref="Y20:AA20"/>
    <mergeCell ref="AB20:AZ20"/>
    <mergeCell ref="B21:F21"/>
    <mergeCell ref="H21:K21"/>
    <mergeCell ref="L21:N21"/>
    <mergeCell ref="O21:R21"/>
    <mergeCell ref="S21:U21"/>
    <mergeCell ref="V21:X21"/>
    <mergeCell ref="Y21:AA21"/>
    <mergeCell ref="AB21:AZ21"/>
    <mergeCell ref="B20:F20"/>
    <mergeCell ref="H20:K20"/>
    <mergeCell ref="L20:N20"/>
    <mergeCell ref="O20:R20"/>
    <mergeCell ref="S20:U20"/>
    <mergeCell ref="V20:X20"/>
    <mergeCell ref="Y22:AA22"/>
    <mergeCell ref="AB22:AZ22"/>
    <mergeCell ref="A23:F23"/>
    <mergeCell ref="H23:K23"/>
    <mergeCell ref="L23:N23"/>
    <mergeCell ref="O23:R23"/>
    <mergeCell ref="S23:U23"/>
    <mergeCell ref="V23:X23"/>
    <mergeCell ref="Y23:AA23"/>
    <mergeCell ref="AB23:AZ23"/>
    <mergeCell ref="B22:F22"/>
    <mergeCell ref="H22:K22"/>
    <mergeCell ref="L22:N22"/>
    <mergeCell ref="O22:R22"/>
    <mergeCell ref="S22:U22"/>
    <mergeCell ref="V22:X22"/>
    <mergeCell ref="Y24:AA24"/>
    <mergeCell ref="AB24:AZ24"/>
    <mergeCell ref="A25:F25"/>
    <mergeCell ref="H25:K25"/>
    <mergeCell ref="L25:N25"/>
    <mergeCell ref="O25:R25"/>
    <mergeCell ref="S25:U25"/>
    <mergeCell ref="V25:X25"/>
    <mergeCell ref="Y25:AA25"/>
    <mergeCell ref="AB25:AZ25"/>
    <mergeCell ref="B24:F24"/>
    <mergeCell ref="H24:K24"/>
    <mergeCell ref="L24:N24"/>
    <mergeCell ref="O24:R24"/>
    <mergeCell ref="S24:U24"/>
    <mergeCell ref="V24:X24"/>
    <mergeCell ref="Y26:AA26"/>
    <mergeCell ref="AB26:AZ26"/>
    <mergeCell ref="A27:F27"/>
    <mergeCell ref="H27:K27"/>
    <mergeCell ref="L27:N27"/>
    <mergeCell ref="O27:R27"/>
    <mergeCell ref="S27:U27"/>
    <mergeCell ref="V27:X27"/>
    <mergeCell ref="Y27:AA27"/>
    <mergeCell ref="AB27:AZ27"/>
    <mergeCell ref="A26:F26"/>
    <mergeCell ref="H26:K26"/>
    <mergeCell ref="L26:N26"/>
    <mergeCell ref="O26:R26"/>
    <mergeCell ref="S26:U26"/>
    <mergeCell ref="V26:X26"/>
    <mergeCell ref="Y28:AA28"/>
    <mergeCell ref="AB28:AZ28"/>
    <mergeCell ref="A29:F29"/>
    <mergeCell ref="H29:K29"/>
    <mergeCell ref="L29:N29"/>
    <mergeCell ref="O29:R29"/>
    <mergeCell ref="S29:U29"/>
    <mergeCell ref="V29:X29"/>
    <mergeCell ref="Y29:AA29"/>
    <mergeCell ref="AB29:AZ29"/>
    <mergeCell ref="A28:F28"/>
    <mergeCell ref="H28:K28"/>
    <mergeCell ref="L28:N28"/>
    <mergeCell ref="O28:R28"/>
    <mergeCell ref="S28:U28"/>
    <mergeCell ref="V28:X28"/>
    <mergeCell ref="Y30:AA30"/>
    <mergeCell ref="AB30:AZ30"/>
    <mergeCell ref="A31:F31"/>
    <mergeCell ref="H31:K31"/>
    <mergeCell ref="L31:N31"/>
    <mergeCell ref="O31:R31"/>
    <mergeCell ref="S31:U31"/>
    <mergeCell ref="V31:X31"/>
    <mergeCell ref="Y31:AA31"/>
    <mergeCell ref="AB31:AZ31"/>
    <mergeCell ref="A30:F30"/>
    <mergeCell ref="H30:K30"/>
    <mergeCell ref="L30:N30"/>
    <mergeCell ref="O30:R30"/>
    <mergeCell ref="S30:U30"/>
    <mergeCell ref="V30:X30"/>
    <mergeCell ref="Y32:AA32"/>
    <mergeCell ref="AB32:AZ32"/>
    <mergeCell ref="A33:F33"/>
    <mergeCell ref="H33:K33"/>
    <mergeCell ref="L33:N33"/>
    <mergeCell ref="O33:R33"/>
    <mergeCell ref="S33:U33"/>
    <mergeCell ref="V33:X33"/>
    <mergeCell ref="Y33:AA33"/>
    <mergeCell ref="AB33:AZ33"/>
    <mergeCell ref="A32:F32"/>
    <mergeCell ref="H32:K32"/>
    <mergeCell ref="L32:N32"/>
    <mergeCell ref="O32:R32"/>
    <mergeCell ref="S32:U32"/>
    <mergeCell ref="V32:X32"/>
    <mergeCell ref="Y34:AA34"/>
    <mergeCell ref="AB34:AZ34"/>
    <mergeCell ref="A35:F35"/>
    <mergeCell ref="H35:K35"/>
    <mergeCell ref="L35:N35"/>
    <mergeCell ref="O35:R35"/>
    <mergeCell ref="S35:U35"/>
    <mergeCell ref="V35:X35"/>
    <mergeCell ref="Y35:AA35"/>
    <mergeCell ref="AB35:AZ35"/>
    <mergeCell ref="B34:F34"/>
    <mergeCell ref="H34:K34"/>
    <mergeCell ref="L34:N34"/>
    <mergeCell ref="O34:R34"/>
    <mergeCell ref="S34:U34"/>
    <mergeCell ref="V34:X34"/>
    <mergeCell ref="Y36:AA36"/>
    <mergeCell ref="AB36:AZ36"/>
    <mergeCell ref="B37:F37"/>
    <mergeCell ref="H37:K37"/>
    <mergeCell ref="L37:N37"/>
    <mergeCell ref="O37:R37"/>
    <mergeCell ref="S37:U37"/>
    <mergeCell ref="V37:X37"/>
    <mergeCell ref="Y37:AA37"/>
    <mergeCell ref="AB37:AZ37"/>
    <mergeCell ref="B36:F36"/>
    <mergeCell ref="H36:K36"/>
    <mergeCell ref="L36:N36"/>
    <mergeCell ref="O36:R36"/>
    <mergeCell ref="S36:U36"/>
    <mergeCell ref="V36:X36"/>
    <mergeCell ref="Y38:AA38"/>
    <mergeCell ref="AB38:AZ38"/>
    <mergeCell ref="A39:F39"/>
    <mergeCell ref="H39:K39"/>
    <mergeCell ref="L39:N39"/>
    <mergeCell ref="O39:R39"/>
    <mergeCell ref="S39:U39"/>
    <mergeCell ref="V39:X39"/>
    <mergeCell ref="Y39:AA39"/>
    <mergeCell ref="AB39:AZ39"/>
    <mergeCell ref="A38:F38"/>
    <mergeCell ref="H38:K38"/>
    <mergeCell ref="L38:N38"/>
    <mergeCell ref="O38:R38"/>
    <mergeCell ref="S38:U38"/>
    <mergeCell ref="V38:X38"/>
    <mergeCell ref="Y40:AA40"/>
    <mergeCell ref="AB40:AZ40"/>
    <mergeCell ref="A41:F41"/>
    <mergeCell ref="H41:K41"/>
    <mergeCell ref="L41:N41"/>
    <mergeCell ref="O41:R41"/>
    <mergeCell ref="S41:U41"/>
    <mergeCell ref="V41:X41"/>
    <mergeCell ref="Y41:AA41"/>
    <mergeCell ref="AB41:AZ41"/>
    <mergeCell ref="A40:F40"/>
    <mergeCell ref="H40:K40"/>
    <mergeCell ref="L40:N40"/>
    <mergeCell ref="O40:R40"/>
    <mergeCell ref="S40:U40"/>
    <mergeCell ref="V40:X40"/>
    <mergeCell ref="Y42:AA42"/>
    <mergeCell ref="AB42:AZ42"/>
    <mergeCell ref="B43:F43"/>
    <mergeCell ref="H43:K43"/>
    <mergeCell ref="L43:N43"/>
    <mergeCell ref="O43:R43"/>
    <mergeCell ref="S43:U43"/>
    <mergeCell ref="V43:X43"/>
    <mergeCell ref="Y43:AA43"/>
    <mergeCell ref="AB43:AZ43"/>
    <mergeCell ref="A42:F42"/>
    <mergeCell ref="H42:K42"/>
    <mergeCell ref="L42:N42"/>
    <mergeCell ref="O42:R42"/>
    <mergeCell ref="S42:U42"/>
    <mergeCell ref="V42:X42"/>
    <mergeCell ref="Y44:AA44"/>
    <mergeCell ref="AB44:AZ44"/>
    <mergeCell ref="A45:F45"/>
    <mergeCell ref="H45:K45"/>
    <mergeCell ref="L45:N45"/>
    <mergeCell ref="O45:R45"/>
    <mergeCell ref="S45:U45"/>
    <mergeCell ref="V45:X45"/>
    <mergeCell ref="Y45:AA45"/>
    <mergeCell ref="AB45:AZ45"/>
    <mergeCell ref="A44:F44"/>
    <mergeCell ref="H44:K44"/>
    <mergeCell ref="L44:N44"/>
    <mergeCell ref="O44:R44"/>
    <mergeCell ref="S44:U44"/>
    <mergeCell ref="V44:X4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9" orientation="landscape" r:id="rId1"/>
  <headerFooter alignWithMargins="0"/>
  <ignoredErrors>
    <ignoredError sqref="Y8:AA45 Z7:AA7 M7:N7 T7:U7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0"/>
  <sheetViews>
    <sheetView showGridLines="0" view="pageBreakPreview" zoomScaleNormal="100" zoomScaleSheetLayoutView="100" workbookViewId="0">
      <selection sqref="A1:AN2"/>
    </sheetView>
  </sheetViews>
  <sheetFormatPr defaultColWidth="2.625" defaultRowHeight="14.1" customHeight="1" x14ac:dyDescent="0.15"/>
  <cols>
    <col min="1" max="107" width="2.625" style="1" customWidth="1"/>
    <col min="108" max="16384" width="2.625" style="1"/>
  </cols>
  <sheetData>
    <row r="1" spans="1:106" ht="12.6" customHeight="1" x14ac:dyDescent="0.15">
      <c r="A1" s="218" t="str">
        <f>IF(H5="年","9999",H5)&amp;"年 農業経営統計調査 牛乳生産費統計 個別結果検討表 №２"</f>
        <v>0年 農業経営統計調査 牛乳生産費統計 個別結果検討表 №２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9"/>
      <c r="AO1" s="220" t="s">
        <v>55</v>
      </c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</row>
    <row r="2" spans="1:106" ht="12.6" customHeight="1" x14ac:dyDescent="0.15">
      <c r="A2" s="218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9"/>
      <c r="AO2" s="466" t="str">
        <f>IF('No1'!AO2="","",'No1'!AO2)</f>
        <v/>
      </c>
      <c r="AP2" s="466"/>
      <c r="AQ2" s="466"/>
      <c r="AR2" s="466"/>
      <c r="AS2" s="466"/>
      <c r="AT2" s="466"/>
      <c r="AU2" s="466"/>
      <c r="AV2" s="466"/>
      <c r="AW2" s="466"/>
      <c r="AX2" s="466"/>
      <c r="AY2" s="466"/>
      <c r="AZ2" s="466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  <c r="BM2" s="78"/>
      <c r="BN2" s="78"/>
      <c r="BO2" s="78"/>
      <c r="BP2" s="78"/>
      <c r="BQ2" s="78"/>
    </row>
    <row r="3" spans="1:106" ht="12" customHeight="1" x14ac:dyDescent="0.15"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106" ht="12.75" customHeight="1" x14ac:dyDescent="0.15">
      <c r="A4" s="4" t="s">
        <v>146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4" t="s">
        <v>60</v>
      </c>
      <c r="BQ4" s="2"/>
      <c r="CC4" s="4" t="s">
        <v>157</v>
      </c>
      <c r="CD4" s="59"/>
      <c r="CE4" s="59"/>
      <c r="CF4" s="59"/>
      <c r="CG4" s="59"/>
      <c r="CH4" s="59"/>
      <c r="CI4" s="59"/>
      <c r="CJ4" s="59"/>
      <c r="CK4" s="59"/>
      <c r="CL4" s="3"/>
      <c r="CM4" s="3"/>
      <c r="CN4" s="3"/>
      <c r="CO4" s="3"/>
      <c r="CP4" s="3"/>
      <c r="CQ4" s="3"/>
      <c r="CR4" s="3"/>
    </row>
    <row r="5" spans="1:106" ht="12.75" customHeight="1" x14ac:dyDescent="0.15">
      <c r="A5" s="341"/>
      <c r="B5" s="342"/>
      <c r="C5" s="342"/>
      <c r="D5" s="342"/>
      <c r="E5" s="342"/>
      <c r="F5" s="342"/>
      <c r="G5" s="343"/>
      <c r="H5" s="467">
        <f>IF('No1'!H5="【個】[000101]","年",'No1'!H5)</f>
        <v>0</v>
      </c>
      <c r="I5" s="468"/>
      <c r="J5" s="469"/>
      <c r="K5" s="403">
        <f>IF(H5="年","年",H5-1)</f>
        <v>-1</v>
      </c>
      <c r="L5" s="404"/>
      <c r="M5" s="405"/>
      <c r="N5" s="406" t="s">
        <v>70</v>
      </c>
      <c r="O5" s="407"/>
      <c r="P5" s="408"/>
      <c r="Q5" s="220" t="s">
        <v>165</v>
      </c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"/>
      <c r="BB5" s="341"/>
      <c r="BC5" s="342"/>
      <c r="BD5" s="342"/>
      <c r="BE5" s="342"/>
      <c r="BF5" s="342"/>
      <c r="BG5" s="342"/>
      <c r="BH5" s="342"/>
      <c r="BI5" s="400">
        <f>H5</f>
        <v>0</v>
      </c>
      <c r="BJ5" s="401"/>
      <c r="BK5" s="402"/>
      <c r="BL5" s="403">
        <f>K5</f>
        <v>-1</v>
      </c>
      <c r="BM5" s="404"/>
      <c r="BN5" s="405"/>
      <c r="BO5" s="406" t="s">
        <v>70</v>
      </c>
      <c r="BP5" s="407"/>
      <c r="BQ5" s="408"/>
      <c r="BR5" s="220" t="s">
        <v>165</v>
      </c>
      <c r="BS5" s="220"/>
      <c r="BT5" s="220"/>
      <c r="BU5" s="220"/>
      <c r="BV5" s="220"/>
      <c r="BW5" s="220"/>
      <c r="BX5" s="220"/>
      <c r="BY5" s="220"/>
      <c r="BZ5" s="220"/>
      <c r="CA5" s="220"/>
      <c r="CC5" s="341"/>
      <c r="CD5" s="342"/>
      <c r="CE5" s="342"/>
      <c r="CF5" s="342"/>
      <c r="CG5" s="342"/>
      <c r="CH5" s="342"/>
      <c r="CI5" s="343"/>
      <c r="CJ5" s="400">
        <f>H5</f>
        <v>0</v>
      </c>
      <c r="CK5" s="401"/>
      <c r="CL5" s="402"/>
      <c r="CM5" s="403">
        <f>K5</f>
        <v>-1</v>
      </c>
      <c r="CN5" s="404"/>
      <c r="CO5" s="405"/>
      <c r="CP5" s="406" t="s">
        <v>70</v>
      </c>
      <c r="CQ5" s="407"/>
      <c r="CR5" s="408"/>
      <c r="CS5" s="220" t="s">
        <v>165</v>
      </c>
      <c r="CT5" s="220"/>
      <c r="CU5" s="220"/>
      <c r="CV5" s="220"/>
      <c r="CW5" s="220"/>
      <c r="CX5" s="220"/>
      <c r="CY5" s="220"/>
      <c r="CZ5" s="220"/>
      <c r="DA5" s="220"/>
      <c r="DB5" s="220"/>
    </row>
    <row r="6" spans="1:106" ht="12.75" customHeight="1" x14ac:dyDescent="0.15">
      <c r="A6" s="383"/>
      <c r="B6" s="384"/>
      <c r="C6" s="384"/>
      <c r="D6" s="384"/>
      <c r="E6" s="384"/>
      <c r="F6" s="384"/>
      <c r="G6" s="385"/>
      <c r="H6" s="391" t="s">
        <v>63</v>
      </c>
      <c r="I6" s="388"/>
      <c r="J6" s="389"/>
      <c r="K6" s="390" t="s">
        <v>63</v>
      </c>
      <c r="L6" s="388"/>
      <c r="M6" s="389"/>
      <c r="N6" s="380"/>
      <c r="O6" s="381"/>
      <c r="P6" s="409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  <c r="AD6" s="220"/>
      <c r="AE6" s="220"/>
      <c r="AF6" s="220"/>
      <c r="AG6" s="220"/>
      <c r="AH6" s="220"/>
      <c r="AI6" s="220"/>
      <c r="AJ6" s="220"/>
      <c r="AK6" s="220"/>
      <c r="AL6" s="220"/>
      <c r="AM6" s="220"/>
      <c r="AN6" s="220"/>
      <c r="AO6" s="220"/>
      <c r="AP6" s="220"/>
      <c r="AQ6" s="220"/>
      <c r="AR6" s="220"/>
      <c r="AS6" s="220"/>
      <c r="AT6" s="220"/>
      <c r="AU6" s="220"/>
      <c r="AV6" s="220"/>
      <c r="AW6" s="220"/>
      <c r="AX6" s="220"/>
      <c r="AY6" s="220"/>
      <c r="AZ6" s="220"/>
      <c r="BA6" s="2"/>
      <c r="BB6" s="344"/>
      <c r="BC6" s="345"/>
      <c r="BD6" s="345"/>
      <c r="BE6" s="345"/>
      <c r="BF6" s="345"/>
      <c r="BG6" s="345"/>
      <c r="BH6" s="345"/>
      <c r="BI6" s="391" t="s">
        <v>66</v>
      </c>
      <c r="BJ6" s="388"/>
      <c r="BK6" s="389"/>
      <c r="BL6" s="390" t="s">
        <v>66</v>
      </c>
      <c r="BM6" s="388"/>
      <c r="BN6" s="389"/>
      <c r="BO6" s="380"/>
      <c r="BP6" s="381"/>
      <c r="BQ6" s="409"/>
      <c r="BR6" s="220"/>
      <c r="BS6" s="220"/>
      <c r="BT6" s="220"/>
      <c r="BU6" s="220"/>
      <c r="BV6" s="220"/>
      <c r="BW6" s="220"/>
      <c r="BX6" s="220"/>
      <c r="BY6" s="220"/>
      <c r="BZ6" s="220"/>
      <c r="CA6" s="220"/>
      <c r="CC6" s="383"/>
      <c r="CD6" s="384"/>
      <c r="CE6" s="384"/>
      <c r="CF6" s="384"/>
      <c r="CG6" s="384"/>
      <c r="CH6" s="384"/>
      <c r="CI6" s="385"/>
      <c r="CJ6" s="455"/>
      <c r="CK6" s="456"/>
      <c r="CL6" s="457"/>
      <c r="CM6" s="477"/>
      <c r="CN6" s="478"/>
      <c r="CO6" s="479"/>
      <c r="CP6" s="380"/>
      <c r="CQ6" s="381"/>
      <c r="CR6" s="409"/>
      <c r="CS6" s="220"/>
      <c r="CT6" s="220"/>
      <c r="CU6" s="220"/>
      <c r="CV6" s="220"/>
      <c r="CW6" s="220"/>
      <c r="CX6" s="220"/>
      <c r="CY6" s="220"/>
      <c r="CZ6" s="220"/>
      <c r="DA6" s="220"/>
      <c r="DB6" s="220"/>
    </row>
    <row r="7" spans="1:106" ht="12.75" customHeight="1" x14ac:dyDescent="0.15">
      <c r="A7" s="393" t="s">
        <v>1</v>
      </c>
      <c r="B7" s="394"/>
      <c r="C7" s="394"/>
      <c r="D7" s="394"/>
      <c r="E7" s="394"/>
      <c r="F7" s="394"/>
      <c r="G7" s="395"/>
      <c r="H7" s="146"/>
      <c r="I7" s="147"/>
      <c r="J7" s="148"/>
      <c r="K7" s="152"/>
      <c r="L7" s="141"/>
      <c r="M7" s="142"/>
      <c r="N7" s="397" t="str">
        <f>IF(H7="-", "-", IF(K7="-", "-", IF(ABS(K7)=0, "-", ROUND(100*(H7-K7)/ABS(K7),10))))</f>
        <v>-</v>
      </c>
      <c r="O7" s="398"/>
      <c r="P7" s="399"/>
      <c r="Q7" s="410"/>
      <c r="R7" s="410"/>
      <c r="S7" s="410"/>
      <c r="T7" s="410"/>
      <c r="U7" s="410"/>
      <c r="V7" s="410"/>
      <c r="W7" s="410"/>
      <c r="X7" s="410"/>
      <c r="Y7" s="410"/>
      <c r="Z7" s="410"/>
      <c r="AA7" s="410"/>
      <c r="AB7" s="410"/>
      <c r="AC7" s="410"/>
      <c r="AD7" s="410"/>
      <c r="AE7" s="410"/>
      <c r="AF7" s="410"/>
      <c r="AG7" s="410"/>
      <c r="AH7" s="410"/>
      <c r="AI7" s="410"/>
      <c r="AJ7" s="410"/>
      <c r="AK7" s="410"/>
      <c r="AL7" s="410"/>
      <c r="AM7" s="410"/>
      <c r="AN7" s="410"/>
      <c r="AO7" s="410"/>
      <c r="AP7" s="410"/>
      <c r="AQ7" s="410"/>
      <c r="AR7" s="410"/>
      <c r="AS7" s="410"/>
      <c r="AT7" s="410"/>
      <c r="AU7" s="410"/>
      <c r="AV7" s="410"/>
      <c r="AW7" s="410"/>
      <c r="AX7" s="410"/>
      <c r="AY7" s="410"/>
      <c r="AZ7" s="410"/>
      <c r="BA7" s="2"/>
      <c r="BB7" s="334" t="s">
        <v>57</v>
      </c>
      <c r="BC7" s="335"/>
      <c r="BD7" s="335"/>
      <c r="BE7" s="335"/>
      <c r="BF7" s="335"/>
      <c r="BG7" s="335"/>
      <c r="BH7" s="339"/>
      <c r="BI7" s="458"/>
      <c r="BJ7" s="459"/>
      <c r="BK7" s="459"/>
      <c r="BL7" s="459"/>
      <c r="BM7" s="459"/>
      <c r="BN7" s="459"/>
      <c r="BO7" s="460" t="str">
        <f>IF(BI7="-", "-", IF(BL7="-", "-", IF(ABS(BL7)=0, "-", ROUND(100*(BI7-BL7)/ABS(BL7),10))))</f>
        <v>-</v>
      </c>
      <c r="BP7" s="460"/>
      <c r="BQ7" s="461"/>
      <c r="BR7" s="360"/>
      <c r="BS7" s="360"/>
      <c r="BT7" s="360"/>
      <c r="BU7" s="360"/>
      <c r="BV7" s="360"/>
      <c r="BW7" s="360"/>
      <c r="BX7" s="360"/>
      <c r="BY7" s="360"/>
      <c r="BZ7" s="360"/>
      <c r="CA7" s="360"/>
      <c r="CC7" s="347" t="s">
        <v>87</v>
      </c>
      <c r="CD7" s="348"/>
      <c r="CE7" s="348"/>
      <c r="CF7" s="348"/>
      <c r="CG7" s="348"/>
      <c r="CH7" s="348"/>
      <c r="CI7" s="15" t="s">
        <v>98</v>
      </c>
      <c r="CJ7" s="462"/>
      <c r="CK7" s="463"/>
      <c r="CL7" s="464"/>
      <c r="CM7" s="465"/>
      <c r="CN7" s="463"/>
      <c r="CO7" s="464"/>
      <c r="CP7" s="295" t="str">
        <f>IF(CJ7="-", "-", IF(CM7="-", "-", IF(ABS(CM7)=0, "-", ROUND(100*(CJ7-CM7)/ABS(CM7),10))))</f>
        <v>-</v>
      </c>
      <c r="CQ7" s="296"/>
      <c r="CR7" s="297"/>
      <c r="CS7" s="410"/>
      <c r="CT7" s="410"/>
      <c r="CU7" s="410"/>
      <c r="CV7" s="410"/>
      <c r="CW7" s="410"/>
      <c r="CX7" s="410"/>
      <c r="CY7" s="410"/>
      <c r="CZ7" s="410"/>
      <c r="DA7" s="410"/>
      <c r="DB7" s="410"/>
    </row>
    <row r="8" spans="1:106" ht="12.75" customHeight="1" x14ac:dyDescent="0.15">
      <c r="A8" s="13"/>
      <c r="B8" s="193" t="s">
        <v>2</v>
      </c>
      <c r="C8" s="194"/>
      <c r="D8" s="194"/>
      <c r="E8" s="194"/>
      <c r="F8" s="194"/>
      <c r="G8" s="320"/>
      <c r="H8" s="126"/>
      <c r="I8" s="106"/>
      <c r="J8" s="127"/>
      <c r="K8" s="105"/>
      <c r="L8" s="106"/>
      <c r="M8" s="127"/>
      <c r="N8" s="292" t="str">
        <f t="shared" ref="N8:N21" si="0">IF(H8="-", "-", IF(K8="-", "-", IF(ABS(K8)=0, "-", ROUND(100*(H8-K8)/ABS(K8),10))))</f>
        <v>-</v>
      </c>
      <c r="O8" s="293"/>
      <c r="P8" s="294"/>
      <c r="Q8" s="358"/>
      <c r="R8" s="358"/>
      <c r="S8" s="358"/>
      <c r="T8" s="358"/>
      <c r="U8" s="358"/>
      <c r="V8" s="358"/>
      <c r="W8" s="358"/>
      <c r="X8" s="358"/>
      <c r="Y8" s="358"/>
      <c r="Z8" s="358"/>
      <c r="AA8" s="358"/>
      <c r="AB8" s="358"/>
      <c r="AC8" s="358"/>
      <c r="AD8" s="358"/>
      <c r="AE8" s="358"/>
      <c r="AF8" s="358"/>
      <c r="AG8" s="358"/>
      <c r="AH8" s="358"/>
      <c r="AI8" s="358"/>
      <c r="AJ8" s="358"/>
      <c r="AK8" s="358"/>
      <c r="AL8" s="358"/>
      <c r="AM8" s="358"/>
      <c r="AN8" s="358"/>
      <c r="AO8" s="358"/>
      <c r="AP8" s="358"/>
      <c r="AQ8" s="358"/>
      <c r="AR8" s="358"/>
      <c r="AS8" s="358"/>
      <c r="AT8" s="358"/>
      <c r="AU8" s="358"/>
      <c r="AV8" s="358"/>
      <c r="AW8" s="358"/>
      <c r="AX8" s="358"/>
      <c r="AY8" s="358"/>
      <c r="AZ8" s="358"/>
      <c r="BA8" s="2"/>
      <c r="CC8" s="319" t="s">
        <v>152</v>
      </c>
      <c r="CD8" s="194"/>
      <c r="CE8" s="194"/>
      <c r="CF8" s="194"/>
      <c r="CG8" s="194"/>
      <c r="CH8" s="194"/>
      <c r="CI8" s="16" t="s">
        <v>98</v>
      </c>
      <c r="CJ8" s="447"/>
      <c r="CK8" s="440"/>
      <c r="CL8" s="257"/>
      <c r="CM8" s="439"/>
      <c r="CN8" s="440"/>
      <c r="CO8" s="257"/>
      <c r="CP8" s="292" t="str">
        <f t="shared" ref="CP8:CP13" si="1">IF(CJ8="-", "-", IF(CM8="-", "-", IF(ABS(CM8)=0, "-", ROUND(100*(CJ8-CM8)/ABS(CM8),10))))</f>
        <v>-</v>
      </c>
      <c r="CQ8" s="293"/>
      <c r="CR8" s="294"/>
      <c r="CS8" s="358"/>
      <c r="CT8" s="358"/>
      <c r="CU8" s="358"/>
      <c r="CV8" s="358"/>
      <c r="CW8" s="358"/>
      <c r="CX8" s="358"/>
      <c r="CY8" s="358"/>
      <c r="CZ8" s="358"/>
      <c r="DA8" s="358"/>
      <c r="DB8" s="358"/>
    </row>
    <row r="9" spans="1:106" ht="12.75" customHeight="1" x14ac:dyDescent="0.15">
      <c r="A9" s="13"/>
      <c r="B9" s="372" t="s">
        <v>122</v>
      </c>
      <c r="C9" s="194"/>
      <c r="D9" s="194"/>
      <c r="E9" s="194"/>
      <c r="F9" s="194"/>
      <c r="G9" s="320"/>
      <c r="H9" s="126"/>
      <c r="I9" s="106"/>
      <c r="J9" s="127"/>
      <c r="K9" s="105"/>
      <c r="L9" s="106"/>
      <c r="M9" s="127"/>
      <c r="N9" s="292" t="str">
        <f t="shared" si="0"/>
        <v>-</v>
      </c>
      <c r="O9" s="293"/>
      <c r="P9" s="294"/>
      <c r="Q9" s="358"/>
      <c r="R9" s="358"/>
      <c r="S9" s="358"/>
      <c r="T9" s="358"/>
      <c r="U9" s="358"/>
      <c r="V9" s="358"/>
      <c r="W9" s="358"/>
      <c r="X9" s="358"/>
      <c r="Y9" s="358"/>
      <c r="Z9" s="358"/>
      <c r="AA9" s="358"/>
      <c r="AB9" s="358"/>
      <c r="AC9" s="358"/>
      <c r="AD9" s="358"/>
      <c r="AE9" s="358"/>
      <c r="AF9" s="358"/>
      <c r="AG9" s="358"/>
      <c r="AH9" s="358"/>
      <c r="AI9" s="358"/>
      <c r="AJ9" s="358"/>
      <c r="AK9" s="358"/>
      <c r="AL9" s="358"/>
      <c r="AM9" s="358"/>
      <c r="AN9" s="358"/>
      <c r="AO9" s="358"/>
      <c r="AP9" s="358"/>
      <c r="AQ9" s="358"/>
      <c r="AR9" s="358"/>
      <c r="AS9" s="358"/>
      <c r="AT9" s="358"/>
      <c r="AU9" s="358"/>
      <c r="AV9" s="358"/>
      <c r="AW9" s="358"/>
      <c r="AX9" s="358"/>
      <c r="AY9" s="358"/>
      <c r="AZ9" s="358"/>
      <c r="BB9" s="4" t="s">
        <v>85</v>
      </c>
      <c r="BQ9" s="2"/>
      <c r="CC9" s="319" t="s">
        <v>88</v>
      </c>
      <c r="CD9" s="194"/>
      <c r="CE9" s="194"/>
      <c r="CF9" s="194"/>
      <c r="CG9" s="194"/>
      <c r="CH9" s="194"/>
      <c r="CI9" s="16" t="s">
        <v>99</v>
      </c>
      <c r="CJ9" s="447"/>
      <c r="CK9" s="440"/>
      <c r="CL9" s="257"/>
      <c r="CM9" s="439"/>
      <c r="CN9" s="440"/>
      <c r="CO9" s="257"/>
      <c r="CP9" s="292" t="str">
        <f t="shared" si="1"/>
        <v>-</v>
      </c>
      <c r="CQ9" s="293"/>
      <c r="CR9" s="294"/>
      <c r="CS9" s="358"/>
      <c r="CT9" s="358"/>
      <c r="CU9" s="358"/>
      <c r="CV9" s="358"/>
      <c r="CW9" s="358"/>
      <c r="CX9" s="358"/>
      <c r="CY9" s="358"/>
      <c r="CZ9" s="358"/>
      <c r="DA9" s="358"/>
      <c r="DB9" s="358"/>
    </row>
    <row r="10" spans="1:106" ht="12.75" customHeight="1" x14ac:dyDescent="0.15">
      <c r="A10" s="13"/>
      <c r="B10" s="193" t="s">
        <v>3</v>
      </c>
      <c r="C10" s="194"/>
      <c r="D10" s="194"/>
      <c r="E10" s="194"/>
      <c r="F10" s="194"/>
      <c r="G10" s="320"/>
      <c r="H10" s="126"/>
      <c r="I10" s="106"/>
      <c r="J10" s="127"/>
      <c r="K10" s="105"/>
      <c r="L10" s="106"/>
      <c r="M10" s="127"/>
      <c r="N10" s="292" t="str">
        <f t="shared" si="0"/>
        <v>-</v>
      </c>
      <c r="O10" s="293"/>
      <c r="P10" s="294"/>
      <c r="Q10" s="358"/>
      <c r="R10" s="358"/>
      <c r="S10" s="358"/>
      <c r="T10" s="358"/>
      <c r="U10" s="358"/>
      <c r="V10" s="358"/>
      <c r="W10" s="358"/>
      <c r="X10" s="358"/>
      <c r="Y10" s="358"/>
      <c r="Z10" s="358"/>
      <c r="AA10" s="358"/>
      <c r="AB10" s="358"/>
      <c r="AC10" s="358"/>
      <c r="AD10" s="358"/>
      <c r="AE10" s="358"/>
      <c r="AF10" s="358"/>
      <c r="AG10" s="358"/>
      <c r="AH10" s="358"/>
      <c r="AI10" s="358"/>
      <c r="AJ10" s="358"/>
      <c r="AK10" s="358"/>
      <c r="AL10" s="358"/>
      <c r="AM10" s="358"/>
      <c r="AN10" s="358"/>
      <c r="AO10" s="358"/>
      <c r="AP10" s="358"/>
      <c r="AQ10" s="358"/>
      <c r="AR10" s="358"/>
      <c r="AS10" s="358"/>
      <c r="AT10" s="358"/>
      <c r="AU10" s="358"/>
      <c r="AV10" s="358"/>
      <c r="AW10" s="358"/>
      <c r="AX10" s="358"/>
      <c r="AY10" s="358"/>
      <c r="AZ10" s="358"/>
      <c r="BA10" s="8"/>
      <c r="BB10" s="341"/>
      <c r="BC10" s="342"/>
      <c r="BD10" s="342"/>
      <c r="BE10" s="342"/>
      <c r="BF10" s="342"/>
      <c r="BG10" s="342"/>
      <c r="BH10" s="342"/>
      <c r="BI10" s="400">
        <f>H5</f>
        <v>0</v>
      </c>
      <c r="BJ10" s="401"/>
      <c r="BK10" s="402"/>
      <c r="BL10" s="403">
        <f>K5</f>
        <v>-1</v>
      </c>
      <c r="BM10" s="404"/>
      <c r="BN10" s="405"/>
      <c r="BO10" s="406" t="s">
        <v>70</v>
      </c>
      <c r="BP10" s="407"/>
      <c r="BQ10" s="408"/>
      <c r="BR10" s="220" t="s">
        <v>165</v>
      </c>
      <c r="BS10" s="220"/>
      <c r="BT10" s="220"/>
      <c r="BU10" s="220"/>
      <c r="BV10" s="220"/>
      <c r="BW10" s="220"/>
      <c r="BX10" s="220"/>
      <c r="BY10" s="220"/>
      <c r="BZ10" s="220"/>
      <c r="CA10" s="220"/>
      <c r="CC10" s="441" t="s">
        <v>89</v>
      </c>
      <c r="CD10" s="442"/>
      <c r="CE10" s="442"/>
      <c r="CF10" s="442"/>
      <c r="CG10" s="442"/>
      <c r="CH10" s="442"/>
      <c r="CI10" s="16" t="s">
        <v>99</v>
      </c>
      <c r="CJ10" s="447"/>
      <c r="CK10" s="440"/>
      <c r="CL10" s="257"/>
      <c r="CM10" s="439"/>
      <c r="CN10" s="440"/>
      <c r="CO10" s="257"/>
      <c r="CP10" s="292" t="str">
        <f t="shared" si="1"/>
        <v>-</v>
      </c>
      <c r="CQ10" s="293"/>
      <c r="CR10" s="294"/>
      <c r="CS10" s="358"/>
      <c r="CT10" s="358"/>
      <c r="CU10" s="358"/>
      <c r="CV10" s="358"/>
      <c r="CW10" s="358"/>
      <c r="CX10" s="358"/>
      <c r="CY10" s="358"/>
      <c r="CZ10" s="358"/>
      <c r="DA10" s="358"/>
      <c r="DB10" s="358"/>
    </row>
    <row r="11" spans="1:106" ht="12.75" customHeight="1" x14ac:dyDescent="0.15">
      <c r="A11" s="13"/>
      <c r="B11" s="193" t="s">
        <v>145</v>
      </c>
      <c r="C11" s="194"/>
      <c r="D11" s="194"/>
      <c r="E11" s="194"/>
      <c r="F11" s="194"/>
      <c r="G11" s="320"/>
      <c r="H11" s="126"/>
      <c r="I11" s="106"/>
      <c r="J11" s="127"/>
      <c r="K11" s="105"/>
      <c r="L11" s="106"/>
      <c r="M11" s="127"/>
      <c r="N11" s="292" t="str">
        <f t="shared" si="0"/>
        <v>-</v>
      </c>
      <c r="O11" s="293"/>
      <c r="P11" s="294"/>
      <c r="Q11" s="358"/>
      <c r="R11" s="358"/>
      <c r="S11" s="358"/>
      <c r="T11" s="358"/>
      <c r="U11" s="358"/>
      <c r="V11" s="358"/>
      <c r="W11" s="358"/>
      <c r="X11" s="358"/>
      <c r="Y11" s="358"/>
      <c r="Z11" s="358"/>
      <c r="AA11" s="358"/>
      <c r="AB11" s="358"/>
      <c r="AC11" s="358"/>
      <c r="AD11" s="358"/>
      <c r="AE11" s="358"/>
      <c r="AF11" s="358"/>
      <c r="AG11" s="358"/>
      <c r="AH11" s="358"/>
      <c r="AI11" s="358"/>
      <c r="AJ11" s="358"/>
      <c r="AK11" s="358"/>
      <c r="AL11" s="358"/>
      <c r="AM11" s="358"/>
      <c r="AN11" s="358"/>
      <c r="AO11" s="358"/>
      <c r="AP11" s="358"/>
      <c r="AQ11" s="358"/>
      <c r="AR11" s="358"/>
      <c r="AS11" s="358"/>
      <c r="AT11" s="358"/>
      <c r="AU11" s="358"/>
      <c r="AV11" s="358"/>
      <c r="AW11" s="358"/>
      <c r="AX11" s="358"/>
      <c r="AY11" s="358"/>
      <c r="AZ11" s="358"/>
      <c r="BB11" s="344"/>
      <c r="BC11" s="345"/>
      <c r="BD11" s="345"/>
      <c r="BE11" s="345"/>
      <c r="BF11" s="345"/>
      <c r="BG11" s="345"/>
      <c r="BH11" s="345"/>
      <c r="BI11" s="455"/>
      <c r="BJ11" s="456"/>
      <c r="BK11" s="457"/>
      <c r="BL11" s="477"/>
      <c r="BM11" s="478"/>
      <c r="BN11" s="479"/>
      <c r="BO11" s="380"/>
      <c r="BP11" s="381"/>
      <c r="BQ11" s="409"/>
      <c r="BR11" s="220"/>
      <c r="BS11" s="220"/>
      <c r="BT11" s="220"/>
      <c r="BU11" s="220"/>
      <c r="BV11" s="220"/>
      <c r="BW11" s="220"/>
      <c r="BX11" s="220"/>
      <c r="BY11" s="220"/>
      <c r="BZ11" s="220"/>
      <c r="CA11" s="220"/>
      <c r="CC11" s="17"/>
      <c r="CD11" s="480" t="s">
        <v>93</v>
      </c>
      <c r="CE11" s="481"/>
      <c r="CF11" s="481"/>
      <c r="CG11" s="481"/>
      <c r="CH11" s="481"/>
      <c r="CI11" s="16" t="s">
        <v>99</v>
      </c>
      <c r="CJ11" s="448"/>
      <c r="CK11" s="449"/>
      <c r="CL11" s="450"/>
      <c r="CM11" s="451"/>
      <c r="CN11" s="449"/>
      <c r="CO11" s="450"/>
      <c r="CP11" s="292" t="str">
        <f t="shared" si="1"/>
        <v>-</v>
      </c>
      <c r="CQ11" s="293"/>
      <c r="CR11" s="294"/>
      <c r="CS11" s="358"/>
      <c r="CT11" s="358"/>
      <c r="CU11" s="358"/>
      <c r="CV11" s="358"/>
      <c r="CW11" s="358"/>
      <c r="CX11" s="358"/>
      <c r="CY11" s="358"/>
      <c r="CZ11" s="358"/>
      <c r="DA11" s="358"/>
      <c r="DB11" s="358"/>
    </row>
    <row r="12" spans="1:106" ht="12.75" customHeight="1" x14ac:dyDescent="0.15">
      <c r="A12" s="13"/>
      <c r="B12" s="193" t="s">
        <v>4</v>
      </c>
      <c r="C12" s="194"/>
      <c r="D12" s="194"/>
      <c r="E12" s="194"/>
      <c r="F12" s="194"/>
      <c r="G12" s="320"/>
      <c r="H12" s="126"/>
      <c r="I12" s="106"/>
      <c r="J12" s="127"/>
      <c r="K12" s="105"/>
      <c r="L12" s="106"/>
      <c r="M12" s="127"/>
      <c r="N12" s="292" t="str">
        <f t="shared" si="0"/>
        <v>-</v>
      </c>
      <c r="O12" s="293"/>
      <c r="P12" s="294"/>
      <c r="Q12" s="358"/>
      <c r="R12" s="358"/>
      <c r="S12" s="358"/>
      <c r="T12" s="358"/>
      <c r="U12" s="358"/>
      <c r="V12" s="358"/>
      <c r="W12" s="358"/>
      <c r="X12" s="358"/>
      <c r="Y12" s="358"/>
      <c r="Z12" s="358"/>
      <c r="AA12" s="358"/>
      <c r="AB12" s="358"/>
      <c r="AC12" s="358"/>
      <c r="AD12" s="358"/>
      <c r="AE12" s="358"/>
      <c r="AF12" s="358"/>
      <c r="AG12" s="358"/>
      <c r="AH12" s="358"/>
      <c r="AI12" s="358"/>
      <c r="AJ12" s="358"/>
      <c r="AK12" s="358"/>
      <c r="AL12" s="358"/>
      <c r="AM12" s="358"/>
      <c r="AN12" s="358"/>
      <c r="AO12" s="358"/>
      <c r="AP12" s="358"/>
      <c r="AQ12" s="358"/>
      <c r="AR12" s="358"/>
      <c r="AS12" s="358"/>
      <c r="AT12" s="358"/>
      <c r="AU12" s="358"/>
      <c r="AV12" s="358"/>
      <c r="AW12" s="358"/>
      <c r="AX12" s="358"/>
      <c r="AY12" s="358"/>
      <c r="AZ12" s="358"/>
      <c r="BB12" s="328" t="s">
        <v>20</v>
      </c>
      <c r="BC12" s="436"/>
      <c r="BD12" s="438" t="s">
        <v>102</v>
      </c>
      <c r="BE12" s="348"/>
      <c r="BF12" s="348"/>
      <c r="BG12" s="348"/>
      <c r="BH12" s="15" t="s">
        <v>100</v>
      </c>
      <c r="BI12" s="140"/>
      <c r="BJ12" s="141"/>
      <c r="BK12" s="142"/>
      <c r="BL12" s="152"/>
      <c r="BM12" s="141"/>
      <c r="BN12" s="142"/>
      <c r="BO12" s="325" t="str">
        <f t="shared" ref="BO12:BO15" si="2">IF(BI12="-", "-", IF(BL12="-", "-", IF(ABS(BL12)=0, "-", ROUND(100*(BI12-BL12)/ABS(BL12),10))))</f>
        <v>-</v>
      </c>
      <c r="BP12" s="326"/>
      <c r="BQ12" s="327"/>
      <c r="BR12" s="410"/>
      <c r="BS12" s="410"/>
      <c r="BT12" s="410"/>
      <c r="BU12" s="410"/>
      <c r="BV12" s="410"/>
      <c r="BW12" s="410"/>
      <c r="BX12" s="410"/>
      <c r="BY12" s="410"/>
      <c r="BZ12" s="410"/>
      <c r="CA12" s="410"/>
      <c r="CC12" s="441" t="s">
        <v>90</v>
      </c>
      <c r="CD12" s="442"/>
      <c r="CE12" s="443"/>
      <c r="CF12" s="193" t="s">
        <v>91</v>
      </c>
      <c r="CG12" s="194"/>
      <c r="CH12" s="194"/>
      <c r="CI12" s="16" t="s">
        <v>98</v>
      </c>
      <c r="CJ12" s="447"/>
      <c r="CK12" s="440"/>
      <c r="CL12" s="257"/>
      <c r="CM12" s="439"/>
      <c r="CN12" s="440"/>
      <c r="CO12" s="257"/>
      <c r="CP12" s="292" t="str">
        <f t="shared" si="1"/>
        <v>-</v>
      </c>
      <c r="CQ12" s="293"/>
      <c r="CR12" s="294"/>
      <c r="CS12" s="358"/>
      <c r="CT12" s="358"/>
      <c r="CU12" s="358"/>
      <c r="CV12" s="358"/>
      <c r="CW12" s="358"/>
      <c r="CX12" s="358"/>
      <c r="CY12" s="358"/>
      <c r="CZ12" s="358"/>
      <c r="DA12" s="358"/>
      <c r="DB12" s="358"/>
    </row>
    <row r="13" spans="1:106" ht="12.75" customHeight="1" x14ac:dyDescent="0.15">
      <c r="A13" s="13"/>
      <c r="B13" s="193" t="s">
        <v>5</v>
      </c>
      <c r="C13" s="194"/>
      <c r="D13" s="194"/>
      <c r="E13" s="194"/>
      <c r="F13" s="194"/>
      <c r="G13" s="320"/>
      <c r="H13" s="126"/>
      <c r="I13" s="106"/>
      <c r="J13" s="127"/>
      <c r="K13" s="105"/>
      <c r="L13" s="106"/>
      <c r="M13" s="127"/>
      <c r="N13" s="292" t="str">
        <f t="shared" si="0"/>
        <v>-</v>
      </c>
      <c r="O13" s="293"/>
      <c r="P13" s="294"/>
      <c r="Q13" s="358"/>
      <c r="R13" s="358"/>
      <c r="S13" s="358"/>
      <c r="T13" s="358"/>
      <c r="U13" s="358"/>
      <c r="V13" s="358"/>
      <c r="W13" s="358"/>
      <c r="X13" s="358"/>
      <c r="Y13" s="358"/>
      <c r="Z13" s="358"/>
      <c r="AA13" s="358"/>
      <c r="AB13" s="358"/>
      <c r="AC13" s="358"/>
      <c r="AD13" s="358"/>
      <c r="AE13" s="358"/>
      <c r="AF13" s="358"/>
      <c r="AG13" s="358"/>
      <c r="AH13" s="358"/>
      <c r="AI13" s="358"/>
      <c r="AJ13" s="358"/>
      <c r="AK13" s="358"/>
      <c r="AL13" s="358"/>
      <c r="AM13" s="358"/>
      <c r="AN13" s="358"/>
      <c r="AO13" s="358"/>
      <c r="AP13" s="358"/>
      <c r="AQ13" s="358"/>
      <c r="AR13" s="358"/>
      <c r="AS13" s="358"/>
      <c r="AT13" s="358"/>
      <c r="AU13" s="358"/>
      <c r="AV13" s="358"/>
      <c r="AW13" s="358"/>
      <c r="AX13" s="358"/>
      <c r="AY13" s="358"/>
      <c r="AZ13" s="358"/>
      <c r="BB13" s="411"/>
      <c r="BC13" s="437"/>
      <c r="BD13" s="193" t="s">
        <v>103</v>
      </c>
      <c r="BE13" s="194"/>
      <c r="BF13" s="194"/>
      <c r="BG13" s="194"/>
      <c r="BH13" s="16" t="s">
        <v>100</v>
      </c>
      <c r="BI13" s="126"/>
      <c r="BJ13" s="106"/>
      <c r="BK13" s="127"/>
      <c r="BL13" s="105"/>
      <c r="BM13" s="106"/>
      <c r="BN13" s="127"/>
      <c r="BO13" s="292" t="str">
        <f t="shared" si="2"/>
        <v>-</v>
      </c>
      <c r="BP13" s="293"/>
      <c r="BQ13" s="294"/>
      <c r="BR13" s="358"/>
      <c r="BS13" s="358"/>
      <c r="BT13" s="358"/>
      <c r="BU13" s="358"/>
      <c r="BV13" s="358"/>
      <c r="BW13" s="358"/>
      <c r="BX13" s="358"/>
      <c r="BY13" s="358"/>
      <c r="BZ13" s="358"/>
      <c r="CA13" s="358"/>
      <c r="CC13" s="444"/>
      <c r="CD13" s="445"/>
      <c r="CE13" s="446"/>
      <c r="CF13" s="289" t="s">
        <v>92</v>
      </c>
      <c r="CG13" s="290"/>
      <c r="CH13" s="290"/>
      <c r="CI13" s="18" t="s">
        <v>99</v>
      </c>
      <c r="CJ13" s="452"/>
      <c r="CK13" s="453"/>
      <c r="CL13" s="323"/>
      <c r="CM13" s="454"/>
      <c r="CN13" s="453"/>
      <c r="CO13" s="323"/>
      <c r="CP13" s="266" t="str">
        <f t="shared" si="1"/>
        <v>-</v>
      </c>
      <c r="CQ13" s="267"/>
      <c r="CR13" s="268"/>
      <c r="CS13" s="421"/>
      <c r="CT13" s="421"/>
      <c r="CU13" s="421"/>
      <c r="CV13" s="421"/>
      <c r="CW13" s="421"/>
      <c r="CX13" s="421"/>
      <c r="CY13" s="421"/>
      <c r="CZ13" s="421"/>
      <c r="DA13" s="421"/>
      <c r="DB13" s="421"/>
    </row>
    <row r="14" spans="1:106" ht="12.75" customHeight="1" x14ac:dyDescent="0.15">
      <c r="A14" s="13"/>
      <c r="B14" s="193" t="s">
        <v>6</v>
      </c>
      <c r="C14" s="194"/>
      <c r="D14" s="194"/>
      <c r="E14" s="194"/>
      <c r="F14" s="194"/>
      <c r="G14" s="320"/>
      <c r="H14" s="126"/>
      <c r="I14" s="106"/>
      <c r="J14" s="127"/>
      <c r="K14" s="105"/>
      <c r="L14" s="106"/>
      <c r="M14" s="127"/>
      <c r="N14" s="292" t="str">
        <f t="shared" si="0"/>
        <v>-</v>
      </c>
      <c r="O14" s="293"/>
      <c r="P14" s="294"/>
      <c r="Q14" s="358"/>
      <c r="R14" s="358"/>
      <c r="S14" s="358"/>
      <c r="T14" s="358"/>
      <c r="U14" s="358"/>
      <c r="V14" s="358"/>
      <c r="W14" s="358"/>
      <c r="X14" s="358"/>
      <c r="Y14" s="358"/>
      <c r="Z14" s="358"/>
      <c r="AA14" s="358"/>
      <c r="AB14" s="358"/>
      <c r="AC14" s="358"/>
      <c r="AD14" s="358"/>
      <c r="AE14" s="358"/>
      <c r="AF14" s="358"/>
      <c r="AG14" s="358"/>
      <c r="AH14" s="358"/>
      <c r="AI14" s="358"/>
      <c r="AJ14" s="358"/>
      <c r="AK14" s="358"/>
      <c r="AL14" s="358"/>
      <c r="AM14" s="358"/>
      <c r="AN14" s="358"/>
      <c r="AO14" s="358"/>
      <c r="AP14" s="358"/>
      <c r="AQ14" s="358"/>
      <c r="AR14" s="358"/>
      <c r="AS14" s="358"/>
      <c r="AT14" s="358"/>
      <c r="AU14" s="358"/>
      <c r="AV14" s="358"/>
      <c r="AW14" s="358"/>
      <c r="AX14" s="358"/>
      <c r="AY14" s="358"/>
      <c r="AZ14" s="358"/>
      <c r="BB14" s="319" t="s">
        <v>96</v>
      </c>
      <c r="BC14" s="194"/>
      <c r="BD14" s="194"/>
      <c r="BE14" s="194"/>
      <c r="BF14" s="194"/>
      <c r="BG14" s="194"/>
      <c r="BH14" s="16" t="s">
        <v>99</v>
      </c>
      <c r="BI14" s="126"/>
      <c r="BJ14" s="106"/>
      <c r="BK14" s="127"/>
      <c r="BL14" s="105"/>
      <c r="BM14" s="106"/>
      <c r="BN14" s="127"/>
      <c r="BO14" s="292" t="str">
        <f t="shared" si="2"/>
        <v>-</v>
      </c>
      <c r="BP14" s="293"/>
      <c r="BQ14" s="294"/>
      <c r="BR14" s="358"/>
      <c r="BS14" s="358"/>
      <c r="BT14" s="358"/>
      <c r="BU14" s="358"/>
      <c r="BV14" s="358"/>
      <c r="BW14" s="358"/>
      <c r="BX14" s="358"/>
      <c r="BY14" s="358"/>
      <c r="BZ14" s="358"/>
      <c r="CA14" s="358"/>
      <c r="CC14" s="1" t="s">
        <v>94</v>
      </c>
    </row>
    <row r="15" spans="1:106" ht="12.75" customHeight="1" x14ac:dyDescent="0.15">
      <c r="A15" s="13"/>
      <c r="B15" s="193" t="s">
        <v>7</v>
      </c>
      <c r="C15" s="194"/>
      <c r="D15" s="194"/>
      <c r="E15" s="194"/>
      <c r="F15" s="194"/>
      <c r="G15" s="320"/>
      <c r="H15" s="126"/>
      <c r="I15" s="106"/>
      <c r="J15" s="127"/>
      <c r="K15" s="105"/>
      <c r="L15" s="106"/>
      <c r="M15" s="127"/>
      <c r="N15" s="292" t="str">
        <f t="shared" si="0"/>
        <v>-</v>
      </c>
      <c r="O15" s="293"/>
      <c r="P15" s="294"/>
      <c r="Q15" s="358"/>
      <c r="R15" s="358"/>
      <c r="S15" s="358"/>
      <c r="T15" s="358"/>
      <c r="U15" s="358"/>
      <c r="V15" s="358"/>
      <c r="W15" s="358"/>
      <c r="X15" s="358"/>
      <c r="Y15" s="358"/>
      <c r="Z15" s="358"/>
      <c r="AA15" s="358"/>
      <c r="AB15" s="358"/>
      <c r="AC15" s="358"/>
      <c r="AD15" s="358"/>
      <c r="AE15" s="358"/>
      <c r="AF15" s="358"/>
      <c r="AG15" s="358"/>
      <c r="AH15" s="358"/>
      <c r="AI15" s="358"/>
      <c r="AJ15" s="358"/>
      <c r="AK15" s="358"/>
      <c r="AL15" s="358"/>
      <c r="AM15" s="358"/>
      <c r="AN15" s="358"/>
      <c r="AO15" s="358"/>
      <c r="AP15" s="358"/>
      <c r="AQ15" s="358"/>
      <c r="AR15" s="358"/>
      <c r="AS15" s="358"/>
      <c r="AT15" s="358"/>
      <c r="AU15" s="358"/>
      <c r="AV15" s="358"/>
      <c r="AW15" s="358"/>
      <c r="AX15" s="358"/>
      <c r="AY15" s="358"/>
      <c r="AZ15" s="358"/>
      <c r="BB15" s="315" t="s">
        <v>97</v>
      </c>
      <c r="BC15" s="290"/>
      <c r="BD15" s="290"/>
      <c r="BE15" s="290"/>
      <c r="BF15" s="290"/>
      <c r="BG15" s="290"/>
      <c r="BH15" s="19" t="s">
        <v>99</v>
      </c>
      <c r="BI15" s="154"/>
      <c r="BJ15" s="135"/>
      <c r="BK15" s="155"/>
      <c r="BL15" s="134"/>
      <c r="BM15" s="135"/>
      <c r="BN15" s="155"/>
      <c r="BO15" s="266" t="str">
        <f t="shared" si="2"/>
        <v>-</v>
      </c>
      <c r="BP15" s="267"/>
      <c r="BQ15" s="268"/>
      <c r="BR15" s="359"/>
      <c r="BS15" s="359"/>
      <c r="BT15" s="359"/>
      <c r="BU15" s="359"/>
      <c r="BV15" s="359"/>
      <c r="BW15" s="359"/>
      <c r="BX15" s="359"/>
      <c r="BY15" s="359"/>
      <c r="BZ15" s="359"/>
      <c r="CA15" s="359"/>
      <c r="CC15" s="1" t="s">
        <v>95</v>
      </c>
    </row>
    <row r="16" spans="1:106" ht="12.75" customHeight="1" x14ac:dyDescent="0.15">
      <c r="A16" s="13"/>
      <c r="B16" s="193" t="s">
        <v>9</v>
      </c>
      <c r="C16" s="194"/>
      <c r="D16" s="194"/>
      <c r="E16" s="194"/>
      <c r="F16" s="194"/>
      <c r="G16" s="320"/>
      <c r="H16" s="126"/>
      <c r="I16" s="106"/>
      <c r="J16" s="127"/>
      <c r="K16" s="105"/>
      <c r="L16" s="106"/>
      <c r="M16" s="127"/>
      <c r="N16" s="292" t="str">
        <f t="shared" si="0"/>
        <v>-</v>
      </c>
      <c r="O16" s="293"/>
      <c r="P16" s="294"/>
      <c r="Q16" s="358"/>
      <c r="R16" s="358"/>
      <c r="S16" s="358"/>
      <c r="T16" s="358"/>
      <c r="U16" s="358"/>
      <c r="V16" s="358"/>
      <c r="W16" s="358"/>
      <c r="X16" s="358"/>
      <c r="Y16" s="358"/>
      <c r="Z16" s="358"/>
      <c r="AA16" s="358"/>
      <c r="AB16" s="358"/>
      <c r="AC16" s="358"/>
      <c r="AD16" s="358"/>
      <c r="AE16" s="358"/>
      <c r="AF16" s="358"/>
      <c r="AG16" s="358"/>
      <c r="AH16" s="358"/>
      <c r="AI16" s="358"/>
      <c r="AJ16" s="358"/>
      <c r="AK16" s="358"/>
      <c r="AL16" s="358"/>
      <c r="AM16" s="358"/>
      <c r="AN16" s="358"/>
      <c r="AO16" s="358"/>
      <c r="AP16" s="358"/>
      <c r="AQ16" s="358"/>
      <c r="AR16" s="358"/>
      <c r="AS16" s="358"/>
      <c r="AT16" s="358"/>
      <c r="AU16" s="358"/>
      <c r="AV16" s="358"/>
      <c r="AW16" s="358"/>
      <c r="AX16" s="358"/>
      <c r="AY16" s="358"/>
      <c r="AZ16" s="358"/>
      <c r="BB16" s="347" t="s">
        <v>104</v>
      </c>
      <c r="BC16" s="348"/>
      <c r="BD16" s="348"/>
      <c r="BE16" s="348"/>
      <c r="BF16" s="348"/>
      <c r="BG16" s="348"/>
      <c r="BH16" s="15" t="s">
        <v>101</v>
      </c>
      <c r="BI16" s="429"/>
      <c r="BJ16" s="430"/>
      <c r="BK16" s="431"/>
      <c r="BL16" s="432"/>
      <c r="BM16" s="430"/>
      <c r="BN16" s="431"/>
      <c r="BO16" s="433">
        <f>BI16-BL16</f>
        <v>0</v>
      </c>
      <c r="BP16" s="434"/>
      <c r="BQ16" s="435"/>
      <c r="BR16" s="410"/>
      <c r="BS16" s="410"/>
      <c r="BT16" s="410"/>
      <c r="BU16" s="410"/>
      <c r="BV16" s="410"/>
      <c r="BW16" s="410"/>
      <c r="BX16" s="410"/>
      <c r="BY16" s="410"/>
      <c r="BZ16" s="410"/>
      <c r="CA16" s="410"/>
    </row>
    <row r="17" spans="1:106" ht="12.75" customHeight="1" x14ac:dyDescent="0.15">
      <c r="A17" s="13"/>
      <c r="B17" s="193" t="s">
        <v>10</v>
      </c>
      <c r="C17" s="194"/>
      <c r="D17" s="194"/>
      <c r="E17" s="194"/>
      <c r="F17" s="194"/>
      <c r="G17" s="320"/>
      <c r="H17" s="126"/>
      <c r="I17" s="106"/>
      <c r="J17" s="127"/>
      <c r="K17" s="105"/>
      <c r="L17" s="106"/>
      <c r="M17" s="127"/>
      <c r="N17" s="292" t="str">
        <f t="shared" si="0"/>
        <v>-</v>
      </c>
      <c r="O17" s="293"/>
      <c r="P17" s="294"/>
      <c r="Q17" s="358"/>
      <c r="R17" s="358"/>
      <c r="S17" s="358"/>
      <c r="T17" s="358"/>
      <c r="U17" s="358"/>
      <c r="V17" s="358"/>
      <c r="W17" s="358"/>
      <c r="X17" s="358"/>
      <c r="Y17" s="358"/>
      <c r="Z17" s="358"/>
      <c r="AA17" s="358"/>
      <c r="AB17" s="358"/>
      <c r="AC17" s="358"/>
      <c r="AD17" s="358"/>
      <c r="AE17" s="358"/>
      <c r="AF17" s="358"/>
      <c r="AG17" s="358"/>
      <c r="AH17" s="358"/>
      <c r="AI17" s="358"/>
      <c r="AJ17" s="358"/>
      <c r="AK17" s="358"/>
      <c r="AL17" s="358"/>
      <c r="AM17" s="358"/>
      <c r="AN17" s="358"/>
      <c r="AO17" s="358"/>
      <c r="AP17" s="358"/>
      <c r="AQ17" s="358"/>
      <c r="AR17" s="358"/>
      <c r="AS17" s="358"/>
      <c r="AT17" s="358"/>
      <c r="AU17" s="358"/>
      <c r="AV17" s="358"/>
      <c r="AW17" s="358"/>
      <c r="AX17" s="358"/>
      <c r="AY17" s="358"/>
      <c r="AZ17" s="358"/>
      <c r="BB17" s="315" t="s">
        <v>105</v>
      </c>
      <c r="BC17" s="290"/>
      <c r="BD17" s="290"/>
      <c r="BE17" s="290"/>
      <c r="BF17" s="290"/>
      <c r="BG17" s="290"/>
      <c r="BH17" s="18" t="s">
        <v>101</v>
      </c>
      <c r="BI17" s="428"/>
      <c r="BJ17" s="423"/>
      <c r="BK17" s="424"/>
      <c r="BL17" s="422"/>
      <c r="BM17" s="423"/>
      <c r="BN17" s="424"/>
      <c r="BO17" s="425">
        <f>BI17-BL17</f>
        <v>0</v>
      </c>
      <c r="BP17" s="426"/>
      <c r="BQ17" s="427"/>
      <c r="BR17" s="421"/>
      <c r="BS17" s="421"/>
      <c r="BT17" s="421"/>
      <c r="BU17" s="421"/>
      <c r="BV17" s="421"/>
      <c r="BW17" s="421"/>
      <c r="BX17" s="421"/>
      <c r="BY17" s="421"/>
      <c r="BZ17" s="421"/>
      <c r="CA17" s="421"/>
      <c r="CC17" s="4" t="s">
        <v>158</v>
      </c>
      <c r="CD17" s="59"/>
      <c r="CE17" s="59"/>
      <c r="CF17" s="59"/>
      <c r="CG17" s="59"/>
      <c r="CH17" s="59"/>
      <c r="CI17" s="59"/>
      <c r="CJ17" s="59"/>
      <c r="CK17" s="59"/>
      <c r="CL17" s="3"/>
      <c r="CM17" s="3"/>
      <c r="CN17" s="3"/>
      <c r="CO17" s="3"/>
      <c r="CP17" s="3"/>
      <c r="CQ17" s="3"/>
      <c r="CR17" s="3"/>
    </row>
    <row r="18" spans="1:106" ht="12.75" customHeight="1" x14ac:dyDescent="0.15">
      <c r="A18" s="13"/>
      <c r="B18" s="193" t="s">
        <v>11</v>
      </c>
      <c r="C18" s="194"/>
      <c r="D18" s="194"/>
      <c r="E18" s="194"/>
      <c r="F18" s="194"/>
      <c r="G18" s="320"/>
      <c r="H18" s="126"/>
      <c r="I18" s="106"/>
      <c r="J18" s="127"/>
      <c r="K18" s="105"/>
      <c r="L18" s="106"/>
      <c r="M18" s="127"/>
      <c r="N18" s="292" t="str">
        <f t="shared" si="0"/>
        <v>-</v>
      </c>
      <c r="O18" s="293"/>
      <c r="P18" s="294"/>
      <c r="Q18" s="358"/>
      <c r="R18" s="358"/>
      <c r="S18" s="358"/>
      <c r="T18" s="358"/>
      <c r="U18" s="358"/>
      <c r="V18" s="358"/>
      <c r="W18" s="358"/>
      <c r="X18" s="358"/>
      <c r="Y18" s="358"/>
      <c r="Z18" s="358"/>
      <c r="AA18" s="358"/>
      <c r="AB18" s="358"/>
      <c r="AC18" s="358"/>
      <c r="AD18" s="358"/>
      <c r="AE18" s="358"/>
      <c r="AF18" s="358"/>
      <c r="AG18" s="358"/>
      <c r="AH18" s="358"/>
      <c r="AI18" s="358"/>
      <c r="AJ18" s="358"/>
      <c r="AK18" s="358"/>
      <c r="AL18" s="358"/>
      <c r="AM18" s="358"/>
      <c r="AN18" s="358"/>
      <c r="AO18" s="358"/>
      <c r="AP18" s="358"/>
      <c r="AQ18" s="358"/>
      <c r="AR18" s="358"/>
      <c r="AS18" s="358"/>
      <c r="AT18" s="358"/>
      <c r="AU18" s="358"/>
      <c r="AV18" s="358"/>
      <c r="AW18" s="358"/>
      <c r="AX18" s="358"/>
      <c r="AY18" s="358"/>
      <c r="AZ18" s="358"/>
      <c r="BB18" s="57" t="s">
        <v>164</v>
      </c>
      <c r="CC18" s="341"/>
      <c r="CD18" s="342"/>
      <c r="CE18" s="342"/>
      <c r="CF18" s="342"/>
      <c r="CG18" s="342"/>
      <c r="CH18" s="342"/>
      <c r="CI18" s="343"/>
      <c r="CJ18" s="400">
        <f>H5</f>
        <v>0</v>
      </c>
      <c r="CK18" s="401"/>
      <c r="CL18" s="402"/>
      <c r="CM18" s="403">
        <f>K5</f>
        <v>-1</v>
      </c>
      <c r="CN18" s="404"/>
      <c r="CO18" s="405"/>
      <c r="CP18" s="406" t="s">
        <v>70</v>
      </c>
      <c r="CQ18" s="407"/>
      <c r="CR18" s="408"/>
      <c r="CS18" s="220" t="s">
        <v>165</v>
      </c>
      <c r="CT18" s="220"/>
      <c r="CU18" s="220"/>
      <c r="CV18" s="220"/>
      <c r="CW18" s="220"/>
      <c r="CX18" s="220"/>
      <c r="CY18" s="220"/>
      <c r="CZ18" s="220"/>
      <c r="DA18" s="220"/>
      <c r="DB18" s="220"/>
    </row>
    <row r="19" spans="1:106" ht="12.75" customHeight="1" x14ac:dyDescent="0.15">
      <c r="A19" s="14"/>
      <c r="B19" s="289" t="s">
        <v>12</v>
      </c>
      <c r="C19" s="290"/>
      <c r="D19" s="290"/>
      <c r="E19" s="290"/>
      <c r="F19" s="290"/>
      <c r="G19" s="291"/>
      <c r="H19" s="154"/>
      <c r="I19" s="135"/>
      <c r="J19" s="155"/>
      <c r="K19" s="134"/>
      <c r="L19" s="135"/>
      <c r="M19" s="155"/>
      <c r="N19" s="266" t="str">
        <f t="shared" si="0"/>
        <v>-</v>
      </c>
      <c r="O19" s="267"/>
      <c r="P19" s="268"/>
      <c r="Q19" s="421"/>
      <c r="R19" s="421"/>
      <c r="S19" s="421"/>
      <c r="T19" s="421"/>
      <c r="U19" s="421"/>
      <c r="V19" s="421"/>
      <c r="W19" s="421"/>
      <c r="X19" s="421"/>
      <c r="Y19" s="421"/>
      <c r="Z19" s="421"/>
      <c r="AA19" s="421"/>
      <c r="AB19" s="421"/>
      <c r="AC19" s="421"/>
      <c r="AD19" s="421"/>
      <c r="AE19" s="421"/>
      <c r="AF19" s="421"/>
      <c r="AG19" s="421"/>
      <c r="AH19" s="421"/>
      <c r="AI19" s="421"/>
      <c r="AJ19" s="421"/>
      <c r="AK19" s="421"/>
      <c r="AL19" s="421"/>
      <c r="AM19" s="421"/>
      <c r="AN19" s="421"/>
      <c r="AO19" s="421"/>
      <c r="AP19" s="421"/>
      <c r="AQ19" s="421"/>
      <c r="AR19" s="421"/>
      <c r="AS19" s="421"/>
      <c r="AT19" s="421"/>
      <c r="AU19" s="421"/>
      <c r="AV19" s="421"/>
      <c r="AW19" s="421"/>
      <c r="AX19" s="421"/>
      <c r="AY19" s="421"/>
      <c r="AZ19" s="421"/>
      <c r="BB19" s="4" t="s">
        <v>108</v>
      </c>
      <c r="BQ19" s="2"/>
      <c r="CC19" s="383"/>
      <c r="CD19" s="384"/>
      <c r="CE19" s="384"/>
      <c r="CF19" s="384"/>
      <c r="CG19" s="384"/>
      <c r="CH19" s="384"/>
      <c r="CI19" s="385"/>
      <c r="CJ19" s="455"/>
      <c r="CK19" s="456"/>
      <c r="CL19" s="457"/>
      <c r="CM19" s="477"/>
      <c r="CN19" s="478"/>
      <c r="CO19" s="479"/>
      <c r="CP19" s="380"/>
      <c r="CQ19" s="381"/>
      <c r="CR19" s="409"/>
      <c r="CS19" s="220"/>
      <c r="CT19" s="220"/>
      <c r="CU19" s="220"/>
      <c r="CV19" s="220"/>
      <c r="CW19" s="220"/>
      <c r="CX19" s="220"/>
      <c r="CY19" s="220"/>
      <c r="CZ19" s="220"/>
      <c r="DA19" s="220"/>
      <c r="DB19" s="220"/>
    </row>
    <row r="20" spans="1:106" ht="12.75" customHeight="1" x14ac:dyDescent="0.15">
      <c r="A20" s="328" t="s">
        <v>147</v>
      </c>
      <c r="B20" s="329"/>
      <c r="C20" s="329"/>
      <c r="D20" s="329"/>
      <c r="E20" s="329"/>
      <c r="F20" s="329"/>
      <c r="G20" s="330"/>
      <c r="H20" s="140"/>
      <c r="I20" s="141"/>
      <c r="J20" s="142"/>
      <c r="K20" s="331"/>
      <c r="L20" s="332"/>
      <c r="M20" s="333"/>
      <c r="N20" s="336" t="str">
        <f t="shared" si="0"/>
        <v>-</v>
      </c>
      <c r="O20" s="337"/>
      <c r="P20" s="338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360"/>
      <c r="AB20" s="360"/>
      <c r="AC20" s="360"/>
      <c r="AD20" s="360"/>
      <c r="AE20" s="360"/>
      <c r="AF20" s="360"/>
      <c r="AG20" s="360"/>
      <c r="AH20" s="360"/>
      <c r="AI20" s="360"/>
      <c r="AJ20" s="360"/>
      <c r="AK20" s="360"/>
      <c r="AL20" s="360"/>
      <c r="AM20" s="360"/>
      <c r="AN20" s="360"/>
      <c r="AO20" s="360"/>
      <c r="AP20" s="360"/>
      <c r="AQ20" s="360"/>
      <c r="AR20" s="360"/>
      <c r="AS20" s="360"/>
      <c r="AT20" s="360"/>
      <c r="AU20" s="360"/>
      <c r="AV20" s="360"/>
      <c r="AW20" s="360"/>
      <c r="AX20" s="360"/>
      <c r="AY20" s="360"/>
      <c r="AZ20" s="360"/>
      <c r="BB20" s="341"/>
      <c r="BC20" s="342"/>
      <c r="BD20" s="342"/>
      <c r="BE20" s="342"/>
      <c r="BF20" s="342"/>
      <c r="BG20" s="342"/>
      <c r="BH20" s="343"/>
      <c r="BI20" s="401">
        <f>H5</f>
        <v>0</v>
      </c>
      <c r="BJ20" s="401"/>
      <c r="BK20" s="402"/>
      <c r="BL20" s="403">
        <f>K5</f>
        <v>-1</v>
      </c>
      <c r="BM20" s="404"/>
      <c r="BN20" s="405"/>
      <c r="BO20" s="406" t="s">
        <v>70</v>
      </c>
      <c r="BP20" s="407"/>
      <c r="BQ20" s="408"/>
      <c r="BR20" s="220" t="s">
        <v>165</v>
      </c>
      <c r="BS20" s="220"/>
      <c r="BT20" s="220"/>
      <c r="BU20" s="220"/>
      <c r="BV20" s="220"/>
      <c r="BW20" s="220"/>
      <c r="BX20" s="220"/>
      <c r="BY20" s="220"/>
      <c r="BZ20" s="220"/>
      <c r="CA20" s="220"/>
      <c r="CC20" s="411" t="s">
        <v>159</v>
      </c>
      <c r="CD20" s="412"/>
      <c r="CE20" s="412"/>
      <c r="CF20" s="412"/>
      <c r="CG20" s="412"/>
      <c r="CH20" s="412"/>
      <c r="CI20" s="413"/>
      <c r="CJ20" s="414"/>
      <c r="CK20" s="205"/>
      <c r="CL20" s="415"/>
      <c r="CM20" s="416"/>
      <c r="CN20" s="417"/>
      <c r="CO20" s="418"/>
      <c r="CP20" s="397" t="str">
        <f t="shared" ref="CP20:CP22" si="3">IF(CJ20="-", "-", IF(CM20="-", "-", IF(ABS(CM20)=0, "-", ROUND(100*(CJ20-CM20)/ABS(CM20),10))))</f>
        <v>-</v>
      </c>
      <c r="CQ20" s="398"/>
      <c r="CR20" s="399"/>
      <c r="CS20" s="410"/>
      <c r="CT20" s="410"/>
      <c r="CU20" s="410"/>
      <c r="CV20" s="410"/>
      <c r="CW20" s="410"/>
      <c r="CX20" s="410"/>
      <c r="CY20" s="410"/>
      <c r="CZ20" s="410"/>
      <c r="DA20" s="410"/>
      <c r="DB20" s="410"/>
    </row>
    <row r="21" spans="1:106" ht="12.75" customHeight="1" x14ac:dyDescent="0.15">
      <c r="A21" s="334" t="s">
        <v>0</v>
      </c>
      <c r="B21" s="335"/>
      <c r="C21" s="335"/>
      <c r="D21" s="335"/>
      <c r="E21" s="335"/>
      <c r="F21" s="335"/>
      <c r="G21" s="339"/>
      <c r="H21" s="354"/>
      <c r="I21" s="332"/>
      <c r="J21" s="333"/>
      <c r="K21" s="331"/>
      <c r="L21" s="332"/>
      <c r="M21" s="333"/>
      <c r="N21" s="336" t="str">
        <f t="shared" si="0"/>
        <v>-</v>
      </c>
      <c r="O21" s="337"/>
      <c r="P21" s="338"/>
      <c r="Q21" s="360"/>
      <c r="R21" s="360"/>
      <c r="S21" s="360"/>
      <c r="T21" s="360"/>
      <c r="U21" s="360"/>
      <c r="V21" s="360"/>
      <c r="W21" s="360"/>
      <c r="X21" s="360"/>
      <c r="Y21" s="360"/>
      <c r="Z21" s="360"/>
      <c r="AA21" s="360"/>
      <c r="AB21" s="360"/>
      <c r="AC21" s="360"/>
      <c r="AD21" s="360"/>
      <c r="AE21" s="360"/>
      <c r="AF21" s="360"/>
      <c r="AG21" s="360"/>
      <c r="AH21" s="360"/>
      <c r="AI21" s="360"/>
      <c r="AJ21" s="360"/>
      <c r="AK21" s="360"/>
      <c r="AL21" s="360"/>
      <c r="AM21" s="360"/>
      <c r="AN21" s="360"/>
      <c r="AO21" s="360"/>
      <c r="AP21" s="360"/>
      <c r="AQ21" s="360"/>
      <c r="AR21" s="360"/>
      <c r="AS21" s="360"/>
      <c r="AT21" s="360"/>
      <c r="AU21" s="360"/>
      <c r="AV21" s="360"/>
      <c r="AW21" s="360"/>
      <c r="AX21" s="360"/>
      <c r="AY21" s="360"/>
      <c r="AZ21" s="360"/>
      <c r="BB21" s="383"/>
      <c r="BC21" s="384"/>
      <c r="BD21" s="384"/>
      <c r="BE21" s="384"/>
      <c r="BF21" s="384"/>
      <c r="BG21" s="384"/>
      <c r="BH21" s="385"/>
      <c r="BI21" s="388" t="s">
        <v>65</v>
      </c>
      <c r="BJ21" s="388"/>
      <c r="BK21" s="389"/>
      <c r="BL21" s="390" t="s">
        <v>65</v>
      </c>
      <c r="BM21" s="388"/>
      <c r="BN21" s="389"/>
      <c r="BO21" s="380"/>
      <c r="BP21" s="381"/>
      <c r="BQ21" s="409"/>
      <c r="BR21" s="220"/>
      <c r="BS21" s="220"/>
      <c r="BT21" s="220"/>
      <c r="BU21" s="220"/>
      <c r="BV21" s="220"/>
      <c r="BW21" s="220"/>
      <c r="BX21" s="220"/>
      <c r="BY21" s="220"/>
      <c r="BZ21" s="220"/>
      <c r="CA21" s="220"/>
      <c r="CC21" s="319" t="s">
        <v>160</v>
      </c>
      <c r="CD21" s="194"/>
      <c r="CE21" s="194"/>
      <c r="CF21" s="194"/>
      <c r="CG21" s="194"/>
      <c r="CH21" s="194"/>
      <c r="CI21" s="320"/>
      <c r="CJ21" s="419"/>
      <c r="CK21" s="191"/>
      <c r="CL21" s="420"/>
      <c r="CM21" s="190"/>
      <c r="CN21" s="191"/>
      <c r="CO21" s="420"/>
      <c r="CP21" s="292" t="str">
        <f t="shared" si="3"/>
        <v>-</v>
      </c>
      <c r="CQ21" s="293"/>
      <c r="CR21" s="294"/>
      <c r="CS21" s="358"/>
      <c r="CT21" s="358"/>
      <c r="CU21" s="358"/>
      <c r="CV21" s="358"/>
      <c r="CW21" s="358"/>
      <c r="CX21" s="358"/>
      <c r="CY21" s="358"/>
      <c r="CZ21" s="358"/>
      <c r="DA21" s="358"/>
      <c r="DB21" s="358"/>
    </row>
    <row r="22" spans="1:106" ht="12.75" customHeight="1" x14ac:dyDescent="0.15">
      <c r="BB22" s="411" t="s">
        <v>0</v>
      </c>
      <c r="BC22" s="412"/>
      <c r="BD22" s="412"/>
      <c r="BE22" s="412"/>
      <c r="BF22" s="412"/>
      <c r="BG22" s="412"/>
      <c r="BH22" s="413"/>
      <c r="BI22" s="414"/>
      <c r="BJ22" s="205"/>
      <c r="BK22" s="415"/>
      <c r="BL22" s="416"/>
      <c r="BM22" s="417"/>
      <c r="BN22" s="418"/>
      <c r="BO22" s="397" t="str">
        <f t="shared" ref="BO22:BO24" si="4">IF(BI22="-", "-", IF(BL22="-", "-", IF(ABS(BL22)=0, "-", ROUND(100*(BI22-BL22)/ABS(BL22),10))))</f>
        <v>-</v>
      </c>
      <c r="BP22" s="398"/>
      <c r="BQ22" s="399"/>
      <c r="BR22" s="410"/>
      <c r="BS22" s="410"/>
      <c r="BT22" s="410"/>
      <c r="BU22" s="410"/>
      <c r="BV22" s="410"/>
      <c r="BW22" s="410"/>
      <c r="BX22" s="410"/>
      <c r="BY22" s="410"/>
      <c r="BZ22" s="410"/>
      <c r="CA22" s="410"/>
      <c r="CC22" s="315" t="s">
        <v>161</v>
      </c>
      <c r="CD22" s="290"/>
      <c r="CE22" s="290"/>
      <c r="CF22" s="290"/>
      <c r="CG22" s="290"/>
      <c r="CH22" s="290"/>
      <c r="CI22" s="291"/>
      <c r="CJ22" s="92"/>
      <c r="CK22" s="87"/>
      <c r="CL22" s="88"/>
      <c r="CM22" s="392"/>
      <c r="CN22" s="87"/>
      <c r="CO22" s="88"/>
      <c r="CP22" s="266" t="str">
        <f t="shared" si="3"/>
        <v>-</v>
      </c>
      <c r="CQ22" s="267"/>
      <c r="CR22" s="268"/>
      <c r="CS22" s="421"/>
      <c r="CT22" s="421"/>
      <c r="CU22" s="421"/>
      <c r="CV22" s="421"/>
      <c r="CW22" s="421"/>
      <c r="CX22" s="421"/>
      <c r="CY22" s="421"/>
      <c r="CZ22" s="421"/>
      <c r="DA22" s="421"/>
      <c r="DB22" s="421"/>
    </row>
    <row r="23" spans="1:106" ht="12.75" customHeight="1" x14ac:dyDescent="0.15">
      <c r="A23" s="4" t="s">
        <v>148</v>
      </c>
      <c r="P23" s="2"/>
      <c r="BB23" s="319" t="s">
        <v>42</v>
      </c>
      <c r="BC23" s="194"/>
      <c r="BD23" s="194"/>
      <c r="BE23" s="194"/>
      <c r="BF23" s="194"/>
      <c r="BG23" s="194"/>
      <c r="BH23" s="320"/>
      <c r="BI23" s="419"/>
      <c r="BJ23" s="191"/>
      <c r="BK23" s="420"/>
      <c r="BL23" s="190"/>
      <c r="BM23" s="191"/>
      <c r="BN23" s="420"/>
      <c r="BO23" s="292" t="str">
        <f t="shared" si="4"/>
        <v>-</v>
      </c>
      <c r="BP23" s="293"/>
      <c r="BQ23" s="294"/>
      <c r="BR23" s="358"/>
      <c r="BS23" s="358"/>
      <c r="BT23" s="358"/>
      <c r="BU23" s="358"/>
      <c r="BV23" s="358"/>
      <c r="BW23" s="358"/>
      <c r="BX23" s="358"/>
      <c r="BY23" s="358"/>
      <c r="BZ23" s="358"/>
      <c r="CA23" s="358"/>
    </row>
    <row r="24" spans="1:106" ht="12.75" customHeight="1" x14ac:dyDescent="0.15">
      <c r="A24" s="341"/>
      <c r="B24" s="342"/>
      <c r="C24" s="342"/>
      <c r="D24" s="342"/>
      <c r="E24" s="342"/>
      <c r="F24" s="342"/>
      <c r="G24" s="343"/>
      <c r="H24" s="400">
        <f>H5</f>
        <v>0</v>
      </c>
      <c r="I24" s="401"/>
      <c r="J24" s="402"/>
      <c r="K24" s="403">
        <f>K5</f>
        <v>-1</v>
      </c>
      <c r="L24" s="404"/>
      <c r="M24" s="405"/>
      <c r="N24" s="406" t="s">
        <v>70</v>
      </c>
      <c r="O24" s="407"/>
      <c r="P24" s="408"/>
      <c r="Q24" s="220" t="s">
        <v>165</v>
      </c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B24" s="315" t="s">
        <v>43</v>
      </c>
      <c r="BC24" s="290"/>
      <c r="BD24" s="290"/>
      <c r="BE24" s="290"/>
      <c r="BF24" s="290"/>
      <c r="BG24" s="290"/>
      <c r="BH24" s="291"/>
      <c r="BI24" s="92"/>
      <c r="BJ24" s="87"/>
      <c r="BK24" s="88"/>
      <c r="BL24" s="392"/>
      <c r="BM24" s="87"/>
      <c r="BN24" s="88"/>
      <c r="BO24" s="266" t="str">
        <f t="shared" si="4"/>
        <v>-</v>
      </c>
      <c r="BP24" s="267"/>
      <c r="BQ24" s="268"/>
      <c r="BR24" s="421"/>
      <c r="BS24" s="421"/>
      <c r="BT24" s="421"/>
      <c r="BU24" s="421"/>
      <c r="BV24" s="421"/>
      <c r="BW24" s="421"/>
      <c r="BX24" s="421"/>
      <c r="BY24" s="421"/>
      <c r="BZ24" s="421"/>
      <c r="CA24" s="421"/>
    </row>
    <row r="25" spans="1:106" ht="12.75" customHeight="1" x14ac:dyDescent="0.15">
      <c r="A25" s="383"/>
      <c r="B25" s="384"/>
      <c r="C25" s="384"/>
      <c r="D25" s="384"/>
      <c r="E25" s="384"/>
      <c r="F25" s="384"/>
      <c r="G25" s="385"/>
      <c r="H25" s="391" t="s">
        <v>63</v>
      </c>
      <c r="I25" s="388"/>
      <c r="J25" s="389"/>
      <c r="K25" s="390" t="s">
        <v>63</v>
      </c>
      <c r="L25" s="388"/>
      <c r="M25" s="389"/>
      <c r="N25" s="380"/>
      <c r="O25" s="381"/>
      <c r="P25" s="409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</row>
    <row r="26" spans="1:106" ht="12.75" customHeight="1" x14ac:dyDescent="0.15">
      <c r="A26" s="393" t="s">
        <v>1</v>
      </c>
      <c r="B26" s="394"/>
      <c r="C26" s="394"/>
      <c r="D26" s="394"/>
      <c r="E26" s="394"/>
      <c r="F26" s="394"/>
      <c r="G26" s="395"/>
      <c r="H26" s="146"/>
      <c r="I26" s="147"/>
      <c r="J26" s="148"/>
      <c r="K26" s="396"/>
      <c r="L26" s="147"/>
      <c r="M26" s="148"/>
      <c r="N26" s="397" t="str">
        <f>IF(H26="-", "-", IF(K26="-", "-", IF(ABS(K26)=0, "-", ROUND(100*(H26-K26)/ABS(K26),10))))</f>
        <v>-</v>
      </c>
      <c r="O26" s="398"/>
      <c r="P26" s="399"/>
      <c r="Q26" s="410"/>
      <c r="R26" s="410"/>
      <c r="S26" s="410"/>
      <c r="T26" s="410"/>
      <c r="U26" s="410"/>
      <c r="V26" s="410"/>
      <c r="W26" s="410"/>
      <c r="X26" s="410"/>
      <c r="Y26" s="410"/>
      <c r="Z26" s="410"/>
      <c r="AA26" s="410"/>
      <c r="AB26" s="410"/>
      <c r="AC26" s="410"/>
      <c r="AD26" s="410"/>
      <c r="AE26" s="410"/>
      <c r="AF26" s="410"/>
      <c r="AG26" s="410"/>
      <c r="AH26" s="410"/>
      <c r="AI26" s="410"/>
      <c r="AJ26" s="410"/>
      <c r="AK26" s="410"/>
      <c r="AL26" s="410"/>
      <c r="AM26" s="410"/>
      <c r="AN26" s="410"/>
      <c r="AO26" s="410"/>
      <c r="AP26" s="410"/>
      <c r="AQ26" s="410"/>
      <c r="AR26" s="410"/>
      <c r="AS26" s="410"/>
      <c r="AT26" s="410"/>
      <c r="AU26" s="410"/>
      <c r="AV26" s="410"/>
      <c r="AW26" s="410"/>
      <c r="AX26" s="410"/>
      <c r="AY26" s="410"/>
      <c r="AZ26" s="410"/>
      <c r="BB26" s="4" t="s">
        <v>84</v>
      </c>
      <c r="BH26" s="59"/>
      <c r="BI26" s="7"/>
      <c r="BJ26" s="7"/>
      <c r="BK26" s="7"/>
      <c r="BL26" s="7"/>
      <c r="BM26" s="7"/>
      <c r="BN26" s="7"/>
      <c r="BO26" s="9"/>
      <c r="BP26" s="9"/>
      <c r="BQ26" s="9"/>
      <c r="CL26" s="2"/>
      <c r="CM26" s="2"/>
    </row>
    <row r="27" spans="1:106" ht="12.75" customHeight="1" x14ac:dyDescent="0.15">
      <c r="A27" s="13"/>
      <c r="B27" s="193" t="s">
        <v>2</v>
      </c>
      <c r="C27" s="194"/>
      <c r="D27" s="194"/>
      <c r="E27" s="194"/>
      <c r="F27" s="194"/>
      <c r="G27" s="320"/>
      <c r="H27" s="126"/>
      <c r="I27" s="106"/>
      <c r="J27" s="127"/>
      <c r="K27" s="105"/>
      <c r="L27" s="106"/>
      <c r="M27" s="127"/>
      <c r="N27" s="292" t="str">
        <f t="shared" ref="N27:N35" si="5">IF(H27="-", "-", IF(K27="-", "-", IF(ABS(K27)=0, "-", ROUND(100*(H27-K27)/ABS(K27),10))))</f>
        <v>-</v>
      </c>
      <c r="O27" s="293"/>
      <c r="P27" s="294"/>
      <c r="Q27" s="358"/>
      <c r="R27" s="358"/>
      <c r="S27" s="358"/>
      <c r="T27" s="358"/>
      <c r="U27" s="358"/>
      <c r="V27" s="358"/>
      <c r="W27" s="358"/>
      <c r="X27" s="358"/>
      <c r="Y27" s="358"/>
      <c r="Z27" s="358"/>
      <c r="AA27" s="358"/>
      <c r="AB27" s="358"/>
      <c r="AC27" s="358"/>
      <c r="AD27" s="358"/>
      <c r="AE27" s="358"/>
      <c r="AF27" s="358"/>
      <c r="AG27" s="358"/>
      <c r="AH27" s="358"/>
      <c r="AI27" s="358"/>
      <c r="AJ27" s="358"/>
      <c r="AK27" s="358"/>
      <c r="AL27" s="358"/>
      <c r="AM27" s="358"/>
      <c r="AN27" s="358"/>
      <c r="AO27" s="358"/>
      <c r="AP27" s="358"/>
      <c r="AQ27" s="358"/>
      <c r="AR27" s="358"/>
      <c r="AS27" s="358"/>
      <c r="AT27" s="358"/>
      <c r="AU27" s="358"/>
      <c r="AV27" s="358"/>
      <c r="AW27" s="358"/>
      <c r="AX27" s="358"/>
      <c r="AY27" s="358"/>
      <c r="AZ27" s="358"/>
      <c r="BB27" s="341"/>
      <c r="BC27" s="342"/>
      <c r="BD27" s="342"/>
      <c r="BE27" s="342"/>
      <c r="BF27" s="342"/>
      <c r="BG27" s="342"/>
      <c r="BH27" s="343"/>
      <c r="BI27" s="386" t="s">
        <v>36</v>
      </c>
      <c r="BJ27" s="386"/>
      <c r="BK27" s="386"/>
      <c r="BL27" s="386"/>
      <c r="BM27" s="386"/>
      <c r="BN27" s="386"/>
      <c r="BO27" s="386"/>
      <c r="BP27" s="386"/>
      <c r="BQ27" s="387"/>
      <c r="BR27" s="470" t="s">
        <v>61</v>
      </c>
      <c r="BS27" s="386"/>
      <c r="BT27" s="386"/>
      <c r="BU27" s="386"/>
      <c r="BV27" s="386"/>
      <c r="BW27" s="386"/>
      <c r="BX27" s="386"/>
      <c r="BY27" s="386"/>
      <c r="BZ27" s="387"/>
      <c r="CA27" s="470" t="s">
        <v>78</v>
      </c>
      <c r="CB27" s="386"/>
      <c r="CC27" s="386"/>
      <c r="CD27" s="386"/>
      <c r="CE27" s="386"/>
      <c r="CF27" s="386"/>
      <c r="CG27" s="386"/>
      <c r="CH27" s="386"/>
      <c r="CI27" s="387"/>
      <c r="CJ27" s="259" t="s">
        <v>165</v>
      </c>
      <c r="CK27" s="260"/>
      <c r="CL27" s="260"/>
      <c r="CM27" s="260"/>
      <c r="CN27" s="260"/>
      <c r="CO27" s="260"/>
      <c r="CP27" s="260"/>
      <c r="CQ27" s="260"/>
      <c r="CR27" s="260"/>
      <c r="CS27" s="260"/>
      <c r="CT27" s="260"/>
      <c r="CU27" s="260"/>
      <c r="CV27" s="260"/>
      <c r="CW27" s="260"/>
      <c r="CX27" s="260"/>
      <c r="CY27" s="260"/>
      <c r="CZ27" s="260"/>
      <c r="DA27" s="260"/>
      <c r="DB27" s="261"/>
    </row>
    <row r="28" spans="1:106" ht="12.75" customHeight="1" x14ac:dyDescent="0.15">
      <c r="A28" s="13"/>
      <c r="B28" s="372" t="s">
        <v>122</v>
      </c>
      <c r="C28" s="194"/>
      <c r="D28" s="194"/>
      <c r="E28" s="194"/>
      <c r="F28" s="194"/>
      <c r="G28" s="320"/>
      <c r="H28" s="126"/>
      <c r="I28" s="106"/>
      <c r="J28" s="127"/>
      <c r="K28" s="105"/>
      <c r="L28" s="106"/>
      <c r="M28" s="127"/>
      <c r="N28" s="292" t="str">
        <f t="shared" si="5"/>
        <v>-</v>
      </c>
      <c r="O28" s="293"/>
      <c r="P28" s="294"/>
      <c r="Q28" s="358"/>
      <c r="R28" s="358"/>
      <c r="S28" s="358"/>
      <c r="T28" s="358"/>
      <c r="U28" s="358"/>
      <c r="V28" s="358"/>
      <c r="W28" s="358"/>
      <c r="X28" s="358"/>
      <c r="Y28" s="358"/>
      <c r="Z28" s="358"/>
      <c r="AA28" s="358"/>
      <c r="AB28" s="358"/>
      <c r="AC28" s="358"/>
      <c r="AD28" s="358"/>
      <c r="AE28" s="358"/>
      <c r="AF28" s="358"/>
      <c r="AG28" s="358"/>
      <c r="AH28" s="358"/>
      <c r="AI28" s="358"/>
      <c r="AJ28" s="358"/>
      <c r="AK28" s="358"/>
      <c r="AL28" s="358"/>
      <c r="AM28" s="358"/>
      <c r="AN28" s="358"/>
      <c r="AO28" s="358"/>
      <c r="AP28" s="358"/>
      <c r="AQ28" s="358"/>
      <c r="AR28" s="358"/>
      <c r="AS28" s="358"/>
      <c r="AT28" s="358"/>
      <c r="AU28" s="358"/>
      <c r="AV28" s="358"/>
      <c r="AW28" s="358"/>
      <c r="AX28" s="358"/>
      <c r="AY28" s="358"/>
      <c r="AZ28" s="358"/>
      <c r="BB28" s="344"/>
      <c r="BC28" s="345"/>
      <c r="BD28" s="345"/>
      <c r="BE28" s="345"/>
      <c r="BF28" s="345"/>
      <c r="BG28" s="345"/>
      <c r="BH28" s="346"/>
      <c r="BI28" s="373">
        <f>H5</f>
        <v>0</v>
      </c>
      <c r="BJ28" s="373"/>
      <c r="BK28" s="374"/>
      <c r="BL28" s="375">
        <f>K5</f>
        <v>-1</v>
      </c>
      <c r="BM28" s="376"/>
      <c r="BN28" s="377"/>
      <c r="BO28" s="378" t="s">
        <v>70</v>
      </c>
      <c r="BP28" s="379"/>
      <c r="BQ28" s="379"/>
      <c r="BR28" s="382">
        <f>H5</f>
        <v>0</v>
      </c>
      <c r="BS28" s="373"/>
      <c r="BT28" s="374"/>
      <c r="BU28" s="375">
        <f>K5</f>
        <v>-1</v>
      </c>
      <c r="BV28" s="376"/>
      <c r="BW28" s="377"/>
      <c r="BX28" s="378" t="s">
        <v>70</v>
      </c>
      <c r="BY28" s="379"/>
      <c r="BZ28" s="491"/>
      <c r="CA28" s="373">
        <f>H5</f>
        <v>0</v>
      </c>
      <c r="CB28" s="373"/>
      <c r="CC28" s="374"/>
      <c r="CD28" s="375">
        <f>K5</f>
        <v>-1</v>
      </c>
      <c r="CE28" s="376"/>
      <c r="CF28" s="377"/>
      <c r="CG28" s="378" t="s">
        <v>70</v>
      </c>
      <c r="CH28" s="379"/>
      <c r="CI28" s="491"/>
      <c r="CJ28" s="471"/>
      <c r="CK28" s="472"/>
      <c r="CL28" s="472"/>
      <c r="CM28" s="472"/>
      <c r="CN28" s="472"/>
      <c r="CO28" s="472"/>
      <c r="CP28" s="472"/>
      <c r="CQ28" s="472"/>
      <c r="CR28" s="472"/>
      <c r="CS28" s="472"/>
      <c r="CT28" s="472"/>
      <c r="CU28" s="472"/>
      <c r="CV28" s="472"/>
      <c r="CW28" s="472"/>
      <c r="CX28" s="472"/>
      <c r="CY28" s="472"/>
      <c r="CZ28" s="472"/>
      <c r="DA28" s="472"/>
      <c r="DB28" s="473"/>
    </row>
    <row r="29" spans="1:106" ht="12.75" customHeight="1" x14ac:dyDescent="0.15">
      <c r="A29" s="13"/>
      <c r="B29" s="11"/>
      <c r="C29" s="193" t="s">
        <v>44</v>
      </c>
      <c r="D29" s="194"/>
      <c r="E29" s="194"/>
      <c r="F29" s="194"/>
      <c r="G29" s="320"/>
      <c r="H29" s="126"/>
      <c r="I29" s="106"/>
      <c r="J29" s="127"/>
      <c r="K29" s="105"/>
      <c r="L29" s="106"/>
      <c r="M29" s="127"/>
      <c r="N29" s="292" t="str">
        <f t="shared" si="5"/>
        <v>-</v>
      </c>
      <c r="O29" s="293"/>
      <c r="P29" s="294"/>
      <c r="Q29" s="358"/>
      <c r="R29" s="358"/>
      <c r="S29" s="358"/>
      <c r="T29" s="358"/>
      <c r="U29" s="358"/>
      <c r="V29" s="358"/>
      <c r="W29" s="358"/>
      <c r="X29" s="358"/>
      <c r="Y29" s="358"/>
      <c r="Z29" s="358"/>
      <c r="AA29" s="358"/>
      <c r="AB29" s="358"/>
      <c r="AC29" s="358"/>
      <c r="AD29" s="358"/>
      <c r="AE29" s="358"/>
      <c r="AF29" s="358"/>
      <c r="AG29" s="358"/>
      <c r="AH29" s="358"/>
      <c r="AI29" s="358"/>
      <c r="AJ29" s="358"/>
      <c r="AK29" s="358"/>
      <c r="AL29" s="358"/>
      <c r="AM29" s="358"/>
      <c r="AN29" s="358"/>
      <c r="AO29" s="358"/>
      <c r="AP29" s="358"/>
      <c r="AQ29" s="358"/>
      <c r="AR29" s="358"/>
      <c r="AS29" s="358"/>
      <c r="AT29" s="358"/>
      <c r="AU29" s="358"/>
      <c r="AV29" s="358"/>
      <c r="AW29" s="358"/>
      <c r="AX29" s="358"/>
      <c r="AY29" s="358"/>
      <c r="AZ29" s="358"/>
      <c r="BB29" s="383"/>
      <c r="BC29" s="384"/>
      <c r="BD29" s="384"/>
      <c r="BE29" s="384"/>
      <c r="BF29" s="384"/>
      <c r="BG29" s="384"/>
      <c r="BH29" s="385"/>
      <c r="BI29" s="388" t="s">
        <v>64</v>
      </c>
      <c r="BJ29" s="388"/>
      <c r="BK29" s="389"/>
      <c r="BL29" s="390" t="s">
        <v>64</v>
      </c>
      <c r="BM29" s="388"/>
      <c r="BN29" s="389"/>
      <c r="BO29" s="380"/>
      <c r="BP29" s="381"/>
      <c r="BQ29" s="381"/>
      <c r="BR29" s="391" t="s">
        <v>64</v>
      </c>
      <c r="BS29" s="388"/>
      <c r="BT29" s="389"/>
      <c r="BU29" s="390" t="s">
        <v>64</v>
      </c>
      <c r="BV29" s="388"/>
      <c r="BW29" s="389"/>
      <c r="BX29" s="380"/>
      <c r="BY29" s="381"/>
      <c r="BZ29" s="409"/>
      <c r="CA29" s="388" t="s">
        <v>64</v>
      </c>
      <c r="CB29" s="388"/>
      <c r="CC29" s="389"/>
      <c r="CD29" s="390" t="s">
        <v>64</v>
      </c>
      <c r="CE29" s="388"/>
      <c r="CF29" s="389"/>
      <c r="CG29" s="380"/>
      <c r="CH29" s="381"/>
      <c r="CI29" s="409"/>
      <c r="CJ29" s="474"/>
      <c r="CK29" s="475"/>
      <c r="CL29" s="475"/>
      <c r="CM29" s="475"/>
      <c r="CN29" s="475"/>
      <c r="CO29" s="475"/>
      <c r="CP29" s="475"/>
      <c r="CQ29" s="475"/>
      <c r="CR29" s="475"/>
      <c r="CS29" s="475"/>
      <c r="CT29" s="475"/>
      <c r="CU29" s="475"/>
      <c r="CV29" s="475"/>
      <c r="CW29" s="475"/>
      <c r="CX29" s="475"/>
      <c r="CY29" s="475"/>
      <c r="CZ29" s="475"/>
      <c r="DA29" s="475"/>
      <c r="DB29" s="476"/>
    </row>
    <row r="30" spans="1:106" ht="12.75" customHeight="1" x14ac:dyDescent="0.15">
      <c r="A30" s="13"/>
      <c r="B30" s="12"/>
      <c r="C30" s="199" t="s">
        <v>86</v>
      </c>
      <c r="D30" s="200"/>
      <c r="E30" s="200"/>
      <c r="F30" s="200"/>
      <c r="G30" s="361"/>
      <c r="H30" s="126"/>
      <c r="I30" s="106"/>
      <c r="J30" s="127"/>
      <c r="K30" s="105"/>
      <c r="L30" s="106"/>
      <c r="M30" s="127"/>
      <c r="N30" s="292" t="str">
        <f t="shared" si="5"/>
        <v>-</v>
      </c>
      <c r="O30" s="293"/>
      <c r="P30" s="294"/>
      <c r="Q30" s="358"/>
      <c r="R30" s="358"/>
      <c r="S30" s="358"/>
      <c r="T30" s="358"/>
      <c r="U30" s="358"/>
      <c r="V30" s="358"/>
      <c r="W30" s="358"/>
      <c r="X30" s="358"/>
      <c r="Y30" s="358"/>
      <c r="Z30" s="358"/>
      <c r="AA30" s="358"/>
      <c r="AB30" s="358"/>
      <c r="AC30" s="358"/>
      <c r="AD30" s="358"/>
      <c r="AE30" s="358"/>
      <c r="AF30" s="358"/>
      <c r="AG30" s="358"/>
      <c r="AH30" s="358"/>
      <c r="AI30" s="358"/>
      <c r="AJ30" s="358"/>
      <c r="AK30" s="358"/>
      <c r="AL30" s="358"/>
      <c r="AM30" s="358"/>
      <c r="AN30" s="358"/>
      <c r="AO30" s="358"/>
      <c r="AP30" s="358"/>
      <c r="AQ30" s="358"/>
      <c r="AR30" s="358"/>
      <c r="AS30" s="358"/>
      <c r="AT30" s="358"/>
      <c r="AU30" s="358"/>
      <c r="AV30" s="358"/>
      <c r="AW30" s="358"/>
      <c r="AX30" s="358"/>
      <c r="AY30" s="358"/>
      <c r="AZ30" s="358"/>
      <c r="BB30" s="362" t="s">
        <v>56</v>
      </c>
      <c r="BC30" s="363"/>
      <c r="BD30" s="363"/>
      <c r="BE30" s="363"/>
      <c r="BF30" s="363"/>
      <c r="BG30" s="363"/>
      <c r="BH30" s="364"/>
      <c r="BI30" s="369"/>
      <c r="BJ30" s="369"/>
      <c r="BK30" s="370"/>
      <c r="BL30" s="371"/>
      <c r="BM30" s="369"/>
      <c r="BN30" s="370"/>
      <c r="BO30" s="365" t="str">
        <f t="shared" ref="BO30:BO37" si="6">IF(BI30="-", "-", IF(BL30="-", "-", IF(ABS(BL30)=0, "-", ROUND(100*(BI30-BL30)/ABS(BL30),10))))</f>
        <v>-</v>
      </c>
      <c r="BP30" s="366"/>
      <c r="BQ30" s="367"/>
      <c r="BR30" s="283"/>
      <c r="BS30" s="277"/>
      <c r="BT30" s="278"/>
      <c r="BU30" s="371"/>
      <c r="BV30" s="369"/>
      <c r="BW30" s="370"/>
      <c r="BX30" s="365" t="str">
        <f t="shared" ref="BX30:BX37" si="7">IF(BR30="-", "-", IF(BU30="-", "-", IF(ABS(BU30)=0, "-", ROUND(100*(BR30-BU30)/ABS(BU30),10))))</f>
        <v>-</v>
      </c>
      <c r="BY30" s="366"/>
      <c r="BZ30" s="367"/>
      <c r="CA30" s="368"/>
      <c r="CB30" s="369"/>
      <c r="CC30" s="370"/>
      <c r="CD30" s="371"/>
      <c r="CE30" s="369"/>
      <c r="CF30" s="370"/>
      <c r="CG30" s="365" t="str">
        <f t="shared" ref="CG30:CG37" si="8">IF(CA30="-", "-", IF(CD30="-", "-", IF(ABS(CD30)=0, "-", ROUND(100*(CA30-CD30)/ABS(CD30),10))))</f>
        <v>-</v>
      </c>
      <c r="CH30" s="366"/>
      <c r="CI30" s="367"/>
      <c r="CJ30" s="485"/>
      <c r="CK30" s="486"/>
      <c r="CL30" s="486"/>
      <c r="CM30" s="486"/>
      <c r="CN30" s="486"/>
      <c r="CO30" s="486"/>
      <c r="CP30" s="486"/>
      <c r="CQ30" s="486"/>
      <c r="CR30" s="486"/>
      <c r="CS30" s="486"/>
      <c r="CT30" s="486"/>
      <c r="CU30" s="486"/>
      <c r="CV30" s="486"/>
      <c r="CW30" s="486"/>
      <c r="CX30" s="486"/>
      <c r="CY30" s="486"/>
      <c r="CZ30" s="486"/>
      <c r="DA30" s="486"/>
      <c r="DB30" s="487"/>
    </row>
    <row r="31" spans="1:106" ht="12.75" customHeight="1" x14ac:dyDescent="0.15">
      <c r="A31" s="13"/>
      <c r="B31" s="193" t="s">
        <v>3</v>
      </c>
      <c r="C31" s="194"/>
      <c r="D31" s="194"/>
      <c r="E31" s="194"/>
      <c r="F31" s="194"/>
      <c r="G31" s="320"/>
      <c r="H31" s="126"/>
      <c r="I31" s="106"/>
      <c r="J31" s="127"/>
      <c r="K31" s="105"/>
      <c r="L31" s="106"/>
      <c r="M31" s="127"/>
      <c r="N31" s="292" t="str">
        <f t="shared" si="5"/>
        <v>-</v>
      </c>
      <c r="O31" s="293"/>
      <c r="P31" s="294"/>
      <c r="Q31" s="358"/>
      <c r="R31" s="358"/>
      <c r="S31" s="358"/>
      <c r="T31" s="358"/>
      <c r="U31" s="358"/>
      <c r="V31" s="358"/>
      <c r="W31" s="358"/>
      <c r="X31" s="358"/>
      <c r="Y31" s="358"/>
      <c r="Z31" s="358"/>
      <c r="AA31" s="358"/>
      <c r="AB31" s="358"/>
      <c r="AC31" s="358"/>
      <c r="AD31" s="358"/>
      <c r="AE31" s="358"/>
      <c r="AF31" s="358"/>
      <c r="AG31" s="358"/>
      <c r="AH31" s="358"/>
      <c r="AI31" s="358"/>
      <c r="AJ31" s="358"/>
      <c r="AK31" s="358"/>
      <c r="AL31" s="358"/>
      <c r="AM31" s="358"/>
      <c r="AN31" s="358"/>
      <c r="AO31" s="358"/>
      <c r="AP31" s="358"/>
      <c r="AQ31" s="358"/>
      <c r="AR31" s="358"/>
      <c r="AS31" s="358"/>
      <c r="AT31" s="358"/>
      <c r="AU31" s="358"/>
      <c r="AV31" s="358"/>
      <c r="AW31" s="358"/>
      <c r="AX31" s="358"/>
      <c r="AY31" s="358"/>
      <c r="AZ31" s="358"/>
      <c r="BB31" s="20"/>
      <c r="BC31" s="176" t="s">
        <v>32</v>
      </c>
      <c r="BD31" s="177"/>
      <c r="BE31" s="177"/>
      <c r="BF31" s="177"/>
      <c r="BG31" s="177"/>
      <c r="BH31" s="340"/>
      <c r="BI31" s="263"/>
      <c r="BJ31" s="263"/>
      <c r="BK31" s="264"/>
      <c r="BL31" s="265"/>
      <c r="BM31" s="263"/>
      <c r="BN31" s="264"/>
      <c r="BO31" s="292" t="str">
        <f t="shared" si="6"/>
        <v>-</v>
      </c>
      <c r="BP31" s="293"/>
      <c r="BQ31" s="294"/>
      <c r="BR31" s="262"/>
      <c r="BS31" s="263"/>
      <c r="BT31" s="264"/>
      <c r="BU31" s="265"/>
      <c r="BV31" s="263"/>
      <c r="BW31" s="264"/>
      <c r="BX31" s="292" t="str">
        <f t="shared" si="7"/>
        <v>-</v>
      </c>
      <c r="BY31" s="293"/>
      <c r="BZ31" s="294"/>
      <c r="CA31" s="262"/>
      <c r="CB31" s="263"/>
      <c r="CC31" s="264"/>
      <c r="CD31" s="265"/>
      <c r="CE31" s="263"/>
      <c r="CF31" s="264"/>
      <c r="CG31" s="292" t="str">
        <f t="shared" si="8"/>
        <v>-</v>
      </c>
      <c r="CH31" s="293"/>
      <c r="CI31" s="294"/>
      <c r="CJ31" s="309"/>
      <c r="CK31" s="310"/>
      <c r="CL31" s="310"/>
      <c r="CM31" s="310"/>
      <c r="CN31" s="310"/>
      <c r="CO31" s="310"/>
      <c r="CP31" s="310"/>
      <c r="CQ31" s="310"/>
      <c r="CR31" s="310"/>
      <c r="CS31" s="310"/>
      <c r="CT31" s="310"/>
      <c r="CU31" s="310"/>
      <c r="CV31" s="310"/>
      <c r="CW31" s="310"/>
      <c r="CX31" s="310"/>
      <c r="CY31" s="310"/>
      <c r="CZ31" s="310"/>
      <c r="DA31" s="310"/>
      <c r="DB31" s="311"/>
    </row>
    <row r="32" spans="1:106" ht="12.75" customHeight="1" x14ac:dyDescent="0.15">
      <c r="A32" s="13"/>
      <c r="B32" s="193" t="s">
        <v>145</v>
      </c>
      <c r="C32" s="194"/>
      <c r="D32" s="194"/>
      <c r="E32" s="194"/>
      <c r="F32" s="194"/>
      <c r="G32" s="320"/>
      <c r="H32" s="126"/>
      <c r="I32" s="106"/>
      <c r="J32" s="127"/>
      <c r="K32" s="105"/>
      <c r="L32" s="106"/>
      <c r="M32" s="127"/>
      <c r="N32" s="292" t="str">
        <f t="shared" si="5"/>
        <v>-</v>
      </c>
      <c r="O32" s="293"/>
      <c r="P32" s="294"/>
      <c r="Q32" s="358"/>
      <c r="R32" s="358"/>
      <c r="S32" s="358"/>
      <c r="T32" s="358"/>
      <c r="U32" s="358"/>
      <c r="V32" s="358"/>
      <c r="W32" s="358"/>
      <c r="X32" s="358"/>
      <c r="Y32" s="358"/>
      <c r="Z32" s="358"/>
      <c r="AA32" s="358"/>
      <c r="AB32" s="358"/>
      <c r="AC32" s="358"/>
      <c r="AD32" s="358"/>
      <c r="AE32" s="358"/>
      <c r="AF32" s="358"/>
      <c r="AG32" s="358"/>
      <c r="AH32" s="358"/>
      <c r="AI32" s="358"/>
      <c r="AJ32" s="358"/>
      <c r="AK32" s="358"/>
      <c r="AL32" s="358"/>
      <c r="AM32" s="358"/>
      <c r="AN32" s="358"/>
      <c r="AO32" s="358"/>
      <c r="AP32" s="358"/>
      <c r="AQ32" s="358"/>
      <c r="AR32" s="358"/>
      <c r="AS32" s="358"/>
      <c r="AT32" s="358"/>
      <c r="AU32" s="358"/>
      <c r="AV32" s="358"/>
      <c r="AW32" s="358"/>
      <c r="AX32" s="358"/>
      <c r="AY32" s="358"/>
      <c r="AZ32" s="358"/>
      <c r="BB32" s="20"/>
      <c r="BC32" s="355" t="s">
        <v>48</v>
      </c>
      <c r="BD32" s="356"/>
      <c r="BE32" s="356"/>
      <c r="BF32" s="356"/>
      <c r="BG32" s="356"/>
      <c r="BH32" s="357"/>
      <c r="BI32" s="263"/>
      <c r="BJ32" s="263"/>
      <c r="BK32" s="264"/>
      <c r="BL32" s="265"/>
      <c r="BM32" s="263"/>
      <c r="BN32" s="264"/>
      <c r="BO32" s="292" t="str">
        <f t="shared" si="6"/>
        <v>-</v>
      </c>
      <c r="BP32" s="293"/>
      <c r="BQ32" s="294"/>
      <c r="BR32" s="262"/>
      <c r="BS32" s="263"/>
      <c r="BT32" s="264"/>
      <c r="BU32" s="265"/>
      <c r="BV32" s="263"/>
      <c r="BW32" s="264"/>
      <c r="BX32" s="292" t="str">
        <f t="shared" si="7"/>
        <v>-</v>
      </c>
      <c r="BY32" s="293"/>
      <c r="BZ32" s="294"/>
      <c r="CA32" s="262"/>
      <c r="CB32" s="263"/>
      <c r="CC32" s="264"/>
      <c r="CD32" s="265"/>
      <c r="CE32" s="263"/>
      <c r="CF32" s="264"/>
      <c r="CG32" s="292" t="str">
        <f t="shared" si="8"/>
        <v>-</v>
      </c>
      <c r="CH32" s="293"/>
      <c r="CI32" s="294"/>
      <c r="CJ32" s="309"/>
      <c r="CK32" s="310"/>
      <c r="CL32" s="310"/>
      <c r="CM32" s="310"/>
      <c r="CN32" s="310"/>
      <c r="CO32" s="310"/>
      <c r="CP32" s="310"/>
      <c r="CQ32" s="310"/>
      <c r="CR32" s="310"/>
      <c r="CS32" s="310"/>
      <c r="CT32" s="310"/>
      <c r="CU32" s="310"/>
      <c r="CV32" s="310"/>
      <c r="CW32" s="310"/>
      <c r="CX32" s="310"/>
      <c r="CY32" s="310"/>
      <c r="CZ32" s="310"/>
      <c r="DA32" s="310"/>
      <c r="DB32" s="311"/>
    </row>
    <row r="33" spans="1:106" ht="12.75" customHeight="1" x14ac:dyDescent="0.15">
      <c r="A33" s="13"/>
      <c r="B33" s="193" t="s">
        <v>4</v>
      </c>
      <c r="C33" s="194"/>
      <c r="D33" s="194"/>
      <c r="E33" s="194"/>
      <c r="F33" s="194"/>
      <c r="G33" s="320"/>
      <c r="H33" s="126"/>
      <c r="I33" s="106"/>
      <c r="J33" s="127"/>
      <c r="K33" s="134"/>
      <c r="L33" s="135"/>
      <c r="M33" s="155"/>
      <c r="N33" s="266" t="str">
        <f t="shared" si="5"/>
        <v>-</v>
      </c>
      <c r="O33" s="267"/>
      <c r="P33" s="268"/>
      <c r="Q33" s="359"/>
      <c r="R33" s="359"/>
      <c r="S33" s="359"/>
      <c r="T33" s="359"/>
      <c r="U33" s="359"/>
      <c r="V33" s="359"/>
      <c r="W33" s="359"/>
      <c r="X33" s="359"/>
      <c r="Y33" s="359"/>
      <c r="Z33" s="359"/>
      <c r="AA33" s="359"/>
      <c r="AB33" s="359"/>
      <c r="AC33" s="359"/>
      <c r="AD33" s="359"/>
      <c r="AE33" s="359"/>
      <c r="AF33" s="359"/>
      <c r="AG33" s="359"/>
      <c r="AH33" s="359"/>
      <c r="AI33" s="359"/>
      <c r="AJ33" s="359"/>
      <c r="AK33" s="359"/>
      <c r="AL33" s="359"/>
      <c r="AM33" s="359"/>
      <c r="AN33" s="359"/>
      <c r="AO33" s="359"/>
      <c r="AP33" s="359"/>
      <c r="AQ33" s="359"/>
      <c r="AR33" s="359"/>
      <c r="AS33" s="359"/>
      <c r="AT33" s="359"/>
      <c r="AU33" s="359"/>
      <c r="AV33" s="359"/>
      <c r="AW33" s="359"/>
      <c r="AX33" s="359"/>
      <c r="AY33" s="359"/>
      <c r="AZ33" s="359"/>
      <c r="BB33" s="20"/>
      <c r="BC33" s="176" t="s">
        <v>33</v>
      </c>
      <c r="BD33" s="177"/>
      <c r="BE33" s="177"/>
      <c r="BF33" s="177"/>
      <c r="BG33" s="177"/>
      <c r="BH33" s="340"/>
      <c r="BI33" s="263"/>
      <c r="BJ33" s="263"/>
      <c r="BK33" s="264"/>
      <c r="BL33" s="265"/>
      <c r="BM33" s="263"/>
      <c r="BN33" s="264"/>
      <c r="BO33" s="292" t="str">
        <f t="shared" si="6"/>
        <v>-</v>
      </c>
      <c r="BP33" s="293"/>
      <c r="BQ33" s="294"/>
      <c r="BR33" s="262"/>
      <c r="BS33" s="263"/>
      <c r="BT33" s="264"/>
      <c r="BU33" s="265"/>
      <c r="BV33" s="263"/>
      <c r="BW33" s="264"/>
      <c r="BX33" s="292" t="str">
        <f t="shared" si="7"/>
        <v>-</v>
      </c>
      <c r="BY33" s="293"/>
      <c r="BZ33" s="294"/>
      <c r="CA33" s="262"/>
      <c r="CB33" s="263"/>
      <c r="CC33" s="264"/>
      <c r="CD33" s="265"/>
      <c r="CE33" s="263"/>
      <c r="CF33" s="264"/>
      <c r="CG33" s="292" t="str">
        <f t="shared" si="8"/>
        <v>-</v>
      </c>
      <c r="CH33" s="293"/>
      <c r="CI33" s="294"/>
      <c r="CJ33" s="309"/>
      <c r="CK33" s="310"/>
      <c r="CL33" s="310"/>
      <c r="CM33" s="310"/>
      <c r="CN33" s="310"/>
      <c r="CO33" s="310"/>
      <c r="CP33" s="310"/>
      <c r="CQ33" s="310"/>
      <c r="CR33" s="310"/>
      <c r="CS33" s="310"/>
      <c r="CT33" s="310"/>
      <c r="CU33" s="310"/>
      <c r="CV33" s="310"/>
      <c r="CW33" s="310"/>
      <c r="CX33" s="310"/>
      <c r="CY33" s="310"/>
      <c r="CZ33" s="310"/>
      <c r="DA33" s="310"/>
      <c r="DB33" s="311"/>
    </row>
    <row r="34" spans="1:106" ht="12.75" customHeight="1" x14ac:dyDescent="0.15">
      <c r="A34" s="328" t="s">
        <v>149</v>
      </c>
      <c r="B34" s="329"/>
      <c r="C34" s="329"/>
      <c r="D34" s="329"/>
      <c r="E34" s="329"/>
      <c r="F34" s="329"/>
      <c r="G34" s="330"/>
      <c r="H34" s="140"/>
      <c r="I34" s="141"/>
      <c r="J34" s="142"/>
      <c r="K34" s="331"/>
      <c r="L34" s="332"/>
      <c r="M34" s="333"/>
      <c r="N34" s="336" t="str">
        <f t="shared" si="5"/>
        <v>-</v>
      </c>
      <c r="O34" s="337"/>
      <c r="P34" s="338"/>
      <c r="Q34" s="360"/>
      <c r="R34" s="360"/>
      <c r="S34" s="360"/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60"/>
      <c r="AG34" s="360"/>
      <c r="AH34" s="360"/>
      <c r="AI34" s="360"/>
      <c r="AJ34" s="360"/>
      <c r="AK34" s="360"/>
      <c r="AL34" s="360"/>
      <c r="AM34" s="360"/>
      <c r="AN34" s="360"/>
      <c r="AO34" s="360"/>
      <c r="AP34" s="360"/>
      <c r="AQ34" s="360"/>
      <c r="AR34" s="360"/>
      <c r="AS34" s="360"/>
      <c r="AT34" s="360"/>
      <c r="AU34" s="360"/>
      <c r="AV34" s="360"/>
      <c r="AW34" s="360"/>
      <c r="AX34" s="360"/>
      <c r="AY34" s="360"/>
      <c r="AZ34" s="360"/>
      <c r="BB34" s="21"/>
      <c r="BC34" s="351" t="s">
        <v>23</v>
      </c>
      <c r="BD34" s="352"/>
      <c r="BE34" s="352"/>
      <c r="BF34" s="352"/>
      <c r="BG34" s="352"/>
      <c r="BH34" s="353"/>
      <c r="BI34" s="270"/>
      <c r="BJ34" s="270"/>
      <c r="BK34" s="271"/>
      <c r="BL34" s="272"/>
      <c r="BM34" s="270"/>
      <c r="BN34" s="271"/>
      <c r="BO34" s="266" t="str">
        <f t="shared" si="6"/>
        <v>-</v>
      </c>
      <c r="BP34" s="267"/>
      <c r="BQ34" s="268"/>
      <c r="BR34" s="269"/>
      <c r="BS34" s="270"/>
      <c r="BT34" s="271"/>
      <c r="BU34" s="272"/>
      <c r="BV34" s="270"/>
      <c r="BW34" s="271"/>
      <c r="BX34" s="266" t="str">
        <f t="shared" si="7"/>
        <v>-</v>
      </c>
      <c r="BY34" s="267"/>
      <c r="BZ34" s="268"/>
      <c r="CA34" s="269"/>
      <c r="CB34" s="270"/>
      <c r="CC34" s="271"/>
      <c r="CD34" s="272"/>
      <c r="CE34" s="270"/>
      <c r="CF34" s="271"/>
      <c r="CG34" s="266" t="str">
        <f t="shared" si="8"/>
        <v>-</v>
      </c>
      <c r="CH34" s="267"/>
      <c r="CI34" s="268"/>
      <c r="CJ34" s="312"/>
      <c r="CK34" s="313"/>
      <c r="CL34" s="313"/>
      <c r="CM34" s="313"/>
      <c r="CN34" s="313"/>
      <c r="CO34" s="313"/>
      <c r="CP34" s="313"/>
      <c r="CQ34" s="313"/>
      <c r="CR34" s="313"/>
      <c r="CS34" s="313"/>
      <c r="CT34" s="313"/>
      <c r="CU34" s="313"/>
      <c r="CV34" s="313"/>
      <c r="CW34" s="313"/>
      <c r="CX34" s="313"/>
      <c r="CY34" s="313"/>
      <c r="CZ34" s="313"/>
      <c r="DA34" s="313"/>
      <c r="DB34" s="314"/>
    </row>
    <row r="35" spans="1:106" ht="12.75" customHeight="1" x14ac:dyDescent="0.15">
      <c r="A35" s="334" t="s">
        <v>0</v>
      </c>
      <c r="B35" s="335"/>
      <c r="C35" s="335"/>
      <c r="D35" s="335"/>
      <c r="E35" s="335"/>
      <c r="F35" s="335"/>
      <c r="G35" s="339"/>
      <c r="H35" s="354"/>
      <c r="I35" s="332"/>
      <c r="J35" s="333"/>
      <c r="K35" s="331"/>
      <c r="L35" s="332"/>
      <c r="M35" s="333"/>
      <c r="N35" s="336" t="str">
        <f t="shared" si="5"/>
        <v>-</v>
      </c>
      <c r="O35" s="337"/>
      <c r="P35" s="338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60"/>
      <c r="AO35" s="360"/>
      <c r="AP35" s="360"/>
      <c r="AQ35" s="360"/>
      <c r="AR35" s="360"/>
      <c r="AS35" s="360"/>
      <c r="AT35" s="360"/>
      <c r="AU35" s="360"/>
      <c r="AV35" s="360"/>
      <c r="AW35" s="360"/>
      <c r="AX35" s="360"/>
      <c r="AY35" s="360"/>
      <c r="AZ35" s="360"/>
      <c r="BB35" s="328" t="s">
        <v>34</v>
      </c>
      <c r="BC35" s="329"/>
      <c r="BD35" s="329"/>
      <c r="BE35" s="329"/>
      <c r="BF35" s="329"/>
      <c r="BG35" s="329"/>
      <c r="BH35" s="330"/>
      <c r="BI35" s="277"/>
      <c r="BJ35" s="277"/>
      <c r="BK35" s="278"/>
      <c r="BL35" s="276"/>
      <c r="BM35" s="277"/>
      <c r="BN35" s="278"/>
      <c r="BO35" s="325" t="str">
        <f t="shared" si="6"/>
        <v>-</v>
      </c>
      <c r="BP35" s="326"/>
      <c r="BQ35" s="327"/>
      <c r="BR35" s="273"/>
      <c r="BS35" s="274"/>
      <c r="BT35" s="275"/>
      <c r="BU35" s="276"/>
      <c r="BV35" s="277"/>
      <c r="BW35" s="278"/>
      <c r="BX35" s="325" t="str">
        <f t="shared" si="7"/>
        <v>-</v>
      </c>
      <c r="BY35" s="326"/>
      <c r="BZ35" s="327"/>
      <c r="CA35" s="283"/>
      <c r="CB35" s="277"/>
      <c r="CC35" s="278"/>
      <c r="CD35" s="276"/>
      <c r="CE35" s="277"/>
      <c r="CF35" s="278"/>
      <c r="CG35" s="325" t="str">
        <f t="shared" si="8"/>
        <v>-</v>
      </c>
      <c r="CH35" s="326"/>
      <c r="CI35" s="327"/>
      <c r="CJ35" s="306"/>
      <c r="CK35" s="307"/>
      <c r="CL35" s="307"/>
      <c r="CM35" s="307"/>
      <c r="CN35" s="307"/>
      <c r="CO35" s="307"/>
      <c r="CP35" s="307"/>
      <c r="CQ35" s="307"/>
      <c r="CR35" s="307"/>
      <c r="CS35" s="307"/>
      <c r="CT35" s="307"/>
      <c r="CU35" s="307"/>
      <c r="CV35" s="307"/>
      <c r="CW35" s="307"/>
      <c r="CX35" s="307"/>
      <c r="CY35" s="307"/>
      <c r="CZ35" s="307"/>
      <c r="DA35" s="307"/>
      <c r="DB35" s="308"/>
    </row>
    <row r="36" spans="1:106" ht="12.75" customHeight="1" x14ac:dyDescent="0.15">
      <c r="BB36" s="58"/>
      <c r="BC36" s="289" t="s">
        <v>35</v>
      </c>
      <c r="BD36" s="290"/>
      <c r="BE36" s="290"/>
      <c r="BF36" s="290"/>
      <c r="BG36" s="290"/>
      <c r="BH36" s="291"/>
      <c r="BI36" s="280"/>
      <c r="BJ36" s="280"/>
      <c r="BK36" s="281"/>
      <c r="BL36" s="282"/>
      <c r="BM36" s="280"/>
      <c r="BN36" s="281"/>
      <c r="BO36" s="266" t="str">
        <f t="shared" si="6"/>
        <v>-</v>
      </c>
      <c r="BP36" s="267"/>
      <c r="BQ36" s="268"/>
      <c r="BR36" s="279"/>
      <c r="BS36" s="280"/>
      <c r="BT36" s="281"/>
      <c r="BU36" s="282"/>
      <c r="BV36" s="280"/>
      <c r="BW36" s="281"/>
      <c r="BX36" s="266" t="str">
        <f t="shared" si="7"/>
        <v>-</v>
      </c>
      <c r="BY36" s="267"/>
      <c r="BZ36" s="268"/>
      <c r="CA36" s="279"/>
      <c r="CB36" s="280"/>
      <c r="CC36" s="281"/>
      <c r="CD36" s="282"/>
      <c r="CE36" s="280"/>
      <c r="CF36" s="281"/>
      <c r="CG36" s="266" t="str">
        <f t="shared" si="8"/>
        <v>-</v>
      </c>
      <c r="CH36" s="267"/>
      <c r="CI36" s="268"/>
      <c r="CJ36" s="488"/>
      <c r="CK36" s="489"/>
      <c r="CL36" s="489"/>
      <c r="CM36" s="489"/>
      <c r="CN36" s="489"/>
      <c r="CO36" s="489"/>
      <c r="CP36" s="489"/>
      <c r="CQ36" s="489"/>
      <c r="CR36" s="489"/>
      <c r="CS36" s="489"/>
      <c r="CT36" s="489"/>
      <c r="CU36" s="489"/>
      <c r="CV36" s="489"/>
      <c r="CW36" s="489"/>
      <c r="CX36" s="489"/>
      <c r="CY36" s="489"/>
      <c r="CZ36" s="489"/>
      <c r="DA36" s="489"/>
      <c r="DB36" s="490"/>
    </row>
    <row r="37" spans="1:106" ht="12.75" customHeight="1" x14ac:dyDescent="0.15">
      <c r="A37" s="59"/>
      <c r="B37" s="59"/>
      <c r="C37" s="59"/>
      <c r="D37" s="59"/>
      <c r="E37" s="59"/>
      <c r="F37" s="59"/>
      <c r="G37" s="59"/>
      <c r="H37" s="7"/>
      <c r="I37" s="7"/>
      <c r="J37" s="7"/>
      <c r="K37" s="7"/>
      <c r="L37" s="7"/>
      <c r="M37" s="7"/>
      <c r="N37" s="9"/>
      <c r="O37" s="9"/>
      <c r="P37" s="9"/>
      <c r="BB37" s="334" t="s">
        <v>109</v>
      </c>
      <c r="BC37" s="335"/>
      <c r="BD37" s="335"/>
      <c r="BE37" s="335"/>
      <c r="BF37" s="335"/>
      <c r="BG37" s="335"/>
      <c r="BH37" s="18" t="s">
        <v>99</v>
      </c>
      <c r="BI37" s="253"/>
      <c r="BJ37" s="253"/>
      <c r="BK37" s="254"/>
      <c r="BL37" s="253"/>
      <c r="BM37" s="253"/>
      <c r="BN37" s="254"/>
      <c r="BO37" s="336" t="str">
        <f t="shared" si="6"/>
        <v>-</v>
      </c>
      <c r="BP37" s="337"/>
      <c r="BQ37" s="338"/>
      <c r="BR37" s="253"/>
      <c r="BS37" s="253"/>
      <c r="BT37" s="254"/>
      <c r="BU37" s="253"/>
      <c r="BV37" s="253"/>
      <c r="BW37" s="254"/>
      <c r="BX37" s="336" t="str">
        <f t="shared" si="7"/>
        <v>-</v>
      </c>
      <c r="BY37" s="337"/>
      <c r="BZ37" s="338"/>
      <c r="CA37" s="253"/>
      <c r="CB37" s="253"/>
      <c r="CC37" s="254"/>
      <c r="CD37" s="253"/>
      <c r="CE37" s="253"/>
      <c r="CF37" s="254"/>
      <c r="CG37" s="336" t="str">
        <f t="shared" si="8"/>
        <v>-</v>
      </c>
      <c r="CH37" s="337"/>
      <c r="CI37" s="338"/>
      <c r="CJ37" s="482"/>
      <c r="CK37" s="483"/>
      <c r="CL37" s="483"/>
      <c r="CM37" s="483"/>
      <c r="CN37" s="483"/>
      <c r="CO37" s="483"/>
      <c r="CP37" s="483"/>
      <c r="CQ37" s="483"/>
      <c r="CR37" s="483"/>
      <c r="CS37" s="483"/>
      <c r="CT37" s="483"/>
      <c r="CU37" s="483"/>
      <c r="CV37" s="483"/>
      <c r="CW37" s="483"/>
      <c r="CX37" s="483"/>
      <c r="CY37" s="483"/>
      <c r="CZ37" s="483"/>
      <c r="DA37" s="483"/>
      <c r="DB37" s="484"/>
    </row>
    <row r="38" spans="1:106" ht="12.75" customHeight="1" x14ac:dyDescent="0.15">
      <c r="A38" s="4" t="s">
        <v>77</v>
      </c>
    </row>
    <row r="39" spans="1:106" ht="12.75" customHeight="1" x14ac:dyDescent="0.15">
      <c r="A39" s="341"/>
      <c r="B39" s="342"/>
      <c r="C39" s="342"/>
      <c r="D39" s="342"/>
      <c r="E39" s="342"/>
      <c r="F39" s="342"/>
      <c r="G39" s="343"/>
      <c r="H39" s="259" t="s">
        <v>82</v>
      </c>
      <c r="I39" s="260"/>
      <c r="J39" s="260"/>
      <c r="K39" s="260"/>
      <c r="L39" s="260"/>
      <c r="M39" s="260"/>
      <c r="N39" s="260"/>
      <c r="O39" s="260"/>
      <c r="P39" s="261"/>
      <c r="Q39" s="259" t="s">
        <v>69</v>
      </c>
      <c r="R39" s="260"/>
      <c r="S39" s="260"/>
      <c r="T39" s="260"/>
      <c r="U39" s="260"/>
      <c r="V39" s="260"/>
      <c r="W39" s="260"/>
      <c r="X39" s="260"/>
      <c r="Y39" s="261"/>
      <c r="Z39" s="259" t="s">
        <v>83</v>
      </c>
      <c r="AA39" s="260"/>
      <c r="AB39" s="260"/>
      <c r="AC39" s="260"/>
      <c r="AD39" s="260"/>
      <c r="AE39" s="260"/>
      <c r="AF39" s="260"/>
      <c r="AG39" s="260"/>
      <c r="AH39" s="261"/>
      <c r="AI39" s="259" t="s">
        <v>165</v>
      </c>
      <c r="AJ39" s="260"/>
      <c r="AK39" s="260"/>
      <c r="AL39" s="260"/>
      <c r="AM39" s="260"/>
      <c r="AN39" s="260"/>
      <c r="AO39" s="260"/>
      <c r="AP39" s="260"/>
      <c r="AQ39" s="260"/>
      <c r="AR39" s="260"/>
      <c r="AS39" s="260"/>
      <c r="AT39" s="260"/>
      <c r="AU39" s="260"/>
      <c r="AV39" s="260"/>
      <c r="AW39" s="260"/>
      <c r="AX39" s="260"/>
      <c r="AY39" s="260"/>
      <c r="AZ39" s="261"/>
    </row>
    <row r="40" spans="1:106" ht="12.75" customHeight="1" x14ac:dyDescent="0.15">
      <c r="A40" s="344"/>
      <c r="B40" s="345"/>
      <c r="C40" s="345"/>
      <c r="D40" s="345"/>
      <c r="E40" s="345"/>
      <c r="F40" s="345"/>
      <c r="G40" s="346"/>
      <c r="H40" s="301">
        <f>H5</f>
        <v>0</v>
      </c>
      <c r="I40" s="302"/>
      <c r="J40" s="302"/>
      <c r="K40" s="298">
        <f>K5</f>
        <v>-1</v>
      </c>
      <c r="L40" s="298"/>
      <c r="M40" s="298"/>
      <c r="N40" s="299" t="s">
        <v>70</v>
      </c>
      <c r="O40" s="299"/>
      <c r="P40" s="300"/>
      <c r="Q40" s="301">
        <f>H5</f>
        <v>0</v>
      </c>
      <c r="R40" s="302"/>
      <c r="S40" s="302"/>
      <c r="T40" s="298">
        <f>K5</f>
        <v>-1</v>
      </c>
      <c r="U40" s="298"/>
      <c r="V40" s="298"/>
      <c r="W40" s="299" t="s">
        <v>70</v>
      </c>
      <c r="X40" s="299"/>
      <c r="Y40" s="300"/>
      <c r="Z40" s="301">
        <f>H5</f>
        <v>0</v>
      </c>
      <c r="AA40" s="302"/>
      <c r="AB40" s="302"/>
      <c r="AC40" s="298">
        <f>K5</f>
        <v>-1</v>
      </c>
      <c r="AD40" s="298"/>
      <c r="AE40" s="298"/>
      <c r="AF40" s="299" t="s">
        <v>70</v>
      </c>
      <c r="AG40" s="299"/>
      <c r="AH40" s="300"/>
      <c r="AI40" s="303"/>
      <c r="AJ40" s="304"/>
      <c r="AK40" s="304"/>
      <c r="AL40" s="304"/>
      <c r="AM40" s="304"/>
      <c r="AN40" s="304"/>
      <c r="AO40" s="304"/>
      <c r="AP40" s="304"/>
      <c r="AQ40" s="304"/>
      <c r="AR40" s="304"/>
      <c r="AS40" s="304"/>
      <c r="AT40" s="304"/>
      <c r="AU40" s="304"/>
      <c r="AV40" s="304"/>
      <c r="AW40" s="304"/>
      <c r="AX40" s="304"/>
      <c r="AY40" s="304"/>
      <c r="AZ40" s="305"/>
    </row>
    <row r="41" spans="1:106" ht="12.75" customHeight="1" x14ac:dyDescent="0.15">
      <c r="A41" s="347" t="s">
        <v>9</v>
      </c>
      <c r="B41" s="348"/>
      <c r="C41" s="348"/>
      <c r="D41" s="348"/>
      <c r="E41" s="348"/>
      <c r="F41" s="348"/>
      <c r="G41" s="349"/>
      <c r="H41" s="350"/>
      <c r="I41" s="209"/>
      <c r="J41" s="209"/>
      <c r="K41" s="209"/>
      <c r="L41" s="209"/>
      <c r="M41" s="209"/>
      <c r="N41" s="295" t="str">
        <f>IF(H41="-", "-", IF(K41="-", "-", IF(ABS(K41)=0, "-", ROUND(100*(H41-K41)/ABS(K41),1))))</f>
        <v>-</v>
      </c>
      <c r="O41" s="296"/>
      <c r="P41" s="297"/>
      <c r="Q41" s="255"/>
      <c r="R41" s="256"/>
      <c r="S41" s="256"/>
      <c r="T41" s="256"/>
      <c r="U41" s="256"/>
      <c r="V41" s="256"/>
      <c r="W41" s="295" t="str">
        <f>IF(Q41="-", "-", IF(T41="-", "-", IF(ABS(T41)=0, "-", ROUND(100*(Q41-T41)/ABS(T41),1))))</f>
        <v>-</v>
      </c>
      <c r="X41" s="296"/>
      <c r="Y41" s="297"/>
      <c r="Z41" s="255"/>
      <c r="AA41" s="256"/>
      <c r="AB41" s="256"/>
      <c r="AC41" s="256"/>
      <c r="AD41" s="256"/>
      <c r="AE41" s="256"/>
      <c r="AF41" s="295" t="str">
        <f>IF(Z41="-", "-", IF(AC41="-", "-", IF(ABS(AC41)=0, "-", ROUND(100*(Z41-AC41)/ABS(AC41),1))))</f>
        <v>-</v>
      </c>
      <c r="AG41" s="296"/>
      <c r="AH41" s="297"/>
      <c r="AI41" s="306"/>
      <c r="AJ41" s="307"/>
      <c r="AK41" s="307"/>
      <c r="AL41" s="307"/>
      <c r="AM41" s="307"/>
      <c r="AN41" s="307"/>
      <c r="AO41" s="307"/>
      <c r="AP41" s="307"/>
      <c r="AQ41" s="307"/>
      <c r="AR41" s="307"/>
      <c r="AS41" s="307"/>
      <c r="AT41" s="307"/>
      <c r="AU41" s="307"/>
      <c r="AV41" s="307"/>
      <c r="AW41" s="307"/>
      <c r="AX41" s="307"/>
      <c r="AY41" s="307"/>
      <c r="AZ41" s="308"/>
    </row>
    <row r="42" spans="1:106" ht="12.75" customHeight="1" x14ac:dyDescent="0.15">
      <c r="A42" s="319" t="s">
        <v>10</v>
      </c>
      <c r="B42" s="194"/>
      <c r="C42" s="194"/>
      <c r="D42" s="194"/>
      <c r="E42" s="194"/>
      <c r="F42" s="194"/>
      <c r="G42" s="320"/>
      <c r="H42" s="321"/>
      <c r="I42" s="322"/>
      <c r="J42" s="322"/>
      <c r="K42" s="105"/>
      <c r="L42" s="106"/>
      <c r="M42" s="127"/>
      <c r="N42" s="292" t="str">
        <f>IF(H42="-", "-", IF(K42="-", "-", IF(ABS(K42)=0, "-", ROUND(100*(H42-K42)/ABS(K42),1))))</f>
        <v>-</v>
      </c>
      <c r="O42" s="293"/>
      <c r="P42" s="294"/>
      <c r="Q42" s="257"/>
      <c r="R42" s="258"/>
      <c r="S42" s="258"/>
      <c r="T42" s="258"/>
      <c r="U42" s="258"/>
      <c r="V42" s="258"/>
      <c r="W42" s="292" t="str">
        <f>IF(Q42="-", "-", IF(T42="-", "-", IF(ABS(T42)=0, "-", ROUND(100*(Q42-T42)/ABS(T42),1))))</f>
        <v>-</v>
      </c>
      <c r="X42" s="293"/>
      <c r="Y42" s="294"/>
      <c r="Z42" s="257"/>
      <c r="AA42" s="258"/>
      <c r="AB42" s="258"/>
      <c r="AC42" s="258"/>
      <c r="AD42" s="258"/>
      <c r="AE42" s="258"/>
      <c r="AF42" s="292" t="str">
        <f>IF(Z42="-", "-", IF(AC42="-", "-", IF(ABS(AC42)=0, "-", ROUND(100*(Z42-AC42)/ABS(AC42),1))))</f>
        <v>-</v>
      </c>
      <c r="AG42" s="293"/>
      <c r="AH42" s="294"/>
      <c r="AI42" s="309"/>
      <c r="AJ42" s="310"/>
      <c r="AK42" s="310"/>
      <c r="AL42" s="310"/>
      <c r="AM42" s="310"/>
      <c r="AN42" s="310"/>
      <c r="AO42" s="310"/>
      <c r="AP42" s="310"/>
      <c r="AQ42" s="310"/>
      <c r="AR42" s="310"/>
      <c r="AS42" s="310"/>
      <c r="AT42" s="310"/>
      <c r="AU42" s="310"/>
      <c r="AV42" s="310"/>
      <c r="AW42" s="310"/>
      <c r="AX42" s="310"/>
      <c r="AY42" s="310"/>
      <c r="AZ42" s="311"/>
    </row>
    <row r="43" spans="1:106" ht="12.75" customHeight="1" x14ac:dyDescent="0.15">
      <c r="A43" s="319" t="s">
        <v>11</v>
      </c>
      <c r="B43" s="194"/>
      <c r="C43" s="194"/>
      <c r="D43" s="194"/>
      <c r="E43" s="194"/>
      <c r="F43" s="194"/>
      <c r="G43" s="320"/>
      <c r="H43" s="321"/>
      <c r="I43" s="322"/>
      <c r="J43" s="322"/>
      <c r="K43" s="105"/>
      <c r="L43" s="106"/>
      <c r="M43" s="127"/>
      <c r="N43" s="292" t="str">
        <f>IF(H43="-", "-", IF(K43="-", "-", IF(ABS(K43)=0, "-", ROUND(100*(H43-K43)/ABS(K43),1))))</f>
        <v>-</v>
      </c>
      <c r="O43" s="293"/>
      <c r="P43" s="294"/>
      <c r="Q43" s="257"/>
      <c r="R43" s="258"/>
      <c r="S43" s="258"/>
      <c r="T43" s="258"/>
      <c r="U43" s="258"/>
      <c r="V43" s="258"/>
      <c r="W43" s="292" t="str">
        <f>IF(Q43="-", "-", IF(T43="-", "-", IF(ABS(T43)=0, "-", ROUND(100*(Q43-T43)/ABS(T43),1))))</f>
        <v>-</v>
      </c>
      <c r="X43" s="293"/>
      <c r="Y43" s="294"/>
      <c r="Z43" s="257"/>
      <c r="AA43" s="258"/>
      <c r="AB43" s="258"/>
      <c r="AC43" s="258"/>
      <c r="AD43" s="258"/>
      <c r="AE43" s="258"/>
      <c r="AF43" s="292" t="str">
        <f>IF(Z43="-", "-", IF(AC43="-", "-", IF(ABS(AC43)=0, "-", ROUND(100*(Z43-AC43)/ABS(AC43),1))))</f>
        <v>-</v>
      </c>
      <c r="AG43" s="293"/>
      <c r="AH43" s="294"/>
      <c r="AI43" s="309"/>
      <c r="AJ43" s="310"/>
      <c r="AK43" s="310"/>
      <c r="AL43" s="310"/>
      <c r="AM43" s="310"/>
      <c r="AN43" s="310"/>
      <c r="AO43" s="310"/>
      <c r="AP43" s="310"/>
      <c r="AQ43" s="310"/>
      <c r="AR43" s="310"/>
      <c r="AS43" s="310"/>
      <c r="AT43" s="310"/>
      <c r="AU43" s="310"/>
      <c r="AV43" s="310"/>
      <c r="AW43" s="310"/>
      <c r="AX43" s="310"/>
      <c r="AY43" s="310"/>
      <c r="AZ43" s="311"/>
    </row>
    <row r="44" spans="1:106" ht="12.75" customHeight="1" x14ac:dyDescent="0.15">
      <c r="A44" s="315" t="s">
        <v>12</v>
      </c>
      <c r="B44" s="290"/>
      <c r="C44" s="290"/>
      <c r="D44" s="290"/>
      <c r="E44" s="290"/>
      <c r="F44" s="290"/>
      <c r="G44" s="291"/>
      <c r="H44" s="316"/>
      <c r="I44" s="317"/>
      <c r="J44" s="317"/>
      <c r="K44" s="134"/>
      <c r="L44" s="135"/>
      <c r="M44" s="155"/>
      <c r="N44" s="266" t="str">
        <f>IF(H44="-", "-", IF(K44="-", "-", IF(ABS(K44)=0, "-", ROUND(100*(H44-K44)/ABS(K44),1))))</f>
        <v>-</v>
      </c>
      <c r="O44" s="267"/>
      <c r="P44" s="268"/>
      <c r="Q44" s="323"/>
      <c r="R44" s="324"/>
      <c r="S44" s="324"/>
      <c r="T44" s="324"/>
      <c r="U44" s="324"/>
      <c r="V44" s="324"/>
      <c r="W44" s="266" t="str">
        <f>IF(Q44="-", "-", IF(T44="-", "-", IF(ABS(T44)=0, "-", ROUND(100*(Q44-T44)/ABS(T44),1))))</f>
        <v>-</v>
      </c>
      <c r="X44" s="267"/>
      <c r="Y44" s="268"/>
      <c r="Z44" s="318"/>
      <c r="AA44" s="285"/>
      <c r="AB44" s="285"/>
      <c r="AC44" s="284"/>
      <c r="AD44" s="285"/>
      <c r="AE44" s="285"/>
      <c r="AF44" s="286"/>
      <c r="AG44" s="287"/>
      <c r="AH44" s="288"/>
      <c r="AI44" s="312"/>
      <c r="AJ44" s="313"/>
      <c r="AK44" s="313"/>
      <c r="AL44" s="313"/>
      <c r="AM44" s="313"/>
      <c r="AN44" s="313"/>
      <c r="AO44" s="313"/>
      <c r="AP44" s="313"/>
      <c r="AQ44" s="313"/>
      <c r="AR44" s="313"/>
      <c r="AS44" s="313"/>
      <c r="AT44" s="313"/>
      <c r="AU44" s="313"/>
      <c r="AV44" s="313"/>
      <c r="AW44" s="313"/>
      <c r="AX44" s="313"/>
      <c r="AY44" s="313"/>
      <c r="AZ44" s="314"/>
    </row>
    <row r="45" spans="1:106" ht="12.2" customHeight="1" x14ac:dyDescent="0.15">
      <c r="G45" s="59"/>
      <c r="H45" s="7"/>
      <c r="I45" s="7"/>
      <c r="J45" s="7"/>
      <c r="K45" s="7"/>
      <c r="L45" s="7"/>
      <c r="M45" s="7"/>
      <c r="N45" s="9"/>
      <c r="O45" s="9"/>
      <c r="P45" s="9"/>
    </row>
    <row r="46" spans="1:106" ht="12.2" customHeight="1" x14ac:dyDescent="0.15">
      <c r="G46" s="59"/>
      <c r="H46" s="7"/>
      <c r="I46" s="7"/>
      <c r="J46" s="7"/>
      <c r="K46" s="7"/>
      <c r="L46" s="7"/>
      <c r="M46" s="7"/>
      <c r="N46" s="9"/>
      <c r="O46" s="9"/>
      <c r="P46" s="9"/>
    </row>
    <row r="47" spans="1:106" ht="14.1" customHeight="1" x14ac:dyDescent="0.15">
      <c r="G47" s="59"/>
      <c r="H47" s="7"/>
      <c r="I47" s="7"/>
      <c r="J47" s="7"/>
      <c r="K47" s="7"/>
      <c r="L47" s="7"/>
      <c r="M47" s="7"/>
      <c r="N47" s="9"/>
      <c r="O47" s="9"/>
      <c r="P47" s="9"/>
    </row>
    <row r="60" spans="7:16" ht="14.1" customHeight="1" x14ac:dyDescent="0.15">
      <c r="G60" s="59"/>
      <c r="H60" s="7"/>
      <c r="I60" s="7"/>
      <c r="J60" s="7"/>
      <c r="K60" s="7"/>
      <c r="L60" s="7"/>
      <c r="M60" s="7"/>
      <c r="N60" s="9"/>
      <c r="O60" s="9"/>
      <c r="P60" s="9"/>
    </row>
  </sheetData>
  <mergeCells count="439">
    <mergeCell ref="CJ30:DB30"/>
    <mergeCell ref="CJ31:DB31"/>
    <mergeCell ref="CJ32:DB32"/>
    <mergeCell ref="CJ33:DB33"/>
    <mergeCell ref="CJ34:DB34"/>
    <mergeCell ref="CJ35:DB35"/>
    <mergeCell ref="CJ36:DB36"/>
    <mergeCell ref="CA27:CI27"/>
    <mergeCell ref="BU28:BW28"/>
    <mergeCell ref="BX28:BZ29"/>
    <mergeCell ref="CA28:CC28"/>
    <mergeCell ref="CD28:CF28"/>
    <mergeCell ref="CG28:CI29"/>
    <mergeCell ref="CG30:CI30"/>
    <mergeCell ref="BU29:BW29"/>
    <mergeCell ref="CA29:CC29"/>
    <mergeCell ref="CD29:CF29"/>
    <mergeCell ref="CG32:CI32"/>
    <mergeCell ref="BX34:BZ34"/>
    <mergeCell ref="CA34:CC34"/>
    <mergeCell ref="CD34:CF34"/>
    <mergeCell ref="BX35:BZ35"/>
    <mergeCell ref="CG33:CI33"/>
    <mergeCell ref="BX32:BZ32"/>
    <mergeCell ref="CJ37:DB37"/>
    <mergeCell ref="BR14:CA14"/>
    <mergeCell ref="BR15:CA15"/>
    <mergeCell ref="BR16:CA16"/>
    <mergeCell ref="BR17:CA17"/>
    <mergeCell ref="BR20:CA21"/>
    <mergeCell ref="BR22:CA22"/>
    <mergeCell ref="BR23:CA23"/>
    <mergeCell ref="BR24:CA24"/>
    <mergeCell ref="CS20:DB20"/>
    <mergeCell ref="CS21:DB21"/>
    <mergeCell ref="CS22:DB22"/>
    <mergeCell ref="CJ22:CL22"/>
    <mergeCell ref="CM22:CO22"/>
    <mergeCell ref="CP22:CR22"/>
    <mergeCell ref="CC20:CI20"/>
    <mergeCell ref="CC21:CI21"/>
    <mergeCell ref="CC22:CI22"/>
    <mergeCell ref="CC18:CI19"/>
    <mergeCell ref="CJ18:CL19"/>
    <mergeCell ref="CM18:CO19"/>
    <mergeCell ref="CP18:CR19"/>
    <mergeCell ref="CJ20:CL20"/>
    <mergeCell ref="CM20:CO20"/>
    <mergeCell ref="CS5:DB6"/>
    <mergeCell ref="CS7:DB7"/>
    <mergeCell ref="CS8:DB8"/>
    <mergeCell ref="CS9:DB9"/>
    <mergeCell ref="CS10:DB10"/>
    <mergeCell ref="CS11:DB11"/>
    <mergeCell ref="CS12:DB12"/>
    <mergeCell ref="CS13:DB13"/>
    <mergeCell ref="CS18:DB19"/>
    <mergeCell ref="CP5:CR6"/>
    <mergeCell ref="H6:J6"/>
    <mergeCell ref="K6:M6"/>
    <mergeCell ref="BI6:BK6"/>
    <mergeCell ref="BL6:BN6"/>
    <mergeCell ref="Q5:AZ6"/>
    <mergeCell ref="Q27:AZ27"/>
    <mergeCell ref="Q28:AZ28"/>
    <mergeCell ref="Q29:AZ29"/>
    <mergeCell ref="BR27:BZ27"/>
    <mergeCell ref="CJ27:DB29"/>
    <mergeCell ref="CP7:CR7"/>
    <mergeCell ref="BR5:CA6"/>
    <mergeCell ref="BL5:BN5"/>
    <mergeCell ref="BO5:BQ6"/>
    <mergeCell ref="CC5:CI6"/>
    <mergeCell ref="CJ5:CL6"/>
    <mergeCell ref="CM5:CO6"/>
    <mergeCell ref="CP8:CR8"/>
    <mergeCell ref="BL10:BN11"/>
    <mergeCell ref="BO10:BQ11"/>
    <mergeCell ref="CC10:CH10"/>
    <mergeCell ref="CP10:CR10"/>
    <mergeCell ref="CD11:CH11"/>
    <mergeCell ref="A1:AN2"/>
    <mergeCell ref="AO1:AZ1"/>
    <mergeCell ref="AO2:AZ2"/>
    <mergeCell ref="A5:G6"/>
    <mergeCell ref="H5:J5"/>
    <mergeCell ref="K5:M5"/>
    <mergeCell ref="N5:P6"/>
    <mergeCell ref="BB5:BH6"/>
    <mergeCell ref="BI5:BK5"/>
    <mergeCell ref="A7:G7"/>
    <mergeCell ref="H7:J7"/>
    <mergeCell ref="K7:M7"/>
    <mergeCell ref="N7:P7"/>
    <mergeCell ref="BB7:BH7"/>
    <mergeCell ref="BI7:BK7"/>
    <mergeCell ref="CP20:CR20"/>
    <mergeCell ref="CJ21:CL21"/>
    <mergeCell ref="CM21:CO21"/>
    <mergeCell ref="CP21:CR21"/>
    <mergeCell ref="BL7:BN7"/>
    <mergeCell ref="BO7:BQ7"/>
    <mergeCell ref="CC7:CH7"/>
    <mergeCell ref="CJ7:CL7"/>
    <mergeCell ref="Q7:AZ7"/>
    <mergeCell ref="Q8:AZ8"/>
    <mergeCell ref="BR7:CA7"/>
    <mergeCell ref="CM7:CO7"/>
    <mergeCell ref="B9:G9"/>
    <mergeCell ref="H9:J9"/>
    <mergeCell ref="K9:M9"/>
    <mergeCell ref="N9:P9"/>
    <mergeCell ref="CC9:CH9"/>
    <mergeCell ref="CP9:CR9"/>
    <mergeCell ref="B8:G8"/>
    <mergeCell ref="H8:J8"/>
    <mergeCell ref="K8:M8"/>
    <mergeCell ref="N8:P8"/>
    <mergeCell ref="CC8:CH8"/>
    <mergeCell ref="CJ8:CL8"/>
    <mergeCell ref="CJ9:CL9"/>
    <mergeCell ref="CM9:CO9"/>
    <mergeCell ref="Q9:AZ9"/>
    <mergeCell ref="CM8:CO8"/>
    <mergeCell ref="K10:M10"/>
    <mergeCell ref="N10:P10"/>
    <mergeCell ref="BB10:BH11"/>
    <mergeCell ref="BI10:BK11"/>
    <mergeCell ref="B11:G11"/>
    <mergeCell ref="H11:J11"/>
    <mergeCell ref="K11:M11"/>
    <mergeCell ref="N11:P11"/>
    <mergeCell ref="Q10:AZ10"/>
    <mergeCell ref="Q11:AZ11"/>
    <mergeCell ref="CP11:CR11"/>
    <mergeCell ref="CM12:CO12"/>
    <mergeCell ref="CP12:CR12"/>
    <mergeCell ref="CC12:CE13"/>
    <mergeCell ref="CF12:CH12"/>
    <mergeCell ref="CJ12:CL12"/>
    <mergeCell ref="CF13:CH13"/>
    <mergeCell ref="CP13:CR13"/>
    <mergeCell ref="CJ10:CL10"/>
    <mergeCell ref="CM10:CO10"/>
    <mergeCell ref="CJ11:CL11"/>
    <mergeCell ref="CM11:CO11"/>
    <mergeCell ref="CJ13:CL13"/>
    <mergeCell ref="CM13:CO13"/>
    <mergeCell ref="BR10:CA11"/>
    <mergeCell ref="BR12:CA12"/>
    <mergeCell ref="BR13:CA13"/>
    <mergeCell ref="B13:G13"/>
    <mergeCell ref="H13:J13"/>
    <mergeCell ref="K13:M13"/>
    <mergeCell ref="N13:P13"/>
    <mergeCell ref="BD13:BG13"/>
    <mergeCell ref="BI13:BK13"/>
    <mergeCell ref="BL13:BN13"/>
    <mergeCell ref="BO13:BQ13"/>
    <mergeCell ref="BI12:BK12"/>
    <mergeCell ref="BL12:BN12"/>
    <mergeCell ref="BO12:BQ12"/>
    <mergeCell ref="B12:G12"/>
    <mergeCell ref="H12:J12"/>
    <mergeCell ref="K12:M12"/>
    <mergeCell ref="N12:P12"/>
    <mergeCell ref="BB12:BC13"/>
    <mergeCell ref="BD12:BG12"/>
    <mergeCell ref="Q12:AZ12"/>
    <mergeCell ref="Q13:AZ13"/>
    <mergeCell ref="B10:G10"/>
    <mergeCell ref="H10:J10"/>
    <mergeCell ref="B14:G14"/>
    <mergeCell ref="H14:J14"/>
    <mergeCell ref="K14:M14"/>
    <mergeCell ref="N14:P14"/>
    <mergeCell ref="BB14:BG14"/>
    <mergeCell ref="BI14:BK14"/>
    <mergeCell ref="BL14:BN14"/>
    <mergeCell ref="BO14:BQ14"/>
    <mergeCell ref="BO15:BQ15"/>
    <mergeCell ref="Q14:AZ14"/>
    <mergeCell ref="Q15:AZ15"/>
    <mergeCell ref="B16:G16"/>
    <mergeCell ref="H16:J16"/>
    <mergeCell ref="K16:M16"/>
    <mergeCell ref="N16:P16"/>
    <mergeCell ref="BB16:BG16"/>
    <mergeCell ref="BI16:BK16"/>
    <mergeCell ref="BL16:BN16"/>
    <mergeCell ref="BO16:BQ16"/>
    <mergeCell ref="B15:G15"/>
    <mergeCell ref="H15:J15"/>
    <mergeCell ref="K15:M15"/>
    <mergeCell ref="N15:P15"/>
    <mergeCell ref="BB15:BG15"/>
    <mergeCell ref="BI15:BK15"/>
    <mergeCell ref="BL15:BN15"/>
    <mergeCell ref="Q16:AZ16"/>
    <mergeCell ref="BL17:BN17"/>
    <mergeCell ref="BO17:BQ17"/>
    <mergeCell ref="B18:G18"/>
    <mergeCell ref="H18:J18"/>
    <mergeCell ref="K18:M18"/>
    <mergeCell ref="N18:P18"/>
    <mergeCell ref="B17:G17"/>
    <mergeCell ref="H17:J17"/>
    <mergeCell ref="K17:M17"/>
    <mergeCell ref="N17:P17"/>
    <mergeCell ref="BB17:BG17"/>
    <mergeCell ref="BI17:BK17"/>
    <mergeCell ref="Q17:AZ17"/>
    <mergeCell ref="Q18:AZ18"/>
    <mergeCell ref="A21:G21"/>
    <mergeCell ref="H21:J21"/>
    <mergeCell ref="K21:M21"/>
    <mergeCell ref="N21:P21"/>
    <mergeCell ref="BI21:BK21"/>
    <mergeCell ref="BL21:BN21"/>
    <mergeCell ref="B19:G19"/>
    <mergeCell ref="H19:J19"/>
    <mergeCell ref="K19:M19"/>
    <mergeCell ref="N19:P19"/>
    <mergeCell ref="A20:G20"/>
    <mergeCell ref="H20:J20"/>
    <mergeCell ref="K20:M20"/>
    <mergeCell ref="N20:P20"/>
    <mergeCell ref="Q19:AZ19"/>
    <mergeCell ref="Q20:AZ20"/>
    <mergeCell ref="Q21:AZ21"/>
    <mergeCell ref="BB22:BH22"/>
    <mergeCell ref="BI22:BK22"/>
    <mergeCell ref="BL22:BN22"/>
    <mergeCell ref="BO22:BQ22"/>
    <mergeCell ref="BB23:BH23"/>
    <mergeCell ref="BI23:BK23"/>
    <mergeCell ref="BL23:BN23"/>
    <mergeCell ref="BO23:BQ23"/>
    <mergeCell ref="BB20:BH21"/>
    <mergeCell ref="BI20:BK20"/>
    <mergeCell ref="BL20:BN20"/>
    <mergeCell ref="BO20:BQ21"/>
    <mergeCell ref="BL24:BN24"/>
    <mergeCell ref="BO24:BQ24"/>
    <mergeCell ref="H25:J25"/>
    <mergeCell ref="K25:M25"/>
    <mergeCell ref="A26:G26"/>
    <mergeCell ref="H26:J26"/>
    <mergeCell ref="K26:M26"/>
    <mergeCell ref="N26:P26"/>
    <mergeCell ref="A24:G25"/>
    <mergeCell ref="H24:J24"/>
    <mergeCell ref="K24:M24"/>
    <mergeCell ref="N24:P25"/>
    <mergeCell ref="BB24:BH24"/>
    <mergeCell ref="BI24:BK24"/>
    <mergeCell ref="Q24:AZ25"/>
    <mergeCell ref="Q26:AZ26"/>
    <mergeCell ref="B28:G28"/>
    <mergeCell ref="H28:J28"/>
    <mergeCell ref="K28:M28"/>
    <mergeCell ref="N28:P28"/>
    <mergeCell ref="BI28:BK28"/>
    <mergeCell ref="BL28:BN28"/>
    <mergeCell ref="BO28:BQ29"/>
    <mergeCell ref="BR28:BT28"/>
    <mergeCell ref="B27:G27"/>
    <mergeCell ref="H27:J27"/>
    <mergeCell ref="K27:M27"/>
    <mergeCell ref="N27:P27"/>
    <mergeCell ref="BB27:BH29"/>
    <mergeCell ref="BI27:BQ27"/>
    <mergeCell ref="C29:G29"/>
    <mergeCell ref="BI29:BK29"/>
    <mergeCell ref="BL29:BN29"/>
    <mergeCell ref="BR29:BT29"/>
    <mergeCell ref="B31:G31"/>
    <mergeCell ref="H31:J31"/>
    <mergeCell ref="K31:M31"/>
    <mergeCell ref="N31:P31"/>
    <mergeCell ref="BC31:BH31"/>
    <mergeCell ref="CG31:CI31"/>
    <mergeCell ref="BO31:BQ31"/>
    <mergeCell ref="BX31:BZ31"/>
    <mergeCell ref="BI31:BK31"/>
    <mergeCell ref="BL31:BN31"/>
    <mergeCell ref="BR31:BT31"/>
    <mergeCell ref="BU31:BW31"/>
    <mergeCell ref="CA31:CC31"/>
    <mergeCell ref="CD31:CF31"/>
    <mergeCell ref="Q31:AZ31"/>
    <mergeCell ref="C30:G30"/>
    <mergeCell ref="BB30:BH30"/>
    <mergeCell ref="BO30:BQ30"/>
    <mergeCell ref="BX30:BZ30"/>
    <mergeCell ref="CA30:CC30"/>
    <mergeCell ref="CD30:CF30"/>
    <mergeCell ref="H29:J29"/>
    <mergeCell ref="K29:M29"/>
    <mergeCell ref="N29:P29"/>
    <mergeCell ref="H30:J30"/>
    <mergeCell ref="K30:M30"/>
    <mergeCell ref="N30:P30"/>
    <mergeCell ref="BI30:BK30"/>
    <mergeCell ref="BL30:BN30"/>
    <mergeCell ref="BR30:BT30"/>
    <mergeCell ref="BU30:BW30"/>
    <mergeCell ref="Q30:AZ30"/>
    <mergeCell ref="B32:G32"/>
    <mergeCell ref="H32:J32"/>
    <mergeCell ref="K32:M32"/>
    <mergeCell ref="K35:M35"/>
    <mergeCell ref="N34:P34"/>
    <mergeCell ref="BC34:BH34"/>
    <mergeCell ref="BO32:BQ32"/>
    <mergeCell ref="H35:J35"/>
    <mergeCell ref="BO35:BQ35"/>
    <mergeCell ref="BI35:BK35"/>
    <mergeCell ref="BL35:BN35"/>
    <mergeCell ref="BO34:BQ34"/>
    <mergeCell ref="BI32:BK32"/>
    <mergeCell ref="BL32:BN32"/>
    <mergeCell ref="N32:P32"/>
    <mergeCell ref="BC32:BH32"/>
    <mergeCell ref="Q32:AZ32"/>
    <mergeCell ref="Q33:AZ33"/>
    <mergeCell ref="Q34:AZ34"/>
    <mergeCell ref="Q35:AZ35"/>
    <mergeCell ref="B33:G33"/>
    <mergeCell ref="H33:J33"/>
    <mergeCell ref="K33:M33"/>
    <mergeCell ref="N33:P33"/>
    <mergeCell ref="BC33:BH33"/>
    <mergeCell ref="A42:G42"/>
    <mergeCell ref="H42:J42"/>
    <mergeCell ref="K42:M42"/>
    <mergeCell ref="N42:P42"/>
    <mergeCell ref="W42:Y42"/>
    <mergeCell ref="A39:G40"/>
    <mergeCell ref="H39:P39"/>
    <mergeCell ref="A41:G41"/>
    <mergeCell ref="H41:J41"/>
    <mergeCell ref="K41:M41"/>
    <mergeCell ref="N41:P41"/>
    <mergeCell ref="W41:Y41"/>
    <mergeCell ref="K40:M40"/>
    <mergeCell ref="N40:P40"/>
    <mergeCell ref="Q40:S40"/>
    <mergeCell ref="T40:V40"/>
    <mergeCell ref="W40:Y40"/>
    <mergeCell ref="H40:J40"/>
    <mergeCell ref="BO33:BQ33"/>
    <mergeCell ref="BX33:BZ33"/>
    <mergeCell ref="CG35:CI35"/>
    <mergeCell ref="A34:G34"/>
    <mergeCell ref="H34:J34"/>
    <mergeCell ref="K34:M34"/>
    <mergeCell ref="CG36:CI36"/>
    <mergeCell ref="BB37:BG37"/>
    <mergeCell ref="BO37:BQ37"/>
    <mergeCell ref="BX37:BZ37"/>
    <mergeCell ref="CG37:CI37"/>
    <mergeCell ref="CG34:CI34"/>
    <mergeCell ref="A35:G35"/>
    <mergeCell ref="N35:P35"/>
    <mergeCell ref="BB35:BH35"/>
    <mergeCell ref="BI33:BK33"/>
    <mergeCell ref="BL33:BN33"/>
    <mergeCell ref="BI34:BK34"/>
    <mergeCell ref="BL34:BN34"/>
    <mergeCell ref="BI36:BK36"/>
    <mergeCell ref="BL36:BN36"/>
    <mergeCell ref="CA36:CC36"/>
    <mergeCell ref="CD36:CF36"/>
    <mergeCell ref="BR37:BT37"/>
    <mergeCell ref="A44:G44"/>
    <mergeCell ref="H44:J44"/>
    <mergeCell ref="K44:M44"/>
    <mergeCell ref="N44:P44"/>
    <mergeCell ref="W44:Y44"/>
    <mergeCell ref="Z44:AB44"/>
    <mergeCell ref="A43:G43"/>
    <mergeCell ref="H43:J43"/>
    <mergeCell ref="K43:M43"/>
    <mergeCell ref="N43:P43"/>
    <mergeCell ref="W43:Y43"/>
    <mergeCell ref="Q44:S44"/>
    <mergeCell ref="T44:V44"/>
    <mergeCell ref="AC44:AE44"/>
    <mergeCell ref="AF44:AH44"/>
    <mergeCell ref="BO36:BQ36"/>
    <mergeCell ref="BC36:BH36"/>
    <mergeCell ref="AF43:AH43"/>
    <mergeCell ref="AF42:AH42"/>
    <mergeCell ref="AF41:AH41"/>
    <mergeCell ref="AC40:AE40"/>
    <mergeCell ref="AF40:AH40"/>
    <mergeCell ref="Z39:AH39"/>
    <mergeCell ref="Z40:AB40"/>
    <mergeCell ref="BI37:BK37"/>
    <mergeCell ref="BL37:BN37"/>
    <mergeCell ref="AI39:AZ40"/>
    <mergeCell ref="AI41:AZ41"/>
    <mergeCell ref="AI42:AZ42"/>
    <mergeCell ref="AI43:AZ43"/>
    <mergeCell ref="AI44:AZ44"/>
    <mergeCell ref="CA32:CC32"/>
    <mergeCell ref="CD32:CF32"/>
    <mergeCell ref="BX36:BZ36"/>
    <mergeCell ref="BR32:BT32"/>
    <mergeCell ref="BU32:BW32"/>
    <mergeCell ref="BR33:BT33"/>
    <mergeCell ref="BU33:BW33"/>
    <mergeCell ref="BR34:BT34"/>
    <mergeCell ref="BU34:BW34"/>
    <mergeCell ref="BR35:BT35"/>
    <mergeCell ref="BU35:BW35"/>
    <mergeCell ref="BR36:BT36"/>
    <mergeCell ref="BU36:BW36"/>
    <mergeCell ref="CA33:CC33"/>
    <mergeCell ref="CD33:CF33"/>
    <mergeCell ref="CA35:CC35"/>
    <mergeCell ref="CD35:CF35"/>
    <mergeCell ref="BU37:BW37"/>
    <mergeCell ref="CA37:CC37"/>
    <mergeCell ref="CD37:CF37"/>
    <mergeCell ref="Q41:S41"/>
    <mergeCell ref="T41:V41"/>
    <mergeCell ref="Q42:S42"/>
    <mergeCell ref="T42:V42"/>
    <mergeCell ref="Q43:S43"/>
    <mergeCell ref="T43:V43"/>
    <mergeCell ref="Z41:AB41"/>
    <mergeCell ref="AC41:AE41"/>
    <mergeCell ref="Z42:AB42"/>
    <mergeCell ref="AC42:AE42"/>
    <mergeCell ref="Z43:AB43"/>
    <mergeCell ref="AC43:AE43"/>
    <mergeCell ref="Q39:Y39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9" orientation="landscape" r:id="rId1"/>
  <headerFooter alignWithMargins="0"/>
  <colBreaks count="1" manualBreakCount="1">
    <brk id="53" max="4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P47"/>
  <sheetViews>
    <sheetView showGridLines="0" view="pageBreakPreview" zoomScaleNormal="100" zoomScaleSheetLayoutView="100" workbookViewId="0">
      <selection sqref="A1:AU2"/>
    </sheetView>
  </sheetViews>
  <sheetFormatPr defaultColWidth="2.625" defaultRowHeight="14.1" customHeight="1" x14ac:dyDescent="0.15"/>
  <cols>
    <col min="1" max="71" width="2.625" style="1" customWidth="1"/>
    <col min="72" max="79" width="2.625" style="1"/>
    <col min="80" max="80" width="2.625" style="1" customWidth="1"/>
    <col min="81" max="16384" width="2.625" style="1"/>
  </cols>
  <sheetData>
    <row r="1" spans="1:120" ht="12.6" customHeight="1" x14ac:dyDescent="0.15">
      <c r="A1" s="218" t="str">
        <f>IF(H6="年","9999",H6)&amp;"年 農業経営統計調査 牛乳生産費統計 個別結果検討表 №３"</f>
        <v>0年 農業経営統計調査 牛乳生産費統計 個別結果検討表 №３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9"/>
      <c r="AV1" s="220" t="s">
        <v>55</v>
      </c>
      <c r="AW1" s="220"/>
      <c r="AX1" s="220"/>
      <c r="AY1" s="220"/>
      <c r="AZ1" s="220"/>
      <c r="BA1" s="220"/>
      <c r="BB1" s="220"/>
      <c r="BC1" s="220"/>
      <c r="BD1" s="220"/>
      <c r="BE1" s="220"/>
      <c r="BF1" s="220"/>
      <c r="BG1" s="220"/>
      <c r="BH1" s="78"/>
      <c r="BI1" s="78"/>
      <c r="BJ1" s="78"/>
      <c r="BK1" s="78"/>
      <c r="BL1" s="78"/>
      <c r="BM1" s="78"/>
      <c r="BN1" s="78"/>
      <c r="BO1" s="78"/>
    </row>
    <row r="2" spans="1:120" ht="12.6" customHeight="1" x14ac:dyDescent="0.15">
      <c r="A2" s="218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  <c r="AR2" s="218"/>
      <c r="AS2" s="218"/>
      <c r="AT2" s="218"/>
      <c r="AU2" s="219"/>
      <c r="AV2" s="466" t="str">
        <f>IF('No1'!AO2="","",'No1'!AO2)</f>
        <v/>
      </c>
      <c r="AW2" s="466"/>
      <c r="AX2" s="466"/>
      <c r="AY2" s="466"/>
      <c r="AZ2" s="466"/>
      <c r="BA2" s="466"/>
      <c r="BB2" s="466"/>
      <c r="BC2" s="466"/>
      <c r="BD2" s="466"/>
      <c r="BE2" s="466"/>
      <c r="BF2" s="466"/>
      <c r="BG2" s="466"/>
      <c r="BH2" s="78"/>
      <c r="BI2" s="78"/>
      <c r="BJ2" s="78"/>
      <c r="BK2" s="78"/>
      <c r="BL2" s="78"/>
      <c r="BM2" s="78"/>
      <c r="BN2" s="78"/>
      <c r="BO2" s="78"/>
    </row>
    <row r="3" spans="1:120" ht="12.95" customHeight="1" x14ac:dyDescent="0.15">
      <c r="P3" s="2"/>
      <c r="Q3" s="2"/>
      <c r="R3" s="2"/>
    </row>
    <row r="4" spans="1:120" ht="13.35" customHeight="1" x14ac:dyDescent="0.15">
      <c r="A4" s="4" t="s">
        <v>76</v>
      </c>
      <c r="B4" s="59"/>
      <c r="C4" s="59"/>
      <c r="D4" s="59"/>
      <c r="E4" s="59"/>
      <c r="F4" s="59"/>
      <c r="G4" s="59"/>
      <c r="H4" s="5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2"/>
      <c r="Y4" s="2"/>
      <c r="BI4" s="4" t="s">
        <v>75</v>
      </c>
      <c r="BX4" s="2"/>
      <c r="BY4" s="2"/>
      <c r="BZ4" s="2"/>
    </row>
    <row r="5" spans="1:120" ht="13.35" customHeight="1" x14ac:dyDescent="0.15">
      <c r="A5" s="341"/>
      <c r="B5" s="342"/>
      <c r="C5" s="342"/>
      <c r="D5" s="342"/>
      <c r="E5" s="342"/>
      <c r="F5" s="342"/>
      <c r="G5" s="343"/>
      <c r="H5" s="557" t="s">
        <v>81</v>
      </c>
      <c r="I5" s="557"/>
      <c r="J5" s="557"/>
      <c r="K5" s="557"/>
      <c r="L5" s="557"/>
      <c r="M5" s="557"/>
      <c r="N5" s="557"/>
      <c r="O5" s="557"/>
      <c r="P5" s="558"/>
      <c r="Q5" s="578" t="s">
        <v>79</v>
      </c>
      <c r="R5" s="557"/>
      <c r="S5" s="557"/>
      <c r="T5" s="557"/>
      <c r="U5" s="557"/>
      <c r="V5" s="557"/>
      <c r="W5" s="557"/>
      <c r="X5" s="557"/>
      <c r="Y5" s="558"/>
      <c r="Z5" s="220" t="s">
        <v>165</v>
      </c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  <c r="BB5" s="220"/>
      <c r="BC5" s="220"/>
      <c r="BD5" s="220"/>
      <c r="BE5" s="220"/>
      <c r="BF5" s="220"/>
      <c r="BG5" s="220"/>
      <c r="BI5" s="341"/>
      <c r="BJ5" s="342"/>
      <c r="BK5" s="342"/>
      <c r="BL5" s="342"/>
      <c r="BM5" s="342"/>
      <c r="BN5" s="342"/>
      <c r="BO5" s="343"/>
      <c r="BP5" s="578" t="s">
        <v>80</v>
      </c>
      <c r="BQ5" s="557"/>
      <c r="BR5" s="557"/>
      <c r="BS5" s="557"/>
      <c r="BT5" s="557"/>
      <c r="BU5" s="557"/>
      <c r="BV5" s="557"/>
      <c r="BW5" s="557"/>
      <c r="BX5" s="558"/>
      <c r="BY5" s="578" t="s">
        <v>79</v>
      </c>
      <c r="BZ5" s="557"/>
      <c r="CA5" s="557"/>
      <c r="CB5" s="557"/>
      <c r="CC5" s="557"/>
      <c r="CD5" s="557"/>
      <c r="CE5" s="557"/>
      <c r="CF5" s="557"/>
      <c r="CG5" s="558"/>
      <c r="CH5" s="220" t="s">
        <v>165</v>
      </c>
      <c r="CI5" s="220"/>
      <c r="CJ5" s="220"/>
      <c r="CK5" s="220"/>
      <c r="CL5" s="220"/>
      <c r="CM5" s="220"/>
      <c r="CN5" s="220"/>
      <c r="CO5" s="220"/>
      <c r="CP5" s="220"/>
      <c r="CQ5" s="220"/>
      <c r="CR5" s="220"/>
      <c r="CS5" s="220"/>
      <c r="CT5" s="220"/>
      <c r="CU5" s="220"/>
      <c r="CV5" s="220"/>
      <c r="CW5" s="220"/>
      <c r="CX5" s="220"/>
      <c r="CY5" s="220"/>
      <c r="CZ5" s="220"/>
      <c r="DA5" s="220"/>
      <c r="DB5" s="220"/>
      <c r="DC5" s="220"/>
      <c r="DD5" s="220"/>
      <c r="DE5" s="220"/>
      <c r="DF5" s="220"/>
      <c r="DG5" s="220"/>
      <c r="DH5" s="220"/>
      <c r="DI5" s="220"/>
      <c r="DJ5" s="220"/>
      <c r="DK5" s="220"/>
      <c r="DL5" s="220"/>
      <c r="DM5" s="220"/>
      <c r="DN5" s="220"/>
      <c r="DO5" s="220"/>
      <c r="DP5" s="220"/>
    </row>
    <row r="6" spans="1:120" ht="13.35" customHeight="1" x14ac:dyDescent="0.15">
      <c r="A6" s="383"/>
      <c r="B6" s="384"/>
      <c r="C6" s="384"/>
      <c r="D6" s="384"/>
      <c r="E6" s="384"/>
      <c r="F6" s="384"/>
      <c r="G6" s="385"/>
      <c r="H6" s="497">
        <f>IF('No1'!H5="【個】[000101]","年",'No1'!H5)</f>
        <v>0</v>
      </c>
      <c r="I6" s="504"/>
      <c r="J6" s="504"/>
      <c r="K6" s="541">
        <f>IF(H6="年","年",H6-1)</f>
        <v>-1</v>
      </c>
      <c r="L6" s="541"/>
      <c r="M6" s="541"/>
      <c r="N6" s="501" t="s">
        <v>71</v>
      </c>
      <c r="O6" s="501"/>
      <c r="P6" s="502"/>
      <c r="Q6" s="503">
        <f>H6</f>
        <v>0</v>
      </c>
      <c r="R6" s="504"/>
      <c r="S6" s="504"/>
      <c r="T6" s="541">
        <f>K6</f>
        <v>-1</v>
      </c>
      <c r="U6" s="541"/>
      <c r="V6" s="541"/>
      <c r="W6" s="501" t="s">
        <v>71</v>
      </c>
      <c r="X6" s="501"/>
      <c r="Y6" s="502"/>
      <c r="Z6" s="220"/>
      <c r="AA6" s="220"/>
      <c r="AB6" s="220"/>
      <c r="AC6" s="220"/>
      <c r="AD6" s="220"/>
      <c r="AE6" s="220"/>
      <c r="AF6" s="220"/>
      <c r="AG6" s="220"/>
      <c r="AH6" s="220"/>
      <c r="AI6" s="220"/>
      <c r="AJ6" s="220"/>
      <c r="AK6" s="220"/>
      <c r="AL6" s="220"/>
      <c r="AM6" s="220"/>
      <c r="AN6" s="220"/>
      <c r="AO6" s="220"/>
      <c r="AP6" s="220"/>
      <c r="AQ6" s="220"/>
      <c r="AR6" s="220"/>
      <c r="AS6" s="220"/>
      <c r="AT6" s="220"/>
      <c r="AU6" s="220"/>
      <c r="AV6" s="220"/>
      <c r="AW6" s="220"/>
      <c r="AX6" s="220"/>
      <c r="AY6" s="220"/>
      <c r="AZ6" s="220"/>
      <c r="BA6" s="220"/>
      <c r="BB6" s="220"/>
      <c r="BC6" s="220"/>
      <c r="BD6" s="220"/>
      <c r="BE6" s="220"/>
      <c r="BF6" s="220"/>
      <c r="BG6" s="220"/>
      <c r="BI6" s="383"/>
      <c r="BJ6" s="384"/>
      <c r="BK6" s="384"/>
      <c r="BL6" s="384"/>
      <c r="BM6" s="384"/>
      <c r="BN6" s="384"/>
      <c r="BO6" s="385"/>
      <c r="BP6" s="503">
        <f>H6</f>
        <v>0</v>
      </c>
      <c r="BQ6" s="504"/>
      <c r="BR6" s="504"/>
      <c r="BS6" s="541">
        <f>K6</f>
        <v>-1</v>
      </c>
      <c r="BT6" s="541"/>
      <c r="BU6" s="541"/>
      <c r="BV6" s="501" t="s">
        <v>71</v>
      </c>
      <c r="BW6" s="501"/>
      <c r="BX6" s="502"/>
      <c r="BY6" s="503">
        <f>H6</f>
        <v>0</v>
      </c>
      <c r="BZ6" s="504"/>
      <c r="CA6" s="504"/>
      <c r="CB6" s="541">
        <f>K6</f>
        <v>-1</v>
      </c>
      <c r="CC6" s="541"/>
      <c r="CD6" s="541"/>
      <c r="CE6" s="501" t="s">
        <v>71</v>
      </c>
      <c r="CF6" s="501"/>
      <c r="CG6" s="502"/>
      <c r="CH6" s="220"/>
      <c r="CI6" s="220"/>
      <c r="CJ6" s="220"/>
      <c r="CK6" s="220"/>
      <c r="CL6" s="220"/>
      <c r="CM6" s="220"/>
      <c r="CN6" s="220"/>
      <c r="CO6" s="220"/>
      <c r="CP6" s="220"/>
      <c r="CQ6" s="220"/>
      <c r="CR6" s="220"/>
      <c r="CS6" s="220"/>
      <c r="CT6" s="220"/>
      <c r="CU6" s="220"/>
      <c r="CV6" s="220"/>
      <c r="CW6" s="220"/>
      <c r="CX6" s="220"/>
      <c r="CY6" s="220"/>
      <c r="CZ6" s="220"/>
      <c r="DA6" s="220"/>
      <c r="DB6" s="220"/>
      <c r="DC6" s="220"/>
      <c r="DD6" s="220"/>
      <c r="DE6" s="220"/>
      <c r="DF6" s="220"/>
      <c r="DG6" s="220"/>
      <c r="DH6" s="220"/>
      <c r="DI6" s="220"/>
      <c r="DJ6" s="220"/>
      <c r="DK6" s="220"/>
      <c r="DL6" s="220"/>
      <c r="DM6" s="220"/>
      <c r="DN6" s="220"/>
      <c r="DO6" s="220"/>
      <c r="DP6" s="220"/>
    </row>
    <row r="7" spans="1:120" ht="13.35" customHeight="1" x14ac:dyDescent="0.15">
      <c r="A7" s="411" t="s">
        <v>49</v>
      </c>
      <c r="B7" s="412"/>
      <c r="C7" s="412"/>
      <c r="D7" s="412"/>
      <c r="E7" s="412"/>
      <c r="F7" s="412"/>
      <c r="G7" s="413"/>
      <c r="H7" s="579"/>
      <c r="I7" s="580"/>
      <c r="J7" s="580"/>
      <c r="K7" s="580"/>
      <c r="L7" s="580"/>
      <c r="M7" s="580"/>
      <c r="N7" s="397" t="str">
        <f>IF(H7="-", "-", IF(K7="-", "-", IF(ABS(K7)=0, "-", ROUND(100*(H7-K7)/ABS(K7),10))))</f>
        <v>-</v>
      </c>
      <c r="O7" s="398"/>
      <c r="P7" s="399"/>
      <c r="Q7" s="581"/>
      <c r="R7" s="580"/>
      <c r="S7" s="580"/>
      <c r="T7" s="580"/>
      <c r="U7" s="580"/>
      <c r="V7" s="580"/>
      <c r="W7" s="397" t="str">
        <f>IF(Q7="-", "-", IF(T7="-", "-", IF(ABS(T7)=0, "-", ROUND(100*(Q7-T7)/ABS(T7),10))))</f>
        <v>-</v>
      </c>
      <c r="X7" s="398"/>
      <c r="Y7" s="399"/>
      <c r="Z7" s="410"/>
      <c r="AA7" s="410"/>
      <c r="AB7" s="410"/>
      <c r="AC7" s="410"/>
      <c r="AD7" s="410"/>
      <c r="AE7" s="410"/>
      <c r="AF7" s="410"/>
      <c r="AG7" s="410"/>
      <c r="AH7" s="410"/>
      <c r="AI7" s="410"/>
      <c r="AJ7" s="410"/>
      <c r="AK7" s="410"/>
      <c r="AL7" s="410"/>
      <c r="AM7" s="410"/>
      <c r="AN7" s="410"/>
      <c r="AO7" s="410"/>
      <c r="AP7" s="410"/>
      <c r="AQ7" s="410"/>
      <c r="AR7" s="410"/>
      <c r="AS7" s="410"/>
      <c r="AT7" s="410"/>
      <c r="AU7" s="410"/>
      <c r="AV7" s="410"/>
      <c r="AW7" s="410"/>
      <c r="AX7" s="410"/>
      <c r="AY7" s="410"/>
      <c r="AZ7" s="410"/>
      <c r="BA7" s="410"/>
      <c r="BB7" s="410"/>
      <c r="BC7" s="410"/>
      <c r="BD7" s="410"/>
      <c r="BE7" s="410"/>
      <c r="BF7" s="410"/>
      <c r="BG7" s="410"/>
      <c r="BI7" s="411" t="s">
        <v>21</v>
      </c>
      <c r="BJ7" s="412"/>
      <c r="BK7" s="412"/>
      <c r="BL7" s="412"/>
      <c r="BM7" s="412"/>
      <c r="BN7" s="412"/>
      <c r="BO7" s="413"/>
      <c r="BP7" s="581"/>
      <c r="BQ7" s="580"/>
      <c r="BR7" s="580"/>
      <c r="BS7" s="583"/>
      <c r="BT7" s="584"/>
      <c r="BU7" s="579"/>
      <c r="BV7" s="397" t="str">
        <f>IF(BP7="-", "-", IF(BS7="-", "-", IF(ABS(BS7)=0, "-", ROUND(100*(BP7-BS7)/ABS(BS7),10))))</f>
        <v>-</v>
      </c>
      <c r="BW7" s="398"/>
      <c r="BX7" s="399"/>
      <c r="BY7" s="596"/>
      <c r="BZ7" s="597"/>
      <c r="CA7" s="597"/>
      <c r="CB7" s="597"/>
      <c r="CC7" s="597"/>
      <c r="CD7" s="597"/>
      <c r="CE7" s="397" t="str">
        <f>IF(BY7="-", "-", IF(CB7="-", "-", IF(ABS(CB7)=0, "-", ROUND(100*(BY7-CB7)/ABS(CB7),10))))</f>
        <v>-</v>
      </c>
      <c r="CF7" s="398"/>
      <c r="CG7" s="399"/>
      <c r="CH7" s="410"/>
      <c r="CI7" s="410"/>
      <c r="CJ7" s="410"/>
      <c r="CK7" s="410"/>
      <c r="CL7" s="410"/>
      <c r="CM7" s="410"/>
      <c r="CN7" s="410"/>
      <c r="CO7" s="410"/>
      <c r="CP7" s="410"/>
      <c r="CQ7" s="410"/>
      <c r="CR7" s="410"/>
      <c r="CS7" s="410"/>
      <c r="CT7" s="410"/>
      <c r="CU7" s="410"/>
      <c r="CV7" s="410"/>
      <c r="CW7" s="410"/>
      <c r="CX7" s="410"/>
      <c r="CY7" s="410"/>
      <c r="CZ7" s="410"/>
      <c r="DA7" s="410"/>
      <c r="DB7" s="410"/>
      <c r="DC7" s="410"/>
      <c r="DD7" s="410"/>
      <c r="DE7" s="410"/>
      <c r="DF7" s="410"/>
      <c r="DG7" s="410"/>
      <c r="DH7" s="410"/>
      <c r="DI7" s="410"/>
      <c r="DJ7" s="410"/>
      <c r="DK7" s="410"/>
      <c r="DL7" s="410"/>
      <c r="DM7" s="410"/>
      <c r="DN7" s="410"/>
      <c r="DO7" s="410"/>
      <c r="DP7" s="410"/>
    </row>
    <row r="8" spans="1:120" ht="13.35" customHeight="1" x14ac:dyDescent="0.15">
      <c r="A8" s="315" t="s">
        <v>50</v>
      </c>
      <c r="B8" s="290"/>
      <c r="C8" s="290"/>
      <c r="D8" s="290"/>
      <c r="E8" s="290"/>
      <c r="F8" s="290"/>
      <c r="G8" s="291"/>
      <c r="H8" s="323"/>
      <c r="I8" s="324"/>
      <c r="J8" s="324"/>
      <c r="K8" s="324"/>
      <c r="L8" s="324"/>
      <c r="M8" s="324"/>
      <c r="N8" s="266" t="str">
        <f>IF(H8="-", "-", IF(K8="-", "-", IF(ABS(K8)=0, "-", ROUND(100*(H8-K8)/ABS(K8),10))))</f>
        <v>-</v>
      </c>
      <c r="O8" s="267"/>
      <c r="P8" s="268"/>
      <c r="Q8" s="582"/>
      <c r="R8" s="324"/>
      <c r="S8" s="324"/>
      <c r="T8" s="324"/>
      <c r="U8" s="324"/>
      <c r="V8" s="324"/>
      <c r="W8" s="266" t="str">
        <f>IF(Q8="-", "-", IF(T8="-", "-", IF(ABS(T8)=0, "-", ROUND(100*(Q8-T8)/ABS(T8),10))))</f>
        <v>-</v>
      </c>
      <c r="X8" s="267"/>
      <c r="Y8" s="268"/>
      <c r="Z8" s="421"/>
      <c r="AA8" s="421"/>
      <c r="AB8" s="421"/>
      <c r="AC8" s="421"/>
      <c r="AD8" s="421"/>
      <c r="AE8" s="421"/>
      <c r="AF8" s="421"/>
      <c r="AG8" s="421"/>
      <c r="AH8" s="421"/>
      <c r="AI8" s="421"/>
      <c r="AJ8" s="421"/>
      <c r="AK8" s="421"/>
      <c r="AL8" s="421"/>
      <c r="AM8" s="421"/>
      <c r="AN8" s="421"/>
      <c r="AO8" s="421"/>
      <c r="AP8" s="421"/>
      <c r="AQ8" s="421"/>
      <c r="AR8" s="421"/>
      <c r="AS8" s="421"/>
      <c r="AT8" s="421"/>
      <c r="AU8" s="421"/>
      <c r="AV8" s="421"/>
      <c r="AW8" s="421"/>
      <c r="AX8" s="421"/>
      <c r="AY8" s="421"/>
      <c r="AZ8" s="421"/>
      <c r="BA8" s="421"/>
      <c r="BB8" s="421"/>
      <c r="BC8" s="421"/>
      <c r="BD8" s="421"/>
      <c r="BE8" s="421"/>
      <c r="BF8" s="421"/>
      <c r="BG8" s="421"/>
      <c r="BI8" s="315" t="s">
        <v>22</v>
      </c>
      <c r="BJ8" s="290"/>
      <c r="BK8" s="290"/>
      <c r="BL8" s="290"/>
      <c r="BM8" s="290"/>
      <c r="BN8" s="290"/>
      <c r="BO8" s="291"/>
      <c r="BP8" s="453"/>
      <c r="BQ8" s="453"/>
      <c r="BR8" s="323"/>
      <c r="BS8" s="454"/>
      <c r="BT8" s="453"/>
      <c r="BU8" s="323"/>
      <c r="BV8" s="266" t="str">
        <f>IF(BP8="-", "-", IF(BS8="-", "-", IF(ABS(BS8)=0, "-", ROUND(100*(BP8-BS8)/ABS(BS8),10))))</f>
        <v>-</v>
      </c>
      <c r="BW8" s="267"/>
      <c r="BX8" s="268"/>
      <c r="BY8" s="598"/>
      <c r="BZ8" s="599"/>
      <c r="CA8" s="599"/>
      <c r="CB8" s="599"/>
      <c r="CC8" s="599"/>
      <c r="CD8" s="599"/>
      <c r="CE8" s="266" t="str">
        <f>IF(BY8="-", "-", IF(CB8="-", "-", IF(ABS(CB8)=0, "-", ROUND(100*(BY8-CB8)/ABS(CB8),10))))</f>
        <v>-</v>
      </c>
      <c r="CF8" s="267"/>
      <c r="CG8" s="268"/>
      <c r="CH8" s="421"/>
      <c r="CI8" s="421"/>
      <c r="CJ8" s="421"/>
      <c r="CK8" s="421"/>
      <c r="CL8" s="421"/>
      <c r="CM8" s="421"/>
      <c r="CN8" s="421"/>
      <c r="CO8" s="421"/>
      <c r="CP8" s="421"/>
      <c r="CQ8" s="421"/>
      <c r="CR8" s="421"/>
      <c r="CS8" s="421"/>
      <c r="CT8" s="421"/>
      <c r="CU8" s="421"/>
      <c r="CV8" s="421"/>
      <c r="CW8" s="421"/>
      <c r="CX8" s="421"/>
      <c r="CY8" s="421"/>
      <c r="CZ8" s="421"/>
      <c r="DA8" s="421"/>
      <c r="DB8" s="421"/>
      <c r="DC8" s="421"/>
      <c r="DD8" s="421"/>
      <c r="DE8" s="421"/>
      <c r="DF8" s="421"/>
      <c r="DG8" s="421"/>
      <c r="DH8" s="421"/>
      <c r="DI8" s="421"/>
      <c r="DJ8" s="421"/>
      <c r="DK8" s="421"/>
      <c r="DL8" s="421"/>
      <c r="DM8" s="421"/>
      <c r="DN8" s="421"/>
      <c r="DO8" s="421"/>
      <c r="DP8" s="421"/>
    </row>
    <row r="9" spans="1:120" ht="13.35" customHeight="1" x14ac:dyDescent="0.15">
      <c r="P9" s="2"/>
      <c r="Q9" s="2"/>
      <c r="R9" s="2"/>
      <c r="BO9" s="59"/>
      <c r="BP9" s="42"/>
      <c r="BQ9" s="42"/>
      <c r="BR9" s="42"/>
      <c r="BS9" s="42"/>
      <c r="BT9" s="42"/>
      <c r="BU9" s="42"/>
      <c r="BV9" s="41"/>
      <c r="BW9" s="41"/>
      <c r="BX9" s="41"/>
      <c r="BY9" s="29"/>
      <c r="BZ9" s="48"/>
      <c r="CA9" s="48"/>
      <c r="CB9" s="29"/>
      <c r="CC9" s="48"/>
      <c r="CD9" s="48"/>
      <c r="CE9" s="49"/>
      <c r="CF9" s="49"/>
      <c r="CG9" s="49"/>
    </row>
    <row r="10" spans="1:120" ht="13.35" customHeight="1" x14ac:dyDescent="0.15">
      <c r="P10" s="2"/>
      <c r="Q10" s="2"/>
      <c r="R10" s="2"/>
      <c r="BO10" s="59"/>
      <c r="BP10" s="43"/>
      <c r="BQ10" s="43"/>
      <c r="BR10" s="43"/>
      <c r="BS10" s="43"/>
      <c r="BT10" s="43"/>
      <c r="BU10" s="43"/>
      <c r="BV10" s="44"/>
      <c r="BW10" s="44"/>
      <c r="BX10" s="44"/>
      <c r="BY10" s="53"/>
      <c r="BZ10" s="54"/>
      <c r="CA10" s="54"/>
      <c r="CB10" s="53"/>
      <c r="CC10" s="54"/>
      <c r="CD10" s="54"/>
      <c r="CE10" s="45"/>
      <c r="CF10" s="45"/>
      <c r="CG10" s="45"/>
    </row>
    <row r="11" spans="1:120" ht="13.35" customHeight="1" x14ac:dyDescent="0.15">
      <c r="A11" s="4"/>
      <c r="O11" s="2"/>
      <c r="BI11" s="4" t="s">
        <v>74</v>
      </c>
    </row>
    <row r="12" spans="1:120" ht="13.35" customHeight="1" x14ac:dyDescent="0.15"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BI12" s="548"/>
      <c r="BJ12" s="549"/>
      <c r="BK12" s="549"/>
      <c r="BL12" s="549"/>
      <c r="BM12" s="549"/>
      <c r="BN12" s="549"/>
      <c r="BO12" s="550"/>
      <c r="BP12" s="590">
        <f>H6</f>
        <v>0</v>
      </c>
      <c r="BQ12" s="591"/>
      <c r="BR12" s="591"/>
      <c r="BS12" s="592">
        <f>K6</f>
        <v>-1</v>
      </c>
      <c r="BT12" s="592"/>
      <c r="BU12" s="592"/>
      <c r="BV12" s="588" t="s">
        <v>71</v>
      </c>
      <c r="BW12" s="588"/>
      <c r="BX12" s="589"/>
      <c r="BY12" s="593" t="s">
        <v>165</v>
      </c>
      <c r="BZ12" s="594"/>
      <c r="CA12" s="594"/>
      <c r="CB12" s="594"/>
      <c r="CC12" s="594"/>
      <c r="CD12" s="594"/>
      <c r="CE12" s="594"/>
      <c r="CF12" s="594"/>
      <c r="CG12" s="594"/>
      <c r="CH12" s="594"/>
      <c r="CI12" s="594"/>
      <c r="CJ12" s="594"/>
      <c r="CK12" s="594"/>
      <c r="CL12" s="594"/>
      <c r="CM12" s="594"/>
      <c r="CN12" s="594"/>
      <c r="CO12" s="594"/>
      <c r="CP12" s="594"/>
      <c r="CQ12" s="594"/>
      <c r="CR12" s="594"/>
      <c r="CS12" s="594"/>
      <c r="CT12" s="594"/>
      <c r="CU12" s="594"/>
      <c r="CV12" s="594"/>
      <c r="CW12" s="594"/>
      <c r="CX12" s="594"/>
      <c r="CY12" s="594"/>
      <c r="CZ12" s="594"/>
      <c r="DA12" s="594"/>
      <c r="DB12" s="594"/>
      <c r="DC12" s="594"/>
      <c r="DD12" s="594"/>
      <c r="DE12" s="594"/>
      <c r="DF12" s="594"/>
      <c r="DG12" s="594"/>
      <c r="DH12" s="594"/>
      <c r="DI12" s="594"/>
      <c r="DJ12" s="594"/>
      <c r="DK12" s="594"/>
      <c r="DL12" s="594"/>
      <c r="DM12" s="594"/>
      <c r="DN12" s="594"/>
      <c r="DO12" s="594"/>
      <c r="DP12" s="595"/>
    </row>
    <row r="13" spans="1:120" ht="13.35" customHeight="1" x14ac:dyDescent="0.15">
      <c r="H13" s="25"/>
      <c r="I13" s="25"/>
      <c r="J13" s="25"/>
      <c r="K13" s="26"/>
      <c r="L13" s="26"/>
      <c r="M13" s="26"/>
      <c r="N13" s="23"/>
      <c r="O13" s="23"/>
      <c r="P13" s="23"/>
      <c r="Q13" s="25"/>
      <c r="R13" s="25"/>
      <c r="S13" s="25"/>
      <c r="T13" s="26"/>
      <c r="U13" s="26"/>
      <c r="V13" s="26"/>
      <c r="W13" s="23"/>
      <c r="X13" s="23"/>
      <c r="Y13" s="23"/>
      <c r="BI13" s="347" t="s">
        <v>111</v>
      </c>
      <c r="BJ13" s="348"/>
      <c r="BK13" s="348"/>
      <c r="BL13" s="348"/>
      <c r="BM13" s="348"/>
      <c r="BN13" s="348"/>
      <c r="BO13" s="15" t="s">
        <v>99</v>
      </c>
      <c r="BP13" s="255"/>
      <c r="BQ13" s="256"/>
      <c r="BR13" s="256"/>
      <c r="BS13" s="580"/>
      <c r="BT13" s="580"/>
      <c r="BU13" s="580"/>
      <c r="BV13" s="397" t="str">
        <f>IF(BP13="-", "-", IF(BS13="-", "-", IF(ABS(BS13)=0, "-", ROUND(100*(BP13-BS13)/ABS(BS13),10))))</f>
        <v>-</v>
      </c>
      <c r="BW13" s="398"/>
      <c r="BX13" s="399"/>
      <c r="BY13" s="485"/>
      <c r="BZ13" s="486"/>
      <c r="CA13" s="486"/>
      <c r="CB13" s="486"/>
      <c r="CC13" s="486"/>
      <c r="CD13" s="486"/>
      <c r="CE13" s="486"/>
      <c r="CF13" s="486"/>
      <c r="CG13" s="486"/>
      <c r="CH13" s="486"/>
      <c r="CI13" s="486"/>
      <c r="CJ13" s="486"/>
      <c r="CK13" s="486"/>
      <c r="CL13" s="486"/>
      <c r="CM13" s="486"/>
      <c r="CN13" s="486"/>
      <c r="CO13" s="486"/>
      <c r="CP13" s="486"/>
      <c r="CQ13" s="486"/>
      <c r="CR13" s="486"/>
      <c r="CS13" s="486"/>
      <c r="CT13" s="486"/>
      <c r="CU13" s="486"/>
      <c r="CV13" s="486"/>
      <c r="CW13" s="486"/>
      <c r="CX13" s="486"/>
      <c r="CY13" s="486"/>
      <c r="CZ13" s="486"/>
      <c r="DA13" s="486"/>
      <c r="DB13" s="486"/>
      <c r="DC13" s="486"/>
      <c r="DD13" s="486"/>
      <c r="DE13" s="486"/>
      <c r="DF13" s="486"/>
      <c r="DG13" s="486"/>
      <c r="DH13" s="486"/>
      <c r="DI13" s="486"/>
      <c r="DJ13" s="486"/>
      <c r="DK13" s="486"/>
      <c r="DL13" s="486"/>
      <c r="DM13" s="486"/>
      <c r="DN13" s="486"/>
      <c r="DO13" s="486"/>
      <c r="DP13" s="487"/>
    </row>
    <row r="14" spans="1:120" ht="13.35" customHeight="1" x14ac:dyDescent="0.15">
      <c r="H14" s="55"/>
      <c r="I14" s="55"/>
      <c r="J14" s="55"/>
      <c r="K14" s="55"/>
      <c r="L14" s="55"/>
      <c r="M14" s="55"/>
      <c r="N14" s="56"/>
      <c r="O14" s="56"/>
      <c r="P14" s="56"/>
      <c r="Q14" s="55"/>
      <c r="R14" s="55"/>
      <c r="S14" s="55"/>
      <c r="T14" s="55"/>
      <c r="U14" s="55"/>
      <c r="V14" s="55"/>
      <c r="W14" s="56"/>
      <c r="X14" s="56"/>
      <c r="Y14" s="56"/>
      <c r="BI14" s="315" t="s">
        <v>110</v>
      </c>
      <c r="BJ14" s="290"/>
      <c r="BK14" s="290"/>
      <c r="BL14" s="290"/>
      <c r="BM14" s="290"/>
      <c r="BN14" s="290"/>
      <c r="BO14" s="18" t="s">
        <v>99</v>
      </c>
      <c r="BP14" s="323"/>
      <c r="BQ14" s="324"/>
      <c r="BR14" s="324"/>
      <c r="BS14" s="324"/>
      <c r="BT14" s="324"/>
      <c r="BU14" s="324"/>
      <c r="BV14" s="266" t="str">
        <f>IF(BP14="-", "-", IF(BS14="-", "-", IF(ABS(BS14)=0, "-", ROUND(100*(BP14-BS14)/ABS(BS14),10))))</f>
        <v>-</v>
      </c>
      <c r="BW14" s="267"/>
      <c r="BX14" s="268"/>
      <c r="BY14" s="312"/>
      <c r="BZ14" s="313"/>
      <c r="CA14" s="313"/>
      <c r="CB14" s="313"/>
      <c r="CC14" s="313"/>
      <c r="CD14" s="313"/>
      <c r="CE14" s="313"/>
      <c r="CF14" s="313"/>
      <c r="CG14" s="313"/>
      <c r="CH14" s="313"/>
      <c r="CI14" s="313"/>
      <c r="CJ14" s="313"/>
      <c r="CK14" s="313"/>
      <c r="CL14" s="313"/>
      <c r="CM14" s="313"/>
      <c r="CN14" s="313"/>
      <c r="CO14" s="313"/>
      <c r="CP14" s="313"/>
      <c r="CQ14" s="313"/>
      <c r="CR14" s="313"/>
      <c r="CS14" s="313"/>
      <c r="CT14" s="313"/>
      <c r="CU14" s="313"/>
      <c r="CV14" s="313"/>
      <c r="CW14" s="313"/>
      <c r="CX14" s="313"/>
      <c r="CY14" s="313"/>
      <c r="CZ14" s="313"/>
      <c r="DA14" s="313"/>
      <c r="DB14" s="313"/>
      <c r="DC14" s="313"/>
      <c r="DD14" s="313"/>
      <c r="DE14" s="313"/>
      <c r="DF14" s="313"/>
      <c r="DG14" s="313"/>
      <c r="DH14" s="313"/>
      <c r="DI14" s="313"/>
      <c r="DJ14" s="313"/>
      <c r="DK14" s="313"/>
      <c r="DL14" s="313"/>
      <c r="DM14" s="313"/>
      <c r="DN14" s="313"/>
      <c r="DO14" s="313"/>
      <c r="DP14" s="314"/>
    </row>
    <row r="15" spans="1:120" ht="13.35" customHeight="1" x14ac:dyDescent="0.15">
      <c r="P15" s="2"/>
      <c r="Q15" s="2"/>
      <c r="R15" s="2"/>
    </row>
    <row r="16" spans="1:120" ht="13.35" customHeight="1" x14ac:dyDescent="0.15">
      <c r="A16" s="4" t="s">
        <v>72</v>
      </c>
      <c r="X16" s="2"/>
      <c r="Y16" s="2"/>
      <c r="BI16" s="4" t="s">
        <v>156</v>
      </c>
      <c r="BJ16" s="59"/>
      <c r="BK16" s="59"/>
      <c r="BL16" s="59"/>
      <c r="BM16" s="59"/>
      <c r="BN16" s="59"/>
      <c r="BO16" s="59"/>
      <c r="BP16" s="59"/>
      <c r="BQ16" s="3"/>
      <c r="BR16" s="3"/>
      <c r="BS16" s="3"/>
      <c r="BT16" s="3"/>
      <c r="BU16" s="3"/>
      <c r="BV16" s="3"/>
      <c r="BW16" s="3"/>
    </row>
    <row r="17" spans="1:120" ht="13.35" customHeight="1" x14ac:dyDescent="0.15">
      <c r="A17" s="341"/>
      <c r="B17" s="342"/>
      <c r="C17" s="342"/>
      <c r="D17" s="342"/>
      <c r="E17" s="342"/>
      <c r="F17" s="342"/>
      <c r="G17" s="343"/>
      <c r="H17" s="557" t="s">
        <v>80</v>
      </c>
      <c r="I17" s="557"/>
      <c r="J17" s="557"/>
      <c r="K17" s="557"/>
      <c r="L17" s="557"/>
      <c r="M17" s="557"/>
      <c r="N17" s="557"/>
      <c r="O17" s="557"/>
      <c r="P17" s="558"/>
      <c r="Q17" s="578" t="s">
        <v>79</v>
      </c>
      <c r="R17" s="557"/>
      <c r="S17" s="557"/>
      <c r="T17" s="557"/>
      <c r="U17" s="557"/>
      <c r="V17" s="557"/>
      <c r="W17" s="557"/>
      <c r="X17" s="557"/>
      <c r="Y17" s="558"/>
      <c r="Z17" s="220" t="s">
        <v>165</v>
      </c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I17" s="341"/>
      <c r="BJ17" s="342"/>
      <c r="BK17" s="342"/>
      <c r="BL17" s="342"/>
      <c r="BM17" s="342"/>
      <c r="BN17" s="342"/>
      <c r="BO17" s="343"/>
      <c r="BP17" s="557" t="s">
        <v>68</v>
      </c>
      <c r="BQ17" s="557"/>
      <c r="BR17" s="557"/>
      <c r="BS17" s="557"/>
      <c r="BT17" s="557"/>
      <c r="BU17" s="557"/>
      <c r="BV17" s="557"/>
      <c r="BW17" s="557"/>
      <c r="BX17" s="558"/>
      <c r="BY17" s="578" t="s">
        <v>67</v>
      </c>
      <c r="BZ17" s="557"/>
      <c r="CA17" s="557"/>
      <c r="CB17" s="557"/>
      <c r="CC17" s="557"/>
      <c r="CD17" s="557"/>
      <c r="CE17" s="557"/>
      <c r="CF17" s="557"/>
      <c r="CG17" s="558"/>
      <c r="CH17" s="220" t="s">
        <v>165</v>
      </c>
      <c r="CI17" s="220"/>
      <c r="CJ17" s="220"/>
      <c r="CK17" s="220"/>
      <c r="CL17" s="220"/>
      <c r="CM17" s="220"/>
      <c r="CN17" s="220"/>
      <c r="CO17" s="220"/>
      <c r="CP17" s="220"/>
      <c r="CQ17" s="220"/>
      <c r="CR17" s="220"/>
      <c r="CS17" s="220"/>
      <c r="CT17" s="220"/>
      <c r="CU17" s="220"/>
      <c r="CV17" s="220"/>
      <c r="CW17" s="220"/>
      <c r="CX17" s="220"/>
      <c r="CY17" s="220"/>
      <c r="CZ17" s="220"/>
      <c r="DA17" s="220"/>
      <c r="DB17" s="220"/>
      <c r="DC17" s="220"/>
      <c r="DD17" s="220"/>
      <c r="DE17" s="220"/>
      <c r="DF17" s="220"/>
      <c r="DG17" s="220"/>
      <c r="DH17" s="220"/>
      <c r="DI17" s="220"/>
      <c r="DJ17" s="220"/>
      <c r="DK17" s="220"/>
      <c r="DL17" s="220"/>
      <c r="DM17" s="220"/>
      <c r="DN17" s="220"/>
      <c r="DO17" s="220"/>
      <c r="DP17" s="220"/>
    </row>
    <row r="18" spans="1:120" ht="13.35" customHeight="1" x14ac:dyDescent="0.15">
      <c r="A18" s="383"/>
      <c r="B18" s="384"/>
      <c r="C18" s="384"/>
      <c r="D18" s="384"/>
      <c r="E18" s="384"/>
      <c r="F18" s="384"/>
      <c r="G18" s="385"/>
      <c r="H18" s="496">
        <f>H6</f>
        <v>0</v>
      </c>
      <c r="I18" s="496"/>
      <c r="J18" s="497"/>
      <c r="K18" s="498">
        <f>K6</f>
        <v>-1</v>
      </c>
      <c r="L18" s="499"/>
      <c r="M18" s="500"/>
      <c r="N18" s="501" t="s">
        <v>71</v>
      </c>
      <c r="O18" s="501"/>
      <c r="P18" s="502"/>
      <c r="Q18" s="503">
        <f>H6</f>
        <v>0</v>
      </c>
      <c r="R18" s="504"/>
      <c r="S18" s="504"/>
      <c r="T18" s="541">
        <f>K6</f>
        <v>-1</v>
      </c>
      <c r="U18" s="541"/>
      <c r="V18" s="541"/>
      <c r="W18" s="501" t="s">
        <v>71</v>
      </c>
      <c r="X18" s="501"/>
      <c r="Y18" s="502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I18" s="383"/>
      <c r="BJ18" s="384"/>
      <c r="BK18" s="384"/>
      <c r="BL18" s="384"/>
      <c r="BM18" s="384"/>
      <c r="BN18" s="384"/>
      <c r="BO18" s="385"/>
      <c r="BP18" s="497">
        <f>H6</f>
        <v>0</v>
      </c>
      <c r="BQ18" s="504"/>
      <c r="BR18" s="504"/>
      <c r="BS18" s="541">
        <f>K6</f>
        <v>-1</v>
      </c>
      <c r="BT18" s="541"/>
      <c r="BU18" s="541"/>
      <c r="BV18" s="575" t="s">
        <v>70</v>
      </c>
      <c r="BW18" s="246"/>
      <c r="BX18" s="247"/>
      <c r="BY18" s="503">
        <f>H6</f>
        <v>0</v>
      </c>
      <c r="BZ18" s="504"/>
      <c r="CA18" s="504"/>
      <c r="CB18" s="541">
        <f>K6</f>
        <v>-1</v>
      </c>
      <c r="CC18" s="541"/>
      <c r="CD18" s="541"/>
      <c r="CE18" s="575" t="s">
        <v>70</v>
      </c>
      <c r="CF18" s="246"/>
      <c r="CG18" s="247"/>
      <c r="CH18" s="220"/>
      <c r="CI18" s="220"/>
      <c r="CJ18" s="220"/>
      <c r="CK18" s="220"/>
      <c r="CL18" s="220"/>
      <c r="CM18" s="220"/>
      <c r="CN18" s="220"/>
      <c r="CO18" s="220"/>
      <c r="CP18" s="220"/>
      <c r="CQ18" s="220"/>
      <c r="CR18" s="220"/>
      <c r="CS18" s="220"/>
      <c r="CT18" s="220"/>
      <c r="CU18" s="220"/>
      <c r="CV18" s="220"/>
      <c r="CW18" s="220"/>
      <c r="CX18" s="220"/>
      <c r="CY18" s="220"/>
      <c r="CZ18" s="220"/>
      <c r="DA18" s="220"/>
      <c r="DB18" s="220"/>
      <c r="DC18" s="220"/>
      <c r="DD18" s="220"/>
      <c r="DE18" s="220"/>
      <c r="DF18" s="220"/>
      <c r="DG18" s="220"/>
      <c r="DH18" s="220"/>
      <c r="DI18" s="220"/>
      <c r="DJ18" s="220"/>
      <c r="DK18" s="220"/>
      <c r="DL18" s="220"/>
      <c r="DM18" s="220"/>
      <c r="DN18" s="220"/>
      <c r="DO18" s="220"/>
      <c r="DP18" s="220"/>
    </row>
    <row r="19" spans="1:120" ht="13.35" customHeight="1" x14ac:dyDescent="0.15">
      <c r="A19" s="393" t="s">
        <v>45</v>
      </c>
      <c r="B19" s="394"/>
      <c r="C19" s="394"/>
      <c r="D19" s="394"/>
      <c r="E19" s="394"/>
      <c r="F19" s="394"/>
      <c r="G19" s="395"/>
      <c r="H19" s="569"/>
      <c r="I19" s="569"/>
      <c r="J19" s="523"/>
      <c r="K19" s="570"/>
      <c r="L19" s="569"/>
      <c r="M19" s="523"/>
      <c r="N19" s="397" t="str">
        <f t="shared" ref="N19:N31" si="0">IF(H19="-", "-", IF(K19="-", "-", IF(ABS(K19)=0, "-", ROUND(100*(H19-K19)/ABS(K19),10))))</f>
        <v>-</v>
      </c>
      <c r="O19" s="398"/>
      <c r="P19" s="399"/>
      <c r="Q19" s="571"/>
      <c r="R19" s="572"/>
      <c r="S19" s="573"/>
      <c r="T19" s="572"/>
      <c r="U19" s="572"/>
      <c r="V19" s="573"/>
      <c r="W19" s="576"/>
      <c r="X19" s="576"/>
      <c r="Y19" s="577"/>
      <c r="Z19" s="410"/>
      <c r="AA19" s="410"/>
      <c r="AB19" s="410"/>
      <c r="AC19" s="410"/>
      <c r="AD19" s="410"/>
      <c r="AE19" s="410"/>
      <c r="AF19" s="410"/>
      <c r="AG19" s="410"/>
      <c r="AH19" s="410"/>
      <c r="AI19" s="410"/>
      <c r="AJ19" s="410"/>
      <c r="AK19" s="410"/>
      <c r="AL19" s="410"/>
      <c r="AM19" s="410"/>
      <c r="AN19" s="410"/>
      <c r="AO19" s="410"/>
      <c r="AP19" s="410"/>
      <c r="AQ19" s="410"/>
      <c r="AR19" s="410"/>
      <c r="AS19" s="410"/>
      <c r="AT19" s="410"/>
      <c r="AU19" s="410"/>
      <c r="AV19" s="410"/>
      <c r="AW19" s="410"/>
      <c r="AX19" s="410"/>
      <c r="AY19" s="410"/>
      <c r="AZ19" s="410"/>
      <c r="BA19" s="410"/>
      <c r="BB19" s="410"/>
      <c r="BC19" s="410"/>
      <c r="BD19" s="410"/>
      <c r="BE19" s="410"/>
      <c r="BF19" s="410"/>
      <c r="BG19" s="410"/>
      <c r="BI19" s="563" t="s">
        <v>37</v>
      </c>
      <c r="BJ19" s="511" t="s">
        <v>39</v>
      </c>
      <c r="BK19" s="412"/>
      <c r="BL19" s="412"/>
      <c r="BM19" s="412"/>
      <c r="BN19" s="412"/>
      <c r="BO19" s="413"/>
      <c r="BP19" s="140"/>
      <c r="BQ19" s="141"/>
      <c r="BR19" s="142"/>
      <c r="BS19" s="141"/>
      <c r="BT19" s="141"/>
      <c r="BU19" s="142"/>
      <c r="BV19" s="397" t="str">
        <f t="shared" ref="BV19:BV28" si="1">IF(BP19="-", "-", IF(BS19="-", "-", IF(ABS(BS19)=0, "-", ROUND(100*(BP19-BS19)/ABS(BS19),10))))</f>
        <v>-</v>
      </c>
      <c r="BW19" s="398"/>
      <c r="BX19" s="399"/>
      <c r="BY19" s="600"/>
      <c r="BZ19" s="574"/>
      <c r="CA19" s="574"/>
      <c r="CB19" s="574"/>
      <c r="CC19" s="574"/>
      <c r="CD19" s="574"/>
      <c r="CE19" s="397" t="str">
        <f t="shared" ref="CE19:CE28" si="2">IF(BY19="-", "-", IF(CB19="-", "-", IF(ABS(CB19)=0, "-", ROUND(100*(BY19-CB19)/ABS(CB19),10))))</f>
        <v>-</v>
      </c>
      <c r="CF19" s="398"/>
      <c r="CG19" s="399"/>
      <c r="CH19" s="410"/>
      <c r="CI19" s="410"/>
      <c r="CJ19" s="410"/>
      <c r="CK19" s="410"/>
      <c r="CL19" s="410"/>
      <c r="CM19" s="410"/>
      <c r="CN19" s="410"/>
      <c r="CO19" s="410"/>
      <c r="CP19" s="410"/>
      <c r="CQ19" s="410"/>
      <c r="CR19" s="410"/>
      <c r="CS19" s="410"/>
      <c r="CT19" s="410"/>
      <c r="CU19" s="410"/>
      <c r="CV19" s="410"/>
      <c r="CW19" s="410"/>
      <c r="CX19" s="410"/>
      <c r="CY19" s="410"/>
      <c r="CZ19" s="410"/>
      <c r="DA19" s="410"/>
      <c r="DB19" s="410"/>
      <c r="DC19" s="410"/>
      <c r="DD19" s="410"/>
      <c r="DE19" s="410"/>
      <c r="DF19" s="410"/>
      <c r="DG19" s="410"/>
      <c r="DH19" s="410"/>
      <c r="DI19" s="410"/>
      <c r="DJ19" s="410"/>
      <c r="DK19" s="410"/>
      <c r="DL19" s="410"/>
      <c r="DM19" s="410"/>
      <c r="DN19" s="410"/>
      <c r="DO19" s="410"/>
      <c r="DP19" s="410"/>
    </row>
    <row r="20" spans="1:120" ht="13.35" customHeight="1" x14ac:dyDescent="0.15">
      <c r="A20" s="22"/>
      <c r="B20" s="193" t="s">
        <v>24</v>
      </c>
      <c r="C20" s="194"/>
      <c r="D20" s="194"/>
      <c r="E20" s="194"/>
      <c r="F20" s="194"/>
      <c r="G20" s="320"/>
      <c r="H20" s="508"/>
      <c r="I20" s="508"/>
      <c r="J20" s="509"/>
      <c r="K20" s="510"/>
      <c r="L20" s="508"/>
      <c r="M20" s="509"/>
      <c r="N20" s="292" t="str">
        <f t="shared" si="0"/>
        <v>-</v>
      </c>
      <c r="O20" s="293"/>
      <c r="P20" s="294"/>
      <c r="Q20" s="178"/>
      <c r="R20" s="168"/>
      <c r="S20" s="179"/>
      <c r="T20" s="167"/>
      <c r="U20" s="168"/>
      <c r="V20" s="179"/>
      <c r="W20" s="567" t="str">
        <f t="shared" ref="W20:W31" si="3">IF(Q20="-", "-", IF(T20="-", "-", IF(ABS(T20)=0, "-", ROUND(100*(Q20-T20)/ABS(T20),10))))</f>
        <v>-</v>
      </c>
      <c r="X20" s="567"/>
      <c r="Y20" s="568"/>
      <c r="Z20" s="358"/>
      <c r="AA20" s="358"/>
      <c r="AB20" s="358"/>
      <c r="AC20" s="358"/>
      <c r="AD20" s="358"/>
      <c r="AE20" s="358"/>
      <c r="AF20" s="358"/>
      <c r="AG20" s="358"/>
      <c r="AH20" s="358"/>
      <c r="AI20" s="358"/>
      <c r="AJ20" s="358"/>
      <c r="AK20" s="358"/>
      <c r="AL20" s="358"/>
      <c r="AM20" s="358"/>
      <c r="AN20" s="358"/>
      <c r="AO20" s="358"/>
      <c r="AP20" s="358"/>
      <c r="AQ20" s="358"/>
      <c r="AR20" s="358"/>
      <c r="AS20" s="358"/>
      <c r="AT20" s="358"/>
      <c r="AU20" s="358"/>
      <c r="AV20" s="358"/>
      <c r="AW20" s="358"/>
      <c r="AX20" s="358"/>
      <c r="AY20" s="358"/>
      <c r="AZ20" s="358"/>
      <c r="BA20" s="358"/>
      <c r="BB20" s="358"/>
      <c r="BC20" s="358"/>
      <c r="BD20" s="358"/>
      <c r="BE20" s="358"/>
      <c r="BF20" s="358"/>
      <c r="BG20" s="358"/>
      <c r="BI20" s="563"/>
      <c r="BJ20" s="193" t="s">
        <v>162</v>
      </c>
      <c r="BK20" s="194"/>
      <c r="BL20" s="194"/>
      <c r="BM20" s="194"/>
      <c r="BN20" s="194"/>
      <c r="BO20" s="320"/>
      <c r="BP20" s="126"/>
      <c r="BQ20" s="106"/>
      <c r="BR20" s="127"/>
      <c r="BS20" s="106"/>
      <c r="BT20" s="106"/>
      <c r="BU20" s="127"/>
      <c r="BV20" s="292" t="str">
        <f t="shared" si="1"/>
        <v>-</v>
      </c>
      <c r="BW20" s="293"/>
      <c r="BX20" s="294"/>
      <c r="BY20" s="321"/>
      <c r="BZ20" s="322"/>
      <c r="CA20" s="322"/>
      <c r="CB20" s="322"/>
      <c r="CC20" s="322"/>
      <c r="CD20" s="322"/>
      <c r="CE20" s="292" t="str">
        <f t="shared" si="2"/>
        <v>-</v>
      </c>
      <c r="CF20" s="293"/>
      <c r="CG20" s="294"/>
      <c r="CH20" s="358"/>
      <c r="CI20" s="358"/>
      <c r="CJ20" s="358"/>
      <c r="CK20" s="358"/>
      <c r="CL20" s="358"/>
      <c r="CM20" s="358"/>
      <c r="CN20" s="358"/>
      <c r="CO20" s="358"/>
      <c r="CP20" s="358"/>
      <c r="CQ20" s="358"/>
      <c r="CR20" s="358"/>
      <c r="CS20" s="358"/>
      <c r="CT20" s="358"/>
      <c r="CU20" s="358"/>
      <c r="CV20" s="358"/>
      <c r="CW20" s="358"/>
      <c r="CX20" s="358"/>
      <c r="CY20" s="358"/>
      <c r="CZ20" s="358"/>
      <c r="DA20" s="358"/>
      <c r="DB20" s="358"/>
      <c r="DC20" s="358"/>
      <c r="DD20" s="358"/>
      <c r="DE20" s="358"/>
      <c r="DF20" s="358"/>
      <c r="DG20" s="358"/>
      <c r="DH20" s="358"/>
      <c r="DI20" s="358"/>
      <c r="DJ20" s="358"/>
      <c r="DK20" s="358"/>
      <c r="DL20" s="358"/>
      <c r="DM20" s="358"/>
      <c r="DN20" s="358"/>
      <c r="DO20" s="358"/>
      <c r="DP20" s="358"/>
    </row>
    <row r="21" spans="1:120" ht="13.35" customHeight="1" x14ac:dyDescent="0.15">
      <c r="A21" s="22"/>
      <c r="B21" s="193" t="s">
        <v>28</v>
      </c>
      <c r="C21" s="194"/>
      <c r="D21" s="194"/>
      <c r="E21" s="194"/>
      <c r="F21" s="194"/>
      <c r="G21" s="320"/>
      <c r="H21" s="508"/>
      <c r="I21" s="508"/>
      <c r="J21" s="509"/>
      <c r="K21" s="510"/>
      <c r="L21" s="508"/>
      <c r="M21" s="509"/>
      <c r="N21" s="292" t="str">
        <f t="shared" si="0"/>
        <v>-</v>
      </c>
      <c r="O21" s="293"/>
      <c r="P21" s="294"/>
      <c r="Q21" s="178"/>
      <c r="R21" s="168"/>
      <c r="S21" s="179"/>
      <c r="T21" s="167"/>
      <c r="U21" s="168"/>
      <c r="V21" s="179"/>
      <c r="W21" s="292" t="str">
        <f t="shared" si="3"/>
        <v>-</v>
      </c>
      <c r="X21" s="293"/>
      <c r="Y21" s="294"/>
      <c r="Z21" s="358"/>
      <c r="AA21" s="358"/>
      <c r="AB21" s="358"/>
      <c r="AC21" s="358"/>
      <c r="AD21" s="358"/>
      <c r="AE21" s="358"/>
      <c r="AF21" s="358"/>
      <c r="AG21" s="358"/>
      <c r="AH21" s="358"/>
      <c r="AI21" s="358"/>
      <c r="AJ21" s="358"/>
      <c r="AK21" s="358"/>
      <c r="AL21" s="358"/>
      <c r="AM21" s="358"/>
      <c r="AN21" s="358"/>
      <c r="AO21" s="358"/>
      <c r="AP21" s="358"/>
      <c r="AQ21" s="358"/>
      <c r="AR21" s="358"/>
      <c r="AS21" s="358"/>
      <c r="AT21" s="358"/>
      <c r="AU21" s="358"/>
      <c r="AV21" s="358"/>
      <c r="AW21" s="358"/>
      <c r="AX21" s="358"/>
      <c r="AY21" s="358"/>
      <c r="AZ21" s="358"/>
      <c r="BA21" s="358"/>
      <c r="BB21" s="358"/>
      <c r="BC21" s="358"/>
      <c r="BD21" s="358"/>
      <c r="BE21" s="358"/>
      <c r="BF21" s="358"/>
      <c r="BG21" s="358"/>
      <c r="BI21" s="563"/>
      <c r="BJ21" s="193" t="s">
        <v>40</v>
      </c>
      <c r="BK21" s="194"/>
      <c r="BL21" s="194"/>
      <c r="BM21" s="194"/>
      <c r="BN21" s="194"/>
      <c r="BO21" s="320"/>
      <c r="BP21" s="126"/>
      <c r="BQ21" s="106"/>
      <c r="BR21" s="127"/>
      <c r="BS21" s="106"/>
      <c r="BT21" s="106"/>
      <c r="BU21" s="127"/>
      <c r="BV21" s="292" t="str">
        <f t="shared" si="1"/>
        <v>-</v>
      </c>
      <c r="BW21" s="293"/>
      <c r="BX21" s="294"/>
      <c r="BY21" s="321"/>
      <c r="BZ21" s="322"/>
      <c r="CA21" s="322"/>
      <c r="CB21" s="322"/>
      <c r="CC21" s="322"/>
      <c r="CD21" s="322"/>
      <c r="CE21" s="292" t="str">
        <f t="shared" si="2"/>
        <v>-</v>
      </c>
      <c r="CF21" s="293"/>
      <c r="CG21" s="294"/>
      <c r="CH21" s="358"/>
      <c r="CI21" s="358"/>
      <c r="CJ21" s="358"/>
      <c r="CK21" s="358"/>
      <c r="CL21" s="358"/>
      <c r="CM21" s="358"/>
      <c r="CN21" s="358"/>
      <c r="CO21" s="358"/>
      <c r="CP21" s="358"/>
      <c r="CQ21" s="358"/>
      <c r="CR21" s="358"/>
      <c r="CS21" s="358"/>
      <c r="CT21" s="358"/>
      <c r="CU21" s="358"/>
      <c r="CV21" s="358"/>
      <c r="CW21" s="358"/>
      <c r="CX21" s="358"/>
      <c r="CY21" s="358"/>
      <c r="CZ21" s="358"/>
      <c r="DA21" s="358"/>
      <c r="DB21" s="358"/>
      <c r="DC21" s="358"/>
      <c r="DD21" s="358"/>
      <c r="DE21" s="358"/>
      <c r="DF21" s="358"/>
      <c r="DG21" s="358"/>
      <c r="DH21" s="358"/>
      <c r="DI21" s="358"/>
      <c r="DJ21" s="358"/>
      <c r="DK21" s="358"/>
      <c r="DL21" s="358"/>
      <c r="DM21" s="358"/>
      <c r="DN21" s="358"/>
      <c r="DO21" s="358"/>
      <c r="DP21" s="358"/>
    </row>
    <row r="22" spans="1:120" ht="13.35" customHeight="1" x14ac:dyDescent="0.15">
      <c r="A22" s="319" t="s">
        <v>51</v>
      </c>
      <c r="B22" s="194"/>
      <c r="C22" s="194"/>
      <c r="D22" s="194"/>
      <c r="E22" s="194"/>
      <c r="F22" s="194"/>
      <c r="G22" s="320"/>
      <c r="H22" s="508"/>
      <c r="I22" s="508"/>
      <c r="J22" s="509"/>
      <c r="K22" s="510"/>
      <c r="L22" s="508"/>
      <c r="M22" s="509"/>
      <c r="N22" s="292" t="str">
        <f t="shared" si="0"/>
        <v>-</v>
      </c>
      <c r="O22" s="293"/>
      <c r="P22" s="294"/>
      <c r="Q22" s="522"/>
      <c r="R22" s="521"/>
      <c r="S22" s="521"/>
      <c r="T22" s="521"/>
      <c r="U22" s="521"/>
      <c r="V22" s="521"/>
      <c r="W22" s="512" t="str">
        <f t="shared" si="3"/>
        <v>-</v>
      </c>
      <c r="X22" s="512"/>
      <c r="Y22" s="513"/>
      <c r="Z22" s="358"/>
      <c r="AA22" s="358"/>
      <c r="AB22" s="358"/>
      <c r="AC22" s="358"/>
      <c r="AD22" s="358"/>
      <c r="AE22" s="358"/>
      <c r="AF22" s="358"/>
      <c r="AG22" s="358"/>
      <c r="AH22" s="358"/>
      <c r="AI22" s="358"/>
      <c r="AJ22" s="358"/>
      <c r="AK22" s="358"/>
      <c r="AL22" s="358"/>
      <c r="AM22" s="358"/>
      <c r="AN22" s="358"/>
      <c r="AO22" s="358"/>
      <c r="AP22" s="358"/>
      <c r="AQ22" s="358"/>
      <c r="AR22" s="358"/>
      <c r="AS22" s="358"/>
      <c r="AT22" s="358"/>
      <c r="AU22" s="358"/>
      <c r="AV22" s="358"/>
      <c r="AW22" s="358"/>
      <c r="AX22" s="358"/>
      <c r="AY22" s="358"/>
      <c r="AZ22" s="358"/>
      <c r="BA22" s="358"/>
      <c r="BB22" s="358"/>
      <c r="BC22" s="358"/>
      <c r="BD22" s="358"/>
      <c r="BE22" s="358"/>
      <c r="BF22" s="358"/>
      <c r="BG22" s="358"/>
      <c r="BI22" s="563"/>
      <c r="BJ22" s="193" t="s">
        <v>58</v>
      </c>
      <c r="BK22" s="194"/>
      <c r="BL22" s="194"/>
      <c r="BM22" s="194"/>
      <c r="BN22" s="194"/>
      <c r="BO22" s="320"/>
      <c r="BP22" s="126"/>
      <c r="BQ22" s="106"/>
      <c r="BR22" s="127"/>
      <c r="BS22" s="106"/>
      <c r="BT22" s="106"/>
      <c r="BU22" s="127"/>
      <c r="BV22" s="292" t="str">
        <f t="shared" si="1"/>
        <v>-</v>
      </c>
      <c r="BW22" s="293"/>
      <c r="BX22" s="294"/>
      <c r="BY22" s="321"/>
      <c r="BZ22" s="322"/>
      <c r="CA22" s="322"/>
      <c r="CB22" s="322"/>
      <c r="CC22" s="322"/>
      <c r="CD22" s="322"/>
      <c r="CE22" s="292" t="str">
        <f t="shared" si="2"/>
        <v>-</v>
      </c>
      <c r="CF22" s="293"/>
      <c r="CG22" s="294"/>
      <c r="CH22" s="358"/>
      <c r="CI22" s="358"/>
      <c r="CJ22" s="358"/>
      <c r="CK22" s="358"/>
      <c r="CL22" s="358"/>
      <c r="CM22" s="358"/>
      <c r="CN22" s="358"/>
      <c r="CO22" s="358"/>
      <c r="CP22" s="358"/>
      <c r="CQ22" s="358"/>
      <c r="CR22" s="358"/>
      <c r="CS22" s="358"/>
      <c r="CT22" s="358"/>
      <c r="CU22" s="358"/>
      <c r="CV22" s="358"/>
      <c r="CW22" s="358"/>
      <c r="CX22" s="358"/>
      <c r="CY22" s="358"/>
      <c r="CZ22" s="358"/>
      <c r="DA22" s="358"/>
      <c r="DB22" s="358"/>
      <c r="DC22" s="358"/>
      <c r="DD22" s="358"/>
      <c r="DE22" s="358"/>
      <c r="DF22" s="358"/>
      <c r="DG22" s="358"/>
      <c r="DH22" s="358"/>
      <c r="DI22" s="358"/>
      <c r="DJ22" s="358"/>
      <c r="DK22" s="358"/>
      <c r="DL22" s="358"/>
      <c r="DM22" s="358"/>
      <c r="DN22" s="358"/>
      <c r="DO22" s="358"/>
      <c r="DP22" s="358"/>
    </row>
    <row r="23" spans="1:120" ht="13.35" customHeight="1" x14ac:dyDescent="0.15">
      <c r="A23" s="319" t="s">
        <v>52</v>
      </c>
      <c r="B23" s="194"/>
      <c r="C23" s="194"/>
      <c r="D23" s="194"/>
      <c r="E23" s="194"/>
      <c r="F23" s="194"/>
      <c r="G23" s="320"/>
      <c r="H23" s="508"/>
      <c r="I23" s="508"/>
      <c r="J23" s="509"/>
      <c r="K23" s="510"/>
      <c r="L23" s="508"/>
      <c r="M23" s="509"/>
      <c r="N23" s="292" t="str">
        <f t="shared" si="0"/>
        <v>-</v>
      </c>
      <c r="O23" s="293"/>
      <c r="P23" s="294"/>
      <c r="Q23" s="522"/>
      <c r="R23" s="521"/>
      <c r="S23" s="521"/>
      <c r="T23" s="521"/>
      <c r="U23" s="521"/>
      <c r="V23" s="521"/>
      <c r="W23" s="512" t="str">
        <f t="shared" si="3"/>
        <v>-</v>
      </c>
      <c r="X23" s="512"/>
      <c r="Y23" s="513"/>
      <c r="Z23" s="358"/>
      <c r="AA23" s="358"/>
      <c r="AB23" s="358"/>
      <c r="AC23" s="358"/>
      <c r="AD23" s="358"/>
      <c r="AE23" s="358"/>
      <c r="AF23" s="358"/>
      <c r="AG23" s="358"/>
      <c r="AH23" s="358"/>
      <c r="AI23" s="358"/>
      <c r="AJ23" s="358"/>
      <c r="AK23" s="358"/>
      <c r="AL23" s="358"/>
      <c r="AM23" s="358"/>
      <c r="AN23" s="358"/>
      <c r="AO23" s="358"/>
      <c r="AP23" s="358"/>
      <c r="AQ23" s="358"/>
      <c r="AR23" s="358"/>
      <c r="AS23" s="358"/>
      <c r="AT23" s="358"/>
      <c r="AU23" s="358"/>
      <c r="AV23" s="358"/>
      <c r="AW23" s="358"/>
      <c r="AX23" s="358"/>
      <c r="AY23" s="358"/>
      <c r="AZ23" s="358"/>
      <c r="BA23" s="358"/>
      <c r="BB23" s="358"/>
      <c r="BC23" s="358"/>
      <c r="BD23" s="358"/>
      <c r="BE23" s="358"/>
      <c r="BF23" s="358"/>
      <c r="BG23" s="358"/>
      <c r="BI23" s="564"/>
      <c r="BJ23" s="289" t="s">
        <v>38</v>
      </c>
      <c r="BK23" s="290"/>
      <c r="BL23" s="290"/>
      <c r="BM23" s="290"/>
      <c r="BN23" s="290"/>
      <c r="BO23" s="291"/>
      <c r="BP23" s="154"/>
      <c r="BQ23" s="135"/>
      <c r="BR23" s="155"/>
      <c r="BS23" s="135"/>
      <c r="BT23" s="135"/>
      <c r="BU23" s="155"/>
      <c r="BV23" s="266" t="str">
        <f t="shared" si="1"/>
        <v>-</v>
      </c>
      <c r="BW23" s="267"/>
      <c r="BX23" s="268"/>
      <c r="BY23" s="316"/>
      <c r="BZ23" s="317"/>
      <c r="CA23" s="317"/>
      <c r="CB23" s="317"/>
      <c r="CC23" s="317"/>
      <c r="CD23" s="317"/>
      <c r="CE23" s="266" t="str">
        <f t="shared" si="2"/>
        <v>-</v>
      </c>
      <c r="CF23" s="267"/>
      <c r="CG23" s="268"/>
      <c r="CH23" s="359"/>
      <c r="CI23" s="359"/>
      <c r="CJ23" s="359"/>
      <c r="CK23" s="359"/>
      <c r="CL23" s="359"/>
      <c r="CM23" s="359"/>
      <c r="CN23" s="359"/>
      <c r="CO23" s="359"/>
      <c r="CP23" s="359"/>
      <c r="CQ23" s="359"/>
      <c r="CR23" s="359"/>
      <c r="CS23" s="359"/>
      <c r="CT23" s="359"/>
      <c r="CU23" s="359"/>
      <c r="CV23" s="359"/>
      <c r="CW23" s="359"/>
      <c r="CX23" s="359"/>
      <c r="CY23" s="359"/>
      <c r="CZ23" s="359"/>
      <c r="DA23" s="359"/>
      <c r="DB23" s="359"/>
      <c r="DC23" s="359"/>
      <c r="DD23" s="359"/>
      <c r="DE23" s="359"/>
      <c r="DF23" s="359"/>
      <c r="DG23" s="359"/>
      <c r="DH23" s="359"/>
      <c r="DI23" s="359"/>
      <c r="DJ23" s="359"/>
      <c r="DK23" s="359"/>
      <c r="DL23" s="359"/>
      <c r="DM23" s="359"/>
      <c r="DN23" s="359"/>
      <c r="DO23" s="359"/>
      <c r="DP23" s="359"/>
    </row>
    <row r="24" spans="1:120" ht="13.35" customHeight="1" x14ac:dyDescent="0.15">
      <c r="A24" s="319" t="s">
        <v>25</v>
      </c>
      <c r="B24" s="194"/>
      <c r="C24" s="194"/>
      <c r="D24" s="194"/>
      <c r="E24" s="194"/>
      <c r="F24" s="194"/>
      <c r="G24" s="320"/>
      <c r="H24" s="508"/>
      <c r="I24" s="508"/>
      <c r="J24" s="509"/>
      <c r="K24" s="510"/>
      <c r="L24" s="508"/>
      <c r="M24" s="509"/>
      <c r="N24" s="292" t="str">
        <f t="shared" si="0"/>
        <v>-</v>
      </c>
      <c r="O24" s="293"/>
      <c r="P24" s="294"/>
      <c r="Q24" s="565"/>
      <c r="R24" s="566"/>
      <c r="S24" s="566"/>
      <c r="T24" s="566"/>
      <c r="U24" s="566"/>
      <c r="V24" s="566"/>
      <c r="W24" s="292" t="str">
        <f t="shared" si="3"/>
        <v>-</v>
      </c>
      <c r="X24" s="293"/>
      <c r="Y24" s="294"/>
      <c r="Z24" s="358"/>
      <c r="AA24" s="358"/>
      <c r="AB24" s="358"/>
      <c r="AC24" s="358"/>
      <c r="AD24" s="358"/>
      <c r="AE24" s="358"/>
      <c r="AF24" s="358"/>
      <c r="AG24" s="358"/>
      <c r="AH24" s="358"/>
      <c r="AI24" s="358"/>
      <c r="AJ24" s="358"/>
      <c r="AK24" s="358"/>
      <c r="AL24" s="358"/>
      <c r="AM24" s="358"/>
      <c r="AN24" s="358"/>
      <c r="AO24" s="358"/>
      <c r="AP24" s="358"/>
      <c r="AQ24" s="358"/>
      <c r="AR24" s="358"/>
      <c r="AS24" s="358"/>
      <c r="AT24" s="358"/>
      <c r="AU24" s="358"/>
      <c r="AV24" s="358"/>
      <c r="AW24" s="358"/>
      <c r="AX24" s="358"/>
      <c r="AY24" s="358"/>
      <c r="AZ24" s="358"/>
      <c r="BA24" s="358"/>
      <c r="BB24" s="358"/>
      <c r="BC24" s="358"/>
      <c r="BD24" s="358"/>
      <c r="BE24" s="358"/>
      <c r="BF24" s="358"/>
      <c r="BG24" s="358"/>
      <c r="BI24" s="562" t="s">
        <v>59</v>
      </c>
      <c r="BJ24" s="438" t="s">
        <v>39</v>
      </c>
      <c r="BK24" s="348"/>
      <c r="BL24" s="348"/>
      <c r="BM24" s="348"/>
      <c r="BN24" s="348"/>
      <c r="BO24" s="349"/>
      <c r="BP24" s="140"/>
      <c r="BQ24" s="141"/>
      <c r="BR24" s="142"/>
      <c r="BS24" s="141"/>
      <c r="BT24" s="141"/>
      <c r="BU24" s="142"/>
      <c r="BV24" s="325" t="str">
        <f t="shared" si="1"/>
        <v>-</v>
      </c>
      <c r="BW24" s="326"/>
      <c r="BX24" s="327"/>
      <c r="BY24" s="350"/>
      <c r="BZ24" s="209"/>
      <c r="CA24" s="209"/>
      <c r="CB24" s="209"/>
      <c r="CC24" s="209"/>
      <c r="CD24" s="209"/>
      <c r="CE24" s="325" t="str">
        <f t="shared" si="2"/>
        <v>-</v>
      </c>
      <c r="CF24" s="326"/>
      <c r="CG24" s="327"/>
      <c r="CH24" s="410"/>
      <c r="CI24" s="410"/>
      <c r="CJ24" s="410"/>
      <c r="CK24" s="410"/>
      <c r="CL24" s="410"/>
      <c r="CM24" s="410"/>
      <c r="CN24" s="410"/>
      <c r="CO24" s="410"/>
      <c r="CP24" s="410"/>
      <c r="CQ24" s="410"/>
      <c r="CR24" s="410"/>
      <c r="CS24" s="410"/>
      <c r="CT24" s="410"/>
      <c r="CU24" s="410"/>
      <c r="CV24" s="410"/>
      <c r="CW24" s="410"/>
      <c r="CX24" s="410"/>
      <c r="CY24" s="410"/>
      <c r="CZ24" s="410"/>
      <c r="DA24" s="410"/>
      <c r="DB24" s="410"/>
      <c r="DC24" s="410"/>
      <c r="DD24" s="410"/>
      <c r="DE24" s="410"/>
      <c r="DF24" s="410"/>
      <c r="DG24" s="410"/>
      <c r="DH24" s="410"/>
      <c r="DI24" s="410"/>
      <c r="DJ24" s="410"/>
      <c r="DK24" s="410"/>
      <c r="DL24" s="410"/>
      <c r="DM24" s="410"/>
      <c r="DN24" s="410"/>
      <c r="DO24" s="410"/>
      <c r="DP24" s="410"/>
    </row>
    <row r="25" spans="1:120" ht="13.35" customHeight="1" x14ac:dyDescent="0.15">
      <c r="A25" s="319" t="s">
        <v>41</v>
      </c>
      <c r="B25" s="194"/>
      <c r="C25" s="194"/>
      <c r="D25" s="194"/>
      <c r="E25" s="194"/>
      <c r="F25" s="194"/>
      <c r="G25" s="320"/>
      <c r="H25" s="508"/>
      <c r="I25" s="508"/>
      <c r="J25" s="509"/>
      <c r="K25" s="510"/>
      <c r="L25" s="508"/>
      <c r="M25" s="509"/>
      <c r="N25" s="292" t="str">
        <f t="shared" si="0"/>
        <v>-</v>
      </c>
      <c r="O25" s="293"/>
      <c r="P25" s="294"/>
      <c r="Q25" s="565"/>
      <c r="R25" s="566"/>
      <c r="S25" s="566"/>
      <c r="T25" s="566"/>
      <c r="U25" s="566"/>
      <c r="V25" s="566"/>
      <c r="W25" s="292" t="str">
        <f t="shared" si="3"/>
        <v>-</v>
      </c>
      <c r="X25" s="293"/>
      <c r="Y25" s="294"/>
      <c r="Z25" s="358"/>
      <c r="AA25" s="358"/>
      <c r="AB25" s="358"/>
      <c r="AC25" s="358"/>
      <c r="AD25" s="358"/>
      <c r="AE25" s="358"/>
      <c r="AF25" s="358"/>
      <c r="AG25" s="358"/>
      <c r="AH25" s="358"/>
      <c r="AI25" s="358"/>
      <c r="AJ25" s="358"/>
      <c r="AK25" s="358"/>
      <c r="AL25" s="358"/>
      <c r="AM25" s="358"/>
      <c r="AN25" s="358"/>
      <c r="AO25" s="358"/>
      <c r="AP25" s="358"/>
      <c r="AQ25" s="358"/>
      <c r="AR25" s="358"/>
      <c r="AS25" s="358"/>
      <c r="AT25" s="358"/>
      <c r="AU25" s="358"/>
      <c r="AV25" s="358"/>
      <c r="AW25" s="358"/>
      <c r="AX25" s="358"/>
      <c r="AY25" s="358"/>
      <c r="AZ25" s="358"/>
      <c r="BA25" s="358"/>
      <c r="BB25" s="358"/>
      <c r="BC25" s="358"/>
      <c r="BD25" s="358"/>
      <c r="BE25" s="358"/>
      <c r="BF25" s="358"/>
      <c r="BG25" s="358"/>
      <c r="BI25" s="563"/>
      <c r="BJ25" s="193" t="s">
        <v>162</v>
      </c>
      <c r="BK25" s="194"/>
      <c r="BL25" s="194"/>
      <c r="BM25" s="194"/>
      <c r="BN25" s="194"/>
      <c r="BO25" s="320"/>
      <c r="BP25" s="126"/>
      <c r="BQ25" s="106"/>
      <c r="BR25" s="127"/>
      <c r="BS25" s="106"/>
      <c r="BT25" s="106"/>
      <c r="BU25" s="127"/>
      <c r="BV25" s="292" t="str">
        <f t="shared" si="1"/>
        <v>-</v>
      </c>
      <c r="BW25" s="293"/>
      <c r="BX25" s="294"/>
      <c r="BY25" s="321"/>
      <c r="BZ25" s="322"/>
      <c r="CA25" s="322"/>
      <c r="CB25" s="322"/>
      <c r="CC25" s="322"/>
      <c r="CD25" s="322"/>
      <c r="CE25" s="292" t="str">
        <f t="shared" si="2"/>
        <v>-</v>
      </c>
      <c r="CF25" s="293"/>
      <c r="CG25" s="294"/>
      <c r="CH25" s="358"/>
      <c r="CI25" s="358"/>
      <c r="CJ25" s="358"/>
      <c r="CK25" s="358"/>
      <c r="CL25" s="358"/>
      <c r="CM25" s="358"/>
      <c r="CN25" s="358"/>
      <c r="CO25" s="358"/>
      <c r="CP25" s="358"/>
      <c r="CQ25" s="358"/>
      <c r="CR25" s="358"/>
      <c r="CS25" s="358"/>
      <c r="CT25" s="358"/>
      <c r="CU25" s="358"/>
      <c r="CV25" s="358"/>
      <c r="CW25" s="358"/>
      <c r="CX25" s="358"/>
      <c r="CY25" s="358"/>
      <c r="CZ25" s="358"/>
      <c r="DA25" s="358"/>
      <c r="DB25" s="358"/>
      <c r="DC25" s="358"/>
      <c r="DD25" s="358"/>
      <c r="DE25" s="358"/>
      <c r="DF25" s="358"/>
      <c r="DG25" s="358"/>
      <c r="DH25" s="358"/>
      <c r="DI25" s="358"/>
      <c r="DJ25" s="358"/>
      <c r="DK25" s="358"/>
      <c r="DL25" s="358"/>
      <c r="DM25" s="358"/>
      <c r="DN25" s="358"/>
      <c r="DO25" s="358"/>
      <c r="DP25" s="358"/>
    </row>
    <row r="26" spans="1:120" ht="13.35" customHeight="1" x14ac:dyDescent="0.15">
      <c r="A26" s="315" t="s">
        <v>29</v>
      </c>
      <c r="B26" s="290"/>
      <c r="C26" s="290"/>
      <c r="D26" s="290"/>
      <c r="E26" s="290"/>
      <c r="F26" s="290"/>
      <c r="G26" s="291"/>
      <c r="H26" s="505"/>
      <c r="I26" s="505"/>
      <c r="J26" s="506"/>
      <c r="K26" s="507"/>
      <c r="L26" s="505"/>
      <c r="M26" s="506"/>
      <c r="N26" s="266" t="str">
        <f t="shared" si="0"/>
        <v>-</v>
      </c>
      <c r="O26" s="267"/>
      <c r="P26" s="268"/>
      <c r="Q26" s="560"/>
      <c r="R26" s="561"/>
      <c r="S26" s="561"/>
      <c r="T26" s="561"/>
      <c r="U26" s="561"/>
      <c r="V26" s="561"/>
      <c r="W26" s="266" t="str">
        <f t="shared" si="3"/>
        <v>-</v>
      </c>
      <c r="X26" s="267"/>
      <c r="Y26" s="268"/>
      <c r="Z26" s="359"/>
      <c r="AA26" s="359"/>
      <c r="AB26" s="359"/>
      <c r="AC26" s="359"/>
      <c r="AD26" s="359"/>
      <c r="AE26" s="359"/>
      <c r="AF26" s="359"/>
      <c r="AG26" s="359"/>
      <c r="AH26" s="359"/>
      <c r="AI26" s="359"/>
      <c r="AJ26" s="359"/>
      <c r="AK26" s="359"/>
      <c r="AL26" s="359"/>
      <c r="AM26" s="359"/>
      <c r="AN26" s="359"/>
      <c r="AO26" s="359"/>
      <c r="AP26" s="359"/>
      <c r="AQ26" s="359"/>
      <c r="AR26" s="359"/>
      <c r="AS26" s="359"/>
      <c r="AT26" s="359"/>
      <c r="AU26" s="359"/>
      <c r="AV26" s="359"/>
      <c r="AW26" s="359"/>
      <c r="AX26" s="359"/>
      <c r="AY26" s="359"/>
      <c r="AZ26" s="359"/>
      <c r="BA26" s="359"/>
      <c r="BB26" s="359"/>
      <c r="BC26" s="359"/>
      <c r="BD26" s="359"/>
      <c r="BE26" s="359"/>
      <c r="BF26" s="359"/>
      <c r="BG26" s="359"/>
      <c r="BI26" s="563"/>
      <c r="BJ26" s="193" t="s">
        <v>40</v>
      </c>
      <c r="BK26" s="194"/>
      <c r="BL26" s="194"/>
      <c r="BM26" s="194"/>
      <c r="BN26" s="194"/>
      <c r="BO26" s="320"/>
      <c r="BP26" s="126"/>
      <c r="BQ26" s="106"/>
      <c r="BR26" s="127"/>
      <c r="BS26" s="106"/>
      <c r="BT26" s="106"/>
      <c r="BU26" s="127"/>
      <c r="BV26" s="292" t="str">
        <f t="shared" si="1"/>
        <v>-</v>
      </c>
      <c r="BW26" s="293"/>
      <c r="BX26" s="294"/>
      <c r="BY26" s="321"/>
      <c r="BZ26" s="322"/>
      <c r="CA26" s="322"/>
      <c r="CB26" s="322"/>
      <c r="CC26" s="322"/>
      <c r="CD26" s="322"/>
      <c r="CE26" s="292" t="str">
        <f t="shared" si="2"/>
        <v>-</v>
      </c>
      <c r="CF26" s="293"/>
      <c r="CG26" s="294"/>
      <c r="CH26" s="358"/>
      <c r="CI26" s="358"/>
      <c r="CJ26" s="358"/>
      <c r="CK26" s="358"/>
      <c r="CL26" s="358"/>
      <c r="CM26" s="358"/>
      <c r="CN26" s="358"/>
      <c r="CO26" s="358"/>
      <c r="CP26" s="358"/>
      <c r="CQ26" s="358"/>
      <c r="CR26" s="358"/>
      <c r="CS26" s="358"/>
      <c r="CT26" s="358"/>
      <c r="CU26" s="358"/>
      <c r="CV26" s="358"/>
      <c r="CW26" s="358"/>
      <c r="CX26" s="358"/>
      <c r="CY26" s="358"/>
      <c r="CZ26" s="358"/>
      <c r="DA26" s="358"/>
      <c r="DB26" s="358"/>
      <c r="DC26" s="358"/>
      <c r="DD26" s="358"/>
      <c r="DE26" s="358"/>
      <c r="DF26" s="358"/>
      <c r="DG26" s="358"/>
      <c r="DH26" s="358"/>
      <c r="DI26" s="358"/>
      <c r="DJ26" s="358"/>
      <c r="DK26" s="358"/>
      <c r="DL26" s="358"/>
      <c r="DM26" s="358"/>
      <c r="DN26" s="358"/>
      <c r="DO26" s="358"/>
      <c r="DP26" s="358"/>
    </row>
    <row r="27" spans="1:120" ht="13.35" customHeight="1" x14ac:dyDescent="0.15">
      <c r="A27" s="347" t="s">
        <v>26</v>
      </c>
      <c r="B27" s="348"/>
      <c r="C27" s="348"/>
      <c r="D27" s="348"/>
      <c r="E27" s="348"/>
      <c r="F27" s="348"/>
      <c r="G27" s="349"/>
      <c r="H27" s="508"/>
      <c r="I27" s="508"/>
      <c r="J27" s="509"/>
      <c r="K27" s="510"/>
      <c r="L27" s="508"/>
      <c r="M27" s="509"/>
      <c r="N27" s="325" t="str">
        <f t="shared" si="0"/>
        <v>-</v>
      </c>
      <c r="O27" s="326"/>
      <c r="P27" s="327"/>
      <c r="Q27" s="517"/>
      <c r="R27" s="518"/>
      <c r="S27" s="519"/>
      <c r="T27" s="520"/>
      <c r="U27" s="518"/>
      <c r="V27" s="519"/>
      <c r="W27" s="325" t="str">
        <f t="shared" si="3"/>
        <v>-</v>
      </c>
      <c r="X27" s="326"/>
      <c r="Y27" s="327"/>
      <c r="Z27" s="410"/>
      <c r="AA27" s="410"/>
      <c r="AB27" s="410"/>
      <c r="AC27" s="410"/>
      <c r="AD27" s="410"/>
      <c r="AE27" s="410"/>
      <c r="AF27" s="410"/>
      <c r="AG27" s="410"/>
      <c r="AH27" s="410"/>
      <c r="AI27" s="410"/>
      <c r="AJ27" s="410"/>
      <c r="AK27" s="410"/>
      <c r="AL27" s="410"/>
      <c r="AM27" s="410"/>
      <c r="AN27" s="410"/>
      <c r="AO27" s="410"/>
      <c r="AP27" s="410"/>
      <c r="AQ27" s="410"/>
      <c r="AR27" s="410"/>
      <c r="AS27" s="410"/>
      <c r="AT27" s="410"/>
      <c r="AU27" s="410"/>
      <c r="AV27" s="410"/>
      <c r="AW27" s="410"/>
      <c r="AX27" s="410"/>
      <c r="AY27" s="410"/>
      <c r="AZ27" s="410"/>
      <c r="BA27" s="410"/>
      <c r="BB27" s="410"/>
      <c r="BC27" s="410"/>
      <c r="BD27" s="410"/>
      <c r="BE27" s="410"/>
      <c r="BF27" s="410"/>
      <c r="BG27" s="410"/>
      <c r="BI27" s="563"/>
      <c r="BJ27" s="193" t="s">
        <v>58</v>
      </c>
      <c r="BK27" s="194"/>
      <c r="BL27" s="194"/>
      <c r="BM27" s="194"/>
      <c r="BN27" s="194"/>
      <c r="BO27" s="320"/>
      <c r="BP27" s="126"/>
      <c r="BQ27" s="106"/>
      <c r="BR27" s="127"/>
      <c r="BS27" s="106"/>
      <c r="BT27" s="106"/>
      <c r="BU27" s="127"/>
      <c r="BV27" s="292" t="str">
        <f t="shared" si="1"/>
        <v>-</v>
      </c>
      <c r="BW27" s="293"/>
      <c r="BX27" s="294"/>
      <c r="BY27" s="321"/>
      <c r="BZ27" s="322"/>
      <c r="CA27" s="322"/>
      <c r="CB27" s="322"/>
      <c r="CC27" s="322"/>
      <c r="CD27" s="322"/>
      <c r="CE27" s="292" t="str">
        <f t="shared" si="2"/>
        <v>-</v>
      </c>
      <c r="CF27" s="293"/>
      <c r="CG27" s="294"/>
      <c r="CH27" s="358"/>
      <c r="CI27" s="358"/>
      <c r="CJ27" s="358"/>
      <c r="CK27" s="358"/>
      <c r="CL27" s="358"/>
      <c r="CM27" s="358"/>
      <c r="CN27" s="358"/>
      <c r="CO27" s="358"/>
      <c r="CP27" s="358"/>
      <c r="CQ27" s="358"/>
      <c r="CR27" s="358"/>
      <c r="CS27" s="358"/>
      <c r="CT27" s="358"/>
      <c r="CU27" s="358"/>
      <c r="CV27" s="358"/>
      <c r="CW27" s="358"/>
      <c r="CX27" s="358"/>
      <c r="CY27" s="358"/>
      <c r="CZ27" s="358"/>
      <c r="DA27" s="358"/>
      <c r="DB27" s="358"/>
      <c r="DC27" s="358"/>
      <c r="DD27" s="358"/>
      <c r="DE27" s="358"/>
      <c r="DF27" s="358"/>
      <c r="DG27" s="358"/>
      <c r="DH27" s="358"/>
      <c r="DI27" s="358"/>
      <c r="DJ27" s="358"/>
      <c r="DK27" s="358"/>
      <c r="DL27" s="358"/>
      <c r="DM27" s="358"/>
      <c r="DN27" s="358"/>
      <c r="DO27" s="358"/>
      <c r="DP27" s="358"/>
    </row>
    <row r="28" spans="1:120" ht="13.35" customHeight="1" x14ac:dyDescent="0.15">
      <c r="A28" s="319" t="s">
        <v>46</v>
      </c>
      <c r="B28" s="194"/>
      <c r="C28" s="194"/>
      <c r="D28" s="194"/>
      <c r="E28" s="194"/>
      <c r="F28" s="194"/>
      <c r="G28" s="320"/>
      <c r="H28" s="508"/>
      <c r="I28" s="508"/>
      <c r="J28" s="509"/>
      <c r="K28" s="510"/>
      <c r="L28" s="508"/>
      <c r="M28" s="509"/>
      <c r="N28" s="292" t="str">
        <f t="shared" si="0"/>
        <v>-</v>
      </c>
      <c r="O28" s="293"/>
      <c r="P28" s="294"/>
      <c r="Q28" s="492"/>
      <c r="R28" s="493"/>
      <c r="S28" s="494"/>
      <c r="T28" s="495"/>
      <c r="U28" s="493"/>
      <c r="V28" s="494"/>
      <c r="W28" s="292" t="str">
        <f t="shared" si="3"/>
        <v>-</v>
      </c>
      <c r="X28" s="293"/>
      <c r="Y28" s="294"/>
      <c r="Z28" s="358"/>
      <c r="AA28" s="358"/>
      <c r="AB28" s="358"/>
      <c r="AC28" s="358"/>
      <c r="AD28" s="358"/>
      <c r="AE28" s="358"/>
      <c r="AF28" s="358"/>
      <c r="AG28" s="358"/>
      <c r="AH28" s="358"/>
      <c r="AI28" s="358"/>
      <c r="AJ28" s="358"/>
      <c r="AK28" s="358"/>
      <c r="AL28" s="358"/>
      <c r="AM28" s="358"/>
      <c r="AN28" s="358"/>
      <c r="AO28" s="358"/>
      <c r="AP28" s="358"/>
      <c r="AQ28" s="358"/>
      <c r="AR28" s="358"/>
      <c r="AS28" s="358"/>
      <c r="AT28" s="358"/>
      <c r="AU28" s="358"/>
      <c r="AV28" s="358"/>
      <c r="AW28" s="358"/>
      <c r="AX28" s="358"/>
      <c r="AY28" s="358"/>
      <c r="AZ28" s="358"/>
      <c r="BA28" s="358"/>
      <c r="BB28" s="358"/>
      <c r="BC28" s="358"/>
      <c r="BD28" s="358"/>
      <c r="BE28" s="358"/>
      <c r="BF28" s="358"/>
      <c r="BG28" s="358"/>
      <c r="BI28" s="564"/>
      <c r="BJ28" s="289" t="s">
        <v>38</v>
      </c>
      <c r="BK28" s="290"/>
      <c r="BL28" s="290"/>
      <c r="BM28" s="290"/>
      <c r="BN28" s="290"/>
      <c r="BO28" s="291"/>
      <c r="BP28" s="154"/>
      <c r="BQ28" s="135"/>
      <c r="BR28" s="155"/>
      <c r="BS28" s="135"/>
      <c r="BT28" s="135"/>
      <c r="BU28" s="155"/>
      <c r="BV28" s="266" t="str">
        <f t="shared" si="1"/>
        <v>-</v>
      </c>
      <c r="BW28" s="267"/>
      <c r="BX28" s="268"/>
      <c r="BY28" s="316"/>
      <c r="BZ28" s="317"/>
      <c r="CA28" s="317"/>
      <c r="CB28" s="317"/>
      <c r="CC28" s="317"/>
      <c r="CD28" s="317"/>
      <c r="CE28" s="266" t="str">
        <f t="shared" si="2"/>
        <v>-</v>
      </c>
      <c r="CF28" s="267"/>
      <c r="CG28" s="268"/>
      <c r="CH28" s="421"/>
      <c r="CI28" s="421"/>
      <c r="CJ28" s="421"/>
      <c r="CK28" s="421"/>
      <c r="CL28" s="421"/>
      <c r="CM28" s="421"/>
      <c r="CN28" s="421"/>
      <c r="CO28" s="421"/>
      <c r="CP28" s="421"/>
      <c r="CQ28" s="421"/>
      <c r="CR28" s="421"/>
      <c r="CS28" s="421"/>
      <c r="CT28" s="421"/>
      <c r="CU28" s="421"/>
      <c r="CV28" s="421"/>
      <c r="CW28" s="421"/>
      <c r="CX28" s="421"/>
      <c r="CY28" s="421"/>
      <c r="CZ28" s="421"/>
      <c r="DA28" s="421"/>
      <c r="DB28" s="421"/>
      <c r="DC28" s="421"/>
      <c r="DD28" s="421"/>
      <c r="DE28" s="421"/>
      <c r="DF28" s="421"/>
      <c r="DG28" s="421"/>
      <c r="DH28" s="421"/>
      <c r="DI28" s="421"/>
      <c r="DJ28" s="421"/>
      <c r="DK28" s="421"/>
      <c r="DL28" s="421"/>
      <c r="DM28" s="421"/>
      <c r="DN28" s="421"/>
      <c r="DO28" s="421"/>
      <c r="DP28" s="421"/>
    </row>
    <row r="29" spans="1:120" ht="13.35" customHeight="1" x14ac:dyDescent="0.15">
      <c r="A29" s="319" t="s">
        <v>27</v>
      </c>
      <c r="B29" s="194"/>
      <c r="C29" s="194"/>
      <c r="D29" s="194"/>
      <c r="E29" s="194"/>
      <c r="F29" s="194"/>
      <c r="G29" s="320"/>
      <c r="H29" s="508"/>
      <c r="I29" s="508"/>
      <c r="J29" s="509"/>
      <c r="K29" s="510"/>
      <c r="L29" s="508"/>
      <c r="M29" s="509"/>
      <c r="N29" s="292" t="str">
        <f t="shared" si="0"/>
        <v>-</v>
      </c>
      <c r="O29" s="293"/>
      <c r="P29" s="294"/>
      <c r="Q29" s="538"/>
      <c r="R29" s="539"/>
      <c r="S29" s="539"/>
      <c r="T29" s="539"/>
      <c r="U29" s="539"/>
      <c r="V29" s="539"/>
      <c r="W29" s="292" t="str">
        <f t="shared" si="3"/>
        <v>-</v>
      </c>
      <c r="X29" s="293"/>
      <c r="Y29" s="294"/>
      <c r="Z29" s="358"/>
      <c r="AA29" s="358"/>
      <c r="AB29" s="358"/>
      <c r="AC29" s="358"/>
      <c r="AD29" s="358"/>
      <c r="AE29" s="358"/>
      <c r="AF29" s="358"/>
      <c r="AG29" s="358"/>
      <c r="AH29" s="358"/>
      <c r="AI29" s="358"/>
      <c r="AJ29" s="358"/>
      <c r="AK29" s="358"/>
      <c r="AL29" s="358"/>
      <c r="AM29" s="358"/>
      <c r="AN29" s="358"/>
      <c r="AO29" s="358"/>
      <c r="AP29" s="358"/>
      <c r="AQ29" s="358"/>
      <c r="AR29" s="358"/>
      <c r="AS29" s="358"/>
      <c r="AT29" s="358"/>
      <c r="AU29" s="358"/>
      <c r="AV29" s="358"/>
      <c r="AW29" s="358"/>
      <c r="AX29" s="358"/>
      <c r="AY29" s="358"/>
      <c r="AZ29" s="358"/>
      <c r="BA29" s="358"/>
      <c r="BB29" s="358"/>
      <c r="BC29" s="358"/>
      <c r="BD29" s="358"/>
      <c r="BE29" s="358"/>
      <c r="BF29" s="358"/>
      <c r="BG29" s="358"/>
    </row>
    <row r="30" spans="1:120" ht="13.35" customHeight="1" x14ac:dyDescent="0.15">
      <c r="A30" s="319" t="s">
        <v>53</v>
      </c>
      <c r="B30" s="194"/>
      <c r="C30" s="194"/>
      <c r="D30" s="194"/>
      <c r="E30" s="194"/>
      <c r="F30" s="194"/>
      <c r="G30" s="320"/>
      <c r="H30" s="508"/>
      <c r="I30" s="508"/>
      <c r="J30" s="509"/>
      <c r="K30" s="510"/>
      <c r="L30" s="508"/>
      <c r="M30" s="509"/>
      <c r="N30" s="292" t="str">
        <f t="shared" si="0"/>
        <v>-</v>
      </c>
      <c r="O30" s="293"/>
      <c r="P30" s="294"/>
      <c r="Q30" s="538"/>
      <c r="R30" s="539"/>
      <c r="S30" s="539"/>
      <c r="T30" s="539"/>
      <c r="U30" s="539"/>
      <c r="V30" s="539"/>
      <c r="W30" s="292" t="str">
        <f t="shared" si="3"/>
        <v>-</v>
      </c>
      <c r="X30" s="293"/>
      <c r="Y30" s="294"/>
      <c r="Z30" s="358"/>
      <c r="AA30" s="358"/>
      <c r="AB30" s="358"/>
      <c r="AC30" s="358"/>
      <c r="AD30" s="358"/>
      <c r="AE30" s="358"/>
      <c r="AF30" s="358"/>
      <c r="AG30" s="358"/>
      <c r="AH30" s="358"/>
      <c r="AI30" s="358"/>
      <c r="AJ30" s="358"/>
      <c r="AK30" s="358"/>
      <c r="AL30" s="358"/>
      <c r="AM30" s="358"/>
      <c r="AN30" s="358"/>
      <c r="AO30" s="358"/>
      <c r="AP30" s="358"/>
      <c r="AQ30" s="358"/>
      <c r="AR30" s="358"/>
      <c r="AS30" s="358"/>
      <c r="AT30" s="358"/>
      <c r="AU30" s="358"/>
      <c r="AV30" s="358"/>
      <c r="AW30" s="358"/>
      <c r="AX30" s="358"/>
      <c r="AY30" s="358"/>
      <c r="AZ30" s="358"/>
      <c r="BA30" s="358"/>
      <c r="BB30" s="358"/>
      <c r="BC30" s="358"/>
      <c r="BD30" s="358"/>
      <c r="BE30" s="358"/>
      <c r="BF30" s="358"/>
      <c r="BG30" s="358"/>
      <c r="BI30" s="4" t="s">
        <v>155</v>
      </c>
      <c r="BJ30" s="4"/>
    </row>
    <row r="31" spans="1:120" ht="13.35" customHeight="1" x14ac:dyDescent="0.15">
      <c r="A31" s="319" t="s">
        <v>30</v>
      </c>
      <c r="B31" s="194"/>
      <c r="C31" s="194"/>
      <c r="D31" s="194"/>
      <c r="E31" s="194"/>
      <c r="F31" s="194"/>
      <c r="G31" s="320"/>
      <c r="H31" s="535"/>
      <c r="I31" s="535"/>
      <c r="J31" s="536"/>
      <c r="K31" s="537"/>
      <c r="L31" s="535"/>
      <c r="M31" s="536"/>
      <c r="N31" s="266" t="str">
        <f t="shared" si="0"/>
        <v>-</v>
      </c>
      <c r="O31" s="267"/>
      <c r="P31" s="268"/>
      <c r="Q31" s="551"/>
      <c r="R31" s="540"/>
      <c r="S31" s="540"/>
      <c r="T31" s="540"/>
      <c r="U31" s="540"/>
      <c r="V31" s="540"/>
      <c r="W31" s="554" t="str">
        <f t="shared" si="3"/>
        <v>-</v>
      </c>
      <c r="X31" s="555"/>
      <c r="Y31" s="556"/>
      <c r="Z31" s="421"/>
      <c r="AA31" s="421"/>
      <c r="AB31" s="421"/>
      <c r="AC31" s="421"/>
      <c r="AD31" s="421"/>
      <c r="AE31" s="421"/>
      <c r="AF31" s="421"/>
      <c r="AG31" s="421"/>
      <c r="AH31" s="421"/>
      <c r="AI31" s="421"/>
      <c r="AJ31" s="421"/>
      <c r="AK31" s="421"/>
      <c r="AL31" s="421"/>
      <c r="AM31" s="421"/>
      <c r="AN31" s="421"/>
      <c r="AO31" s="421"/>
      <c r="AP31" s="421"/>
      <c r="AQ31" s="421"/>
      <c r="AR31" s="421"/>
      <c r="AS31" s="421"/>
      <c r="AT31" s="421"/>
      <c r="AU31" s="421"/>
      <c r="AV31" s="421"/>
      <c r="AW31" s="421"/>
      <c r="AX31" s="421"/>
      <c r="AY31" s="421"/>
      <c r="AZ31" s="421"/>
      <c r="BA31" s="421"/>
      <c r="BB31" s="421"/>
      <c r="BC31" s="421"/>
      <c r="BD31" s="421"/>
      <c r="BE31" s="421"/>
      <c r="BF31" s="421"/>
      <c r="BG31" s="421"/>
      <c r="BI31" s="341"/>
      <c r="BJ31" s="342"/>
      <c r="BK31" s="342"/>
      <c r="BL31" s="342"/>
      <c r="BM31" s="342"/>
      <c r="BN31" s="342"/>
      <c r="BO31" s="343"/>
      <c r="BP31" s="400">
        <f>H6</f>
        <v>0</v>
      </c>
      <c r="BQ31" s="401"/>
      <c r="BR31" s="402"/>
      <c r="BS31" s="403">
        <f>K6</f>
        <v>-1</v>
      </c>
      <c r="BT31" s="404"/>
      <c r="BU31" s="405"/>
      <c r="BV31" s="406" t="s">
        <v>70</v>
      </c>
      <c r="BW31" s="407"/>
      <c r="BX31" s="408"/>
      <c r="BY31" s="593" t="s">
        <v>165</v>
      </c>
      <c r="BZ31" s="594"/>
      <c r="CA31" s="594"/>
      <c r="CB31" s="594"/>
      <c r="CC31" s="594"/>
      <c r="CD31" s="594"/>
      <c r="CE31" s="594"/>
      <c r="CF31" s="594"/>
      <c r="CG31" s="594"/>
      <c r="CH31" s="594"/>
      <c r="CI31" s="594"/>
      <c r="CJ31" s="594"/>
      <c r="CK31" s="594"/>
      <c r="CL31" s="594"/>
      <c r="CM31" s="594"/>
      <c r="CN31" s="594"/>
      <c r="CO31" s="594"/>
      <c r="CP31" s="594"/>
      <c r="CQ31" s="594"/>
      <c r="CR31" s="594"/>
      <c r="CS31" s="594"/>
      <c r="CT31" s="594"/>
      <c r="CU31" s="594"/>
      <c r="CV31" s="594"/>
      <c r="CW31" s="594"/>
      <c r="CX31" s="594"/>
      <c r="CY31" s="594"/>
      <c r="CZ31" s="594"/>
      <c r="DA31" s="594"/>
      <c r="DB31" s="594"/>
      <c r="DC31" s="594"/>
      <c r="DD31" s="594"/>
      <c r="DE31" s="594"/>
      <c r="DF31" s="594"/>
      <c r="DG31" s="594"/>
      <c r="DH31" s="594"/>
      <c r="DI31" s="594"/>
      <c r="DJ31" s="594"/>
      <c r="DK31" s="594"/>
      <c r="DL31" s="594"/>
      <c r="DM31" s="594"/>
      <c r="DN31" s="594"/>
      <c r="DO31" s="594"/>
      <c r="DP31" s="595"/>
    </row>
    <row r="32" spans="1:120" ht="13.35" customHeight="1" x14ac:dyDescent="0.15">
      <c r="A32" s="61"/>
      <c r="B32" s="61"/>
      <c r="C32" s="61"/>
      <c r="D32" s="61"/>
      <c r="E32" s="61"/>
      <c r="F32" s="51"/>
      <c r="G32" s="51"/>
      <c r="H32" s="52"/>
      <c r="I32" s="52"/>
      <c r="J32" s="52"/>
      <c r="K32" s="52"/>
      <c r="L32" s="52"/>
      <c r="M32" s="52"/>
      <c r="N32" s="50"/>
      <c r="O32" s="50"/>
      <c r="P32" s="50"/>
      <c r="Q32" s="514"/>
      <c r="R32" s="515"/>
      <c r="S32" s="515"/>
      <c r="T32" s="514"/>
      <c r="U32" s="515"/>
      <c r="V32" s="515"/>
      <c r="W32" s="516"/>
      <c r="X32" s="516"/>
      <c r="Y32" s="516"/>
      <c r="BI32" s="334" t="s">
        <v>62</v>
      </c>
      <c r="BJ32" s="335"/>
      <c r="BK32" s="335"/>
      <c r="BL32" s="335"/>
      <c r="BM32" s="335"/>
      <c r="BN32" s="335"/>
      <c r="BO32" s="40" t="s">
        <v>99</v>
      </c>
      <c r="BP32" s="354"/>
      <c r="BQ32" s="332"/>
      <c r="BR32" s="333"/>
      <c r="BS32" s="331"/>
      <c r="BT32" s="332"/>
      <c r="BU32" s="333"/>
      <c r="BV32" s="336" t="str">
        <f>IF(BP32="-", "-", IF(BS32="-", "-", IF(ABS(BS32)=0, "-", ROUND(100*(BP32-BS32)/ABS(BS32),10))))</f>
        <v>-</v>
      </c>
      <c r="BW32" s="337"/>
      <c r="BX32" s="338"/>
      <c r="BY32" s="482"/>
      <c r="BZ32" s="483"/>
      <c r="CA32" s="483"/>
      <c r="CB32" s="483"/>
      <c r="CC32" s="483"/>
      <c r="CD32" s="483"/>
      <c r="CE32" s="483"/>
      <c r="CF32" s="483"/>
      <c r="CG32" s="483"/>
      <c r="CH32" s="483"/>
      <c r="CI32" s="483"/>
      <c r="CJ32" s="483"/>
      <c r="CK32" s="483"/>
      <c r="CL32" s="483"/>
      <c r="CM32" s="483"/>
      <c r="CN32" s="483"/>
      <c r="CO32" s="483"/>
      <c r="CP32" s="483"/>
      <c r="CQ32" s="483"/>
      <c r="CR32" s="483"/>
      <c r="CS32" s="483"/>
      <c r="CT32" s="483"/>
      <c r="CU32" s="483"/>
      <c r="CV32" s="483"/>
      <c r="CW32" s="483"/>
      <c r="CX32" s="483"/>
      <c r="CY32" s="483"/>
      <c r="CZ32" s="483"/>
      <c r="DA32" s="483"/>
      <c r="DB32" s="483"/>
      <c r="DC32" s="483"/>
      <c r="DD32" s="483"/>
      <c r="DE32" s="483"/>
      <c r="DF32" s="483"/>
      <c r="DG32" s="483"/>
      <c r="DH32" s="483"/>
      <c r="DI32" s="483"/>
      <c r="DJ32" s="483"/>
      <c r="DK32" s="483"/>
      <c r="DL32" s="483"/>
      <c r="DM32" s="483"/>
      <c r="DN32" s="483"/>
      <c r="DO32" s="483"/>
      <c r="DP32" s="484"/>
    </row>
    <row r="33" spans="1:120" ht="13.35" customHeight="1" x14ac:dyDescent="0.15">
      <c r="A33" s="4" t="s">
        <v>73</v>
      </c>
      <c r="O33" s="2"/>
      <c r="P33" s="2"/>
      <c r="Q33" s="53"/>
      <c r="R33" s="54"/>
      <c r="S33" s="54"/>
      <c r="T33" s="53"/>
      <c r="U33" s="54"/>
      <c r="V33" s="54"/>
      <c r="W33" s="9"/>
      <c r="X33" s="9"/>
      <c r="Y33" s="9"/>
    </row>
    <row r="34" spans="1:120" ht="13.35" customHeight="1" x14ac:dyDescent="0.15">
      <c r="A34" s="341"/>
      <c r="B34" s="342"/>
      <c r="C34" s="342"/>
      <c r="D34" s="342"/>
      <c r="E34" s="342"/>
      <c r="F34" s="342"/>
      <c r="G34" s="343"/>
      <c r="H34" s="557" t="s">
        <v>153</v>
      </c>
      <c r="I34" s="557"/>
      <c r="J34" s="557"/>
      <c r="K34" s="557"/>
      <c r="L34" s="557"/>
      <c r="M34" s="557"/>
      <c r="N34" s="557"/>
      <c r="O34" s="557"/>
      <c r="P34" s="558"/>
      <c r="Q34" s="259" t="s">
        <v>165</v>
      </c>
      <c r="R34" s="260"/>
      <c r="S34" s="260"/>
      <c r="T34" s="260"/>
      <c r="U34" s="260"/>
      <c r="V34" s="260"/>
      <c r="W34" s="260"/>
      <c r="X34" s="260"/>
      <c r="Y34" s="260"/>
      <c r="Z34" s="260"/>
      <c r="AA34" s="260"/>
      <c r="AB34" s="260"/>
      <c r="AC34" s="260"/>
      <c r="AD34" s="260"/>
      <c r="AE34" s="260"/>
      <c r="AF34" s="260"/>
      <c r="AG34" s="260"/>
      <c r="AH34" s="260"/>
      <c r="AI34" s="260"/>
      <c r="AJ34" s="260"/>
      <c r="AK34" s="260"/>
      <c r="AL34" s="260"/>
      <c r="AM34" s="260"/>
      <c r="AN34" s="260"/>
      <c r="AO34" s="260"/>
      <c r="AP34" s="260"/>
      <c r="AQ34" s="260"/>
      <c r="AR34" s="260"/>
      <c r="AS34" s="260"/>
      <c r="AT34" s="260"/>
      <c r="AU34" s="260"/>
      <c r="AV34" s="260"/>
      <c r="AW34" s="260"/>
      <c r="AX34" s="260"/>
      <c r="AY34" s="260"/>
      <c r="AZ34" s="260"/>
      <c r="BA34" s="260"/>
      <c r="BB34" s="260"/>
      <c r="BC34" s="260"/>
      <c r="BD34" s="260"/>
      <c r="BE34" s="260"/>
      <c r="BF34" s="260"/>
      <c r="BG34" s="261"/>
      <c r="BI34" s="4" t="s">
        <v>154</v>
      </c>
      <c r="BY34" s="10"/>
      <c r="BZ34" s="6"/>
      <c r="CA34" s="6"/>
      <c r="CB34" s="10"/>
      <c r="CC34" s="6"/>
      <c r="CD34" s="6"/>
      <c r="CE34" s="41"/>
      <c r="CF34" s="41"/>
      <c r="CG34" s="41"/>
      <c r="CH34" s="10"/>
      <c r="CI34" s="6"/>
      <c r="CJ34" s="6"/>
      <c r="CK34" s="10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</row>
    <row r="35" spans="1:120" ht="13.35" customHeight="1" x14ac:dyDescent="0.15">
      <c r="A35" s="383"/>
      <c r="B35" s="384"/>
      <c r="C35" s="384"/>
      <c r="D35" s="384"/>
      <c r="E35" s="384"/>
      <c r="F35" s="384"/>
      <c r="G35" s="385"/>
      <c r="H35" s="497">
        <f>H6</f>
        <v>0</v>
      </c>
      <c r="I35" s="504"/>
      <c r="J35" s="504"/>
      <c r="K35" s="541">
        <f>K6</f>
        <v>-1</v>
      </c>
      <c r="L35" s="541"/>
      <c r="M35" s="541"/>
      <c r="N35" s="501" t="s">
        <v>70</v>
      </c>
      <c r="O35" s="501"/>
      <c r="P35" s="502"/>
      <c r="Q35" s="474"/>
      <c r="R35" s="475"/>
      <c r="S35" s="475"/>
      <c r="T35" s="475"/>
      <c r="U35" s="475"/>
      <c r="V35" s="475"/>
      <c r="W35" s="475"/>
      <c r="X35" s="475"/>
      <c r="Y35" s="475"/>
      <c r="Z35" s="475"/>
      <c r="AA35" s="475"/>
      <c r="AB35" s="475"/>
      <c r="AC35" s="475"/>
      <c r="AD35" s="475"/>
      <c r="AE35" s="475"/>
      <c r="AF35" s="475"/>
      <c r="AG35" s="475"/>
      <c r="AH35" s="475"/>
      <c r="AI35" s="475"/>
      <c r="AJ35" s="475"/>
      <c r="AK35" s="475"/>
      <c r="AL35" s="475"/>
      <c r="AM35" s="475"/>
      <c r="AN35" s="475"/>
      <c r="AO35" s="475"/>
      <c r="AP35" s="475"/>
      <c r="AQ35" s="475"/>
      <c r="AR35" s="475"/>
      <c r="AS35" s="475"/>
      <c r="AT35" s="475"/>
      <c r="AU35" s="475"/>
      <c r="AV35" s="475"/>
      <c r="AW35" s="475"/>
      <c r="AX35" s="475"/>
      <c r="AY35" s="475"/>
      <c r="AZ35" s="475"/>
      <c r="BA35" s="475"/>
      <c r="BB35" s="475"/>
      <c r="BC35" s="475"/>
      <c r="BD35" s="475"/>
      <c r="BE35" s="475"/>
      <c r="BF35" s="475"/>
      <c r="BG35" s="476"/>
      <c r="BI35" s="548"/>
      <c r="BJ35" s="549"/>
      <c r="BK35" s="549"/>
      <c r="BL35" s="549"/>
      <c r="BM35" s="549"/>
      <c r="BN35" s="549"/>
      <c r="BO35" s="550"/>
      <c r="BP35" s="400">
        <f>H6</f>
        <v>0</v>
      </c>
      <c r="BQ35" s="401"/>
      <c r="BR35" s="402"/>
      <c r="BS35" s="404">
        <f>K6</f>
        <v>-1</v>
      </c>
      <c r="BT35" s="404"/>
      <c r="BU35" s="405"/>
      <c r="BV35" s="585" t="s">
        <v>70</v>
      </c>
      <c r="BW35" s="586"/>
      <c r="BX35" s="587"/>
      <c r="BY35" s="593" t="s">
        <v>165</v>
      </c>
      <c r="BZ35" s="594"/>
      <c r="CA35" s="594"/>
      <c r="CB35" s="594"/>
      <c r="CC35" s="594"/>
      <c r="CD35" s="594"/>
      <c r="CE35" s="594"/>
      <c r="CF35" s="594"/>
      <c r="CG35" s="594"/>
      <c r="CH35" s="594"/>
      <c r="CI35" s="594"/>
      <c r="CJ35" s="594"/>
      <c r="CK35" s="594"/>
      <c r="CL35" s="594"/>
      <c r="CM35" s="594"/>
      <c r="CN35" s="594"/>
      <c r="CO35" s="594"/>
      <c r="CP35" s="594"/>
      <c r="CQ35" s="594"/>
      <c r="CR35" s="594"/>
      <c r="CS35" s="594"/>
      <c r="CT35" s="594"/>
      <c r="CU35" s="594"/>
      <c r="CV35" s="594"/>
      <c r="CW35" s="594"/>
      <c r="CX35" s="594"/>
      <c r="CY35" s="594"/>
      <c r="CZ35" s="594"/>
      <c r="DA35" s="594"/>
      <c r="DB35" s="594"/>
      <c r="DC35" s="594"/>
      <c r="DD35" s="594"/>
      <c r="DE35" s="594"/>
      <c r="DF35" s="594"/>
      <c r="DG35" s="594"/>
      <c r="DH35" s="594"/>
      <c r="DI35" s="594"/>
      <c r="DJ35" s="594"/>
      <c r="DK35" s="594"/>
      <c r="DL35" s="594"/>
      <c r="DM35" s="594"/>
      <c r="DN35" s="594"/>
      <c r="DO35" s="594"/>
      <c r="DP35" s="595"/>
    </row>
    <row r="36" spans="1:120" ht="13.35" customHeight="1" x14ac:dyDescent="0.15">
      <c r="A36" s="411" t="s">
        <v>27</v>
      </c>
      <c r="B36" s="412"/>
      <c r="C36" s="412"/>
      <c r="D36" s="412"/>
      <c r="E36" s="412"/>
      <c r="F36" s="412"/>
      <c r="G36" s="413"/>
      <c r="H36" s="523"/>
      <c r="I36" s="524"/>
      <c r="J36" s="524"/>
      <c r="K36" s="524"/>
      <c r="L36" s="524"/>
      <c r="M36" s="524"/>
      <c r="N36" s="552" t="str">
        <f t="shared" ref="N36:N42" si="4">IF(H36="-", "-", IF(K36="-", "-", IF(ABS(K36)=0, "-", ROUND(100*(H36-K36)/ABS(K36),10))))</f>
        <v>-</v>
      </c>
      <c r="O36" s="552"/>
      <c r="P36" s="553"/>
      <c r="Q36" s="485"/>
      <c r="R36" s="486"/>
      <c r="S36" s="486"/>
      <c r="T36" s="486"/>
      <c r="U36" s="486"/>
      <c r="V36" s="486"/>
      <c r="W36" s="486"/>
      <c r="X36" s="486"/>
      <c r="Y36" s="486"/>
      <c r="Z36" s="486"/>
      <c r="AA36" s="486"/>
      <c r="AB36" s="486"/>
      <c r="AC36" s="486"/>
      <c r="AD36" s="486"/>
      <c r="AE36" s="486"/>
      <c r="AF36" s="486"/>
      <c r="AG36" s="486"/>
      <c r="AH36" s="486"/>
      <c r="AI36" s="486"/>
      <c r="AJ36" s="486"/>
      <c r="AK36" s="486"/>
      <c r="AL36" s="486"/>
      <c r="AM36" s="486"/>
      <c r="AN36" s="486"/>
      <c r="AO36" s="486"/>
      <c r="AP36" s="486"/>
      <c r="AQ36" s="486"/>
      <c r="AR36" s="486"/>
      <c r="AS36" s="486"/>
      <c r="AT36" s="486"/>
      <c r="AU36" s="486"/>
      <c r="AV36" s="486"/>
      <c r="AW36" s="486"/>
      <c r="AX36" s="486"/>
      <c r="AY36" s="486"/>
      <c r="AZ36" s="486"/>
      <c r="BA36" s="486"/>
      <c r="BB36" s="486"/>
      <c r="BC36" s="486"/>
      <c r="BD36" s="486"/>
      <c r="BE36" s="486"/>
      <c r="BF36" s="486"/>
      <c r="BG36" s="487"/>
      <c r="BI36" s="347" t="s">
        <v>106</v>
      </c>
      <c r="BJ36" s="348"/>
      <c r="BK36" s="348"/>
      <c r="BL36" s="348"/>
      <c r="BM36" s="348"/>
      <c r="BN36" s="348"/>
      <c r="BO36" s="15" t="s">
        <v>99</v>
      </c>
      <c r="BP36" s="529"/>
      <c r="BQ36" s="530"/>
      <c r="BR36" s="531"/>
      <c r="BS36" s="532"/>
      <c r="BT36" s="533"/>
      <c r="BU36" s="534"/>
      <c r="BV36" s="204" t="str">
        <f t="shared" ref="BV36:BV41" si="5">IF(BP36="-", "-", IF(BS36="-", "-", IF(ABS(BS36)=0, "-", ROUND(100*(BP36-BS36)/ABS(BS36),10))))</f>
        <v>-</v>
      </c>
      <c r="BW36" s="205"/>
      <c r="BX36" s="206"/>
      <c r="BY36" s="306"/>
      <c r="BZ36" s="307"/>
      <c r="CA36" s="307"/>
      <c r="CB36" s="307"/>
      <c r="CC36" s="307"/>
      <c r="CD36" s="307"/>
      <c r="CE36" s="307"/>
      <c r="CF36" s="307"/>
      <c r="CG36" s="307"/>
      <c r="CH36" s="307"/>
      <c r="CI36" s="307"/>
      <c r="CJ36" s="307"/>
      <c r="CK36" s="307"/>
      <c r="CL36" s="307"/>
      <c r="CM36" s="307"/>
      <c r="CN36" s="307"/>
      <c r="CO36" s="307"/>
      <c r="CP36" s="307"/>
      <c r="CQ36" s="307"/>
      <c r="CR36" s="307"/>
      <c r="CS36" s="307"/>
      <c r="CT36" s="307"/>
      <c r="CU36" s="307"/>
      <c r="CV36" s="307"/>
      <c r="CW36" s="307"/>
      <c r="CX36" s="307"/>
      <c r="CY36" s="307"/>
      <c r="CZ36" s="307"/>
      <c r="DA36" s="307"/>
      <c r="DB36" s="307"/>
      <c r="DC36" s="307"/>
      <c r="DD36" s="307"/>
      <c r="DE36" s="307"/>
      <c r="DF36" s="307"/>
      <c r="DG36" s="307"/>
      <c r="DH36" s="307"/>
      <c r="DI36" s="307"/>
      <c r="DJ36" s="307"/>
      <c r="DK36" s="307"/>
      <c r="DL36" s="307"/>
      <c r="DM36" s="307"/>
      <c r="DN36" s="307"/>
      <c r="DO36" s="307"/>
      <c r="DP36" s="308"/>
    </row>
    <row r="37" spans="1:120" ht="13.35" customHeight="1" x14ac:dyDescent="0.15">
      <c r="A37" s="319" t="s">
        <v>53</v>
      </c>
      <c r="B37" s="194"/>
      <c r="C37" s="194"/>
      <c r="D37" s="194"/>
      <c r="E37" s="194"/>
      <c r="F37" s="194"/>
      <c r="G37" s="320"/>
      <c r="H37" s="509"/>
      <c r="I37" s="527"/>
      <c r="J37" s="527"/>
      <c r="K37" s="527"/>
      <c r="L37" s="527"/>
      <c r="M37" s="527"/>
      <c r="N37" s="292" t="str">
        <f t="shared" si="4"/>
        <v>-</v>
      </c>
      <c r="O37" s="293"/>
      <c r="P37" s="294"/>
      <c r="Q37" s="309"/>
      <c r="R37" s="310"/>
      <c r="S37" s="310"/>
      <c r="T37" s="310"/>
      <c r="U37" s="310"/>
      <c r="V37" s="310"/>
      <c r="W37" s="310"/>
      <c r="X37" s="310"/>
      <c r="Y37" s="310"/>
      <c r="Z37" s="310"/>
      <c r="AA37" s="310"/>
      <c r="AB37" s="310"/>
      <c r="AC37" s="310"/>
      <c r="AD37" s="310"/>
      <c r="AE37" s="310"/>
      <c r="AF37" s="310"/>
      <c r="AG37" s="310"/>
      <c r="AH37" s="310"/>
      <c r="AI37" s="310"/>
      <c r="AJ37" s="310"/>
      <c r="AK37" s="310"/>
      <c r="AL37" s="310"/>
      <c r="AM37" s="310"/>
      <c r="AN37" s="310"/>
      <c r="AO37" s="310"/>
      <c r="AP37" s="310"/>
      <c r="AQ37" s="310"/>
      <c r="AR37" s="310"/>
      <c r="AS37" s="310"/>
      <c r="AT37" s="310"/>
      <c r="AU37" s="310"/>
      <c r="AV37" s="310"/>
      <c r="AW37" s="310"/>
      <c r="AX37" s="310"/>
      <c r="AY37" s="310"/>
      <c r="AZ37" s="310"/>
      <c r="BA37" s="310"/>
      <c r="BB37" s="310"/>
      <c r="BC37" s="310"/>
      <c r="BD37" s="310"/>
      <c r="BE37" s="310"/>
      <c r="BF37" s="310"/>
      <c r="BG37" s="311"/>
      <c r="BI37" s="319" t="s">
        <v>6</v>
      </c>
      <c r="BJ37" s="194"/>
      <c r="BK37" s="194"/>
      <c r="BL37" s="194"/>
      <c r="BM37" s="194"/>
      <c r="BN37" s="194"/>
      <c r="BO37" s="16" t="s">
        <v>99</v>
      </c>
      <c r="BP37" s="542"/>
      <c r="BQ37" s="543"/>
      <c r="BR37" s="544"/>
      <c r="BS37" s="545"/>
      <c r="BT37" s="546"/>
      <c r="BU37" s="547"/>
      <c r="BV37" s="190" t="str">
        <f t="shared" si="5"/>
        <v>-</v>
      </c>
      <c r="BW37" s="191"/>
      <c r="BX37" s="192"/>
      <c r="BY37" s="309"/>
      <c r="BZ37" s="310"/>
      <c r="CA37" s="310"/>
      <c r="CB37" s="310"/>
      <c r="CC37" s="310"/>
      <c r="CD37" s="310"/>
      <c r="CE37" s="310"/>
      <c r="CF37" s="310"/>
      <c r="CG37" s="310"/>
      <c r="CH37" s="310"/>
      <c r="CI37" s="310"/>
      <c r="CJ37" s="310"/>
      <c r="CK37" s="310"/>
      <c r="CL37" s="310"/>
      <c r="CM37" s="310"/>
      <c r="CN37" s="310"/>
      <c r="CO37" s="310"/>
      <c r="CP37" s="310"/>
      <c r="CQ37" s="310"/>
      <c r="CR37" s="310"/>
      <c r="CS37" s="310"/>
      <c r="CT37" s="310"/>
      <c r="CU37" s="310"/>
      <c r="CV37" s="310"/>
      <c r="CW37" s="310"/>
      <c r="CX37" s="310"/>
      <c r="CY37" s="310"/>
      <c r="CZ37" s="310"/>
      <c r="DA37" s="310"/>
      <c r="DB37" s="310"/>
      <c r="DC37" s="310"/>
      <c r="DD37" s="310"/>
      <c r="DE37" s="310"/>
      <c r="DF37" s="310"/>
      <c r="DG37" s="310"/>
      <c r="DH37" s="310"/>
      <c r="DI37" s="310"/>
      <c r="DJ37" s="310"/>
      <c r="DK37" s="310"/>
      <c r="DL37" s="310"/>
      <c r="DM37" s="310"/>
      <c r="DN37" s="310"/>
      <c r="DO37" s="310"/>
      <c r="DP37" s="311"/>
    </row>
    <row r="38" spans="1:120" ht="13.35" customHeight="1" x14ac:dyDescent="0.15">
      <c r="A38" s="441" t="s">
        <v>30</v>
      </c>
      <c r="B38" s="442"/>
      <c r="C38" s="442"/>
      <c r="D38" s="442"/>
      <c r="E38" s="442"/>
      <c r="F38" s="442"/>
      <c r="G38" s="559"/>
      <c r="H38" s="523"/>
      <c r="I38" s="524"/>
      <c r="J38" s="524"/>
      <c r="K38" s="524"/>
      <c r="L38" s="524"/>
      <c r="M38" s="524"/>
      <c r="N38" s="292" t="str">
        <f t="shared" si="4"/>
        <v>-</v>
      </c>
      <c r="O38" s="293"/>
      <c r="P38" s="294"/>
      <c r="Q38" s="309"/>
      <c r="R38" s="310"/>
      <c r="S38" s="310"/>
      <c r="T38" s="310"/>
      <c r="U38" s="310"/>
      <c r="V38" s="310"/>
      <c r="W38" s="310"/>
      <c r="X38" s="310"/>
      <c r="Y38" s="310"/>
      <c r="Z38" s="310"/>
      <c r="AA38" s="310"/>
      <c r="AB38" s="310"/>
      <c r="AC38" s="310"/>
      <c r="AD38" s="310"/>
      <c r="AE38" s="310"/>
      <c r="AF38" s="310"/>
      <c r="AG38" s="310"/>
      <c r="AH38" s="310"/>
      <c r="AI38" s="310"/>
      <c r="AJ38" s="310"/>
      <c r="AK38" s="310"/>
      <c r="AL38" s="310"/>
      <c r="AM38" s="310"/>
      <c r="AN38" s="310"/>
      <c r="AO38" s="310"/>
      <c r="AP38" s="310"/>
      <c r="AQ38" s="310"/>
      <c r="AR38" s="310"/>
      <c r="AS38" s="310"/>
      <c r="AT38" s="310"/>
      <c r="AU38" s="310"/>
      <c r="AV38" s="310"/>
      <c r="AW38" s="310"/>
      <c r="AX38" s="310"/>
      <c r="AY38" s="310"/>
      <c r="AZ38" s="310"/>
      <c r="BA38" s="310"/>
      <c r="BB38" s="310"/>
      <c r="BC38" s="310"/>
      <c r="BD38" s="310"/>
      <c r="BE38" s="310"/>
      <c r="BF38" s="310"/>
      <c r="BG38" s="311"/>
      <c r="BI38" s="319" t="s">
        <v>107</v>
      </c>
      <c r="BJ38" s="194"/>
      <c r="BK38" s="194"/>
      <c r="BL38" s="194"/>
      <c r="BM38" s="194"/>
      <c r="BN38" s="194"/>
      <c r="BO38" s="16" t="s">
        <v>99</v>
      </c>
      <c r="BP38" s="542"/>
      <c r="BQ38" s="543"/>
      <c r="BR38" s="544"/>
      <c r="BS38" s="545"/>
      <c r="BT38" s="546"/>
      <c r="BU38" s="547"/>
      <c r="BV38" s="190" t="str">
        <f t="shared" si="5"/>
        <v>-</v>
      </c>
      <c r="BW38" s="191"/>
      <c r="BX38" s="192"/>
      <c r="BY38" s="309"/>
      <c r="BZ38" s="310"/>
      <c r="CA38" s="310"/>
      <c r="CB38" s="310"/>
      <c r="CC38" s="310"/>
      <c r="CD38" s="310"/>
      <c r="CE38" s="310"/>
      <c r="CF38" s="310"/>
      <c r="CG38" s="310"/>
      <c r="CH38" s="310"/>
      <c r="CI38" s="310"/>
      <c r="CJ38" s="310"/>
      <c r="CK38" s="310"/>
      <c r="CL38" s="310"/>
      <c r="CM38" s="310"/>
      <c r="CN38" s="310"/>
      <c r="CO38" s="310"/>
      <c r="CP38" s="310"/>
      <c r="CQ38" s="310"/>
      <c r="CR38" s="310"/>
      <c r="CS38" s="310"/>
      <c r="CT38" s="310"/>
      <c r="CU38" s="310"/>
      <c r="CV38" s="310"/>
      <c r="CW38" s="310"/>
      <c r="CX38" s="310"/>
      <c r="CY38" s="310"/>
      <c r="CZ38" s="310"/>
      <c r="DA38" s="310"/>
      <c r="DB38" s="310"/>
      <c r="DC38" s="310"/>
      <c r="DD38" s="310"/>
      <c r="DE38" s="310"/>
      <c r="DF38" s="310"/>
      <c r="DG38" s="310"/>
      <c r="DH38" s="310"/>
      <c r="DI38" s="310"/>
      <c r="DJ38" s="310"/>
      <c r="DK38" s="310"/>
      <c r="DL38" s="310"/>
      <c r="DM38" s="310"/>
      <c r="DN38" s="310"/>
      <c r="DO38" s="310"/>
      <c r="DP38" s="311"/>
    </row>
    <row r="39" spans="1:120" ht="13.35" customHeight="1" x14ac:dyDescent="0.15">
      <c r="A39" s="58"/>
      <c r="B39" s="193" t="s">
        <v>31</v>
      </c>
      <c r="C39" s="194"/>
      <c r="D39" s="194"/>
      <c r="E39" s="194"/>
      <c r="F39" s="194"/>
      <c r="G39" s="320"/>
      <c r="H39" s="509"/>
      <c r="I39" s="527"/>
      <c r="J39" s="527"/>
      <c r="K39" s="527"/>
      <c r="L39" s="527"/>
      <c r="M39" s="527"/>
      <c r="N39" s="292" t="str">
        <f t="shared" si="4"/>
        <v>-</v>
      </c>
      <c r="O39" s="293"/>
      <c r="P39" s="294"/>
      <c r="Q39" s="309"/>
      <c r="R39" s="310"/>
      <c r="S39" s="310"/>
      <c r="T39" s="310"/>
      <c r="U39" s="310"/>
      <c r="V39" s="310"/>
      <c r="W39" s="310"/>
      <c r="X39" s="310"/>
      <c r="Y39" s="310"/>
      <c r="Z39" s="310"/>
      <c r="AA39" s="310"/>
      <c r="AB39" s="310"/>
      <c r="AC39" s="310"/>
      <c r="AD39" s="310"/>
      <c r="AE39" s="310"/>
      <c r="AF39" s="310"/>
      <c r="AG39" s="310"/>
      <c r="AH39" s="310"/>
      <c r="AI39" s="310"/>
      <c r="AJ39" s="310"/>
      <c r="AK39" s="310"/>
      <c r="AL39" s="310"/>
      <c r="AM39" s="310"/>
      <c r="AN39" s="310"/>
      <c r="AO39" s="310"/>
      <c r="AP39" s="310"/>
      <c r="AQ39" s="310"/>
      <c r="AR39" s="310"/>
      <c r="AS39" s="310"/>
      <c r="AT39" s="310"/>
      <c r="AU39" s="310"/>
      <c r="AV39" s="310"/>
      <c r="AW39" s="310"/>
      <c r="AX39" s="310"/>
      <c r="AY39" s="310"/>
      <c r="AZ39" s="310"/>
      <c r="BA39" s="310"/>
      <c r="BB39" s="310"/>
      <c r="BC39" s="310"/>
      <c r="BD39" s="310"/>
      <c r="BE39" s="310"/>
      <c r="BF39" s="310"/>
      <c r="BG39" s="311"/>
      <c r="BI39" s="319" t="s">
        <v>9</v>
      </c>
      <c r="BJ39" s="194"/>
      <c r="BK39" s="194"/>
      <c r="BL39" s="194"/>
      <c r="BM39" s="194"/>
      <c r="BN39" s="194"/>
      <c r="BO39" s="16" t="s">
        <v>99</v>
      </c>
      <c r="BP39" s="542"/>
      <c r="BQ39" s="543"/>
      <c r="BR39" s="544"/>
      <c r="BS39" s="545"/>
      <c r="BT39" s="546"/>
      <c r="BU39" s="547"/>
      <c r="BV39" s="190" t="str">
        <f t="shared" si="5"/>
        <v>-</v>
      </c>
      <c r="BW39" s="191"/>
      <c r="BX39" s="192"/>
      <c r="BY39" s="309"/>
      <c r="BZ39" s="310"/>
      <c r="CA39" s="310"/>
      <c r="CB39" s="310"/>
      <c r="CC39" s="310"/>
      <c r="CD39" s="310"/>
      <c r="CE39" s="310"/>
      <c r="CF39" s="310"/>
      <c r="CG39" s="310"/>
      <c r="CH39" s="310"/>
      <c r="CI39" s="310"/>
      <c r="CJ39" s="310"/>
      <c r="CK39" s="310"/>
      <c r="CL39" s="310"/>
      <c r="CM39" s="310"/>
      <c r="CN39" s="310"/>
      <c r="CO39" s="310"/>
      <c r="CP39" s="310"/>
      <c r="CQ39" s="310"/>
      <c r="CR39" s="310"/>
      <c r="CS39" s="310"/>
      <c r="CT39" s="310"/>
      <c r="CU39" s="310"/>
      <c r="CV39" s="310"/>
      <c r="CW39" s="310"/>
      <c r="CX39" s="310"/>
      <c r="CY39" s="310"/>
      <c r="CZ39" s="310"/>
      <c r="DA39" s="310"/>
      <c r="DB39" s="310"/>
      <c r="DC39" s="310"/>
      <c r="DD39" s="310"/>
      <c r="DE39" s="310"/>
      <c r="DF39" s="310"/>
      <c r="DG39" s="310"/>
      <c r="DH39" s="310"/>
      <c r="DI39" s="310"/>
      <c r="DJ39" s="310"/>
      <c r="DK39" s="310"/>
      <c r="DL39" s="310"/>
      <c r="DM39" s="310"/>
      <c r="DN39" s="310"/>
      <c r="DO39" s="310"/>
      <c r="DP39" s="311"/>
    </row>
    <row r="40" spans="1:120" ht="13.35" customHeight="1" x14ac:dyDescent="0.15">
      <c r="A40" s="58"/>
      <c r="B40" s="193" t="s">
        <v>47</v>
      </c>
      <c r="C40" s="194"/>
      <c r="D40" s="194"/>
      <c r="E40" s="194"/>
      <c r="F40" s="194"/>
      <c r="G40" s="320"/>
      <c r="H40" s="509"/>
      <c r="I40" s="527"/>
      <c r="J40" s="527"/>
      <c r="K40" s="527"/>
      <c r="L40" s="527"/>
      <c r="M40" s="527"/>
      <c r="N40" s="292" t="str">
        <f t="shared" si="4"/>
        <v>-</v>
      </c>
      <c r="O40" s="293"/>
      <c r="P40" s="294"/>
      <c r="Q40" s="309"/>
      <c r="R40" s="310"/>
      <c r="S40" s="310"/>
      <c r="T40" s="310"/>
      <c r="U40" s="310"/>
      <c r="V40" s="310"/>
      <c r="W40" s="310"/>
      <c r="X40" s="310"/>
      <c r="Y40" s="310"/>
      <c r="Z40" s="310"/>
      <c r="AA40" s="310"/>
      <c r="AB40" s="310"/>
      <c r="AC40" s="310"/>
      <c r="AD40" s="310"/>
      <c r="AE40" s="310"/>
      <c r="AF40" s="310"/>
      <c r="AG40" s="310"/>
      <c r="AH40" s="310"/>
      <c r="AI40" s="310"/>
      <c r="AJ40" s="310"/>
      <c r="AK40" s="310"/>
      <c r="AL40" s="310"/>
      <c r="AM40" s="310"/>
      <c r="AN40" s="310"/>
      <c r="AO40" s="310"/>
      <c r="AP40" s="310"/>
      <c r="AQ40" s="310"/>
      <c r="AR40" s="310"/>
      <c r="AS40" s="310"/>
      <c r="AT40" s="310"/>
      <c r="AU40" s="310"/>
      <c r="AV40" s="310"/>
      <c r="AW40" s="310"/>
      <c r="AX40" s="310"/>
      <c r="AY40" s="310"/>
      <c r="AZ40" s="310"/>
      <c r="BA40" s="310"/>
      <c r="BB40" s="310"/>
      <c r="BC40" s="310"/>
      <c r="BD40" s="310"/>
      <c r="BE40" s="310"/>
      <c r="BF40" s="310"/>
      <c r="BG40" s="311"/>
      <c r="BI40" s="319" t="s">
        <v>10</v>
      </c>
      <c r="BJ40" s="194"/>
      <c r="BK40" s="194"/>
      <c r="BL40" s="194"/>
      <c r="BM40" s="194"/>
      <c r="BN40" s="194"/>
      <c r="BO40" s="16" t="s">
        <v>99</v>
      </c>
      <c r="BP40" s="542"/>
      <c r="BQ40" s="543"/>
      <c r="BR40" s="544"/>
      <c r="BS40" s="545"/>
      <c r="BT40" s="546"/>
      <c r="BU40" s="547"/>
      <c r="BV40" s="190" t="str">
        <f t="shared" si="5"/>
        <v>-</v>
      </c>
      <c r="BW40" s="191"/>
      <c r="BX40" s="192"/>
      <c r="BY40" s="309"/>
      <c r="BZ40" s="310"/>
      <c r="CA40" s="310"/>
      <c r="CB40" s="310"/>
      <c r="CC40" s="310"/>
      <c r="CD40" s="310"/>
      <c r="CE40" s="310"/>
      <c r="CF40" s="310"/>
      <c r="CG40" s="310"/>
      <c r="CH40" s="310"/>
      <c r="CI40" s="310"/>
      <c r="CJ40" s="310"/>
      <c r="CK40" s="310"/>
      <c r="CL40" s="310"/>
      <c r="CM40" s="310"/>
      <c r="CN40" s="310"/>
      <c r="CO40" s="310"/>
      <c r="CP40" s="310"/>
      <c r="CQ40" s="310"/>
      <c r="CR40" s="310"/>
      <c r="CS40" s="310"/>
      <c r="CT40" s="310"/>
      <c r="CU40" s="310"/>
      <c r="CV40" s="310"/>
      <c r="CW40" s="310"/>
      <c r="CX40" s="310"/>
      <c r="CY40" s="310"/>
      <c r="CZ40" s="310"/>
      <c r="DA40" s="310"/>
      <c r="DB40" s="310"/>
      <c r="DC40" s="310"/>
      <c r="DD40" s="310"/>
      <c r="DE40" s="310"/>
      <c r="DF40" s="310"/>
      <c r="DG40" s="310"/>
      <c r="DH40" s="310"/>
      <c r="DI40" s="310"/>
      <c r="DJ40" s="310"/>
      <c r="DK40" s="310"/>
      <c r="DL40" s="310"/>
      <c r="DM40" s="310"/>
      <c r="DN40" s="310"/>
      <c r="DO40" s="310"/>
      <c r="DP40" s="311"/>
    </row>
    <row r="41" spans="1:120" ht="13.35" customHeight="1" x14ac:dyDescent="0.15">
      <c r="A41" s="60"/>
      <c r="B41" s="289" t="s">
        <v>163</v>
      </c>
      <c r="C41" s="290"/>
      <c r="D41" s="290"/>
      <c r="E41" s="290"/>
      <c r="F41" s="290"/>
      <c r="G41" s="291"/>
      <c r="H41" s="506"/>
      <c r="I41" s="528"/>
      <c r="J41" s="528"/>
      <c r="K41" s="528"/>
      <c r="L41" s="528"/>
      <c r="M41" s="528"/>
      <c r="N41" s="266" t="str">
        <f t="shared" si="4"/>
        <v>-</v>
      </c>
      <c r="O41" s="267"/>
      <c r="P41" s="268"/>
      <c r="Q41" s="312"/>
      <c r="R41" s="313"/>
      <c r="S41" s="313"/>
      <c r="T41" s="313"/>
      <c r="U41" s="313"/>
      <c r="V41" s="313"/>
      <c r="W41" s="313"/>
      <c r="X41" s="313"/>
      <c r="Y41" s="313"/>
      <c r="Z41" s="313"/>
      <c r="AA41" s="313"/>
      <c r="AB41" s="313"/>
      <c r="AC41" s="313"/>
      <c r="AD41" s="313"/>
      <c r="AE41" s="313"/>
      <c r="AF41" s="313"/>
      <c r="AG41" s="313"/>
      <c r="AH41" s="313"/>
      <c r="AI41" s="313"/>
      <c r="AJ41" s="313"/>
      <c r="AK41" s="313"/>
      <c r="AL41" s="313"/>
      <c r="AM41" s="313"/>
      <c r="AN41" s="313"/>
      <c r="AO41" s="313"/>
      <c r="AP41" s="313"/>
      <c r="AQ41" s="313"/>
      <c r="AR41" s="313"/>
      <c r="AS41" s="313"/>
      <c r="AT41" s="313"/>
      <c r="AU41" s="313"/>
      <c r="AV41" s="313"/>
      <c r="AW41" s="313"/>
      <c r="AX41" s="313"/>
      <c r="AY41" s="313"/>
      <c r="AZ41" s="313"/>
      <c r="BA41" s="313"/>
      <c r="BB41" s="313"/>
      <c r="BC41" s="313"/>
      <c r="BD41" s="313"/>
      <c r="BE41" s="313"/>
      <c r="BF41" s="313"/>
      <c r="BG41" s="314"/>
      <c r="BI41" s="315" t="s">
        <v>11</v>
      </c>
      <c r="BJ41" s="290"/>
      <c r="BK41" s="290"/>
      <c r="BL41" s="290"/>
      <c r="BM41" s="290"/>
      <c r="BN41" s="290"/>
      <c r="BO41" s="18" t="s">
        <v>99</v>
      </c>
      <c r="BP41" s="604"/>
      <c r="BQ41" s="605"/>
      <c r="BR41" s="606"/>
      <c r="BS41" s="607"/>
      <c r="BT41" s="608"/>
      <c r="BU41" s="609"/>
      <c r="BV41" s="392" t="str">
        <f t="shared" si="5"/>
        <v>-</v>
      </c>
      <c r="BW41" s="87"/>
      <c r="BX41" s="610"/>
      <c r="BY41" s="312"/>
      <c r="BZ41" s="313"/>
      <c r="CA41" s="313"/>
      <c r="CB41" s="313"/>
      <c r="CC41" s="313"/>
      <c r="CD41" s="313"/>
      <c r="CE41" s="313"/>
      <c r="CF41" s="313"/>
      <c r="CG41" s="313"/>
      <c r="CH41" s="313"/>
      <c r="CI41" s="313"/>
      <c r="CJ41" s="313"/>
      <c r="CK41" s="313"/>
      <c r="CL41" s="313"/>
      <c r="CM41" s="313"/>
      <c r="CN41" s="313"/>
      <c r="CO41" s="313"/>
      <c r="CP41" s="313"/>
      <c r="CQ41" s="313"/>
      <c r="CR41" s="313"/>
      <c r="CS41" s="313"/>
      <c r="CT41" s="313"/>
      <c r="CU41" s="313"/>
      <c r="CV41" s="313"/>
      <c r="CW41" s="313"/>
      <c r="CX41" s="313"/>
      <c r="CY41" s="313"/>
      <c r="CZ41" s="313"/>
      <c r="DA41" s="313"/>
      <c r="DB41" s="313"/>
      <c r="DC41" s="313"/>
      <c r="DD41" s="313"/>
      <c r="DE41" s="313"/>
      <c r="DF41" s="313"/>
      <c r="DG41" s="313"/>
      <c r="DH41" s="313"/>
      <c r="DI41" s="313"/>
      <c r="DJ41" s="313"/>
      <c r="DK41" s="313"/>
      <c r="DL41" s="313"/>
      <c r="DM41" s="313"/>
      <c r="DN41" s="313"/>
      <c r="DO41" s="313"/>
      <c r="DP41" s="314"/>
    </row>
    <row r="42" spans="1:120" ht="13.35" customHeight="1" x14ac:dyDescent="0.15">
      <c r="A42" s="334" t="s">
        <v>151</v>
      </c>
      <c r="B42" s="335"/>
      <c r="C42" s="335"/>
      <c r="D42" s="335"/>
      <c r="E42" s="335"/>
      <c r="F42" s="46" t="s">
        <v>150</v>
      </c>
      <c r="G42" s="47"/>
      <c r="H42" s="525"/>
      <c r="I42" s="526"/>
      <c r="J42" s="526"/>
      <c r="K42" s="526"/>
      <c r="L42" s="526"/>
      <c r="M42" s="526"/>
      <c r="N42" s="336" t="str">
        <f t="shared" si="4"/>
        <v>-</v>
      </c>
      <c r="O42" s="337"/>
      <c r="P42" s="338"/>
      <c r="Q42" s="601"/>
      <c r="R42" s="602"/>
      <c r="S42" s="602"/>
      <c r="T42" s="602"/>
      <c r="U42" s="602"/>
      <c r="V42" s="602"/>
      <c r="W42" s="602"/>
      <c r="X42" s="602"/>
      <c r="Y42" s="602"/>
      <c r="Z42" s="602"/>
      <c r="AA42" s="602"/>
      <c r="AB42" s="602"/>
      <c r="AC42" s="602"/>
      <c r="AD42" s="602"/>
      <c r="AE42" s="602"/>
      <c r="AF42" s="602"/>
      <c r="AG42" s="602"/>
      <c r="AH42" s="602"/>
      <c r="AI42" s="602"/>
      <c r="AJ42" s="602"/>
      <c r="AK42" s="602"/>
      <c r="AL42" s="602"/>
      <c r="AM42" s="602"/>
      <c r="AN42" s="602"/>
      <c r="AO42" s="602"/>
      <c r="AP42" s="602"/>
      <c r="AQ42" s="602"/>
      <c r="AR42" s="602"/>
      <c r="AS42" s="602"/>
      <c r="AT42" s="602"/>
      <c r="AU42" s="602"/>
      <c r="AV42" s="602"/>
      <c r="AW42" s="602"/>
      <c r="AX42" s="602"/>
      <c r="AY42" s="602"/>
      <c r="AZ42" s="602"/>
      <c r="BA42" s="602"/>
      <c r="BB42" s="602"/>
      <c r="BC42" s="602"/>
      <c r="BD42" s="602"/>
      <c r="BE42" s="602"/>
      <c r="BF42" s="602"/>
      <c r="BG42" s="603"/>
    </row>
    <row r="43" spans="1:120" ht="13.35" customHeight="1" x14ac:dyDescent="0.15">
      <c r="BI43" s="4" t="s">
        <v>166</v>
      </c>
      <c r="BJ43" s="10"/>
      <c r="BK43" s="6"/>
      <c r="BL43" s="6"/>
      <c r="BM43" s="41"/>
      <c r="BN43" s="41"/>
      <c r="BO43" s="41"/>
      <c r="BP43" s="10"/>
      <c r="BQ43" s="6"/>
      <c r="BR43" s="6"/>
      <c r="BS43" s="10"/>
      <c r="BT43" s="6"/>
      <c r="BU43" s="6"/>
      <c r="BV43" s="41"/>
      <c r="BW43" s="41"/>
      <c r="BX43" s="41"/>
    </row>
    <row r="44" spans="1:120" ht="13.35" customHeight="1" x14ac:dyDescent="0.15">
      <c r="BI44" s="548"/>
      <c r="BJ44" s="549"/>
      <c r="BK44" s="549"/>
      <c r="BL44" s="549"/>
      <c r="BM44" s="549"/>
      <c r="BN44" s="549"/>
      <c r="BO44" s="550"/>
      <c r="BP44" s="400">
        <f>H6</f>
        <v>0</v>
      </c>
      <c r="BQ44" s="401"/>
      <c r="BR44" s="402"/>
      <c r="BS44" s="404">
        <f>K6</f>
        <v>-1</v>
      </c>
      <c r="BT44" s="404"/>
      <c r="BU44" s="405"/>
      <c r="BV44" s="585" t="s">
        <v>70</v>
      </c>
      <c r="BW44" s="586"/>
      <c r="BX44" s="587"/>
      <c r="BY44" s="593" t="s">
        <v>165</v>
      </c>
      <c r="BZ44" s="594"/>
      <c r="CA44" s="594"/>
      <c r="CB44" s="594"/>
      <c r="CC44" s="594"/>
      <c r="CD44" s="594"/>
      <c r="CE44" s="594"/>
      <c r="CF44" s="594"/>
      <c r="CG44" s="594"/>
      <c r="CH44" s="594"/>
      <c r="CI44" s="594"/>
      <c r="CJ44" s="594"/>
      <c r="CK44" s="594"/>
      <c r="CL44" s="594"/>
      <c r="CM44" s="594"/>
      <c r="CN44" s="594"/>
      <c r="CO44" s="594"/>
      <c r="CP44" s="594"/>
      <c r="CQ44" s="594"/>
      <c r="CR44" s="594"/>
      <c r="CS44" s="594"/>
      <c r="CT44" s="594"/>
      <c r="CU44" s="594"/>
      <c r="CV44" s="594"/>
      <c r="CW44" s="594"/>
      <c r="CX44" s="594"/>
      <c r="CY44" s="594"/>
      <c r="CZ44" s="594"/>
      <c r="DA44" s="594"/>
      <c r="DB44" s="594"/>
      <c r="DC44" s="594"/>
      <c r="DD44" s="594"/>
      <c r="DE44" s="594"/>
      <c r="DF44" s="594"/>
      <c r="DG44" s="594"/>
      <c r="DH44" s="594"/>
      <c r="DI44" s="594"/>
      <c r="DJ44" s="594"/>
      <c r="DK44" s="594"/>
      <c r="DL44" s="594"/>
      <c r="DM44" s="594"/>
      <c r="DN44" s="594"/>
      <c r="DO44" s="594"/>
      <c r="DP44" s="595"/>
    </row>
    <row r="45" spans="1:120" ht="12.95" customHeight="1" x14ac:dyDescent="0.15">
      <c r="BI45" s="347" t="s">
        <v>167</v>
      </c>
      <c r="BJ45" s="348"/>
      <c r="BK45" s="348"/>
      <c r="BL45" s="348"/>
      <c r="BM45" s="348"/>
      <c r="BN45" s="348"/>
      <c r="BO45" s="15" t="s">
        <v>168</v>
      </c>
      <c r="BP45" s="611"/>
      <c r="BQ45" s="612"/>
      <c r="BR45" s="613"/>
      <c r="BS45" s="152"/>
      <c r="BT45" s="141"/>
      <c r="BU45" s="142"/>
      <c r="BV45" s="204" t="str">
        <f>IF(BP45="-", "-", IF(BS45="-", "-", IF(ABS(BS45)=0, "-", ROUND(100*(BP45-BS45)/ABS(BS45),10))))</f>
        <v>-</v>
      </c>
      <c r="BW45" s="205"/>
      <c r="BX45" s="206"/>
      <c r="BY45" s="306"/>
      <c r="BZ45" s="307"/>
      <c r="CA45" s="307"/>
      <c r="CB45" s="307"/>
      <c r="CC45" s="307"/>
      <c r="CD45" s="307"/>
      <c r="CE45" s="307"/>
      <c r="CF45" s="307"/>
      <c r="CG45" s="307"/>
      <c r="CH45" s="307"/>
      <c r="CI45" s="307"/>
      <c r="CJ45" s="307"/>
      <c r="CK45" s="307"/>
      <c r="CL45" s="307"/>
      <c r="CM45" s="307"/>
      <c r="CN45" s="307"/>
      <c r="CO45" s="307"/>
      <c r="CP45" s="307"/>
      <c r="CQ45" s="307"/>
      <c r="CR45" s="307"/>
      <c r="CS45" s="307"/>
      <c r="CT45" s="307"/>
      <c r="CU45" s="307"/>
      <c r="CV45" s="307"/>
      <c r="CW45" s="307"/>
      <c r="CX45" s="307"/>
      <c r="CY45" s="307"/>
      <c r="CZ45" s="307"/>
      <c r="DA45" s="307"/>
      <c r="DB45" s="307"/>
      <c r="DC45" s="307"/>
      <c r="DD45" s="307"/>
      <c r="DE45" s="307"/>
      <c r="DF45" s="307"/>
      <c r="DG45" s="307"/>
      <c r="DH45" s="307"/>
      <c r="DI45" s="307"/>
      <c r="DJ45" s="307"/>
      <c r="DK45" s="307"/>
      <c r="DL45" s="307"/>
      <c r="DM45" s="307"/>
      <c r="DN45" s="307"/>
      <c r="DO45" s="307"/>
      <c r="DP45" s="308"/>
    </row>
    <row r="46" spans="1:120" ht="12.95" customHeight="1" x14ac:dyDescent="0.15">
      <c r="BI46" s="319" t="s">
        <v>169</v>
      </c>
      <c r="BJ46" s="194"/>
      <c r="BK46" s="194"/>
      <c r="BL46" s="194"/>
      <c r="BM46" s="194"/>
      <c r="BN46" s="194"/>
      <c r="BO46" s="16" t="s">
        <v>100</v>
      </c>
      <c r="BP46" s="126"/>
      <c r="BQ46" s="106"/>
      <c r="BR46" s="127"/>
      <c r="BS46" s="105"/>
      <c r="BT46" s="106"/>
      <c r="BU46" s="127"/>
      <c r="BV46" s="190" t="str">
        <f t="shared" ref="BV46:BV47" si="6">IF(BP46="-", "-", IF(BS46="-", "-", IF(ABS(BS46)=0, "-", ROUND(100*(BP46-BS46)/ABS(BS46),10))))</f>
        <v>-</v>
      </c>
      <c r="BW46" s="191"/>
      <c r="BX46" s="192"/>
      <c r="BY46" s="309"/>
      <c r="BZ46" s="310"/>
      <c r="CA46" s="310"/>
      <c r="CB46" s="310"/>
      <c r="CC46" s="310"/>
      <c r="CD46" s="310"/>
      <c r="CE46" s="310"/>
      <c r="CF46" s="310"/>
      <c r="CG46" s="310"/>
      <c r="CH46" s="310"/>
      <c r="CI46" s="310"/>
      <c r="CJ46" s="310"/>
      <c r="CK46" s="310"/>
      <c r="CL46" s="310"/>
      <c r="CM46" s="310"/>
      <c r="CN46" s="310"/>
      <c r="CO46" s="310"/>
      <c r="CP46" s="310"/>
      <c r="CQ46" s="310"/>
      <c r="CR46" s="310"/>
      <c r="CS46" s="310"/>
      <c r="CT46" s="310"/>
      <c r="CU46" s="310"/>
      <c r="CV46" s="310"/>
      <c r="CW46" s="310"/>
      <c r="CX46" s="310"/>
      <c r="CY46" s="310"/>
      <c r="CZ46" s="310"/>
      <c r="DA46" s="310"/>
      <c r="DB46" s="310"/>
      <c r="DC46" s="310"/>
      <c r="DD46" s="310"/>
      <c r="DE46" s="310"/>
      <c r="DF46" s="310"/>
      <c r="DG46" s="310"/>
      <c r="DH46" s="310"/>
      <c r="DI46" s="310"/>
      <c r="DJ46" s="310"/>
      <c r="DK46" s="310"/>
      <c r="DL46" s="310"/>
      <c r="DM46" s="310"/>
      <c r="DN46" s="310"/>
      <c r="DO46" s="310"/>
      <c r="DP46" s="311"/>
    </row>
    <row r="47" spans="1:120" ht="12.95" customHeight="1" x14ac:dyDescent="0.15">
      <c r="BI47" s="315" t="s">
        <v>170</v>
      </c>
      <c r="BJ47" s="290"/>
      <c r="BK47" s="290"/>
      <c r="BL47" s="290"/>
      <c r="BM47" s="290"/>
      <c r="BN47" s="290"/>
      <c r="BO47" s="18" t="s">
        <v>168</v>
      </c>
      <c r="BP47" s="154"/>
      <c r="BQ47" s="135"/>
      <c r="BR47" s="155"/>
      <c r="BS47" s="134"/>
      <c r="BT47" s="135"/>
      <c r="BU47" s="155"/>
      <c r="BV47" s="392" t="str">
        <f t="shared" si="6"/>
        <v>-</v>
      </c>
      <c r="BW47" s="87"/>
      <c r="BX47" s="610"/>
      <c r="BY47" s="312"/>
      <c r="BZ47" s="313"/>
      <c r="CA47" s="313"/>
      <c r="CB47" s="313"/>
      <c r="CC47" s="313"/>
      <c r="CD47" s="313"/>
      <c r="CE47" s="313"/>
      <c r="CF47" s="313"/>
      <c r="CG47" s="313"/>
      <c r="CH47" s="313"/>
      <c r="CI47" s="313"/>
      <c r="CJ47" s="313"/>
      <c r="CK47" s="313"/>
      <c r="CL47" s="313"/>
      <c r="CM47" s="313"/>
      <c r="CN47" s="313"/>
      <c r="CO47" s="313"/>
      <c r="CP47" s="313"/>
      <c r="CQ47" s="313"/>
      <c r="CR47" s="313"/>
      <c r="CS47" s="313"/>
      <c r="CT47" s="313"/>
      <c r="CU47" s="313"/>
      <c r="CV47" s="313"/>
      <c r="CW47" s="313"/>
      <c r="CX47" s="313"/>
      <c r="CY47" s="313"/>
      <c r="CZ47" s="313"/>
      <c r="DA47" s="313"/>
      <c r="DB47" s="313"/>
      <c r="DC47" s="313"/>
      <c r="DD47" s="313"/>
      <c r="DE47" s="313"/>
      <c r="DF47" s="313"/>
      <c r="DG47" s="313"/>
      <c r="DH47" s="313"/>
      <c r="DI47" s="313"/>
      <c r="DJ47" s="313"/>
      <c r="DK47" s="313"/>
      <c r="DL47" s="313"/>
      <c r="DM47" s="313"/>
      <c r="DN47" s="313"/>
      <c r="DO47" s="313"/>
      <c r="DP47" s="314"/>
    </row>
  </sheetData>
  <mergeCells count="385">
    <mergeCell ref="BI46:BN46"/>
    <mergeCell ref="BP46:BR46"/>
    <mergeCell ref="BS46:BU46"/>
    <mergeCell ref="BV46:BX46"/>
    <mergeCell ref="BY46:DP46"/>
    <mergeCell ref="BI47:BN47"/>
    <mergeCell ref="BP47:BR47"/>
    <mergeCell ref="BS47:BU47"/>
    <mergeCell ref="BV47:BX47"/>
    <mergeCell ref="BY47:DP47"/>
    <mergeCell ref="BI44:BO44"/>
    <mergeCell ref="BP44:BR44"/>
    <mergeCell ref="BS44:BU44"/>
    <mergeCell ref="BV44:BX44"/>
    <mergeCell ref="BY44:DP44"/>
    <mergeCell ref="BI45:BN45"/>
    <mergeCell ref="BP45:BR45"/>
    <mergeCell ref="BS45:BU45"/>
    <mergeCell ref="BV45:BX45"/>
    <mergeCell ref="BY45:DP45"/>
    <mergeCell ref="Q41:BG41"/>
    <mergeCell ref="Q42:BG42"/>
    <mergeCell ref="BY31:DP31"/>
    <mergeCell ref="BY32:DP32"/>
    <mergeCell ref="BY36:DP36"/>
    <mergeCell ref="BY37:DP37"/>
    <mergeCell ref="BY38:DP38"/>
    <mergeCell ref="BY39:DP39"/>
    <mergeCell ref="BY40:DP40"/>
    <mergeCell ref="BY41:DP41"/>
    <mergeCell ref="BY35:DP35"/>
    <mergeCell ref="BI40:BN40"/>
    <mergeCell ref="BP40:BR40"/>
    <mergeCell ref="BS40:BU40"/>
    <mergeCell ref="BV40:BX40"/>
    <mergeCell ref="BI41:BN41"/>
    <mergeCell ref="BP41:BR41"/>
    <mergeCell ref="BS41:BU41"/>
    <mergeCell ref="BV41:BX41"/>
    <mergeCell ref="BP35:BR35"/>
    <mergeCell ref="BS37:BU37"/>
    <mergeCell ref="BV37:BX37"/>
    <mergeCell ref="BI38:BN38"/>
    <mergeCell ref="Q39:BG39"/>
    <mergeCell ref="CH7:DP7"/>
    <mergeCell ref="CH8:DP8"/>
    <mergeCell ref="CH17:DP18"/>
    <mergeCell ref="CH19:DP19"/>
    <mergeCell ref="CH20:DP20"/>
    <mergeCell ref="CH21:DP21"/>
    <mergeCell ref="CH22:DP22"/>
    <mergeCell ref="CH23:DP23"/>
    <mergeCell ref="BY12:DP12"/>
    <mergeCell ref="BY13:DP13"/>
    <mergeCell ref="BY14:DP14"/>
    <mergeCell ref="BY7:CA7"/>
    <mergeCell ref="CB7:CD7"/>
    <mergeCell ref="BY8:CA8"/>
    <mergeCell ref="CB8:CD8"/>
    <mergeCell ref="CE8:CG8"/>
    <mergeCell ref="CE22:CG22"/>
    <mergeCell ref="BY23:CA23"/>
    <mergeCell ref="CB23:CD23"/>
    <mergeCell ref="CE23:CG23"/>
    <mergeCell ref="BY22:CA22"/>
    <mergeCell ref="CB22:CD22"/>
    <mergeCell ref="BY17:CG17"/>
    <mergeCell ref="BY19:CA19"/>
    <mergeCell ref="BY27:CA27"/>
    <mergeCell ref="BP26:BR26"/>
    <mergeCell ref="CB27:CD27"/>
    <mergeCell ref="CB26:CD26"/>
    <mergeCell ref="BY26:CA26"/>
    <mergeCell ref="CB28:CD28"/>
    <mergeCell ref="BY28:CA28"/>
    <mergeCell ref="CH24:DP24"/>
    <mergeCell ref="CH25:DP25"/>
    <mergeCell ref="CH26:DP26"/>
    <mergeCell ref="CH27:DP27"/>
    <mergeCell ref="CH28:DP28"/>
    <mergeCell ref="CE27:CG27"/>
    <mergeCell ref="CE26:CG26"/>
    <mergeCell ref="CE28:CG28"/>
    <mergeCell ref="BV25:BX25"/>
    <mergeCell ref="BY25:CA25"/>
    <mergeCell ref="CB25:CD25"/>
    <mergeCell ref="CE25:CG25"/>
    <mergeCell ref="BV24:BX24"/>
    <mergeCell ref="BY24:CA24"/>
    <mergeCell ref="CB24:CD24"/>
    <mergeCell ref="CE24:CG24"/>
    <mergeCell ref="BV27:BX27"/>
    <mergeCell ref="BP12:BR12"/>
    <mergeCell ref="BS12:BU12"/>
    <mergeCell ref="BJ22:BO22"/>
    <mergeCell ref="Q22:S22"/>
    <mergeCell ref="T22:V22"/>
    <mergeCell ref="Z29:BG29"/>
    <mergeCell ref="Z30:BG30"/>
    <mergeCell ref="Z31:BG31"/>
    <mergeCell ref="BP27:BR27"/>
    <mergeCell ref="Z25:BG25"/>
    <mergeCell ref="Z26:BG26"/>
    <mergeCell ref="Z27:BG27"/>
    <mergeCell ref="Z28:BG28"/>
    <mergeCell ref="BP13:BR13"/>
    <mergeCell ref="BS13:BU13"/>
    <mergeCell ref="BP14:BR14"/>
    <mergeCell ref="BS14:BU14"/>
    <mergeCell ref="T24:V24"/>
    <mergeCell ref="W24:Y24"/>
    <mergeCell ref="T25:V25"/>
    <mergeCell ref="BP20:BR20"/>
    <mergeCell ref="BP23:BR23"/>
    <mergeCell ref="BP24:BR24"/>
    <mergeCell ref="BP25:BR25"/>
    <mergeCell ref="AV1:BG1"/>
    <mergeCell ref="AV2:BG2"/>
    <mergeCell ref="A5:G6"/>
    <mergeCell ref="H5:P5"/>
    <mergeCell ref="Q5:Y5"/>
    <mergeCell ref="BS35:BU35"/>
    <mergeCell ref="BV35:BX35"/>
    <mergeCell ref="BI37:BN37"/>
    <mergeCell ref="BP37:BR37"/>
    <mergeCell ref="BS27:BU27"/>
    <mergeCell ref="Z7:BG7"/>
    <mergeCell ref="Z8:BG8"/>
    <mergeCell ref="Z17:BG18"/>
    <mergeCell ref="Z19:BG19"/>
    <mergeCell ref="Z20:BG20"/>
    <mergeCell ref="Z21:BG21"/>
    <mergeCell ref="Z22:BG22"/>
    <mergeCell ref="Z23:BG23"/>
    <mergeCell ref="Z24:BG24"/>
    <mergeCell ref="Q34:BG35"/>
    <mergeCell ref="Q36:BG36"/>
    <mergeCell ref="BV12:BX12"/>
    <mergeCell ref="BI8:BO8"/>
    <mergeCell ref="BI12:BO12"/>
    <mergeCell ref="BI5:BO6"/>
    <mergeCell ref="BP5:BX5"/>
    <mergeCell ref="BY5:CG5"/>
    <mergeCell ref="H6:J6"/>
    <mergeCell ref="BS6:BU6"/>
    <mergeCell ref="BV6:BX6"/>
    <mergeCell ref="BY6:CA6"/>
    <mergeCell ref="CB6:CD6"/>
    <mergeCell ref="CE6:CG6"/>
    <mergeCell ref="W6:Y6"/>
    <mergeCell ref="BP6:BR6"/>
    <mergeCell ref="Z5:BG6"/>
    <mergeCell ref="K6:M6"/>
    <mergeCell ref="N6:P6"/>
    <mergeCell ref="Q6:S6"/>
    <mergeCell ref="T6:V6"/>
    <mergeCell ref="CH5:DP6"/>
    <mergeCell ref="A1:AU2"/>
    <mergeCell ref="A8:G8"/>
    <mergeCell ref="N8:P8"/>
    <mergeCell ref="W8:Y8"/>
    <mergeCell ref="W7:Y7"/>
    <mergeCell ref="A7:G7"/>
    <mergeCell ref="N7:P7"/>
    <mergeCell ref="H7:J7"/>
    <mergeCell ref="K7:M7"/>
    <mergeCell ref="H8:J8"/>
    <mergeCell ref="K8:M8"/>
    <mergeCell ref="Q7:S7"/>
    <mergeCell ref="T7:V7"/>
    <mergeCell ref="Q8:S8"/>
    <mergeCell ref="T8:V8"/>
    <mergeCell ref="BP8:BR8"/>
    <mergeCell ref="BS8:BU8"/>
    <mergeCell ref="BV8:BX8"/>
    <mergeCell ref="CE7:CG7"/>
    <mergeCell ref="BI7:BO7"/>
    <mergeCell ref="BP7:BR7"/>
    <mergeCell ref="BS7:BU7"/>
    <mergeCell ref="BV7:BX7"/>
    <mergeCell ref="BV13:BX13"/>
    <mergeCell ref="BI14:BN14"/>
    <mergeCell ref="BV14:BX14"/>
    <mergeCell ref="A19:G19"/>
    <mergeCell ref="N19:P19"/>
    <mergeCell ref="W19:Y19"/>
    <mergeCell ref="BI19:BI23"/>
    <mergeCell ref="T18:V18"/>
    <mergeCell ref="W18:Y18"/>
    <mergeCell ref="BP18:BR18"/>
    <mergeCell ref="BS18:BU18"/>
    <mergeCell ref="BV18:BX18"/>
    <mergeCell ref="A17:G18"/>
    <mergeCell ref="H17:P17"/>
    <mergeCell ref="Q17:Y17"/>
    <mergeCell ref="BI17:BO18"/>
    <mergeCell ref="BP17:BX17"/>
    <mergeCell ref="BI13:BN13"/>
    <mergeCell ref="T19:V19"/>
    <mergeCell ref="B21:G21"/>
    <mergeCell ref="N21:P21"/>
    <mergeCell ref="Q21:S21"/>
    <mergeCell ref="B20:G20"/>
    <mergeCell ref="N20:P20"/>
    <mergeCell ref="CB19:CD19"/>
    <mergeCell ref="BV20:BX20"/>
    <mergeCell ref="BY20:CA20"/>
    <mergeCell ref="CB20:CD20"/>
    <mergeCell ref="CB18:CD18"/>
    <mergeCell ref="CE18:CG18"/>
    <mergeCell ref="BY18:CA18"/>
    <mergeCell ref="CE20:CG20"/>
    <mergeCell ref="BV19:BX19"/>
    <mergeCell ref="BS19:BU19"/>
    <mergeCell ref="BS20:BU20"/>
    <mergeCell ref="BP19:BR19"/>
    <mergeCell ref="BV21:BX21"/>
    <mergeCell ref="BS21:BU21"/>
    <mergeCell ref="BS22:BU22"/>
    <mergeCell ref="A23:G23"/>
    <mergeCell ref="N23:P23"/>
    <mergeCell ref="W23:Y23"/>
    <mergeCell ref="BJ23:BO23"/>
    <mergeCell ref="T21:V21"/>
    <mergeCell ref="W21:Y21"/>
    <mergeCell ref="BJ21:BO21"/>
    <mergeCell ref="A22:G22"/>
    <mergeCell ref="N22:P22"/>
    <mergeCell ref="Q20:S20"/>
    <mergeCell ref="T20:V20"/>
    <mergeCell ref="W20:Y20"/>
    <mergeCell ref="BJ20:BO20"/>
    <mergeCell ref="H19:J19"/>
    <mergeCell ref="K19:M19"/>
    <mergeCell ref="H20:J20"/>
    <mergeCell ref="K20:M20"/>
    <mergeCell ref="Q19:S19"/>
    <mergeCell ref="A26:G26"/>
    <mergeCell ref="N26:P26"/>
    <mergeCell ref="Q26:S26"/>
    <mergeCell ref="T26:V26"/>
    <mergeCell ref="BI24:BI28"/>
    <mergeCell ref="W25:Y25"/>
    <mergeCell ref="A24:G24"/>
    <mergeCell ref="N24:P24"/>
    <mergeCell ref="BV28:BX28"/>
    <mergeCell ref="A28:G28"/>
    <mergeCell ref="N28:P28"/>
    <mergeCell ref="BP28:BR28"/>
    <mergeCell ref="BS28:BU28"/>
    <mergeCell ref="Q24:S24"/>
    <mergeCell ref="BS26:BU26"/>
    <mergeCell ref="A25:G25"/>
    <mergeCell ref="N25:P25"/>
    <mergeCell ref="Q25:S25"/>
    <mergeCell ref="BS24:BU24"/>
    <mergeCell ref="BS25:BU25"/>
    <mergeCell ref="H25:J25"/>
    <mergeCell ref="K25:M25"/>
    <mergeCell ref="BJ25:BO25"/>
    <mergeCell ref="BI39:BN39"/>
    <mergeCell ref="A29:G29"/>
    <mergeCell ref="N29:P29"/>
    <mergeCell ref="Q29:S29"/>
    <mergeCell ref="T29:V29"/>
    <mergeCell ref="W29:Y29"/>
    <mergeCell ref="W28:Y28"/>
    <mergeCell ref="BJ28:BO28"/>
    <mergeCell ref="BI35:BO35"/>
    <mergeCell ref="Q31:S31"/>
    <mergeCell ref="N36:P36"/>
    <mergeCell ref="W30:Y30"/>
    <mergeCell ref="A31:G31"/>
    <mergeCell ref="N31:P31"/>
    <mergeCell ref="W31:Y31"/>
    <mergeCell ref="A30:G30"/>
    <mergeCell ref="N30:P30"/>
    <mergeCell ref="H30:J30"/>
    <mergeCell ref="A34:G35"/>
    <mergeCell ref="H34:P34"/>
    <mergeCell ref="H37:J37"/>
    <mergeCell ref="K37:M37"/>
    <mergeCell ref="N37:P37"/>
    <mergeCell ref="A38:G38"/>
    <mergeCell ref="Q40:BG40"/>
    <mergeCell ref="BP36:BR36"/>
    <mergeCell ref="BS36:BU36"/>
    <mergeCell ref="BV36:BX36"/>
    <mergeCell ref="K30:M30"/>
    <mergeCell ref="H31:J31"/>
    <mergeCell ref="K31:M31"/>
    <mergeCell ref="Q30:S30"/>
    <mergeCell ref="T30:V30"/>
    <mergeCell ref="T31:V31"/>
    <mergeCell ref="H36:J36"/>
    <mergeCell ref="K36:M36"/>
    <mergeCell ref="H35:J35"/>
    <mergeCell ref="K35:M35"/>
    <mergeCell ref="N35:P35"/>
    <mergeCell ref="BP38:BR38"/>
    <mergeCell ref="BS38:BU38"/>
    <mergeCell ref="BV38:BX38"/>
    <mergeCell ref="BP39:BR39"/>
    <mergeCell ref="BS39:BU39"/>
    <mergeCell ref="BV39:BX39"/>
    <mergeCell ref="Q37:BG37"/>
    <mergeCell ref="Q38:BG38"/>
    <mergeCell ref="BI36:BN36"/>
    <mergeCell ref="A42:E42"/>
    <mergeCell ref="B41:G41"/>
    <mergeCell ref="N41:P41"/>
    <mergeCell ref="B40:G40"/>
    <mergeCell ref="N40:P40"/>
    <mergeCell ref="N39:P39"/>
    <mergeCell ref="N42:P42"/>
    <mergeCell ref="H42:J42"/>
    <mergeCell ref="K42:M42"/>
    <mergeCell ref="H40:J40"/>
    <mergeCell ref="K40:M40"/>
    <mergeCell ref="B39:G39"/>
    <mergeCell ref="K39:M39"/>
    <mergeCell ref="H41:J41"/>
    <mergeCell ref="K41:M41"/>
    <mergeCell ref="H39:J39"/>
    <mergeCell ref="H38:J38"/>
    <mergeCell ref="K38:M38"/>
    <mergeCell ref="N38:P38"/>
    <mergeCell ref="A36:G36"/>
    <mergeCell ref="A37:G37"/>
    <mergeCell ref="H27:J27"/>
    <mergeCell ref="K27:M27"/>
    <mergeCell ref="H28:J28"/>
    <mergeCell ref="K28:M28"/>
    <mergeCell ref="H29:J29"/>
    <mergeCell ref="K29:M29"/>
    <mergeCell ref="A27:G27"/>
    <mergeCell ref="N27:P27"/>
    <mergeCell ref="BP22:BR22"/>
    <mergeCell ref="BY21:CA21"/>
    <mergeCell ref="BV32:BX32"/>
    <mergeCell ref="BI31:BO31"/>
    <mergeCell ref="BP31:BR31"/>
    <mergeCell ref="BS31:BU31"/>
    <mergeCell ref="BV31:BX31"/>
    <mergeCell ref="Q32:S32"/>
    <mergeCell ref="T32:V32"/>
    <mergeCell ref="W32:Y32"/>
    <mergeCell ref="BI32:BN32"/>
    <mergeCell ref="BS32:BU32"/>
    <mergeCell ref="BP32:BR32"/>
    <mergeCell ref="Q27:S27"/>
    <mergeCell ref="T27:V27"/>
    <mergeCell ref="W27:Y27"/>
    <mergeCell ref="BJ27:BO27"/>
    <mergeCell ref="W26:Y26"/>
    <mergeCell ref="BJ26:BO26"/>
    <mergeCell ref="BV26:BX26"/>
    <mergeCell ref="T23:V23"/>
    <mergeCell ref="BV23:BX23"/>
    <mergeCell ref="Q23:S23"/>
    <mergeCell ref="BS23:BU23"/>
    <mergeCell ref="CB21:CD21"/>
    <mergeCell ref="CE21:CG21"/>
    <mergeCell ref="Q28:S28"/>
    <mergeCell ref="T28:V28"/>
    <mergeCell ref="H18:J18"/>
    <mergeCell ref="K18:M18"/>
    <mergeCell ref="N18:P18"/>
    <mergeCell ref="Q18:S18"/>
    <mergeCell ref="CE19:CG19"/>
    <mergeCell ref="H26:J26"/>
    <mergeCell ref="K26:M26"/>
    <mergeCell ref="H21:J21"/>
    <mergeCell ref="K21:M21"/>
    <mergeCell ref="H22:J22"/>
    <mergeCell ref="K22:M22"/>
    <mergeCell ref="H23:J23"/>
    <mergeCell ref="K23:M23"/>
    <mergeCell ref="H24:J24"/>
    <mergeCell ref="K24:M24"/>
    <mergeCell ref="BJ19:BO19"/>
    <mergeCell ref="BJ24:BO24"/>
    <mergeCell ref="W22:Y22"/>
    <mergeCell ref="BV22:BX22"/>
    <mergeCell ref="BP21:BR21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88" orientation="landscape" r:id="rId1"/>
  <headerFooter alignWithMargins="0"/>
  <colBreaks count="1" manualBreakCount="1">
    <brk id="60" max="4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No1</vt:lpstr>
      <vt:lpstr>No2</vt:lpstr>
      <vt:lpstr>No3</vt:lpstr>
      <vt:lpstr>'No1'!Print_Area</vt:lpstr>
      <vt:lpstr>'No2'!Print_Area</vt:lpstr>
      <vt:lpstr>'No3'!Print_Area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久川　修</dc:creator>
  <cp:lastModifiedBy>owner</cp:lastModifiedBy>
  <cp:lastPrinted>2022-09-25T06:28:37Z</cp:lastPrinted>
  <dcterms:created xsi:type="dcterms:W3CDTF">2011-03-14T15:00:00Z</dcterms:created>
  <dcterms:modified xsi:type="dcterms:W3CDTF">2023-01-10T08:13:15Z</dcterms:modified>
</cp:coreProperties>
</file>